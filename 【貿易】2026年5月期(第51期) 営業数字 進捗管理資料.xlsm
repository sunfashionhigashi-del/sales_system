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ekawa\Box\共用\貿易部共用\"/>
    </mc:Choice>
  </mc:AlternateContent>
  <xr:revisionPtr revIDLastSave="0" documentId="13_ncr:1_{14B718C1-7C52-4F5F-9D8F-8F6AFA0B3C71}" xr6:coauthVersionLast="47" xr6:coauthVersionMax="47" xr10:uidLastSave="{00000000-0000-0000-0000-000000000000}"/>
  <bookViews>
    <workbookView xWindow="-120" yWindow="-120" windowWidth="38640" windowHeight="21120" firstSheet="6" activeTab="9" xr2:uid="{C3C9C83A-33E3-4EDC-B720-2F7B55EF8DA4}"/>
  </bookViews>
  <sheets>
    <sheet name="月次進捗" sheetId="4" state="hidden" r:id="rId1"/>
    <sheet name="計画集計" sheetId="2" state="hidden" r:id="rId2"/>
    <sheet name="実績集計" sheetId="15" state="hidden" r:id="rId3"/>
    <sheet name="松岡" sheetId="5" state="hidden" r:id="rId4"/>
    <sheet name="大谷" sheetId="10" state="hidden" r:id="rId5"/>
    <sheet name="宮本" sheetId="9" state="hidden" r:id="rId6"/>
    <sheet name="深串" sheetId="6" r:id="rId7"/>
    <sheet name="深串INV" sheetId="16" r:id="rId8"/>
    <sheet name="前川" sheetId="8" r:id="rId9"/>
    <sheet name="前川INV" sheetId="17" r:id="rId10"/>
    <sheet name="千葉" sheetId="13" r:id="rId11"/>
    <sheet name="千葉INV" sheetId="18" r:id="rId12"/>
    <sheet name="中国" sheetId="12" r:id="rId13"/>
    <sheet name="中国INV" sheetId="20" r:id="rId14"/>
    <sheet name="VVR" sheetId="14" r:id="rId15"/>
    <sheet name="VVRINV" sheetId="19" r:id="rId16"/>
    <sheet name="新規1" sheetId="7" r:id="rId17"/>
    <sheet name="新規1INV" sheetId="23" r:id="rId18"/>
    <sheet name="新規2" sheetId="1" r:id="rId19"/>
    <sheet name="新規2INV" sheetId="24" r:id="rId20"/>
    <sheet name="為替" sheetId="21" r:id="rId21"/>
    <sheet name="Macro" sheetId="22" state="hidden" r:id="rId22"/>
  </sheets>
  <externalReferences>
    <externalReference r:id="rId23"/>
  </externalReferences>
  <definedNames>
    <definedName name="_xlnm._FilterDatabase" localSheetId="11" hidden="1">千葉INV!$A$5:$H$400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8" i="17" l="1"/>
  <c r="C316" i="17"/>
  <c r="C310" i="17"/>
  <c r="M270" i="17"/>
  <c r="N270" i="17" s="1"/>
  <c r="J270" i="17"/>
  <c r="K270" i="17" s="1"/>
  <c r="I270" i="17"/>
  <c r="L270" i="17"/>
  <c r="I254" i="17"/>
  <c r="J254" i="17"/>
  <c r="K254" i="17" s="1"/>
  <c r="L254" i="17"/>
  <c r="M254" i="17"/>
  <c r="N254" i="17" s="1"/>
  <c r="O254" i="17" s="1"/>
  <c r="P254" i="17" s="1"/>
  <c r="J110" i="16"/>
  <c r="J111" i="16"/>
  <c r="J109" i="16"/>
  <c r="K109" i="16" s="1"/>
  <c r="M103" i="16"/>
  <c r="M104" i="16"/>
  <c r="M105" i="16"/>
  <c r="I200" i="17"/>
  <c r="J200" i="17"/>
  <c r="K200" i="17" s="1"/>
  <c r="L200" i="17"/>
  <c r="M200" i="17"/>
  <c r="N200" i="17" s="1"/>
  <c r="O200" i="17" s="1"/>
  <c r="P200" i="17" s="1"/>
  <c r="I199" i="17"/>
  <c r="J199" i="17"/>
  <c r="K199" i="17"/>
  <c r="L199" i="17"/>
  <c r="M199" i="17"/>
  <c r="N199" i="17" s="1"/>
  <c r="I77" i="16"/>
  <c r="J77" i="16"/>
  <c r="K77" i="16"/>
  <c r="L77" i="16"/>
  <c r="M77" i="16"/>
  <c r="N77" i="16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H33" i="8"/>
  <c r="E602" i="21"/>
  <c r="E601" i="21"/>
  <c r="E600" i="21"/>
  <c r="P33" i="7"/>
  <c r="P35" i="7"/>
  <c r="O33" i="7"/>
  <c r="O35" i="7"/>
  <c r="N33" i="7"/>
  <c r="N35" i="7"/>
  <c r="M33" i="7"/>
  <c r="M35" i="7"/>
  <c r="L33" i="7"/>
  <c r="L35" i="7"/>
  <c r="K33" i="7"/>
  <c r="K35" i="7"/>
  <c r="J33" i="7"/>
  <c r="J35" i="7"/>
  <c r="I33" i="7"/>
  <c r="I35" i="7"/>
  <c r="H33" i="7"/>
  <c r="H35" i="7"/>
  <c r="G33" i="7"/>
  <c r="G35" i="7"/>
  <c r="F33" i="7"/>
  <c r="F35" i="7"/>
  <c r="E33" i="7"/>
  <c r="P36" i="7"/>
  <c r="P30" i="7"/>
  <c r="O30" i="7"/>
  <c r="N30" i="7"/>
  <c r="M30" i="7"/>
  <c r="L30" i="7"/>
  <c r="K30" i="7"/>
  <c r="J30" i="7"/>
  <c r="I30" i="7"/>
  <c r="H30" i="7"/>
  <c r="G30" i="7"/>
  <c r="F30" i="7"/>
  <c r="E30" i="7"/>
  <c r="P29" i="7"/>
  <c r="O29" i="7"/>
  <c r="N29" i="7"/>
  <c r="M29" i="7"/>
  <c r="L29" i="7"/>
  <c r="K29" i="7"/>
  <c r="J29" i="7"/>
  <c r="I29" i="7"/>
  <c r="H29" i="7"/>
  <c r="G29" i="7"/>
  <c r="F29" i="7"/>
  <c r="E29" i="7"/>
  <c r="E610" i="21"/>
  <c r="E609" i="21"/>
  <c r="E599" i="21"/>
  <c r="E598" i="21"/>
  <c r="E597" i="21"/>
  <c r="E596" i="21"/>
  <c r="E595" i="21"/>
  <c r="E35" i="7"/>
  <c r="F36" i="7"/>
  <c r="G36" i="7"/>
  <c r="J36" i="7"/>
  <c r="K36" i="7"/>
  <c r="L36" i="7"/>
  <c r="M36" i="7"/>
  <c r="N36" i="7"/>
  <c r="O36" i="7"/>
  <c r="E36" i="7"/>
  <c r="H36" i="7"/>
  <c r="I36" i="7"/>
  <c r="CQ374" i="21"/>
  <c r="CP374" i="21"/>
  <c r="CO374" i="21"/>
  <c r="CN374" i="21"/>
  <c r="CM374" i="21"/>
  <c r="CL374" i="21"/>
  <c r="CK374" i="21"/>
  <c r="CJ374" i="21"/>
  <c r="CI374" i="21"/>
  <c r="CH374" i="21"/>
  <c r="CG374" i="21"/>
  <c r="CF374" i="21"/>
  <c r="CE374" i="21"/>
  <c r="CD374" i="21"/>
  <c r="CC374" i="21"/>
  <c r="CB374" i="21"/>
  <c r="CA374" i="21"/>
  <c r="BZ374" i="21"/>
  <c r="BY374" i="21"/>
  <c r="BX374" i="21"/>
  <c r="BW374" i="21"/>
  <c r="BV374" i="21"/>
  <c r="BU374" i="21"/>
  <c r="BT374" i="21"/>
  <c r="BS374" i="21"/>
  <c r="BR374" i="21"/>
  <c r="BQ374" i="21"/>
  <c r="BP374" i="21"/>
  <c r="BO374" i="21"/>
  <c r="BN374" i="21"/>
  <c r="BM374" i="21"/>
  <c r="BL374" i="21"/>
  <c r="BK374" i="21"/>
  <c r="BJ374" i="21"/>
  <c r="BI374" i="21"/>
  <c r="BH374" i="21"/>
  <c r="BG374" i="21"/>
  <c r="BF374" i="21"/>
  <c r="BE374" i="21"/>
  <c r="BD374" i="21"/>
  <c r="BC374" i="21"/>
  <c r="BB374" i="21"/>
  <c r="BA374" i="21"/>
  <c r="AZ374" i="21"/>
  <c r="AY374" i="21"/>
  <c r="AX374" i="21"/>
  <c r="AW374" i="21"/>
  <c r="AV374" i="21"/>
  <c r="AU374" i="21"/>
  <c r="AT374" i="21"/>
  <c r="AS374" i="21"/>
  <c r="AR374" i="21"/>
  <c r="AQ374" i="21"/>
  <c r="AP374" i="21"/>
  <c r="AO374" i="21"/>
  <c r="AN374" i="21"/>
  <c r="AM374" i="21"/>
  <c r="AI374" i="21"/>
  <c r="AH374" i="21"/>
  <c r="AG374" i="21"/>
  <c r="AF374" i="21"/>
  <c r="AE374" i="21"/>
  <c r="AD374" i="21"/>
  <c r="AC374" i="21"/>
  <c r="AB374" i="21"/>
  <c r="AA374" i="21"/>
  <c r="Z374" i="21"/>
  <c r="Y374" i="21"/>
  <c r="X374" i="21"/>
  <c r="W374" i="21"/>
  <c r="V374" i="21"/>
  <c r="U374" i="21"/>
  <c r="T374" i="21"/>
  <c r="S374" i="21"/>
  <c r="R374" i="21"/>
  <c r="Q374" i="21"/>
  <c r="P374" i="21"/>
  <c r="O374" i="21"/>
  <c r="N374" i="21"/>
  <c r="M374" i="21"/>
  <c r="L374" i="21"/>
  <c r="K374" i="21"/>
  <c r="J374" i="21"/>
  <c r="I374" i="21"/>
  <c r="H374" i="21"/>
  <c r="G374" i="21"/>
  <c r="F374" i="21"/>
  <c r="E374" i="21"/>
  <c r="D374" i="21"/>
  <c r="C374" i="21"/>
  <c r="CQ373" i="21"/>
  <c r="CP373" i="21"/>
  <c r="CO373" i="21"/>
  <c r="CN373" i="21"/>
  <c r="CM373" i="21"/>
  <c r="CL373" i="21"/>
  <c r="CK373" i="21"/>
  <c r="CJ373" i="21"/>
  <c r="CI373" i="21"/>
  <c r="CH373" i="21"/>
  <c r="CG373" i="21"/>
  <c r="CF373" i="21"/>
  <c r="CE373" i="21"/>
  <c r="CD373" i="21"/>
  <c r="CC373" i="21"/>
  <c r="CB373" i="21"/>
  <c r="CA373" i="21"/>
  <c r="BZ373" i="21"/>
  <c r="BY373" i="21"/>
  <c r="BX373" i="21"/>
  <c r="BW373" i="21"/>
  <c r="BV373" i="21"/>
  <c r="BU373" i="21"/>
  <c r="BT373" i="21"/>
  <c r="BS373" i="21"/>
  <c r="BR373" i="21"/>
  <c r="BQ373" i="21"/>
  <c r="BP373" i="21"/>
  <c r="BO373" i="21"/>
  <c r="BN373" i="21"/>
  <c r="BM373" i="21"/>
  <c r="BL373" i="21"/>
  <c r="BK373" i="21"/>
  <c r="BJ373" i="21"/>
  <c r="BI373" i="21"/>
  <c r="BH373" i="21"/>
  <c r="BG373" i="21"/>
  <c r="BF373" i="21"/>
  <c r="BE373" i="21"/>
  <c r="BD373" i="21"/>
  <c r="BC373" i="21"/>
  <c r="BB373" i="21"/>
  <c r="BA373" i="21"/>
  <c r="AZ373" i="21"/>
  <c r="AY373" i="21"/>
  <c r="AX373" i="21"/>
  <c r="AW373" i="21"/>
  <c r="AV373" i="21"/>
  <c r="AU373" i="21"/>
  <c r="AT373" i="21"/>
  <c r="AS373" i="21"/>
  <c r="AR373" i="21"/>
  <c r="AQ373" i="21"/>
  <c r="AP373" i="21"/>
  <c r="AO373" i="21"/>
  <c r="AN373" i="21"/>
  <c r="AM373" i="21"/>
  <c r="AI373" i="21"/>
  <c r="AH373" i="21"/>
  <c r="AG373" i="21"/>
  <c r="AF373" i="21"/>
  <c r="AE373" i="21"/>
  <c r="AD373" i="21"/>
  <c r="AC373" i="21"/>
  <c r="AB373" i="21"/>
  <c r="AA373" i="21"/>
  <c r="Z373" i="21"/>
  <c r="Y373" i="21"/>
  <c r="X373" i="21"/>
  <c r="W373" i="21"/>
  <c r="V373" i="21"/>
  <c r="U373" i="21"/>
  <c r="T373" i="21"/>
  <c r="S373" i="21"/>
  <c r="R373" i="21"/>
  <c r="Q373" i="21"/>
  <c r="P373" i="21"/>
  <c r="O373" i="21"/>
  <c r="N373" i="21"/>
  <c r="M373" i="21"/>
  <c r="L373" i="21"/>
  <c r="K373" i="21"/>
  <c r="J373" i="21"/>
  <c r="I373" i="21"/>
  <c r="H373" i="21"/>
  <c r="G373" i="21"/>
  <c r="F373" i="21"/>
  <c r="E373" i="21"/>
  <c r="D373" i="21"/>
  <c r="C373" i="21"/>
  <c r="CQ372" i="21"/>
  <c r="CP372" i="21"/>
  <c r="CO372" i="21"/>
  <c r="CN372" i="21"/>
  <c r="CM372" i="21"/>
  <c r="CL372" i="21"/>
  <c r="CK372" i="21"/>
  <c r="CJ372" i="21"/>
  <c r="CI372" i="21"/>
  <c r="CH372" i="21"/>
  <c r="CG372" i="21"/>
  <c r="CF372" i="21"/>
  <c r="CE372" i="21"/>
  <c r="CD372" i="21"/>
  <c r="CC372" i="21"/>
  <c r="CB372" i="21"/>
  <c r="CA372" i="21"/>
  <c r="BZ372" i="21"/>
  <c r="BY372" i="21"/>
  <c r="BX372" i="21"/>
  <c r="BW372" i="21"/>
  <c r="BV372" i="21"/>
  <c r="BU372" i="21"/>
  <c r="BT372" i="21"/>
  <c r="BS372" i="21"/>
  <c r="BR372" i="21"/>
  <c r="BQ372" i="21"/>
  <c r="BP372" i="21"/>
  <c r="BO372" i="21"/>
  <c r="BN372" i="21"/>
  <c r="BM372" i="21"/>
  <c r="BL372" i="21"/>
  <c r="BK372" i="21"/>
  <c r="BJ372" i="21"/>
  <c r="BI372" i="21"/>
  <c r="BH372" i="21"/>
  <c r="BG372" i="21"/>
  <c r="BF372" i="21"/>
  <c r="BE372" i="21"/>
  <c r="BD372" i="21"/>
  <c r="BC372" i="21"/>
  <c r="BB372" i="21"/>
  <c r="BA372" i="21"/>
  <c r="AZ372" i="21"/>
  <c r="AY372" i="21"/>
  <c r="AX372" i="21"/>
  <c r="AW372" i="21"/>
  <c r="AV372" i="21"/>
  <c r="AU372" i="21"/>
  <c r="AT372" i="21"/>
  <c r="AS372" i="21"/>
  <c r="AR372" i="21"/>
  <c r="AQ372" i="21"/>
  <c r="AP372" i="21"/>
  <c r="AO372" i="21"/>
  <c r="AN372" i="21"/>
  <c r="AM372" i="21"/>
  <c r="AI372" i="21"/>
  <c r="AH372" i="21"/>
  <c r="AG372" i="21"/>
  <c r="AF372" i="21"/>
  <c r="AE372" i="21"/>
  <c r="AD372" i="21"/>
  <c r="AC372" i="21"/>
  <c r="AB372" i="21"/>
  <c r="AA372" i="21"/>
  <c r="Z372" i="21"/>
  <c r="Y372" i="21"/>
  <c r="X372" i="21"/>
  <c r="W372" i="21"/>
  <c r="V372" i="21"/>
  <c r="U372" i="21"/>
  <c r="T372" i="21"/>
  <c r="S372" i="21"/>
  <c r="R372" i="21"/>
  <c r="Q372" i="21"/>
  <c r="P372" i="21"/>
  <c r="O372" i="21"/>
  <c r="N372" i="21"/>
  <c r="M372" i="21"/>
  <c r="L372" i="21"/>
  <c r="K372" i="21"/>
  <c r="J372" i="21"/>
  <c r="I372" i="21"/>
  <c r="H372" i="21"/>
  <c r="G372" i="21"/>
  <c r="F372" i="21"/>
  <c r="E372" i="21"/>
  <c r="D372" i="21"/>
  <c r="C372" i="21"/>
  <c r="N15" i="16"/>
  <c r="O15" i="16" s="1"/>
  <c r="P15" i="16" s="1"/>
  <c r="L15" i="16"/>
  <c r="M15" i="16"/>
  <c r="I15" i="16"/>
  <c r="J15" i="16"/>
  <c r="K15" i="16"/>
  <c r="J7" i="23"/>
  <c r="K7" i="23" s="1"/>
  <c r="I7" i="23"/>
  <c r="I162" i="16"/>
  <c r="N41" i="20"/>
  <c r="L41" i="20"/>
  <c r="M41" i="20"/>
  <c r="K41" i="20"/>
  <c r="O41" i="20" s="1"/>
  <c r="I41" i="20"/>
  <c r="J41" i="20"/>
  <c r="N40" i="20"/>
  <c r="L40" i="20"/>
  <c r="M40" i="20"/>
  <c r="K40" i="20"/>
  <c r="I40" i="20"/>
  <c r="J40" i="20"/>
  <c r="N39" i="20"/>
  <c r="L39" i="20"/>
  <c r="M39" i="20"/>
  <c r="K39" i="20"/>
  <c r="O39" i="20" s="1"/>
  <c r="I39" i="20"/>
  <c r="J39" i="20"/>
  <c r="N38" i="20"/>
  <c r="L38" i="20"/>
  <c r="M38" i="20"/>
  <c r="K38" i="20"/>
  <c r="I38" i="20"/>
  <c r="J38" i="20"/>
  <c r="N37" i="20"/>
  <c r="L37" i="20"/>
  <c r="M37" i="20"/>
  <c r="K37" i="20"/>
  <c r="O37" i="20" s="1"/>
  <c r="I37" i="20"/>
  <c r="J37" i="20"/>
  <c r="N36" i="20"/>
  <c r="L36" i="20"/>
  <c r="M36" i="20"/>
  <c r="K36" i="20"/>
  <c r="I36" i="20"/>
  <c r="J36" i="20"/>
  <c r="N35" i="20"/>
  <c r="L35" i="20"/>
  <c r="M35" i="20"/>
  <c r="K35" i="20"/>
  <c r="O35" i="20" s="1"/>
  <c r="I35" i="20"/>
  <c r="J35" i="20"/>
  <c r="N34" i="20"/>
  <c r="L34" i="20"/>
  <c r="M34" i="20"/>
  <c r="K34" i="20"/>
  <c r="I34" i="20"/>
  <c r="J34" i="20"/>
  <c r="N33" i="20"/>
  <c r="L33" i="20"/>
  <c r="M33" i="20"/>
  <c r="K33" i="20"/>
  <c r="I33" i="20"/>
  <c r="J33" i="20"/>
  <c r="N32" i="20"/>
  <c r="L32" i="20"/>
  <c r="M32" i="20"/>
  <c r="K32" i="20"/>
  <c r="I32" i="20"/>
  <c r="J32" i="20"/>
  <c r="N31" i="20"/>
  <c r="L31" i="20"/>
  <c r="M31" i="20"/>
  <c r="K31" i="20"/>
  <c r="O31" i="20" s="1"/>
  <c r="P31" i="20" s="1"/>
  <c r="I31" i="20"/>
  <c r="J31" i="20"/>
  <c r="G31" i="10"/>
  <c r="F31" i="10"/>
  <c r="E31" i="10"/>
  <c r="G27" i="10"/>
  <c r="F27" i="10"/>
  <c r="E27" i="10"/>
  <c r="P31" i="10"/>
  <c r="O31" i="10"/>
  <c r="N31" i="10"/>
  <c r="M31" i="10"/>
  <c r="L31" i="10"/>
  <c r="K31" i="10"/>
  <c r="J31" i="10"/>
  <c r="I31" i="10"/>
  <c r="H31" i="10"/>
  <c r="P27" i="10"/>
  <c r="O27" i="10"/>
  <c r="N27" i="10"/>
  <c r="M27" i="10"/>
  <c r="L27" i="10"/>
  <c r="K27" i="10"/>
  <c r="J27" i="10"/>
  <c r="I27" i="10"/>
  <c r="H27" i="10"/>
  <c r="P31" i="5"/>
  <c r="O31" i="5"/>
  <c r="M31" i="5"/>
  <c r="K31" i="5"/>
  <c r="H31" i="5"/>
  <c r="P27" i="5"/>
  <c r="O27" i="5"/>
  <c r="M27" i="5"/>
  <c r="K27" i="5"/>
  <c r="H27" i="5"/>
  <c r="W12" i="4"/>
  <c r="W11" i="4"/>
  <c r="W10" i="4"/>
  <c r="E84" i="4"/>
  <c r="Q95" i="4"/>
  <c r="Q90" i="4"/>
  <c r="L86" i="4"/>
  <c r="K86" i="4"/>
  <c r="I86" i="4"/>
  <c r="H86" i="4"/>
  <c r="Q85" i="4"/>
  <c r="P84" i="4"/>
  <c r="O84" i="4"/>
  <c r="N84" i="4"/>
  <c r="M84" i="4"/>
  <c r="L84" i="4"/>
  <c r="K84" i="4"/>
  <c r="J84" i="4"/>
  <c r="J86" i="4"/>
  <c r="I84" i="4"/>
  <c r="H84" i="4"/>
  <c r="G84" i="4"/>
  <c r="G86" i="4"/>
  <c r="F84" i="4"/>
  <c r="P62" i="4"/>
  <c r="O62" i="4"/>
  <c r="N62" i="4"/>
  <c r="M62" i="4"/>
  <c r="L62" i="4"/>
  <c r="K62" i="4"/>
  <c r="J62" i="4"/>
  <c r="I62" i="4"/>
  <c r="H62" i="4"/>
  <c r="G62" i="4"/>
  <c r="F62" i="4"/>
  <c r="E62" i="4"/>
  <c r="P61" i="4"/>
  <c r="O61" i="4"/>
  <c r="N61" i="4"/>
  <c r="M61" i="4"/>
  <c r="L61" i="4"/>
  <c r="K61" i="4"/>
  <c r="J61" i="4"/>
  <c r="I61" i="4"/>
  <c r="H61" i="4"/>
  <c r="G61" i="4"/>
  <c r="F61" i="4"/>
  <c r="E61" i="4"/>
  <c r="P58" i="4"/>
  <c r="O58" i="4"/>
  <c r="N58" i="4"/>
  <c r="M58" i="4"/>
  <c r="L58" i="4"/>
  <c r="K58" i="4"/>
  <c r="J58" i="4"/>
  <c r="I58" i="4"/>
  <c r="H58" i="4"/>
  <c r="G58" i="4"/>
  <c r="F58" i="4"/>
  <c r="P57" i="4"/>
  <c r="O57" i="4"/>
  <c r="N57" i="4"/>
  <c r="M57" i="4"/>
  <c r="L57" i="4"/>
  <c r="K57" i="4"/>
  <c r="J57" i="4"/>
  <c r="I57" i="4"/>
  <c r="H57" i="4"/>
  <c r="G57" i="4"/>
  <c r="F57" i="4"/>
  <c r="P54" i="4"/>
  <c r="O54" i="4"/>
  <c r="N54" i="4"/>
  <c r="M54" i="4"/>
  <c r="L54" i="4"/>
  <c r="K54" i="4"/>
  <c r="J54" i="4"/>
  <c r="I54" i="4"/>
  <c r="H54" i="4"/>
  <c r="G54" i="4"/>
  <c r="F54" i="4"/>
  <c r="P53" i="4"/>
  <c r="O53" i="4"/>
  <c r="N53" i="4"/>
  <c r="M53" i="4"/>
  <c r="L53" i="4"/>
  <c r="K53" i="4"/>
  <c r="J53" i="4"/>
  <c r="I53" i="4"/>
  <c r="H53" i="4"/>
  <c r="G53" i="4"/>
  <c r="F53" i="4"/>
  <c r="E53" i="4"/>
  <c r="E54" i="4"/>
  <c r="W7" i="4"/>
  <c r="W6" i="4"/>
  <c r="W5" i="4"/>
  <c r="Q47" i="4"/>
  <c r="Q42" i="4"/>
  <c r="Q37" i="4"/>
  <c r="Q36" i="4"/>
  <c r="P38" i="4"/>
  <c r="O38" i="4"/>
  <c r="N38" i="4"/>
  <c r="M38" i="4"/>
  <c r="L38" i="4"/>
  <c r="K38" i="4"/>
  <c r="J38" i="4"/>
  <c r="I38" i="4"/>
  <c r="H38" i="4"/>
  <c r="G38" i="4"/>
  <c r="F38" i="4"/>
  <c r="P36" i="4"/>
  <c r="O36" i="4"/>
  <c r="N36" i="4"/>
  <c r="M36" i="4"/>
  <c r="L36" i="4"/>
  <c r="K36" i="4"/>
  <c r="J36" i="4"/>
  <c r="I36" i="4"/>
  <c r="H36" i="4"/>
  <c r="G36" i="4"/>
  <c r="F36" i="4"/>
  <c r="P14" i="4"/>
  <c r="O14" i="4"/>
  <c r="N14" i="4"/>
  <c r="M14" i="4"/>
  <c r="L14" i="4"/>
  <c r="K14" i="4"/>
  <c r="J14" i="4"/>
  <c r="I14" i="4"/>
  <c r="H14" i="4"/>
  <c r="G14" i="4"/>
  <c r="F14" i="4"/>
  <c r="P13" i="4"/>
  <c r="O13" i="4"/>
  <c r="N13" i="4"/>
  <c r="M13" i="4"/>
  <c r="L13" i="4"/>
  <c r="K13" i="4"/>
  <c r="J13" i="4"/>
  <c r="I13" i="4"/>
  <c r="H13" i="4"/>
  <c r="G13" i="4"/>
  <c r="F13" i="4"/>
  <c r="E13" i="4"/>
  <c r="E14" i="4"/>
  <c r="P10" i="4"/>
  <c r="O10" i="4"/>
  <c r="N10" i="4"/>
  <c r="M10" i="4"/>
  <c r="L10" i="4"/>
  <c r="K10" i="4"/>
  <c r="J10" i="4"/>
  <c r="I10" i="4"/>
  <c r="H10" i="4"/>
  <c r="G10" i="4"/>
  <c r="F10" i="4"/>
  <c r="P9" i="4"/>
  <c r="O9" i="4"/>
  <c r="N9" i="4"/>
  <c r="M9" i="4"/>
  <c r="L9" i="4"/>
  <c r="K9" i="4"/>
  <c r="J9" i="4"/>
  <c r="I9" i="4"/>
  <c r="H9" i="4"/>
  <c r="G9" i="4"/>
  <c r="F9" i="4"/>
  <c r="F4" i="4"/>
  <c r="F6" i="4"/>
  <c r="P5" i="4"/>
  <c r="O5" i="4"/>
  <c r="N5" i="4"/>
  <c r="M5" i="4"/>
  <c r="L5" i="4"/>
  <c r="K5" i="4"/>
  <c r="J5" i="4"/>
  <c r="I5" i="4"/>
  <c r="H5" i="4"/>
  <c r="G5" i="4"/>
  <c r="P4" i="4"/>
  <c r="P6" i="4"/>
  <c r="O6" i="4"/>
  <c r="N6" i="4"/>
  <c r="M6" i="4"/>
  <c r="L6" i="4"/>
  <c r="K6" i="4"/>
  <c r="J6" i="4"/>
  <c r="I6" i="4"/>
  <c r="H6" i="4"/>
  <c r="G6" i="4"/>
  <c r="E6" i="4"/>
  <c r="E36" i="4"/>
  <c r="M86" i="4"/>
  <c r="N86" i="4"/>
  <c r="Q84" i="4"/>
  <c r="O86" i="4"/>
  <c r="P86" i="4"/>
  <c r="F86" i="4"/>
  <c r="F5" i="4"/>
  <c r="Q66" i="15"/>
  <c r="P66" i="15"/>
  <c r="O66" i="15"/>
  <c r="N66" i="15"/>
  <c r="M66" i="15"/>
  <c r="L66" i="15"/>
  <c r="K66" i="15"/>
  <c r="J66" i="15"/>
  <c r="I66" i="15"/>
  <c r="H66" i="15"/>
  <c r="G66" i="15"/>
  <c r="P60" i="4"/>
  <c r="O60" i="4"/>
  <c r="N60" i="4"/>
  <c r="M60" i="4"/>
  <c r="L60" i="4"/>
  <c r="K60" i="4"/>
  <c r="J60" i="4"/>
  <c r="I60" i="4"/>
  <c r="H60" i="4"/>
  <c r="G60" i="4"/>
  <c r="F60" i="4"/>
  <c r="P59" i="4"/>
  <c r="O59" i="4"/>
  <c r="N59" i="4"/>
  <c r="M59" i="4"/>
  <c r="L59" i="4"/>
  <c r="K59" i="4"/>
  <c r="J59" i="4"/>
  <c r="I59" i="4"/>
  <c r="H59" i="4"/>
  <c r="G59" i="4"/>
  <c r="F59" i="4"/>
  <c r="E60" i="4"/>
  <c r="E59" i="4"/>
  <c r="P56" i="4"/>
  <c r="O56" i="4"/>
  <c r="N56" i="4"/>
  <c r="M56" i="4"/>
  <c r="L56" i="4"/>
  <c r="K56" i="4"/>
  <c r="J56" i="4"/>
  <c r="I56" i="4"/>
  <c r="H56" i="4"/>
  <c r="G56" i="4"/>
  <c r="F56" i="4"/>
  <c r="E56" i="4"/>
  <c r="P52" i="4"/>
  <c r="O52" i="4"/>
  <c r="N52" i="4"/>
  <c r="M52" i="4"/>
  <c r="L52" i="4"/>
  <c r="K52" i="4"/>
  <c r="J52" i="4"/>
  <c r="I52" i="4"/>
  <c r="H52" i="4"/>
  <c r="G52" i="4"/>
  <c r="F52" i="4"/>
  <c r="G51" i="4"/>
  <c r="F51" i="4"/>
  <c r="E52" i="4"/>
  <c r="E51" i="4"/>
  <c r="P12" i="4"/>
  <c r="O12" i="4"/>
  <c r="N12" i="4"/>
  <c r="M12" i="4"/>
  <c r="L12" i="4"/>
  <c r="K12" i="4"/>
  <c r="J12" i="4"/>
  <c r="I12" i="4"/>
  <c r="H12" i="4"/>
  <c r="G12" i="4"/>
  <c r="F12" i="4"/>
  <c r="P11" i="4"/>
  <c r="O11" i="4"/>
  <c r="N11" i="4"/>
  <c r="M11" i="4"/>
  <c r="L11" i="4"/>
  <c r="K11" i="4"/>
  <c r="J11" i="4"/>
  <c r="I11" i="4"/>
  <c r="H11" i="4"/>
  <c r="G11" i="4"/>
  <c r="F11" i="4"/>
  <c r="E12" i="4"/>
  <c r="E11" i="4"/>
  <c r="P8" i="4"/>
  <c r="O8" i="4"/>
  <c r="N8" i="4"/>
  <c r="M8" i="4"/>
  <c r="L8" i="4"/>
  <c r="K8" i="4"/>
  <c r="J8" i="4"/>
  <c r="I8" i="4"/>
  <c r="H8" i="4"/>
  <c r="G8" i="4"/>
  <c r="F8" i="4"/>
  <c r="E8" i="4"/>
  <c r="O4" i="4"/>
  <c r="N4" i="4"/>
  <c r="M4" i="4"/>
  <c r="L4" i="4"/>
  <c r="K4" i="4"/>
  <c r="J4" i="4"/>
  <c r="I4" i="4"/>
  <c r="H4" i="4"/>
  <c r="G4" i="4"/>
  <c r="G3" i="4"/>
  <c r="F3" i="4"/>
  <c r="E4" i="4"/>
  <c r="E3" i="4"/>
  <c r="E5" i="4"/>
  <c r="Q60" i="4"/>
  <c r="Q8" i="4"/>
  <c r="Q11" i="4"/>
  <c r="Q52" i="4"/>
  <c r="Q56" i="4"/>
  <c r="Q59" i="4"/>
  <c r="Q4" i="4"/>
  <c r="U5" i="4"/>
  <c r="U10" i="4"/>
  <c r="F66" i="15"/>
  <c r="N3" i="24"/>
  <c r="M3" i="24"/>
  <c r="N3" i="23"/>
  <c r="M3" i="23"/>
  <c r="N400" i="24"/>
  <c r="L400" i="24"/>
  <c r="M400" i="24"/>
  <c r="K400" i="24"/>
  <c r="J400" i="24"/>
  <c r="I400" i="24"/>
  <c r="N399" i="24"/>
  <c r="M399" i="24"/>
  <c r="L399" i="24"/>
  <c r="K399" i="24"/>
  <c r="J399" i="24"/>
  <c r="I399" i="24"/>
  <c r="N398" i="24"/>
  <c r="M398" i="24"/>
  <c r="L398" i="24"/>
  <c r="K398" i="24"/>
  <c r="I398" i="24"/>
  <c r="J398" i="24"/>
  <c r="N397" i="24"/>
  <c r="M397" i="24"/>
  <c r="L397" i="24"/>
  <c r="K397" i="24"/>
  <c r="I397" i="24"/>
  <c r="J397" i="24"/>
  <c r="N396" i="24"/>
  <c r="M396" i="24"/>
  <c r="L396" i="24"/>
  <c r="K396" i="24"/>
  <c r="I396" i="24"/>
  <c r="J396" i="24"/>
  <c r="N395" i="24"/>
  <c r="L395" i="24"/>
  <c r="M395" i="24"/>
  <c r="K395" i="24"/>
  <c r="J395" i="24"/>
  <c r="I395" i="24"/>
  <c r="N394" i="24"/>
  <c r="L394" i="24"/>
  <c r="M394" i="24"/>
  <c r="K394" i="24"/>
  <c r="J394" i="24"/>
  <c r="I394" i="24"/>
  <c r="N393" i="24"/>
  <c r="M393" i="24"/>
  <c r="L393" i="24"/>
  <c r="K393" i="24"/>
  <c r="I393" i="24"/>
  <c r="J393" i="24"/>
  <c r="N392" i="24"/>
  <c r="L392" i="24"/>
  <c r="M392" i="24"/>
  <c r="K392" i="24"/>
  <c r="J392" i="24"/>
  <c r="I392" i="24"/>
  <c r="N391" i="24"/>
  <c r="L391" i="24"/>
  <c r="M391" i="24"/>
  <c r="K391" i="24"/>
  <c r="J391" i="24"/>
  <c r="I391" i="24"/>
  <c r="N390" i="24"/>
  <c r="M390" i="24"/>
  <c r="L390" i="24"/>
  <c r="K390" i="24"/>
  <c r="J390" i="24"/>
  <c r="I390" i="24"/>
  <c r="N389" i="24"/>
  <c r="M389" i="24"/>
  <c r="L389" i="24"/>
  <c r="K389" i="24"/>
  <c r="I389" i="24"/>
  <c r="J389" i="24"/>
  <c r="N388" i="24"/>
  <c r="L388" i="24"/>
  <c r="M388" i="24"/>
  <c r="K388" i="24"/>
  <c r="I388" i="24"/>
  <c r="J388" i="24"/>
  <c r="N387" i="24"/>
  <c r="M387" i="24"/>
  <c r="L387" i="24"/>
  <c r="K387" i="24"/>
  <c r="I387" i="24"/>
  <c r="J387" i="24"/>
  <c r="N386" i="24"/>
  <c r="M386" i="24"/>
  <c r="L386" i="24"/>
  <c r="K386" i="24"/>
  <c r="J386" i="24"/>
  <c r="I386" i="24"/>
  <c r="N385" i="24"/>
  <c r="L385" i="24"/>
  <c r="M385" i="24"/>
  <c r="K385" i="24"/>
  <c r="J385" i="24"/>
  <c r="I385" i="24"/>
  <c r="N384" i="24"/>
  <c r="M384" i="24"/>
  <c r="L384" i="24"/>
  <c r="K384" i="24"/>
  <c r="I384" i="24"/>
  <c r="J384" i="24"/>
  <c r="N383" i="24"/>
  <c r="L383" i="24"/>
  <c r="M383" i="24"/>
  <c r="K383" i="24"/>
  <c r="J383" i="24"/>
  <c r="I383" i="24"/>
  <c r="N382" i="24"/>
  <c r="L382" i="24"/>
  <c r="M382" i="24"/>
  <c r="K382" i="24"/>
  <c r="I382" i="24"/>
  <c r="J382" i="24"/>
  <c r="N381" i="24"/>
  <c r="M381" i="24"/>
  <c r="L381" i="24"/>
  <c r="K381" i="24"/>
  <c r="J381" i="24"/>
  <c r="I381" i="24"/>
  <c r="N380" i="24"/>
  <c r="L380" i="24"/>
  <c r="M380" i="24"/>
  <c r="K380" i="24"/>
  <c r="I380" i="24"/>
  <c r="J380" i="24"/>
  <c r="N379" i="24"/>
  <c r="M379" i="24"/>
  <c r="L379" i="24"/>
  <c r="K379" i="24"/>
  <c r="I379" i="24"/>
  <c r="J379" i="24"/>
  <c r="N378" i="24"/>
  <c r="M378" i="24"/>
  <c r="L378" i="24"/>
  <c r="K378" i="24"/>
  <c r="I378" i="24"/>
  <c r="J378" i="24"/>
  <c r="N377" i="24"/>
  <c r="M377" i="24"/>
  <c r="L377" i="24"/>
  <c r="K377" i="24"/>
  <c r="I377" i="24"/>
  <c r="J377" i="24"/>
  <c r="N376" i="24"/>
  <c r="L376" i="24"/>
  <c r="M376" i="24"/>
  <c r="K376" i="24"/>
  <c r="J376" i="24"/>
  <c r="I376" i="24"/>
  <c r="N375" i="24"/>
  <c r="M375" i="24"/>
  <c r="L375" i="24"/>
  <c r="K375" i="24"/>
  <c r="J375" i="24"/>
  <c r="I375" i="24"/>
  <c r="N374" i="24"/>
  <c r="M374" i="24"/>
  <c r="L374" i="24"/>
  <c r="K374" i="24"/>
  <c r="J374" i="24"/>
  <c r="I374" i="24"/>
  <c r="N373" i="24"/>
  <c r="L373" i="24"/>
  <c r="M373" i="24"/>
  <c r="K373" i="24"/>
  <c r="I373" i="24"/>
  <c r="J373" i="24"/>
  <c r="N372" i="24"/>
  <c r="M372" i="24"/>
  <c r="L372" i="24"/>
  <c r="K372" i="24"/>
  <c r="J372" i="24"/>
  <c r="I372" i="24"/>
  <c r="N371" i="24"/>
  <c r="M371" i="24"/>
  <c r="L371" i="24"/>
  <c r="K371" i="24"/>
  <c r="I371" i="24"/>
  <c r="J371" i="24"/>
  <c r="N370" i="24"/>
  <c r="M370" i="24"/>
  <c r="L370" i="24"/>
  <c r="K370" i="24"/>
  <c r="I370" i="24"/>
  <c r="J370" i="24"/>
  <c r="N369" i="24"/>
  <c r="M369" i="24"/>
  <c r="L369" i="24"/>
  <c r="K369" i="24"/>
  <c r="I369" i="24"/>
  <c r="J369" i="24"/>
  <c r="N368" i="24"/>
  <c r="M368" i="24"/>
  <c r="L368" i="24"/>
  <c r="K368" i="24"/>
  <c r="J368" i="24"/>
  <c r="I368" i="24"/>
  <c r="N367" i="24"/>
  <c r="M367" i="24"/>
  <c r="L367" i="24"/>
  <c r="K367" i="24"/>
  <c r="I367" i="24"/>
  <c r="J367" i="24"/>
  <c r="N366" i="24"/>
  <c r="M366" i="24"/>
  <c r="L366" i="24"/>
  <c r="K366" i="24"/>
  <c r="I366" i="24"/>
  <c r="J366" i="24"/>
  <c r="N365" i="24"/>
  <c r="L365" i="24"/>
  <c r="M365" i="24"/>
  <c r="K365" i="24"/>
  <c r="J365" i="24"/>
  <c r="I365" i="24"/>
  <c r="N364" i="24"/>
  <c r="M364" i="24"/>
  <c r="L364" i="24"/>
  <c r="K364" i="24"/>
  <c r="J364" i="24"/>
  <c r="I364" i="24"/>
  <c r="N363" i="24"/>
  <c r="M363" i="24"/>
  <c r="L363" i="24"/>
  <c r="K363" i="24"/>
  <c r="J363" i="24"/>
  <c r="I363" i="24"/>
  <c r="N362" i="24"/>
  <c r="M362" i="24"/>
  <c r="L362" i="24"/>
  <c r="K362" i="24"/>
  <c r="I362" i="24"/>
  <c r="J362" i="24"/>
  <c r="N361" i="24"/>
  <c r="M361" i="24"/>
  <c r="L361" i="24"/>
  <c r="K361" i="24"/>
  <c r="I361" i="24"/>
  <c r="J361" i="24"/>
  <c r="N360" i="24"/>
  <c r="M360" i="24"/>
  <c r="L360" i="24"/>
  <c r="K360" i="24"/>
  <c r="J360" i="24"/>
  <c r="I360" i="24"/>
  <c r="N359" i="24"/>
  <c r="L359" i="24"/>
  <c r="M359" i="24"/>
  <c r="K359" i="24"/>
  <c r="J359" i="24"/>
  <c r="I359" i="24"/>
  <c r="N358" i="24"/>
  <c r="L358" i="24"/>
  <c r="M358" i="24"/>
  <c r="K358" i="24"/>
  <c r="J358" i="24"/>
  <c r="I358" i="24"/>
  <c r="N357" i="24"/>
  <c r="M357" i="24"/>
  <c r="L357" i="24"/>
  <c r="K357" i="24"/>
  <c r="J357" i="24"/>
  <c r="I357" i="24"/>
  <c r="N356" i="24"/>
  <c r="M356" i="24"/>
  <c r="L356" i="24"/>
  <c r="K356" i="24"/>
  <c r="I356" i="24"/>
  <c r="J356" i="24"/>
  <c r="N355" i="24"/>
  <c r="M355" i="24"/>
  <c r="L355" i="24"/>
  <c r="K355" i="24"/>
  <c r="I355" i="24"/>
  <c r="J355" i="24"/>
  <c r="N354" i="24"/>
  <c r="M354" i="24"/>
  <c r="L354" i="24"/>
  <c r="K354" i="24"/>
  <c r="I354" i="24"/>
  <c r="J354" i="24"/>
  <c r="N353" i="24"/>
  <c r="M353" i="24"/>
  <c r="L353" i="24"/>
  <c r="K353" i="24"/>
  <c r="I353" i="24"/>
  <c r="J353" i="24"/>
  <c r="N352" i="24"/>
  <c r="L352" i="24"/>
  <c r="M352" i="24"/>
  <c r="K352" i="24"/>
  <c r="I352" i="24"/>
  <c r="J352" i="24"/>
  <c r="N351" i="24"/>
  <c r="M351" i="24"/>
  <c r="L351" i="24"/>
  <c r="K351" i="24"/>
  <c r="J351" i="24"/>
  <c r="I351" i="24"/>
  <c r="N350" i="24"/>
  <c r="L350" i="24"/>
  <c r="M350" i="24"/>
  <c r="K350" i="24"/>
  <c r="J350" i="24"/>
  <c r="I350" i="24"/>
  <c r="N349" i="24"/>
  <c r="L349" i="24"/>
  <c r="M349" i="24"/>
  <c r="K349" i="24"/>
  <c r="I349" i="24"/>
  <c r="J349" i="24"/>
  <c r="N348" i="24"/>
  <c r="M348" i="24"/>
  <c r="L348" i="24"/>
  <c r="K348" i="24"/>
  <c r="I348" i="24"/>
  <c r="J348" i="24"/>
  <c r="N347" i="24"/>
  <c r="L347" i="24"/>
  <c r="M347" i="24"/>
  <c r="K347" i="24"/>
  <c r="I347" i="24"/>
  <c r="J347" i="24"/>
  <c r="N346" i="24"/>
  <c r="M346" i="24"/>
  <c r="L346" i="24"/>
  <c r="K346" i="24"/>
  <c r="I346" i="24"/>
  <c r="J346" i="24"/>
  <c r="N345" i="24"/>
  <c r="M345" i="24"/>
  <c r="L345" i="24"/>
  <c r="K345" i="24"/>
  <c r="J345" i="24"/>
  <c r="I345" i="24"/>
  <c r="N344" i="24"/>
  <c r="L344" i="24"/>
  <c r="M344" i="24"/>
  <c r="K344" i="24"/>
  <c r="I344" i="24"/>
  <c r="J344" i="24"/>
  <c r="N343" i="24"/>
  <c r="L343" i="24"/>
  <c r="M343" i="24"/>
  <c r="K343" i="24"/>
  <c r="I343" i="24"/>
  <c r="J343" i="24"/>
  <c r="N342" i="24"/>
  <c r="M342" i="24"/>
  <c r="L342" i="24"/>
  <c r="K342" i="24"/>
  <c r="I342" i="24"/>
  <c r="J342" i="24"/>
  <c r="N341" i="24"/>
  <c r="L341" i="24"/>
  <c r="M341" i="24"/>
  <c r="K341" i="24"/>
  <c r="J341" i="24"/>
  <c r="I341" i="24"/>
  <c r="N340" i="24"/>
  <c r="L340" i="24"/>
  <c r="M340" i="24"/>
  <c r="K340" i="24"/>
  <c r="J340" i="24"/>
  <c r="I340" i="24"/>
  <c r="N339" i="24"/>
  <c r="M339" i="24"/>
  <c r="L339" i="24"/>
  <c r="K339" i="24"/>
  <c r="I339" i="24"/>
  <c r="J339" i="24"/>
  <c r="N338" i="24"/>
  <c r="M338" i="24"/>
  <c r="L338" i="24"/>
  <c r="K338" i="24"/>
  <c r="I338" i="24"/>
  <c r="J338" i="24"/>
  <c r="N337" i="24"/>
  <c r="M337" i="24"/>
  <c r="L337" i="24"/>
  <c r="K337" i="24"/>
  <c r="I337" i="24"/>
  <c r="J337" i="24"/>
  <c r="N336" i="24"/>
  <c r="M336" i="24"/>
  <c r="L336" i="24"/>
  <c r="K336" i="24"/>
  <c r="I336" i="24"/>
  <c r="J336" i="24"/>
  <c r="N335" i="24"/>
  <c r="L335" i="24"/>
  <c r="M335" i="24"/>
  <c r="K335" i="24"/>
  <c r="I335" i="24"/>
  <c r="J335" i="24"/>
  <c r="N334" i="24"/>
  <c r="L334" i="24"/>
  <c r="M334" i="24"/>
  <c r="K334" i="24"/>
  <c r="J334" i="24"/>
  <c r="I334" i="24"/>
  <c r="N333" i="24"/>
  <c r="M333" i="24"/>
  <c r="L333" i="24"/>
  <c r="K333" i="24"/>
  <c r="J333" i="24"/>
  <c r="I333" i="24"/>
  <c r="N332" i="24"/>
  <c r="L332" i="24"/>
  <c r="M332" i="24"/>
  <c r="K332" i="24"/>
  <c r="J332" i="24"/>
  <c r="I332" i="24"/>
  <c r="N331" i="24"/>
  <c r="M331" i="24"/>
  <c r="L331" i="24"/>
  <c r="K331" i="24"/>
  <c r="J331" i="24"/>
  <c r="I331" i="24"/>
  <c r="N330" i="24"/>
  <c r="M330" i="24"/>
  <c r="L330" i="24"/>
  <c r="K330" i="24"/>
  <c r="I330" i="24"/>
  <c r="J330" i="24"/>
  <c r="N329" i="24"/>
  <c r="M329" i="24"/>
  <c r="L329" i="24"/>
  <c r="K329" i="24"/>
  <c r="I329" i="24"/>
  <c r="J329" i="24"/>
  <c r="N328" i="24"/>
  <c r="M328" i="24"/>
  <c r="L328" i="24"/>
  <c r="K328" i="24"/>
  <c r="J328" i="24"/>
  <c r="I328" i="24"/>
  <c r="N327" i="24"/>
  <c r="M327" i="24"/>
  <c r="L327" i="24"/>
  <c r="K327" i="24"/>
  <c r="J327" i="24"/>
  <c r="I327" i="24"/>
  <c r="N326" i="24"/>
  <c r="L326" i="24"/>
  <c r="M326" i="24"/>
  <c r="K326" i="24"/>
  <c r="J326" i="24"/>
  <c r="I326" i="24"/>
  <c r="N325" i="24"/>
  <c r="L325" i="24"/>
  <c r="M325" i="24"/>
  <c r="K325" i="24"/>
  <c r="I325" i="24"/>
  <c r="J325" i="24"/>
  <c r="N324" i="24"/>
  <c r="M324" i="24"/>
  <c r="L324" i="24"/>
  <c r="K324" i="24"/>
  <c r="I324" i="24"/>
  <c r="J324" i="24"/>
  <c r="N323" i="24"/>
  <c r="L323" i="24"/>
  <c r="M323" i="24"/>
  <c r="K323" i="24"/>
  <c r="I323" i="24"/>
  <c r="J323" i="24"/>
  <c r="N322" i="24"/>
  <c r="L322" i="24"/>
  <c r="M322" i="24"/>
  <c r="K322" i="24"/>
  <c r="J322" i="24"/>
  <c r="I322" i="24"/>
  <c r="N321" i="24"/>
  <c r="M321" i="24"/>
  <c r="L321" i="24"/>
  <c r="K321" i="24"/>
  <c r="I321" i="24"/>
  <c r="J321" i="24"/>
  <c r="N320" i="24"/>
  <c r="M320" i="24"/>
  <c r="L320" i="24"/>
  <c r="K320" i="24"/>
  <c r="I320" i="24"/>
  <c r="J320" i="24"/>
  <c r="N319" i="24"/>
  <c r="M319" i="24"/>
  <c r="L319" i="24"/>
  <c r="K319" i="24"/>
  <c r="I319" i="24"/>
  <c r="J319" i="24"/>
  <c r="N318" i="24"/>
  <c r="M318" i="24"/>
  <c r="L318" i="24"/>
  <c r="K318" i="24"/>
  <c r="I318" i="24"/>
  <c r="J318" i="24"/>
  <c r="N317" i="24"/>
  <c r="M317" i="24"/>
  <c r="L317" i="24"/>
  <c r="K317" i="24"/>
  <c r="I317" i="24"/>
  <c r="J317" i="24"/>
  <c r="N316" i="24"/>
  <c r="L316" i="24"/>
  <c r="M316" i="24"/>
  <c r="K316" i="24"/>
  <c r="I316" i="24"/>
  <c r="J316" i="24"/>
  <c r="N315" i="24"/>
  <c r="M315" i="24"/>
  <c r="L315" i="24"/>
  <c r="K315" i="24"/>
  <c r="J315" i="24"/>
  <c r="I315" i="24"/>
  <c r="N314" i="24"/>
  <c r="M314" i="24"/>
  <c r="L314" i="24"/>
  <c r="K314" i="24"/>
  <c r="J314" i="24"/>
  <c r="I314" i="24"/>
  <c r="N313" i="24"/>
  <c r="L313" i="24"/>
  <c r="M313" i="24"/>
  <c r="K313" i="24"/>
  <c r="I313" i="24"/>
  <c r="J313" i="24"/>
  <c r="N312" i="24"/>
  <c r="M312" i="24"/>
  <c r="L312" i="24"/>
  <c r="K312" i="24"/>
  <c r="I312" i="24"/>
  <c r="J312" i="24"/>
  <c r="N311" i="24"/>
  <c r="L311" i="24"/>
  <c r="M311" i="24"/>
  <c r="K311" i="24"/>
  <c r="J311" i="24"/>
  <c r="I311" i="24"/>
  <c r="N310" i="24"/>
  <c r="M310" i="24"/>
  <c r="L310" i="24"/>
  <c r="K310" i="24"/>
  <c r="I310" i="24"/>
  <c r="J310" i="24"/>
  <c r="N309" i="24"/>
  <c r="M309" i="24"/>
  <c r="L309" i="24"/>
  <c r="K309" i="24"/>
  <c r="J309" i="24"/>
  <c r="I309" i="24"/>
  <c r="N308" i="24"/>
  <c r="L308" i="24"/>
  <c r="M308" i="24"/>
  <c r="K308" i="24"/>
  <c r="I308" i="24"/>
  <c r="J308" i="24"/>
  <c r="N307" i="24"/>
  <c r="M307" i="24"/>
  <c r="L307" i="24"/>
  <c r="K307" i="24"/>
  <c r="I307" i="24"/>
  <c r="J307" i="24"/>
  <c r="N306" i="24"/>
  <c r="M306" i="24"/>
  <c r="L306" i="24"/>
  <c r="K306" i="24"/>
  <c r="I306" i="24"/>
  <c r="J306" i="24"/>
  <c r="N305" i="24"/>
  <c r="M305" i="24"/>
  <c r="L305" i="24"/>
  <c r="K305" i="24"/>
  <c r="I305" i="24"/>
  <c r="J305" i="24"/>
  <c r="N304" i="24"/>
  <c r="M304" i="24"/>
  <c r="L304" i="24"/>
  <c r="K304" i="24"/>
  <c r="I304" i="24"/>
  <c r="J304" i="24"/>
  <c r="N303" i="24"/>
  <c r="M303" i="24"/>
  <c r="L303" i="24"/>
  <c r="K303" i="24"/>
  <c r="J303" i="24"/>
  <c r="I303" i="24"/>
  <c r="N302" i="24"/>
  <c r="M302" i="24"/>
  <c r="L302" i="24"/>
  <c r="K302" i="24"/>
  <c r="J302" i="24"/>
  <c r="I302" i="24"/>
  <c r="N301" i="24"/>
  <c r="L301" i="24"/>
  <c r="M301" i="24"/>
  <c r="K301" i="24"/>
  <c r="J301" i="24"/>
  <c r="I301" i="24"/>
  <c r="N300" i="24"/>
  <c r="M300" i="24"/>
  <c r="L300" i="24"/>
  <c r="K300" i="24"/>
  <c r="J300" i="24"/>
  <c r="I300" i="24"/>
  <c r="N299" i="24"/>
  <c r="M299" i="24"/>
  <c r="L299" i="24"/>
  <c r="K299" i="24"/>
  <c r="I299" i="24"/>
  <c r="J299" i="24"/>
  <c r="N298" i="24"/>
  <c r="M298" i="24"/>
  <c r="L298" i="24"/>
  <c r="K298" i="24"/>
  <c r="I298" i="24"/>
  <c r="J298" i="24"/>
  <c r="N297" i="24"/>
  <c r="M297" i="24"/>
  <c r="L297" i="24"/>
  <c r="K297" i="24"/>
  <c r="I297" i="24"/>
  <c r="J297" i="24"/>
  <c r="N296" i="24"/>
  <c r="M296" i="24"/>
  <c r="L296" i="24"/>
  <c r="K296" i="24"/>
  <c r="I296" i="24"/>
  <c r="J296" i="24"/>
  <c r="N295" i="24"/>
  <c r="L295" i="24"/>
  <c r="M295" i="24"/>
  <c r="K295" i="24"/>
  <c r="I295" i="24"/>
  <c r="J295" i="24"/>
  <c r="N294" i="24"/>
  <c r="M294" i="24"/>
  <c r="L294" i="24"/>
  <c r="K294" i="24"/>
  <c r="I294" i="24"/>
  <c r="J294" i="24"/>
  <c r="N293" i="24"/>
  <c r="L293" i="24"/>
  <c r="M293" i="24"/>
  <c r="K293" i="24"/>
  <c r="J293" i="24"/>
  <c r="I293" i="24"/>
  <c r="N292" i="24"/>
  <c r="M292" i="24"/>
  <c r="L292" i="24"/>
  <c r="K292" i="24"/>
  <c r="I292" i="24"/>
  <c r="J292" i="24"/>
  <c r="N291" i="24"/>
  <c r="M291" i="24"/>
  <c r="L291" i="24"/>
  <c r="K291" i="24"/>
  <c r="I291" i="24"/>
  <c r="J291" i="24"/>
  <c r="N290" i="24"/>
  <c r="L290" i="24"/>
  <c r="M290" i="24"/>
  <c r="K290" i="24"/>
  <c r="I290" i="24"/>
  <c r="J290" i="24"/>
  <c r="N289" i="24"/>
  <c r="M289" i="24"/>
  <c r="L289" i="24"/>
  <c r="K289" i="24"/>
  <c r="I289" i="24"/>
  <c r="J289" i="24"/>
  <c r="N288" i="24"/>
  <c r="M288" i="24"/>
  <c r="L288" i="24"/>
  <c r="K288" i="24"/>
  <c r="J288" i="24"/>
  <c r="I288" i="24"/>
  <c r="N287" i="24"/>
  <c r="L287" i="24"/>
  <c r="M287" i="24"/>
  <c r="K287" i="24"/>
  <c r="I287" i="24"/>
  <c r="J287" i="24"/>
  <c r="N286" i="24"/>
  <c r="L286" i="24"/>
  <c r="M286" i="24"/>
  <c r="K286" i="24"/>
  <c r="J286" i="24"/>
  <c r="I286" i="24"/>
  <c r="N285" i="24"/>
  <c r="M285" i="24"/>
  <c r="L285" i="24"/>
  <c r="K285" i="24"/>
  <c r="I285" i="24"/>
  <c r="J285" i="24"/>
  <c r="N284" i="24"/>
  <c r="M284" i="24"/>
  <c r="L284" i="24"/>
  <c r="K284" i="24"/>
  <c r="J284" i="24"/>
  <c r="I284" i="24"/>
  <c r="N283" i="24"/>
  <c r="L283" i="24"/>
  <c r="M283" i="24"/>
  <c r="K283" i="24"/>
  <c r="I283" i="24"/>
  <c r="J283" i="24"/>
  <c r="N282" i="24"/>
  <c r="M282" i="24"/>
  <c r="L282" i="24"/>
  <c r="K282" i="24"/>
  <c r="J282" i="24"/>
  <c r="I282" i="24"/>
  <c r="N281" i="24"/>
  <c r="M281" i="24"/>
  <c r="L281" i="24"/>
  <c r="K281" i="24"/>
  <c r="I281" i="24"/>
  <c r="J281" i="24"/>
  <c r="N280" i="24"/>
  <c r="M280" i="24"/>
  <c r="L280" i="24"/>
  <c r="K280" i="24"/>
  <c r="J280" i="24"/>
  <c r="I280" i="24"/>
  <c r="N279" i="24"/>
  <c r="M279" i="24"/>
  <c r="L279" i="24"/>
  <c r="K279" i="24"/>
  <c r="I279" i="24"/>
  <c r="J279" i="24"/>
  <c r="N278" i="24"/>
  <c r="M278" i="24"/>
  <c r="L278" i="24"/>
  <c r="K278" i="24"/>
  <c r="J278" i="24"/>
  <c r="I278" i="24"/>
  <c r="N277" i="24"/>
  <c r="L277" i="24"/>
  <c r="M277" i="24"/>
  <c r="K277" i="24"/>
  <c r="I277" i="24"/>
  <c r="J277" i="24"/>
  <c r="N276" i="24"/>
  <c r="M276" i="24"/>
  <c r="L276" i="24"/>
  <c r="K276" i="24"/>
  <c r="I276" i="24"/>
  <c r="J276" i="24"/>
  <c r="N275" i="24"/>
  <c r="L275" i="24"/>
  <c r="M275" i="24"/>
  <c r="K275" i="24"/>
  <c r="I275" i="24"/>
  <c r="J275" i="24"/>
  <c r="N274" i="24"/>
  <c r="M274" i="24"/>
  <c r="L274" i="24"/>
  <c r="K274" i="24"/>
  <c r="I274" i="24"/>
  <c r="J274" i="24"/>
  <c r="N273" i="24"/>
  <c r="M273" i="24"/>
  <c r="L273" i="24"/>
  <c r="K273" i="24"/>
  <c r="I273" i="24"/>
  <c r="J273" i="24"/>
  <c r="N272" i="24"/>
  <c r="L272" i="24"/>
  <c r="M272" i="24"/>
  <c r="K272" i="24"/>
  <c r="I272" i="24"/>
  <c r="J272" i="24"/>
  <c r="N271" i="24"/>
  <c r="L271" i="24"/>
  <c r="M271" i="24"/>
  <c r="K271" i="24"/>
  <c r="I271" i="24"/>
  <c r="J271" i="24"/>
  <c r="N270" i="24"/>
  <c r="M270" i="24"/>
  <c r="L270" i="24"/>
  <c r="K270" i="24"/>
  <c r="I270" i="24"/>
  <c r="J270" i="24"/>
  <c r="N269" i="24"/>
  <c r="M269" i="24"/>
  <c r="L269" i="24"/>
  <c r="K269" i="24"/>
  <c r="I269" i="24"/>
  <c r="J269" i="24"/>
  <c r="N268" i="24"/>
  <c r="L268" i="24"/>
  <c r="M268" i="24"/>
  <c r="K268" i="24"/>
  <c r="I268" i="24"/>
  <c r="J268" i="24"/>
  <c r="N267" i="24"/>
  <c r="M267" i="24"/>
  <c r="L267" i="24"/>
  <c r="K267" i="24"/>
  <c r="I267" i="24"/>
  <c r="J267" i="24"/>
  <c r="N266" i="24"/>
  <c r="M266" i="24"/>
  <c r="L266" i="24"/>
  <c r="K266" i="24"/>
  <c r="J266" i="24"/>
  <c r="I266" i="24"/>
  <c r="N265" i="24"/>
  <c r="L265" i="24"/>
  <c r="M265" i="24"/>
  <c r="K265" i="24"/>
  <c r="J265" i="24"/>
  <c r="I265" i="24"/>
  <c r="N264" i="24"/>
  <c r="M264" i="24"/>
  <c r="L264" i="24"/>
  <c r="K264" i="24"/>
  <c r="J264" i="24"/>
  <c r="I264" i="24"/>
  <c r="N263" i="24"/>
  <c r="M263" i="24"/>
  <c r="L263" i="24"/>
  <c r="K263" i="24"/>
  <c r="I263" i="24"/>
  <c r="J263" i="24"/>
  <c r="N262" i="24"/>
  <c r="M262" i="24"/>
  <c r="L262" i="24"/>
  <c r="K262" i="24"/>
  <c r="I262" i="24"/>
  <c r="J262" i="24"/>
  <c r="N261" i="24"/>
  <c r="M261" i="24"/>
  <c r="L261" i="24"/>
  <c r="K261" i="24"/>
  <c r="I261" i="24"/>
  <c r="J261" i="24"/>
  <c r="N260" i="24"/>
  <c r="L260" i="24"/>
  <c r="M260" i="24"/>
  <c r="K260" i="24"/>
  <c r="J260" i="24"/>
  <c r="I260" i="24"/>
  <c r="N259" i="24"/>
  <c r="M259" i="24"/>
  <c r="L259" i="24"/>
  <c r="K259" i="24"/>
  <c r="I259" i="24"/>
  <c r="J259" i="24"/>
  <c r="N258" i="24"/>
  <c r="M258" i="24"/>
  <c r="L258" i="24"/>
  <c r="K258" i="24"/>
  <c r="I258" i="24"/>
  <c r="J258" i="24"/>
  <c r="N257" i="24"/>
  <c r="L257" i="24"/>
  <c r="M257" i="24"/>
  <c r="K257" i="24"/>
  <c r="I257" i="24"/>
  <c r="J257" i="24"/>
  <c r="N256" i="24"/>
  <c r="M256" i="24"/>
  <c r="L256" i="24"/>
  <c r="K256" i="24"/>
  <c r="J256" i="24"/>
  <c r="I256" i="24"/>
  <c r="N255" i="24"/>
  <c r="M255" i="24"/>
  <c r="L255" i="24"/>
  <c r="K255" i="24"/>
  <c r="I255" i="24"/>
  <c r="J255" i="24"/>
  <c r="N254" i="24"/>
  <c r="M254" i="24"/>
  <c r="L254" i="24"/>
  <c r="K254" i="24"/>
  <c r="I254" i="24"/>
  <c r="J254" i="24"/>
  <c r="N253" i="24"/>
  <c r="M253" i="24"/>
  <c r="L253" i="24"/>
  <c r="K253" i="24"/>
  <c r="I253" i="24"/>
  <c r="J253" i="24"/>
  <c r="N252" i="24"/>
  <c r="M252" i="24"/>
  <c r="L252" i="24"/>
  <c r="K252" i="24"/>
  <c r="J252" i="24"/>
  <c r="I252" i="24"/>
  <c r="N251" i="24"/>
  <c r="L251" i="24"/>
  <c r="M251" i="24"/>
  <c r="K251" i="24"/>
  <c r="J251" i="24"/>
  <c r="I251" i="24"/>
  <c r="N250" i="24"/>
  <c r="L250" i="24"/>
  <c r="M250" i="24"/>
  <c r="K250" i="24"/>
  <c r="J250" i="24"/>
  <c r="I250" i="24"/>
  <c r="N249" i="24"/>
  <c r="M249" i="24"/>
  <c r="L249" i="24"/>
  <c r="K249" i="24"/>
  <c r="I249" i="24"/>
  <c r="J249" i="24"/>
  <c r="N248" i="24"/>
  <c r="M248" i="24"/>
  <c r="L248" i="24"/>
  <c r="K248" i="24"/>
  <c r="J248" i="24"/>
  <c r="I248" i="24"/>
  <c r="N247" i="24"/>
  <c r="M247" i="24"/>
  <c r="L247" i="24"/>
  <c r="K247" i="24"/>
  <c r="I247" i="24"/>
  <c r="J247" i="24"/>
  <c r="N246" i="24"/>
  <c r="M246" i="24"/>
  <c r="L246" i="24"/>
  <c r="K246" i="24"/>
  <c r="J246" i="24"/>
  <c r="I246" i="24"/>
  <c r="N245" i="24"/>
  <c r="M245" i="24"/>
  <c r="L245" i="24"/>
  <c r="K245" i="24"/>
  <c r="I245" i="24"/>
  <c r="J245" i="24"/>
  <c r="N244" i="24"/>
  <c r="M244" i="24"/>
  <c r="L244" i="24"/>
  <c r="K244" i="24"/>
  <c r="J244" i="24"/>
  <c r="I244" i="24"/>
  <c r="N243" i="24"/>
  <c r="M243" i="24"/>
  <c r="L243" i="24"/>
  <c r="K243" i="24"/>
  <c r="I243" i="24"/>
  <c r="J243" i="24"/>
  <c r="N242" i="24"/>
  <c r="L242" i="24"/>
  <c r="M242" i="24"/>
  <c r="K242" i="24"/>
  <c r="J242" i="24"/>
  <c r="I242" i="24"/>
  <c r="N241" i="24"/>
  <c r="L241" i="24"/>
  <c r="M241" i="24"/>
  <c r="K241" i="24"/>
  <c r="I241" i="24"/>
  <c r="J241" i="24"/>
  <c r="N240" i="24"/>
  <c r="M240" i="24"/>
  <c r="L240" i="24"/>
  <c r="K240" i="24"/>
  <c r="I240" i="24"/>
  <c r="J240" i="24"/>
  <c r="N239" i="24"/>
  <c r="L239" i="24"/>
  <c r="M239" i="24"/>
  <c r="K239" i="24"/>
  <c r="I239" i="24"/>
  <c r="J239" i="24"/>
  <c r="N238" i="24"/>
  <c r="M238" i="24"/>
  <c r="L238" i="24"/>
  <c r="K238" i="24"/>
  <c r="I238" i="24"/>
  <c r="J238" i="24"/>
  <c r="N237" i="24"/>
  <c r="M237" i="24"/>
  <c r="L237" i="24"/>
  <c r="K237" i="24"/>
  <c r="I237" i="24"/>
  <c r="J237" i="24"/>
  <c r="N236" i="24"/>
  <c r="L236" i="24"/>
  <c r="M236" i="24"/>
  <c r="K236" i="24"/>
  <c r="I236" i="24"/>
  <c r="J236" i="24"/>
  <c r="N235" i="24"/>
  <c r="L235" i="24"/>
  <c r="M235" i="24"/>
  <c r="K235" i="24"/>
  <c r="I235" i="24"/>
  <c r="J235" i="24"/>
  <c r="N234" i="24"/>
  <c r="M234" i="24"/>
  <c r="L234" i="24"/>
  <c r="K234" i="24"/>
  <c r="I234" i="24"/>
  <c r="J234" i="24"/>
  <c r="N233" i="24"/>
  <c r="M233" i="24"/>
  <c r="L233" i="24"/>
  <c r="K233" i="24"/>
  <c r="I233" i="24"/>
  <c r="J233" i="24"/>
  <c r="N232" i="24"/>
  <c r="L232" i="24"/>
  <c r="M232" i="24"/>
  <c r="K232" i="24"/>
  <c r="I232" i="24"/>
  <c r="J232" i="24"/>
  <c r="N231" i="24"/>
  <c r="M231" i="24"/>
  <c r="L231" i="24"/>
  <c r="K231" i="24"/>
  <c r="J231" i="24"/>
  <c r="I231" i="24"/>
  <c r="N230" i="24"/>
  <c r="M230" i="24"/>
  <c r="L230" i="24"/>
  <c r="K230" i="24"/>
  <c r="J230" i="24"/>
  <c r="I230" i="24"/>
  <c r="N229" i="24"/>
  <c r="L229" i="24"/>
  <c r="M229" i="24"/>
  <c r="K229" i="24"/>
  <c r="J229" i="24"/>
  <c r="I229" i="24"/>
  <c r="N228" i="24"/>
  <c r="M228" i="24"/>
  <c r="L228" i="24"/>
  <c r="K228" i="24"/>
  <c r="I228" i="24"/>
  <c r="J228" i="24"/>
  <c r="N227" i="24"/>
  <c r="M227" i="24"/>
  <c r="L227" i="24"/>
  <c r="K227" i="24"/>
  <c r="I227" i="24"/>
  <c r="J227" i="24"/>
  <c r="N226" i="24"/>
  <c r="M226" i="24"/>
  <c r="L226" i="24"/>
  <c r="K226" i="24"/>
  <c r="I226" i="24"/>
  <c r="J226" i="24"/>
  <c r="N225" i="24"/>
  <c r="M225" i="24"/>
  <c r="L225" i="24"/>
  <c r="K225" i="24"/>
  <c r="I225" i="24"/>
  <c r="J225" i="24"/>
  <c r="N224" i="24"/>
  <c r="L224" i="24"/>
  <c r="M224" i="24"/>
  <c r="K224" i="24"/>
  <c r="I224" i="24"/>
  <c r="J224" i="24"/>
  <c r="N223" i="24"/>
  <c r="M223" i="24"/>
  <c r="L223" i="24"/>
  <c r="K223" i="24"/>
  <c r="I223" i="24"/>
  <c r="J223" i="24"/>
  <c r="N222" i="24"/>
  <c r="M222" i="24"/>
  <c r="L222" i="24"/>
  <c r="K222" i="24"/>
  <c r="I222" i="24"/>
  <c r="J222" i="24"/>
  <c r="N221" i="24"/>
  <c r="L221" i="24"/>
  <c r="M221" i="24"/>
  <c r="K221" i="24"/>
  <c r="I221" i="24"/>
  <c r="J221" i="24"/>
  <c r="N220" i="24"/>
  <c r="M220" i="24"/>
  <c r="L220" i="24"/>
  <c r="K220" i="24"/>
  <c r="J220" i="24"/>
  <c r="I220" i="24"/>
  <c r="N219" i="24"/>
  <c r="M219" i="24"/>
  <c r="L219" i="24"/>
  <c r="K219" i="24"/>
  <c r="J219" i="24"/>
  <c r="I219" i="24"/>
  <c r="N218" i="24"/>
  <c r="M218" i="24"/>
  <c r="L218" i="24"/>
  <c r="K218" i="24"/>
  <c r="I218" i="24"/>
  <c r="J218" i="24"/>
  <c r="N217" i="24"/>
  <c r="L217" i="24"/>
  <c r="M217" i="24"/>
  <c r="K217" i="24"/>
  <c r="I217" i="24"/>
  <c r="J217" i="24"/>
  <c r="N216" i="24"/>
  <c r="M216" i="24"/>
  <c r="L216" i="24"/>
  <c r="K216" i="24"/>
  <c r="J216" i="24"/>
  <c r="I216" i="24"/>
  <c r="N215" i="24"/>
  <c r="L215" i="24"/>
  <c r="M215" i="24"/>
  <c r="K215" i="24"/>
  <c r="J215" i="24"/>
  <c r="I215" i="24"/>
  <c r="N214" i="24"/>
  <c r="L214" i="24"/>
  <c r="M214" i="24"/>
  <c r="K214" i="24"/>
  <c r="J214" i="24"/>
  <c r="I214" i="24"/>
  <c r="N213" i="24"/>
  <c r="M213" i="24"/>
  <c r="L213" i="24"/>
  <c r="K213" i="24"/>
  <c r="I213" i="24"/>
  <c r="J213" i="24"/>
  <c r="N212" i="24"/>
  <c r="M212" i="24"/>
  <c r="L212" i="24"/>
  <c r="K212" i="24"/>
  <c r="I212" i="24"/>
  <c r="J212" i="24"/>
  <c r="N211" i="24"/>
  <c r="M211" i="24"/>
  <c r="L211" i="24"/>
  <c r="K211" i="24"/>
  <c r="I211" i="24"/>
  <c r="J211" i="24"/>
  <c r="N210" i="24"/>
  <c r="M210" i="24"/>
  <c r="L210" i="24"/>
  <c r="K210" i="24"/>
  <c r="I210" i="24"/>
  <c r="J210" i="24"/>
  <c r="N209" i="24"/>
  <c r="L209" i="24"/>
  <c r="M209" i="24"/>
  <c r="K209" i="24"/>
  <c r="I209" i="24"/>
  <c r="J209" i="24"/>
  <c r="N208" i="24"/>
  <c r="L208" i="24"/>
  <c r="M208" i="24"/>
  <c r="K208" i="24"/>
  <c r="J208" i="24"/>
  <c r="I208" i="24"/>
  <c r="N207" i="24"/>
  <c r="M207" i="24"/>
  <c r="L207" i="24"/>
  <c r="K207" i="24"/>
  <c r="I207" i="24"/>
  <c r="J207" i="24"/>
  <c r="N206" i="24"/>
  <c r="L206" i="24"/>
  <c r="M206" i="24"/>
  <c r="K206" i="24"/>
  <c r="I206" i="24"/>
  <c r="J206" i="24"/>
  <c r="N205" i="24"/>
  <c r="L205" i="24"/>
  <c r="M205" i="24"/>
  <c r="K205" i="24"/>
  <c r="J205" i="24"/>
  <c r="I205" i="24"/>
  <c r="N204" i="24"/>
  <c r="M204" i="24"/>
  <c r="L204" i="24"/>
  <c r="K204" i="24"/>
  <c r="I204" i="24"/>
  <c r="J204" i="24"/>
  <c r="N203" i="24"/>
  <c r="M203" i="24"/>
  <c r="L203" i="24"/>
  <c r="K203" i="24"/>
  <c r="I203" i="24"/>
  <c r="J203" i="24"/>
  <c r="N202" i="24"/>
  <c r="M202" i="24"/>
  <c r="L202" i="24"/>
  <c r="K202" i="24"/>
  <c r="I202" i="24"/>
  <c r="J202" i="24"/>
  <c r="N201" i="24"/>
  <c r="M201" i="24"/>
  <c r="L201" i="24"/>
  <c r="K201" i="24"/>
  <c r="I201" i="24"/>
  <c r="J201" i="24"/>
  <c r="N200" i="24"/>
  <c r="L200" i="24"/>
  <c r="M200" i="24"/>
  <c r="K200" i="24"/>
  <c r="J200" i="24"/>
  <c r="I200" i="24"/>
  <c r="N199" i="24"/>
  <c r="L199" i="24"/>
  <c r="M199" i="24"/>
  <c r="K199" i="24"/>
  <c r="I199" i="24"/>
  <c r="J199" i="24"/>
  <c r="N198" i="24"/>
  <c r="M198" i="24"/>
  <c r="L198" i="24"/>
  <c r="K198" i="24"/>
  <c r="I198" i="24"/>
  <c r="J198" i="24"/>
  <c r="N197" i="24"/>
  <c r="M197" i="24"/>
  <c r="L197" i="24"/>
  <c r="K197" i="24"/>
  <c r="J197" i="24"/>
  <c r="I197" i="24"/>
  <c r="N196" i="24"/>
  <c r="M196" i="24"/>
  <c r="L196" i="24"/>
  <c r="K196" i="24"/>
  <c r="I196" i="24"/>
  <c r="J196" i="24"/>
  <c r="N195" i="24"/>
  <c r="M195" i="24"/>
  <c r="L195" i="24"/>
  <c r="K195" i="24"/>
  <c r="I195" i="24"/>
  <c r="J195" i="24"/>
  <c r="N194" i="24"/>
  <c r="M194" i="24"/>
  <c r="L194" i="24"/>
  <c r="K194" i="24"/>
  <c r="I194" i="24"/>
  <c r="J194" i="24"/>
  <c r="N193" i="24"/>
  <c r="M193" i="24"/>
  <c r="L193" i="24"/>
  <c r="K193" i="24"/>
  <c r="J193" i="24"/>
  <c r="I193" i="24"/>
  <c r="N192" i="24"/>
  <c r="M192" i="24"/>
  <c r="L192" i="24"/>
  <c r="K192" i="24"/>
  <c r="I192" i="24"/>
  <c r="J192" i="24"/>
  <c r="N191" i="24"/>
  <c r="L191" i="24"/>
  <c r="M191" i="24"/>
  <c r="K191" i="24"/>
  <c r="I191" i="24"/>
  <c r="J191" i="24"/>
  <c r="N190" i="24"/>
  <c r="L190" i="24"/>
  <c r="M190" i="24"/>
  <c r="K190" i="24"/>
  <c r="I190" i="24"/>
  <c r="J190" i="24"/>
  <c r="N189" i="24"/>
  <c r="M189" i="24"/>
  <c r="L189" i="24"/>
  <c r="K189" i="24"/>
  <c r="I189" i="24"/>
  <c r="J189" i="24"/>
  <c r="N188" i="24"/>
  <c r="L188" i="24"/>
  <c r="M188" i="24"/>
  <c r="K188" i="24"/>
  <c r="I188" i="24"/>
  <c r="J188" i="24"/>
  <c r="N187" i="24"/>
  <c r="M187" i="24"/>
  <c r="L187" i="24"/>
  <c r="K187" i="24"/>
  <c r="I187" i="24"/>
  <c r="J187" i="24"/>
  <c r="N186" i="24"/>
  <c r="M186" i="24"/>
  <c r="L186" i="24"/>
  <c r="K186" i="24"/>
  <c r="I186" i="24"/>
  <c r="J186" i="24"/>
  <c r="N185" i="24"/>
  <c r="L185" i="24"/>
  <c r="M185" i="24"/>
  <c r="K185" i="24"/>
  <c r="I185" i="24"/>
  <c r="J185" i="24"/>
  <c r="N184" i="24"/>
  <c r="M184" i="24"/>
  <c r="L184" i="24"/>
  <c r="K184" i="24"/>
  <c r="J184" i="24"/>
  <c r="I184" i="24"/>
  <c r="N183" i="24"/>
  <c r="M183" i="24"/>
  <c r="L183" i="24"/>
  <c r="K183" i="24"/>
  <c r="J183" i="24"/>
  <c r="I183" i="24"/>
  <c r="N182" i="24"/>
  <c r="M182" i="24"/>
  <c r="L182" i="24"/>
  <c r="K182" i="24"/>
  <c r="I182" i="24"/>
  <c r="J182" i="24"/>
  <c r="N181" i="24"/>
  <c r="M181" i="24"/>
  <c r="L181" i="24"/>
  <c r="K181" i="24"/>
  <c r="I181" i="24"/>
  <c r="J181" i="24"/>
  <c r="N180" i="24"/>
  <c r="M180" i="24"/>
  <c r="L180" i="24"/>
  <c r="K180" i="24"/>
  <c r="I180" i="24"/>
  <c r="J180" i="24"/>
  <c r="N179" i="24"/>
  <c r="L179" i="24"/>
  <c r="M179" i="24"/>
  <c r="K179" i="24"/>
  <c r="J179" i="24"/>
  <c r="I179" i="24"/>
  <c r="N178" i="24"/>
  <c r="M178" i="24"/>
  <c r="L178" i="24"/>
  <c r="K178" i="24"/>
  <c r="I178" i="24"/>
  <c r="J178" i="24"/>
  <c r="N177" i="24"/>
  <c r="M177" i="24"/>
  <c r="L177" i="24"/>
  <c r="K177" i="24"/>
  <c r="I177" i="24"/>
  <c r="J177" i="24"/>
  <c r="N176" i="24"/>
  <c r="M176" i="24"/>
  <c r="L176" i="24"/>
  <c r="K176" i="24"/>
  <c r="I176" i="24"/>
  <c r="J176" i="24"/>
  <c r="N175" i="24"/>
  <c r="M175" i="24"/>
  <c r="L175" i="24"/>
  <c r="K175" i="24"/>
  <c r="I175" i="24"/>
  <c r="J175" i="24"/>
  <c r="N174" i="24"/>
  <c r="M174" i="24"/>
  <c r="L174" i="24"/>
  <c r="K174" i="24"/>
  <c r="I174" i="24"/>
  <c r="J174" i="24"/>
  <c r="N173" i="24"/>
  <c r="M173" i="24"/>
  <c r="L173" i="24"/>
  <c r="K173" i="24"/>
  <c r="I173" i="24"/>
  <c r="J173" i="24"/>
  <c r="N172" i="24"/>
  <c r="L172" i="24"/>
  <c r="M172" i="24"/>
  <c r="K172" i="24"/>
  <c r="J172" i="24"/>
  <c r="I172" i="24"/>
  <c r="N171" i="24"/>
  <c r="M171" i="24"/>
  <c r="L171" i="24"/>
  <c r="K171" i="24"/>
  <c r="J171" i="24"/>
  <c r="I171" i="24"/>
  <c r="N170" i="24"/>
  <c r="L170" i="24"/>
  <c r="M170" i="24"/>
  <c r="K170" i="24"/>
  <c r="I170" i="24"/>
  <c r="J170" i="24"/>
  <c r="N169" i="24"/>
  <c r="M169" i="24"/>
  <c r="L169" i="24"/>
  <c r="K169" i="24"/>
  <c r="J169" i="24"/>
  <c r="I169" i="24"/>
  <c r="N168" i="24"/>
  <c r="M168" i="24"/>
  <c r="L168" i="24"/>
  <c r="K168" i="24"/>
  <c r="I168" i="24"/>
  <c r="J168" i="24"/>
  <c r="N167" i="24"/>
  <c r="M167" i="24"/>
  <c r="L167" i="24"/>
  <c r="K167" i="24"/>
  <c r="I167" i="24"/>
  <c r="J167" i="24"/>
  <c r="N166" i="24"/>
  <c r="M166" i="24"/>
  <c r="L166" i="24"/>
  <c r="K166" i="24"/>
  <c r="I166" i="24"/>
  <c r="J166" i="24"/>
  <c r="N165" i="24"/>
  <c r="M165" i="24"/>
  <c r="L165" i="24"/>
  <c r="K165" i="24"/>
  <c r="I165" i="24"/>
  <c r="J165" i="24"/>
  <c r="N164" i="24"/>
  <c r="L164" i="24"/>
  <c r="M164" i="24"/>
  <c r="K164" i="24"/>
  <c r="J164" i="24"/>
  <c r="I164" i="24"/>
  <c r="N163" i="24"/>
  <c r="L163" i="24"/>
  <c r="M163" i="24"/>
  <c r="K163" i="24"/>
  <c r="I163" i="24"/>
  <c r="J163" i="24"/>
  <c r="N162" i="24"/>
  <c r="M162" i="24"/>
  <c r="L162" i="24"/>
  <c r="K162" i="24"/>
  <c r="I162" i="24"/>
  <c r="J162" i="24"/>
  <c r="N161" i="24"/>
  <c r="M161" i="24"/>
  <c r="L161" i="24"/>
  <c r="K161" i="24"/>
  <c r="I161" i="24"/>
  <c r="J161" i="24"/>
  <c r="N160" i="24"/>
  <c r="M160" i="24"/>
  <c r="L160" i="24"/>
  <c r="K160" i="24"/>
  <c r="I160" i="24"/>
  <c r="J160" i="24"/>
  <c r="N159" i="24"/>
  <c r="M159" i="24"/>
  <c r="L159" i="24"/>
  <c r="K159" i="24"/>
  <c r="J159" i="24"/>
  <c r="I159" i="24"/>
  <c r="N158" i="24"/>
  <c r="M158" i="24"/>
  <c r="L158" i="24"/>
  <c r="K158" i="24"/>
  <c r="I158" i="24"/>
  <c r="J158" i="24"/>
  <c r="N157" i="24"/>
  <c r="L157" i="24"/>
  <c r="M157" i="24"/>
  <c r="K157" i="24"/>
  <c r="J157" i="24"/>
  <c r="I157" i="24"/>
  <c r="N156" i="24"/>
  <c r="M156" i="24"/>
  <c r="L156" i="24"/>
  <c r="K156" i="24"/>
  <c r="J156" i="24"/>
  <c r="I156" i="24"/>
  <c r="N155" i="24"/>
  <c r="L155" i="24"/>
  <c r="M155" i="24"/>
  <c r="K155" i="24"/>
  <c r="I155" i="24"/>
  <c r="J155" i="24"/>
  <c r="N154" i="24"/>
  <c r="L154" i="24"/>
  <c r="M154" i="24"/>
  <c r="K154" i="24"/>
  <c r="J154" i="24"/>
  <c r="I154" i="24"/>
  <c r="N153" i="24"/>
  <c r="M153" i="24"/>
  <c r="L153" i="24"/>
  <c r="K153" i="24"/>
  <c r="I153" i="24"/>
  <c r="J153" i="24"/>
  <c r="N152" i="24"/>
  <c r="M152" i="24"/>
  <c r="L152" i="24"/>
  <c r="K152" i="24"/>
  <c r="I152" i="24"/>
  <c r="J152" i="24"/>
  <c r="N151" i="24"/>
  <c r="L151" i="24"/>
  <c r="M151" i="24"/>
  <c r="K151" i="24"/>
  <c r="I151" i="24"/>
  <c r="J151" i="24"/>
  <c r="N150" i="24"/>
  <c r="M150" i="24"/>
  <c r="L150" i="24"/>
  <c r="K150" i="24"/>
  <c r="I150" i="24"/>
  <c r="J150" i="24"/>
  <c r="N149" i="24"/>
  <c r="L149" i="24"/>
  <c r="M149" i="24"/>
  <c r="K149" i="24"/>
  <c r="J149" i="24"/>
  <c r="I149" i="24"/>
  <c r="N148" i="24"/>
  <c r="M148" i="24"/>
  <c r="L148" i="24"/>
  <c r="K148" i="24"/>
  <c r="I148" i="24"/>
  <c r="J148" i="24"/>
  <c r="N147" i="24"/>
  <c r="M147" i="24"/>
  <c r="L147" i="24"/>
  <c r="K147" i="24"/>
  <c r="J147" i="24"/>
  <c r="I147" i="24"/>
  <c r="N146" i="24"/>
  <c r="L146" i="24"/>
  <c r="M146" i="24"/>
  <c r="K146" i="24"/>
  <c r="J146" i="24"/>
  <c r="I146" i="24"/>
  <c r="N145" i="24"/>
  <c r="M145" i="24"/>
  <c r="L145" i="24"/>
  <c r="K145" i="24"/>
  <c r="I145" i="24"/>
  <c r="J145" i="24"/>
  <c r="N144" i="24"/>
  <c r="L144" i="24"/>
  <c r="M144" i="24"/>
  <c r="K144" i="24"/>
  <c r="I144" i="24"/>
  <c r="J144" i="24"/>
  <c r="N143" i="24"/>
  <c r="L143" i="24"/>
  <c r="M143" i="24"/>
  <c r="K143" i="24"/>
  <c r="I143" i="24"/>
  <c r="J143" i="24"/>
  <c r="N142" i="24"/>
  <c r="M142" i="24"/>
  <c r="L142" i="24"/>
  <c r="K142" i="24"/>
  <c r="J142" i="24"/>
  <c r="I142" i="24"/>
  <c r="N141" i="24"/>
  <c r="L141" i="24"/>
  <c r="M141" i="24"/>
  <c r="K141" i="24"/>
  <c r="J141" i="24"/>
  <c r="I141" i="24"/>
  <c r="N140" i="24"/>
  <c r="M140" i="24"/>
  <c r="L140" i="24"/>
  <c r="K140" i="24"/>
  <c r="I140" i="24"/>
  <c r="J140" i="24"/>
  <c r="N139" i="24"/>
  <c r="M139" i="24"/>
  <c r="L139" i="24"/>
  <c r="K139" i="24"/>
  <c r="I139" i="24"/>
  <c r="J139" i="24"/>
  <c r="N138" i="24"/>
  <c r="M138" i="24"/>
  <c r="L138" i="24"/>
  <c r="K138" i="24"/>
  <c r="I138" i="24"/>
  <c r="J138" i="24"/>
  <c r="N137" i="24"/>
  <c r="L137" i="24"/>
  <c r="M137" i="24"/>
  <c r="K137" i="24"/>
  <c r="I137" i="24"/>
  <c r="J137" i="24"/>
  <c r="N136" i="24"/>
  <c r="M136" i="24"/>
  <c r="L136" i="24"/>
  <c r="K136" i="24"/>
  <c r="J136" i="24"/>
  <c r="I136" i="24"/>
  <c r="N135" i="24"/>
  <c r="L135" i="24"/>
  <c r="M135" i="24"/>
  <c r="K135" i="24"/>
  <c r="J135" i="24"/>
  <c r="I135" i="24"/>
  <c r="N134" i="24"/>
  <c r="M134" i="24"/>
  <c r="L134" i="24"/>
  <c r="K134" i="24"/>
  <c r="I134" i="24"/>
  <c r="J134" i="24"/>
  <c r="N133" i="24"/>
  <c r="M133" i="24"/>
  <c r="L133" i="24"/>
  <c r="K133" i="24"/>
  <c r="I133" i="24"/>
  <c r="J133" i="24"/>
  <c r="N132" i="24"/>
  <c r="L132" i="24"/>
  <c r="M132" i="24"/>
  <c r="K132" i="24"/>
  <c r="J132" i="24"/>
  <c r="I132" i="24"/>
  <c r="N131" i="24"/>
  <c r="L131" i="24"/>
  <c r="M131" i="24"/>
  <c r="K131" i="24"/>
  <c r="J131" i="24"/>
  <c r="I131" i="24"/>
  <c r="N130" i="24"/>
  <c r="M130" i="24"/>
  <c r="L130" i="24"/>
  <c r="K130" i="24"/>
  <c r="J130" i="24"/>
  <c r="I130" i="24"/>
  <c r="N129" i="24"/>
  <c r="L129" i="24"/>
  <c r="M129" i="24"/>
  <c r="K129" i="24"/>
  <c r="I129" i="24"/>
  <c r="J129" i="24"/>
  <c r="N128" i="24"/>
  <c r="M128" i="24"/>
  <c r="L128" i="24"/>
  <c r="K128" i="24"/>
  <c r="I128" i="24"/>
  <c r="J128" i="24"/>
  <c r="N127" i="24"/>
  <c r="M127" i="24"/>
  <c r="L127" i="24"/>
  <c r="K127" i="24"/>
  <c r="I127" i="24"/>
  <c r="J127" i="24"/>
  <c r="N126" i="24"/>
  <c r="M126" i="24"/>
  <c r="L126" i="24"/>
  <c r="K126" i="24"/>
  <c r="J126" i="24"/>
  <c r="I126" i="24"/>
  <c r="N125" i="24"/>
  <c r="L125" i="24"/>
  <c r="M125" i="24"/>
  <c r="K125" i="24"/>
  <c r="J125" i="24"/>
  <c r="I125" i="24"/>
  <c r="N124" i="24"/>
  <c r="M124" i="24"/>
  <c r="L124" i="24"/>
  <c r="K124" i="24"/>
  <c r="I124" i="24"/>
  <c r="J124" i="24"/>
  <c r="N123" i="24"/>
  <c r="L123" i="24"/>
  <c r="M123" i="24"/>
  <c r="K123" i="24"/>
  <c r="J123" i="24"/>
  <c r="I123" i="24"/>
  <c r="N122" i="24"/>
  <c r="M122" i="24"/>
  <c r="L122" i="24"/>
  <c r="K122" i="24"/>
  <c r="I122" i="24"/>
  <c r="J122" i="24"/>
  <c r="N121" i="24"/>
  <c r="M121" i="24"/>
  <c r="L121" i="24"/>
  <c r="K121" i="24"/>
  <c r="J121" i="24"/>
  <c r="I121" i="24"/>
  <c r="N120" i="24"/>
  <c r="M120" i="24"/>
  <c r="L120" i="24"/>
  <c r="K120" i="24"/>
  <c r="I120" i="24"/>
  <c r="J120" i="24"/>
  <c r="N119" i="24"/>
  <c r="M119" i="24"/>
  <c r="L119" i="24"/>
  <c r="K119" i="24"/>
  <c r="J119" i="24"/>
  <c r="I119" i="24"/>
  <c r="N118" i="24"/>
  <c r="M118" i="24"/>
  <c r="L118" i="24"/>
  <c r="K118" i="24"/>
  <c r="I118" i="24"/>
  <c r="J118" i="24"/>
  <c r="N117" i="24"/>
  <c r="L117" i="24"/>
  <c r="M117" i="24"/>
  <c r="K117" i="24"/>
  <c r="J117" i="24"/>
  <c r="I117" i="24"/>
  <c r="N116" i="24"/>
  <c r="L116" i="24"/>
  <c r="M116" i="24"/>
  <c r="K116" i="24"/>
  <c r="I116" i="24"/>
  <c r="J116" i="24"/>
  <c r="N115" i="24"/>
  <c r="M115" i="24"/>
  <c r="L115" i="24"/>
  <c r="K115" i="24"/>
  <c r="I115" i="24"/>
  <c r="J115" i="24"/>
  <c r="N114" i="24"/>
  <c r="M114" i="24"/>
  <c r="L114" i="24"/>
  <c r="K114" i="24"/>
  <c r="I114" i="24"/>
  <c r="J114" i="24"/>
  <c r="N113" i="24"/>
  <c r="M113" i="24"/>
  <c r="L113" i="24"/>
  <c r="K113" i="24"/>
  <c r="I113" i="24"/>
  <c r="J113" i="24"/>
  <c r="N112" i="24"/>
  <c r="M112" i="24"/>
  <c r="L112" i="24"/>
  <c r="K112" i="24"/>
  <c r="I112" i="24"/>
  <c r="J112" i="24"/>
  <c r="N111" i="24"/>
  <c r="L111" i="24"/>
  <c r="M111" i="24"/>
  <c r="K111" i="24"/>
  <c r="J111" i="24"/>
  <c r="I111" i="24"/>
  <c r="N110" i="24"/>
  <c r="L110" i="24"/>
  <c r="M110" i="24"/>
  <c r="K110" i="24"/>
  <c r="I110" i="24"/>
  <c r="J110" i="24"/>
  <c r="N109" i="24"/>
  <c r="M109" i="24"/>
  <c r="L109" i="24"/>
  <c r="K109" i="24"/>
  <c r="I109" i="24"/>
  <c r="J109" i="24"/>
  <c r="N108" i="24"/>
  <c r="L108" i="24"/>
  <c r="M108" i="24"/>
  <c r="K108" i="24"/>
  <c r="I108" i="24"/>
  <c r="J108" i="24"/>
  <c r="N107" i="24"/>
  <c r="L107" i="24"/>
  <c r="M107" i="24"/>
  <c r="K107" i="24"/>
  <c r="I107" i="24"/>
  <c r="J107" i="24"/>
  <c r="N106" i="24"/>
  <c r="M106" i="24"/>
  <c r="L106" i="24"/>
  <c r="K106" i="24"/>
  <c r="J106" i="24"/>
  <c r="I106" i="24"/>
  <c r="N105" i="24"/>
  <c r="M105" i="24"/>
  <c r="L105" i="24"/>
  <c r="K105" i="24"/>
  <c r="J105" i="24"/>
  <c r="I105" i="24"/>
  <c r="N104" i="24"/>
  <c r="M104" i="24"/>
  <c r="L104" i="24"/>
  <c r="K104" i="24"/>
  <c r="I104" i="24"/>
  <c r="J104" i="24"/>
  <c r="N103" i="24"/>
  <c r="M103" i="24"/>
  <c r="L103" i="24"/>
  <c r="K103" i="24"/>
  <c r="I103" i="24"/>
  <c r="J103" i="24"/>
  <c r="N102" i="24"/>
  <c r="L102" i="24"/>
  <c r="M102" i="24"/>
  <c r="K102" i="24"/>
  <c r="J102" i="24"/>
  <c r="I102" i="24"/>
  <c r="N101" i="24"/>
  <c r="M101" i="24"/>
  <c r="L101" i="24"/>
  <c r="K101" i="24"/>
  <c r="I101" i="24"/>
  <c r="J101" i="24"/>
  <c r="N100" i="24"/>
  <c r="M100" i="24"/>
  <c r="L100" i="24"/>
  <c r="K100" i="24"/>
  <c r="I100" i="24"/>
  <c r="J100" i="24"/>
  <c r="N99" i="24"/>
  <c r="L99" i="24"/>
  <c r="M99" i="24"/>
  <c r="K99" i="24"/>
  <c r="I99" i="24"/>
  <c r="J99" i="24"/>
  <c r="N98" i="24"/>
  <c r="M98" i="24"/>
  <c r="L98" i="24"/>
  <c r="K98" i="24"/>
  <c r="I98" i="24"/>
  <c r="J98" i="24"/>
  <c r="N97" i="24"/>
  <c r="M97" i="24"/>
  <c r="L97" i="24"/>
  <c r="K97" i="24"/>
  <c r="I97" i="24"/>
  <c r="J97" i="24"/>
  <c r="N96" i="24"/>
  <c r="M96" i="24"/>
  <c r="L96" i="24"/>
  <c r="K96" i="24"/>
  <c r="I96" i="24"/>
  <c r="J96" i="24"/>
  <c r="N95" i="24"/>
  <c r="M95" i="24"/>
  <c r="L95" i="24"/>
  <c r="K95" i="24"/>
  <c r="I95" i="24"/>
  <c r="J95" i="24"/>
  <c r="N94" i="24"/>
  <c r="M94" i="24"/>
  <c r="L94" i="24"/>
  <c r="K94" i="24"/>
  <c r="I94" i="24"/>
  <c r="J94" i="24"/>
  <c r="N93" i="24"/>
  <c r="M93" i="24"/>
  <c r="L93" i="24"/>
  <c r="K93" i="24"/>
  <c r="J93" i="24"/>
  <c r="I93" i="24"/>
  <c r="N92" i="24"/>
  <c r="M92" i="24"/>
  <c r="L92" i="24"/>
  <c r="K92" i="24"/>
  <c r="I92" i="24"/>
  <c r="J92" i="24"/>
  <c r="N91" i="24"/>
  <c r="M91" i="24"/>
  <c r="L91" i="24"/>
  <c r="K91" i="24"/>
  <c r="I91" i="24"/>
  <c r="J91" i="24"/>
  <c r="N90" i="24"/>
  <c r="M90" i="24"/>
  <c r="L90" i="24"/>
  <c r="K90" i="24"/>
  <c r="J90" i="24"/>
  <c r="I90" i="24"/>
  <c r="N89" i="24"/>
  <c r="M89" i="24"/>
  <c r="L89" i="24"/>
  <c r="K89" i="24"/>
  <c r="I89" i="24"/>
  <c r="J89" i="24"/>
  <c r="N88" i="24"/>
  <c r="M88" i="24"/>
  <c r="L88" i="24"/>
  <c r="K88" i="24"/>
  <c r="I88" i="24"/>
  <c r="J88" i="24"/>
  <c r="N87" i="24"/>
  <c r="L87" i="24"/>
  <c r="M87" i="24"/>
  <c r="K87" i="24"/>
  <c r="I87" i="24"/>
  <c r="J87" i="24"/>
  <c r="N86" i="24"/>
  <c r="M86" i="24"/>
  <c r="L86" i="24"/>
  <c r="K86" i="24"/>
  <c r="I86" i="24"/>
  <c r="J86" i="24"/>
  <c r="N85" i="24"/>
  <c r="M85" i="24"/>
  <c r="L85" i="24"/>
  <c r="K85" i="24"/>
  <c r="I85" i="24"/>
  <c r="J85" i="24"/>
  <c r="N84" i="24"/>
  <c r="M84" i="24"/>
  <c r="L84" i="24"/>
  <c r="K84" i="24"/>
  <c r="I84" i="24"/>
  <c r="J84" i="24"/>
  <c r="N83" i="24"/>
  <c r="M83" i="24"/>
  <c r="L83" i="24"/>
  <c r="K83" i="24"/>
  <c r="I83" i="24"/>
  <c r="J83" i="24"/>
  <c r="N82" i="24"/>
  <c r="M82" i="24"/>
  <c r="L82" i="24"/>
  <c r="K82" i="24"/>
  <c r="I82" i="24"/>
  <c r="J82" i="24"/>
  <c r="N81" i="24"/>
  <c r="M81" i="24"/>
  <c r="L81" i="24"/>
  <c r="K81" i="24"/>
  <c r="J81" i="24"/>
  <c r="I81" i="24"/>
  <c r="N80" i="24"/>
  <c r="M80" i="24"/>
  <c r="L80" i="24"/>
  <c r="K80" i="24"/>
  <c r="J80" i="24"/>
  <c r="I80" i="24"/>
  <c r="N79" i="24"/>
  <c r="M79" i="24"/>
  <c r="L79" i="24"/>
  <c r="K79" i="24"/>
  <c r="I79" i="24"/>
  <c r="J79" i="24"/>
  <c r="N78" i="24"/>
  <c r="L78" i="24"/>
  <c r="M78" i="24"/>
  <c r="K78" i="24"/>
  <c r="J78" i="24"/>
  <c r="I78" i="24"/>
  <c r="N77" i="24"/>
  <c r="M77" i="24"/>
  <c r="L77" i="24"/>
  <c r="K77" i="24"/>
  <c r="I77" i="24"/>
  <c r="J77" i="24"/>
  <c r="N76" i="24"/>
  <c r="M76" i="24"/>
  <c r="L76" i="24"/>
  <c r="K76" i="24"/>
  <c r="I76" i="24"/>
  <c r="J76" i="24"/>
  <c r="N75" i="24"/>
  <c r="L75" i="24"/>
  <c r="M75" i="24"/>
  <c r="K75" i="24"/>
  <c r="I75" i="24"/>
  <c r="J75" i="24"/>
  <c r="N74" i="24"/>
  <c r="M74" i="24"/>
  <c r="L74" i="24"/>
  <c r="K74" i="24"/>
  <c r="I74" i="24"/>
  <c r="J74" i="24"/>
  <c r="N73" i="24"/>
  <c r="M73" i="24"/>
  <c r="L73" i="24"/>
  <c r="K73" i="24"/>
  <c r="I73" i="24"/>
  <c r="J73" i="24"/>
  <c r="N72" i="24"/>
  <c r="M72" i="24"/>
  <c r="L72" i="24"/>
  <c r="K72" i="24"/>
  <c r="I72" i="24"/>
  <c r="J72" i="24"/>
  <c r="N71" i="24"/>
  <c r="M71" i="24"/>
  <c r="L71" i="24"/>
  <c r="K71" i="24"/>
  <c r="I71" i="24"/>
  <c r="J71" i="24"/>
  <c r="N70" i="24"/>
  <c r="M70" i="24"/>
  <c r="L70" i="24"/>
  <c r="K70" i="24"/>
  <c r="I70" i="24"/>
  <c r="J70" i="24"/>
  <c r="N69" i="24"/>
  <c r="M69" i="24"/>
  <c r="L69" i="24"/>
  <c r="K69" i="24"/>
  <c r="J69" i="24"/>
  <c r="I69" i="24"/>
  <c r="N68" i="24"/>
  <c r="M68" i="24"/>
  <c r="L68" i="24"/>
  <c r="K68" i="24"/>
  <c r="I68" i="24"/>
  <c r="J68" i="24"/>
  <c r="N67" i="24"/>
  <c r="M67" i="24"/>
  <c r="L67" i="24"/>
  <c r="K67" i="24"/>
  <c r="I67" i="24"/>
  <c r="J67" i="24"/>
  <c r="N66" i="24"/>
  <c r="L66" i="24"/>
  <c r="M66" i="24"/>
  <c r="K66" i="24"/>
  <c r="I66" i="24"/>
  <c r="J66" i="24"/>
  <c r="N65" i="24"/>
  <c r="M65" i="24"/>
  <c r="L65" i="24"/>
  <c r="K65" i="24"/>
  <c r="I65" i="24"/>
  <c r="J65" i="24"/>
  <c r="N64" i="24"/>
  <c r="M64" i="24"/>
  <c r="L64" i="24"/>
  <c r="K64" i="24"/>
  <c r="I64" i="24"/>
  <c r="J64" i="24"/>
  <c r="N63" i="24"/>
  <c r="M63" i="24"/>
  <c r="L63" i="24"/>
  <c r="K63" i="24"/>
  <c r="J63" i="24"/>
  <c r="I63" i="24"/>
  <c r="N62" i="24"/>
  <c r="M62" i="24"/>
  <c r="L62" i="24"/>
  <c r="K62" i="24"/>
  <c r="I62" i="24"/>
  <c r="J62" i="24"/>
  <c r="N61" i="24"/>
  <c r="M61" i="24"/>
  <c r="L61" i="24"/>
  <c r="K61" i="24"/>
  <c r="J61" i="24"/>
  <c r="I61" i="24"/>
  <c r="N60" i="24"/>
  <c r="L60" i="24"/>
  <c r="M60" i="24"/>
  <c r="K60" i="24"/>
  <c r="I60" i="24"/>
  <c r="J60" i="24"/>
  <c r="N59" i="24"/>
  <c r="L59" i="24"/>
  <c r="M59" i="24"/>
  <c r="K59" i="24"/>
  <c r="I59" i="24"/>
  <c r="J59" i="24"/>
  <c r="N58" i="24"/>
  <c r="L58" i="24"/>
  <c r="M58" i="24"/>
  <c r="K58" i="24"/>
  <c r="J58" i="24"/>
  <c r="I58" i="24"/>
  <c r="N57" i="24"/>
  <c r="L57" i="24"/>
  <c r="M57" i="24"/>
  <c r="K57" i="24"/>
  <c r="J57" i="24"/>
  <c r="I57" i="24"/>
  <c r="N56" i="24"/>
  <c r="L56" i="24"/>
  <c r="M56" i="24"/>
  <c r="K56" i="24"/>
  <c r="I56" i="24"/>
  <c r="J56" i="24"/>
  <c r="N55" i="24"/>
  <c r="L55" i="24"/>
  <c r="M55" i="24"/>
  <c r="K55" i="24"/>
  <c r="J55" i="24"/>
  <c r="I55" i="24"/>
  <c r="N54" i="24"/>
  <c r="L54" i="24"/>
  <c r="M54" i="24"/>
  <c r="K54" i="24"/>
  <c r="I54" i="24"/>
  <c r="J54" i="24"/>
  <c r="N53" i="24"/>
  <c r="L53" i="24"/>
  <c r="M53" i="24"/>
  <c r="K53" i="24"/>
  <c r="I53" i="24"/>
  <c r="J53" i="24"/>
  <c r="N52" i="24"/>
  <c r="M52" i="24"/>
  <c r="L52" i="24"/>
  <c r="K52" i="24"/>
  <c r="J52" i="24"/>
  <c r="I52" i="24"/>
  <c r="N51" i="24"/>
  <c r="L51" i="24"/>
  <c r="M51" i="24"/>
  <c r="K51" i="24"/>
  <c r="J51" i="24"/>
  <c r="I51" i="24"/>
  <c r="N50" i="24"/>
  <c r="L50" i="24"/>
  <c r="M50" i="24"/>
  <c r="K50" i="24"/>
  <c r="I50" i="24"/>
  <c r="J50" i="24"/>
  <c r="N49" i="24"/>
  <c r="L49" i="24"/>
  <c r="M49" i="24"/>
  <c r="K49" i="24"/>
  <c r="J49" i="24"/>
  <c r="I49" i="24"/>
  <c r="N48" i="24"/>
  <c r="L48" i="24"/>
  <c r="M48" i="24"/>
  <c r="K48" i="24"/>
  <c r="I48" i="24"/>
  <c r="J48" i="24"/>
  <c r="N47" i="24"/>
  <c r="L47" i="24"/>
  <c r="M47" i="24"/>
  <c r="K47" i="24"/>
  <c r="I47" i="24"/>
  <c r="J47" i="24"/>
  <c r="N46" i="24"/>
  <c r="M46" i="24"/>
  <c r="L46" i="24"/>
  <c r="K46" i="24"/>
  <c r="J46" i="24"/>
  <c r="I46" i="24"/>
  <c r="N45" i="24"/>
  <c r="L45" i="24"/>
  <c r="M45" i="24"/>
  <c r="K45" i="24"/>
  <c r="I45" i="24"/>
  <c r="J45" i="24"/>
  <c r="N44" i="24"/>
  <c r="L44" i="24"/>
  <c r="M44" i="24"/>
  <c r="K44" i="24"/>
  <c r="I44" i="24"/>
  <c r="J44" i="24"/>
  <c r="N43" i="24"/>
  <c r="L43" i="24"/>
  <c r="M43" i="24"/>
  <c r="K43" i="24"/>
  <c r="J43" i="24"/>
  <c r="I43" i="24"/>
  <c r="N42" i="24"/>
  <c r="L42" i="24"/>
  <c r="M42" i="24"/>
  <c r="K42" i="24"/>
  <c r="I42" i="24"/>
  <c r="J42" i="24"/>
  <c r="N41" i="24"/>
  <c r="L41" i="24"/>
  <c r="M41" i="24"/>
  <c r="K41" i="24"/>
  <c r="I41" i="24"/>
  <c r="J41" i="24"/>
  <c r="N40" i="24"/>
  <c r="M40" i="24"/>
  <c r="L40" i="24"/>
  <c r="K40" i="24"/>
  <c r="J40" i="24"/>
  <c r="I40" i="24"/>
  <c r="N39" i="24"/>
  <c r="L39" i="24"/>
  <c r="M39" i="24"/>
  <c r="K39" i="24"/>
  <c r="I39" i="24"/>
  <c r="J39" i="24"/>
  <c r="N38" i="24"/>
  <c r="L38" i="24"/>
  <c r="M38" i="24"/>
  <c r="K38" i="24"/>
  <c r="I38" i="24"/>
  <c r="J38" i="24"/>
  <c r="N37" i="24"/>
  <c r="L37" i="24"/>
  <c r="M37" i="24"/>
  <c r="K37" i="24"/>
  <c r="J37" i="24"/>
  <c r="I37" i="24"/>
  <c r="N36" i="24"/>
  <c r="L36" i="24"/>
  <c r="M36" i="24"/>
  <c r="K36" i="24"/>
  <c r="J36" i="24"/>
  <c r="I36" i="24"/>
  <c r="N35" i="24"/>
  <c r="L35" i="24"/>
  <c r="M35" i="24"/>
  <c r="K35" i="24"/>
  <c r="I35" i="24"/>
  <c r="J35" i="24"/>
  <c r="N34" i="24"/>
  <c r="L34" i="24"/>
  <c r="M34" i="24"/>
  <c r="K34" i="24"/>
  <c r="J34" i="24"/>
  <c r="I34" i="24"/>
  <c r="N33" i="24"/>
  <c r="L33" i="24"/>
  <c r="M33" i="24"/>
  <c r="K33" i="24"/>
  <c r="I33" i="24"/>
  <c r="J33" i="24"/>
  <c r="N32" i="24"/>
  <c r="L32" i="24"/>
  <c r="M32" i="24"/>
  <c r="K32" i="24"/>
  <c r="I32" i="24"/>
  <c r="J32" i="24"/>
  <c r="N31" i="24"/>
  <c r="L31" i="24"/>
  <c r="M31" i="24"/>
  <c r="K31" i="24"/>
  <c r="J31" i="24"/>
  <c r="I31" i="24"/>
  <c r="N30" i="24"/>
  <c r="L30" i="24"/>
  <c r="M30" i="24"/>
  <c r="K30" i="24"/>
  <c r="I30" i="24"/>
  <c r="J30" i="24"/>
  <c r="N29" i="24"/>
  <c r="L29" i="24"/>
  <c r="M29" i="24"/>
  <c r="K29" i="24"/>
  <c r="I29" i="24"/>
  <c r="J29" i="24"/>
  <c r="N28" i="24"/>
  <c r="L28" i="24"/>
  <c r="M28" i="24"/>
  <c r="K28" i="24"/>
  <c r="J28" i="24"/>
  <c r="I28" i="24"/>
  <c r="N27" i="24"/>
  <c r="L27" i="24"/>
  <c r="M27" i="24"/>
  <c r="K27" i="24"/>
  <c r="J27" i="24"/>
  <c r="I27" i="24"/>
  <c r="N26" i="24"/>
  <c r="L26" i="24"/>
  <c r="M26" i="24"/>
  <c r="K26" i="24"/>
  <c r="I26" i="24"/>
  <c r="J26" i="24"/>
  <c r="N25" i="24"/>
  <c r="M25" i="24"/>
  <c r="L25" i="24"/>
  <c r="K25" i="24"/>
  <c r="J25" i="24"/>
  <c r="I25" i="24"/>
  <c r="N24" i="24"/>
  <c r="L24" i="24"/>
  <c r="M24" i="24"/>
  <c r="K24" i="24"/>
  <c r="I24" i="24"/>
  <c r="J24" i="24"/>
  <c r="N23" i="24"/>
  <c r="L23" i="24"/>
  <c r="M23" i="24"/>
  <c r="K23" i="24"/>
  <c r="I23" i="24"/>
  <c r="J23" i="24"/>
  <c r="N22" i="24"/>
  <c r="L22" i="24"/>
  <c r="M22" i="24"/>
  <c r="K22" i="24"/>
  <c r="J22" i="24"/>
  <c r="I22" i="24"/>
  <c r="N21" i="24"/>
  <c r="L21" i="24"/>
  <c r="M21" i="24"/>
  <c r="K21" i="24"/>
  <c r="J21" i="24"/>
  <c r="I21" i="24"/>
  <c r="N20" i="24"/>
  <c r="L20" i="24"/>
  <c r="M20" i="24"/>
  <c r="K20" i="24"/>
  <c r="I20" i="24"/>
  <c r="J20" i="24"/>
  <c r="N19" i="24"/>
  <c r="L19" i="24"/>
  <c r="M19" i="24"/>
  <c r="K19" i="24"/>
  <c r="J19" i="24"/>
  <c r="I19" i="24"/>
  <c r="N18" i="24"/>
  <c r="L18" i="24"/>
  <c r="M18" i="24"/>
  <c r="K18" i="24"/>
  <c r="I18" i="24"/>
  <c r="J18" i="24"/>
  <c r="N17" i="24"/>
  <c r="L17" i="24"/>
  <c r="M17" i="24"/>
  <c r="K17" i="24"/>
  <c r="I17" i="24"/>
  <c r="J17" i="24"/>
  <c r="N16" i="24"/>
  <c r="M16" i="24"/>
  <c r="L16" i="24"/>
  <c r="K16" i="24"/>
  <c r="J16" i="24"/>
  <c r="I16" i="24"/>
  <c r="N15" i="24"/>
  <c r="L15" i="24"/>
  <c r="M15" i="24"/>
  <c r="K15" i="24"/>
  <c r="J15" i="24"/>
  <c r="I15" i="24"/>
  <c r="N14" i="24"/>
  <c r="L14" i="24"/>
  <c r="M14" i="24"/>
  <c r="K14" i="24"/>
  <c r="I14" i="24"/>
  <c r="J14" i="24"/>
  <c r="N13" i="24"/>
  <c r="L13" i="24"/>
  <c r="M13" i="24"/>
  <c r="K13" i="24"/>
  <c r="J13" i="24"/>
  <c r="I13" i="24"/>
  <c r="N12" i="24"/>
  <c r="L12" i="24"/>
  <c r="M12" i="24"/>
  <c r="K12" i="24"/>
  <c r="I12" i="24"/>
  <c r="J12" i="24"/>
  <c r="N11" i="24"/>
  <c r="L11" i="24"/>
  <c r="M11" i="24"/>
  <c r="K11" i="24"/>
  <c r="I11" i="24"/>
  <c r="J11" i="24"/>
  <c r="N10" i="24"/>
  <c r="M10" i="24"/>
  <c r="L10" i="24"/>
  <c r="K10" i="24"/>
  <c r="J10" i="24"/>
  <c r="I10" i="24"/>
  <c r="N9" i="24"/>
  <c r="L9" i="24"/>
  <c r="M9" i="24"/>
  <c r="K9" i="24"/>
  <c r="I9" i="24"/>
  <c r="J9" i="24"/>
  <c r="N8" i="24"/>
  <c r="L8" i="24"/>
  <c r="M8" i="24"/>
  <c r="K8" i="24"/>
  <c r="I8" i="24"/>
  <c r="J8" i="24"/>
  <c r="N7" i="24"/>
  <c r="L7" i="24"/>
  <c r="M7" i="24"/>
  <c r="K7" i="24"/>
  <c r="J7" i="24"/>
  <c r="I7" i="24"/>
  <c r="N6" i="24"/>
  <c r="L6" i="24"/>
  <c r="M6" i="24"/>
  <c r="K6" i="24"/>
  <c r="I6" i="24"/>
  <c r="J6" i="24"/>
  <c r="N400" i="23"/>
  <c r="M400" i="23"/>
  <c r="L400" i="23"/>
  <c r="K400" i="23"/>
  <c r="I400" i="23"/>
  <c r="J400" i="23"/>
  <c r="N399" i="23"/>
  <c r="M399" i="23"/>
  <c r="L399" i="23"/>
  <c r="K399" i="23"/>
  <c r="I399" i="23"/>
  <c r="J399" i="23"/>
  <c r="N398" i="23"/>
  <c r="L398" i="23"/>
  <c r="M398" i="23"/>
  <c r="K398" i="23"/>
  <c r="I398" i="23"/>
  <c r="J398" i="23"/>
  <c r="N397" i="23"/>
  <c r="M397" i="23"/>
  <c r="L397" i="23"/>
  <c r="K397" i="23"/>
  <c r="J397" i="23"/>
  <c r="I397" i="23"/>
  <c r="N396" i="23"/>
  <c r="M396" i="23"/>
  <c r="L396" i="23"/>
  <c r="K396" i="23"/>
  <c r="I396" i="23"/>
  <c r="J396" i="23"/>
  <c r="N395" i="23"/>
  <c r="M395" i="23"/>
  <c r="L395" i="23"/>
  <c r="K395" i="23"/>
  <c r="I395" i="23"/>
  <c r="J395" i="23"/>
  <c r="N394" i="23"/>
  <c r="M394" i="23"/>
  <c r="L394" i="23"/>
  <c r="K394" i="23"/>
  <c r="I394" i="23"/>
  <c r="J394" i="23"/>
  <c r="N393" i="23"/>
  <c r="M393" i="23"/>
  <c r="L393" i="23"/>
  <c r="K393" i="23"/>
  <c r="I393" i="23"/>
  <c r="J393" i="23"/>
  <c r="N392" i="23"/>
  <c r="L392" i="23"/>
  <c r="M392" i="23"/>
  <c r="K392" i="23"/>
  <c r="I392" i="23"/>
  <c r="J392" i="23"/>
  <c r="N391" i="23"/>
  <c r="M391" i="23"/>
  <c r="L391" i="23"/>
  <c r="K391" i="23"/>
  <c r="I391" i="23"/>
  <c r="J391" i="23"/>
  <c r="N390" i="23"/>
  <c r="M390" i="23"/>
  <c r="L390" i="23"/>
  <c r="K390" i="23"/>
  <c r="J390" i="23"/>
  <c r="I390" i="23"/>
  <c r="N389" i="23"/>
  <c r="L389" i="23"/>
  <c r="M389" i="23"/>
  <c r="K389" i="23"/>
  <c r="I389" i="23"/>
  <c r="J389" i="23"/>
  <c r="N388" i="23"/>
  <c r="M388" i="23"/>
  <c r="L388" i="23"/>
  <c r="K388" i="23"/>
  <c r="I388" i="23"/>
  <c r="J388" i="23"/>
  <c r="N387" i="23"/>
  <c r="M387" i="23"/>
  <c r="L387" i="23"/>
  <c r="K387" i="23"/>
  <c r="I387" i="23"/>
  <c r="J387" i="23"/>
  <c r="N386" i="23"/>
  <c r="L386" i="23"/>
  <c r="M386" i="23"/>
  <c r="K386" i="23"/>
  <c r="J386" i="23"/>
  <c r="I386" i="23"/>
  <c r="N385" i="23"/>
  <c r="M385" i="23"/>
  <c r="L385" i="23"/>
  <c r="K385" i="23"/>
  <c r="J385" i="23"/>
  <c r="I385" i="23"/>
  <c r="N384" i="23"/>
  <c r="M384" i="23"/>
  <c r="L384" i="23"/>
  <c r="K384" i="23"/>
  <c r="J384" i="23"/>
  <c r="I384" i="23"/>
  <c r="N383" i="23"/>
  <c r="M383" i="23"/>
  <c r="L383" i="23"/>
  <c r="K383" i="23"/>
  <c r="I383" i="23"/>
  <c r="J383" i="23"/>
  <c r="N382" i="23"/>
  <c r="M382" i="23"/>
  <c r="L382" i="23"/>
  <c r="K382" i="23"/>
  <c r="I382" i="23"/>
  <c r="J382" i="23"/>
  <c r="N381" i="23"/>
  <c r="M381" i="23"/>
  <c r="L381" i="23"/>
  <c r="K381" i="23"/>
  <c r="I381" i="23"/>
  <c r="J381" i="23"/>
  <c r="N380" i="23"/>
  <c r="L380" i="23"/>
  <c r="M380" i="23"/>
  <c r="K380" i="23"/>
  <c r="J380" i="23"/>
  <c r="I380" i="23"/>
  <c r="N379" i="23"/>
  <c r="M379" i="23"/>
  <c r="L379" i="23"/>
  <c r="K379" i="23"/>
  <c r="J379" i="23"/>
  <c r="I379" i="23"/>
  <c r="N378" i="23"/>
  <c r="M378" i="23"/>
  <c r="L378" i="23"/>
  <c r="K378" i="23"/>
  <c r="I378" i="23"/>
  <c r="J378" i="23"/>
  <c r="N377" i="23"/>
  <c r="M377" i="23"/>
  <c r="L377" i="23"/>
  <c r="K377" i="23"/>
  <c r="I377" i="23"/>
  <c r="J377" i="23"/>
  <c r="N376" i="23"/>
  <c r="M376" i="23"/>
  <c r="L376" i="23"/>
  <c r="K376" i="23"/>
  <c r="I376" i="23"/>
  <c r="J376" i="23"/>
  <c r="N375" i="23"/>
  <c r="M375" i="23"/>
  <c r="L375" i="23"/>
  <c r="K375" i="23"/>
  <c r="I375" i="23"/>
  <c r="J375" i="23"/>
  <c r="N374" i="23"/>
  <c r="L374" i="23"/>
  <c r="M374" i="23"/>
  <c r="K374" i="23"/>
  <c r="I374" i="23"/>
  <c r="J374" i="23"/>
  <c r="N373" i="23"/>
  <c r="M373" i="23"/>
  <c r="L373" i="23"/>
  <c r="K373" i="23"/>
  <c r="I373" i="23"/>
  <c r="J373" i="23"/>
  <c r="N372" i="23"/>
  <c r="M372" i="23"/>
  <c r="L372" i="23"/>
  <c r="K372" i="23"/>
  <c r="I372" i="23"/>
  <c r="J372" i="23"/>
  <c r="N371" i="23"/>
  <c r="L371" i="23"/>
  <c r="M371" i="23"/>
  <c r="K371" i="23"/>
  <c r="J371" i="23"/>
  <c r="I371" i="23"/>
  <c r="N370" i="23"/>
  <c r="M370" i="23"/>
  <c r="L370" i="23"/>
  <c r="K370" i="23"/>
  <c r="I370" i="23"/>
  <c r="J370" i="23"/>
  <c r="N369" i="23"/>
  <c r="M369" i="23"/>
  <c r="L369" i="23"/>
  <c r="K369" i="23"/>
  <c r="I369" i="23"/>
  <c r="J369" i="23"/>
  <c r="N368" i="23"/>
  <c r="L368" i="23"/>
  <c r="M368" i="23"/>
  <c r="K368" i="23"/>
  <c r="J368" i="23"/>
  <c r="I368" i="23"/>
  <c r="N367" i="23"/>
  <c r="M367" i="23"/>
  <c r="L367" i="23"/>
  <c r="K367" i="23"/>
  <c r="I367" i="23"/>
  <c r="J367" i="23"/>
  <c r="N366" i="23"/>
  <c r="M366" i="23"/>
  <c r="L366" i="23"/>
  <c r="K366" i="23"/>
  <c r="J366" i="23"/>
  <c r="I366" i="23"/>
  <c r="N365" i="23"/>
  <c r="L365" i="23"/>
  <c r="M365" i="23"/>
  <c r="K365" i="23"/>
  <c r="I365" i="23"/>
  <c r="J365" i="23"/>
  <c r="N364" i="23"/>
  <c r="M364" i="23"/>
  <c r="L364" i="23"/>
  <c r="K364" i="23"/>
  <c r="I364" i="23"/>
  <c r="J364" i="23"/>
  <c r="N363" i="23"/>
  <c r="M363" i="23"/>
  <c r="L363" i="23"/>
  <c r="K363" i="23"/>
  <c r="I363" i="23"/>
  <c r="J363" i="23"/>
  <c r="N362" i="23"/>
  <c r="M362" i="23"/>
  <c r="L362" i="23"/>
  <c r="K362" i="23"/>
  <c r="I362" i="23"/>
  <c r="J362" i="23"/>
  <c r="N361" i="23"/>
  <c r="M361" i="23"/>
  <c r="L361" i="23"/>
  <c r="K361" i="23"/>
  <c r="J361" i="23"/>
  <c r="I361" i="23"/>
  <c r="N360" i="23"/>
  <c r="M360" i="23"/>
  <c r="L360" i="23"/>
  <c r="K360" i="23"/>
  <c r="I360" i="23"/>
  <c r="J360" i="23"/>
  <c r="N359" i="23"/>
  <c r="M359" i="23"/>
  <c r="L359" i="23"/>
  <c r="K359" i="23"/>
  <c r="J359" i="23"/>
  <c r="I359" i="23"/>
  <c r="N358" i="23"/>
  <c r="M358" i="23"/>
  <c r="L358" i="23"/>
  <c r="K358" i="23"/>
  <c r="I358" i="23"/>
  <c r="J358" i="23"/>
  <c r="N357" i="23"/>
  <c r="M357" i="23"/>
  <c r="L357" i="23"/>
  <c r="K357" i="23"/>
  <c r="I357" i="23"/>
  <c r="J357" i="23"/>
  <c r="N356" i="23"/>
  <c r="L356" i="23"/>
  <c r="M356" i="23"/>
  <c r="K356" i="23"/>
  <c r="I356" i="23"/>
  <c r="J356" i="23"/>
  <c r="N355" i="23"/>
  <c r="M355" i="23"/>
  <c r="L355" i="23"/>
  <c r="K355" i="23"/>
  <c r="I355" i="23"/>
  <c r="J355" i="23"/>
  <c r="N354" i="23"/>
  <c r="M354" i="23"/>
  <c r="L354" i="23"/>
  <c r="K354" i="23"/>
  <c r="I354" i="23"/>
  <c r="J354" i="23"/>
  <c r="N353" i="23"/>
  <c r="M353" i="23"/>
  <c r="L353" i="23"/>
  <c r="K353" i="23"/>
  <c r="J353" i="23"/>
  <c r="I353" i="23"/>
  <c r="N352" i="23"/>
  <c r="M352" i="23"/>
  <c r="L352" i="23"/>
  <c r="K352" i="23"/>
  <c r="I352" i="23"/>
  <c r="J352" i="23"/>
  <c r="N351" i="23"/>
  <c r="M351" i="23"/>
  <c r="L351" i="23"/>
  <c r="K351" i="23"/>
  <c r="I351" i="23"/>
  <c r="J351" i="23"/>
  <c r="N350" i="23"/>
  <c r="L350" i="23"/>
  <c r="M350" i="23"/>
  <c r="K350" i="23"/>
  <c r="J350" i="23"/>
  <c r="I350" i="23"/>
  <c r="N349" i="23"/>
  <c r="M349" i="23"/>
  <c r="L349" i="23"/>
  <c r="K349" i="23"/>
  <c r="I349" i="23"/>
  <c r="J349" i="23"/>
  <c r="N348" i="23"/>
  <c r="M348" i="23"/>
  <c r="L348" i="23"/>
  <c r="K348" i="23"/>
  <c r="J348" i="23"/>
  <c r="I348" i="23"/>
  <c r="N347" i="23"/>
  <c r="M347" i="23"/>
  <c r="L347" i="23"/>
  <c r="K347" i="23"/>
  <c r="I347" i="23"/>
  <c r="J347" i="23"/>
  <c r="N346" i="23"/>
  <c r="M346" i="23"/>
  <c r="L346" i="23"/>
  <c r="K346" i="23"/>
  <c r="I346" i="23"/>
  <c r="J346" i="23"/>
  <c r="N345" i="23"/>
  <c r="M345" i="23"/>
  <c r="L345" i="23"/>
  <c r="K345" i="23"/>
  <c r="I345" i="23"/>
  <c r="J345" i="23"/>
  <c r="N344" i="23"/>
  <c r="L344" i="23"/>
  <c r="M344" i="23"/>
  <c r="K344" i="23"/>
  <c r="I344" i="23"/>
  <c r="J344" i="23"/>
  <c r="N343" i="23"/>
  <c r="M343" i="23"/>
  <c r="L343" i="23"/>
  <c r="K343" i="23"/>
  <c r="J343" i="23"/>
  <c r="I343" i="23"/>
  <c r="N342" i="23"/>
  <c r="M342" i="23"/>
  <c r="L342" i="23"/>
  <c r="K342" i="23"/>
  <c r="I342" i="23"/>
  <c r="J342" i="23"/>
  <c r="N341" i="23"/>
  <c r="M341" i="23"/>
  <c r="L341" i="23"/>
  <c r="K341" i="23"/>
  <c r="I341" i="23"/>
  <c r="J341" i="23"/>
  <c r="N340" i="23"/>
  <c r="M340" i="23"/>
  <c r="L340" i="23"/>
  <c r="K340" i="23"/>
  <c r="I340" i="23"/>
  <c r="J340" i="23"/>
  <c r="N339" i="23"/>
  <c r="M339" i="23"/>
  <c r="L339" i="23"/>
  <c r="K339" i="23"/>
  <c r="I339" i="23"/>
  <c r="J339" i="23"/>
  <c r="N338" i="23"/>
  <c r="L338" i="23"/>
  <c r="M338" i="23"/>
  <c r="K338" i="23"/>
  <c r="I338" i="23"/>
  <c r="J338" i="23"/>
  <c r="N337" i="23"/>
  <c r="M337" i="23"/>
  <c r="L337" i="23"/>
  <c r="K337" i="23"/>
  <c r="I337" i="23"/>
  <c r="J337" i="23"/>
  <c r="N336" i="23"/>
  <c r="M336" i="23"/>
  <c r="L336" i="23"/>
  <c r="K336" i="23"/>
  <c r="J336" i="23"/>
  <c r="I336" i="23"/>
  <c r="N335" i="23"/>
  <c r="L335" i="23"/>
  <c r="M335" i="23"/>
  <c r="K335" i="23"/>
  <c r="I335" i="23"/>
  <c r="J335" i="23"/>
  <c r="N334" i="23"/>
  <c r="M334" i="23"/>
  <c r="L334" i="23"/>
  <c r="K334" i="23"/>
  <c r="I334" i="23"/>
  <c r="J334" i="23"/>
  <c r="N333" i="23"/>
  <c r="M333" i="23"/>
  <c r="L333" i="23"/>
  <c r="K333" i="23"/>
  <c r="I333" i="23"/>
  <c r="J333" i="23"/>
  <c r="N332" i="23"/>
  <c r="L332" i="23"/>
  <c r="M332" i="23"/>
  <c r="K332" i="23"/>
  <c r="J332" i="23"/>
  <c r="I332" i="23"/>
  <c r="N331" i="23"/>
  <c r="M331" i="23"/>
  <c r="L331" i="23"/>
  <c r="K331" i="23"/>
  <c r="J331" i="23"/>
  <c r="I331" i="23"/>
  <c r="N330" i="23"/>
  <c r="M330" i="23"/>
  <c r="L330" i="23"/>
  <c r="K330" i="23"/>
  <c r="J330" i="23"/>
  <c r="I330" i="23"/>
  <c r="N329" i="23"/>
  <c r="M329" i="23"/>
  <c r="L329" i="23"/>
  <c r="K329" i="23"/>
  <c r="I329" i="23"/>
  <c r="J329" i="23"/>
  <c r="N328" i="23"/>
  <c r="M328" i="23"/>
  <c r="L328" i="23"/>
  <c r="K328" i="23"/>
  <c r="I328" i="23"/>
  <c r="J328" i="23"/>
  <c r="N327" i="23"/>
  <c r="M327" i="23"/>
  <c r="L327" i="23"/>
  <c r="K327" i="23"/>
  <c r="I327" i="23"/>
  <c r="J327" i="23"/>
  <c r="N326" i="23"/>
  <c r="L326" i="23"/>
  <c r="M326" i="23"/>
  <c r="K326" i="23"/>
  <c r="J326" i="23"/>
  <c r="I326" i="23"/>
  <c r="N325" i="23"/>
  <c r="M325" i="23"/>
  <c r="L325" i="23"/>
  <c r="K325" i="23"/>
  <c r="J325" i="23"/>
  <c r="I325" i="23"/>
  <c r="N324" i="23"/>
  <c r="M324" i="23"/>
  <c r="L324" i="23"/>
  <c r="K324" i="23"/>
  <c r="I324" i="23"/>
  <c r="J324" i="23"/>
  <c r="N323" i="23"/>
  <c r="M323" i="23"/>
  <c r="L323" i="23"/>
  <c r="K323" i="23"/>
  <c r="J323" i="23"/>
  <c r="I323" i="23"/>
  <c r="N322" i="23"/>
  <c r="M322" i="23"/>
  <c r="L322" i="23"/>
  <c r="K322" i="23"/>
  <c r="I322" i="23"/>
  <c r="J322" i="23"/>
  <c r="N321" i="23"/>
  <c r="M321" i="23"/>
  <c r="L321" i="23"/>
  <c r="K321" i="23"/>
  <c r="I321" i="23"/>
  <c r="J321" i="23"/>
  <c r="N320" i="23"/>
  <c r="L320" i="23"/>
  <c r="M320" i="23"/>
  <c r="K320" i="23"/>
  <c r="I320" i="23"/>
  <c r="J320" i="23"/>
  <c r="N319" i="23"/>
  <c r="M319" i="23"/>
  <c r="L319" i="23"/>
  <c r="K319" i="23"/>
  <c r="I319" i="23"/>
  <c r="J319" i="23"/>
  <c r="N318" i="23"/>
  <c r="M318" i="23"/>
  <c r="L318" i="23"/>
  <c r="K318" i="23"/>
  <c r="J318" i="23"/>
  <c r="I318" i="23"/>
  <c r="N317" i="23"/>
  <c r="M317" i="23"/>
  <c r="L317" i="23"/>
  <c r="K317" i="23"/>
  <c r="J317" i="23"/>
  <c r="I317" i="23"/>
  <c r="N316" i="23"/>
  <c r="M316" i="23"/>
  <c r="L316" i="23"/>
  <c r="K316" i="23"/>
  <c r="I316" i="23"/>
  <c r="J316" i="23"/>
  <c r="N315" i="23"/>
  <c r="M315" i="23"/>
  <c r="L315" i="23"/>
  <c r="K315" i="23"/>
  <c r="I315" i="23"/>
  <c r="J315" i="23"/>
  <c r="N314" i="23"/>
  <c r="L314" i="23"/>
  <c r="M314" i="23"/>
  <c r="K314" i="23"/>
  <c r="J314" i="23"/>
  <c r="I314" i="23"/>
  <c r="N313" i="23"/>
  <c r="M313" i="23"/>
  <c r="L313" i="23"/>
  <c r="K313" i="23"/>
  <c r="I313" i="23"/>
  <c r="J313" i="23"/>
  <c r="N312" i="23"/>
  <c r="M312" i="23"/>
  <c r="L312" i="23"/>
  <c r="K312" i="23"/>
  <c r="J312" i="23"/>
  <c r="I312" i="23"/>
  <c r="N311" i="23"/>
  <c r="L311" i="23"/>
  <c r="M311" i="23"/>
  <c r="K311" i="23"/>
  <c r="I311" i="23"/>
  <c r="J311" i="23"/>
  <c r="N310" i="23"/>
  <c r="M310" i="23"/>
  <c r="L310" i="23"/>
  <c r="K310" i="23"/>
  <c r="I310" i="23"/>
  <c r="J310" i="23"/>
  <c r="N309" i="23"/>
  <c r="M309" i="23"/>
  <c r="L309" i="23"/>
  <c r="K309" i="23"/>
  <c r="I309" i="23"/>
  <c r="J309" i="23"/>
  <c r="N308" i="23"/>
  <c r="M308" i="23"/>
  <c r="L308" i="23"/>
  <c r="K308" i="23"/>
  <c r="I308" i="23"/>
  <c r="J308" i="23"/>
  <c r="N307" i="23"/>
  <c r="M307" i="23"/>
  <c r="L307" i="23"/>
  <c r="K307" i="23"/>
  <c r="J307" i="23"/>
  <c r="I307" i="23"/>
  <c r="N306" i="23"/>
  <c r="M306" i="23"/>
  <c r="L306" i="23"/>
  <c r="K306" i="23"/>
  <c r="I306" i="23"/>
  <c r="J306" i="23"/>
  <c r="N305" i="23"/>
  <c r="M305" i="23"/>
  <c r="L305" i="23"/>
  <c r="K305" i="23"/>
  <c r="J305" i="23"/>
  <c r="I305" i="23"/>
  <c r="N304" i="23"/>
  <c r="M304" i="23"/>
  <c r="L304" i="23"/>
  <c r="K304" i="23"/>
  <c r="I304" i="23"/>
  <c r="J304" i="23"/>
  <c r="N303" i="23"/>
  <c r="M303" i="23"/>
  <c r="L303" i="23"/>
  <c r="K303" i="23"/>
  <c r="I303" i="23"/>
  <c r="J303" i="23"/>
  <c r="N302" i="23"/>
  <c r="L302" i="23"/>
  <c r="M302" i="23"/>
  <c r="K302" i="23"/>
  <c r="I302" i="23"/>
  <c r="J302" i="23"/>
  <c r="N301" i="23"/>
  <c r="M301" i="23"/>
  <c r="L301" i="23"/>
  <c r="K301" i="23"/>
  <c r="I301" i="23"/>
  <c r="J301" i="23"/>
  <c r="N300" i="23"/>
  <c r="M300" i="23"/>
  <c r="L300" i="23"/>
  <c r="K300" i="23"/>
  <c r="I300" i="23"/>
  <c r="J300" i="23"/>
  <c r="N299" i="23"/>
  <c r="M299" i="23"/>
  <c r="L299" i="23"/>
  <c r="K299" i="23"/>
  <c r="I299" i="23"/>
  <c r="J299" i="23"/>
  <c r="N298" i="23"/>
  <c r="M298" i="23"/>
  <c r="L298" i="23"/>
  <c r="K298" i="23"/>
  <c r="I298" i="23"/>
  <c r="J298" i="23"/>
  <c r="N297" i="23"/>
  <c r="M297" i="23"/>
  <c r="L297" i="23"/>
  <c r="K297" i="23"/>
  <c r="I297" i="23"/>
  <c r="J297" i="23"/>
  <c r="N296" i="23"/>
  <c r="L296" i="23"/>
  <c r="M296" i="23"/>
  <c r="K296" i="23"/>
  <c r="J296" i="23"/>
  <c r="I296" i="23"/>
  <c r="N295" i="23"/>
  <c r="M295" i="23"/>
  <c r="L295" i="23"/>
  <c r="K295" i="23"/>
  <c r="I295" i="23"/>
  <c r="J295" i="23"/>
  <c r="N294" i="23"/>
  <c r="M294" i="23"/>
  <c r="L294" i="23"/>
  <c r="K294" i="23"/>
  <c r="J294" i="23"/>
  <c r="I294" i="23"/>
  <c r="N293" i="23"/>
  <c r="L293" i="23"/>
  <c r="M293" i="23"/>
  <c r="K293" i="23"/>
  <c r="I293" i="23"/>
  <c r="J293" i="23"/>
  <c r="N292" i="23"/>
  <c r="M292" i="23"/>
  <c r="L292" i="23"/>
  <c r="K292" i="23"/>
  <c r="J292" i="23"/>
  <c r="I292" i="23"/>
  <c r="N291" i="23"/>
  <c r="M291" i="23"/>
  <c r="L291" i="23"/>
  <c r="K291" i="23"/>
  <c r="I291" i="23"/>
  <c r="J291" i="23"/>
  <c r="N290" i="23"/>
  <c r="L290" i="23"/>
  <c r="M290" i="23"/>
  <c r="K290" i="23"/>
  <c r="I290" i="23"/>
  <c r="J290" i="23"/>
  <c r="N289" i="23"/>
  <c r="M289" i="23"/>
  <c r="L289" i="23"/>
  <c r="K289" i="23"/>
  <c r="J289" i="23"/>
  <c r="I289" i="23"/>
  <c r="N288" i="23"/>
  <c r="M288" i="23"/>
  <c r="L288" i="23"/>
  <c r="K288" i="23"/>
  <c r="I288" i="23"/>
  <c r="J288" i="23"/>
  <c r="N287" i="23"/>
  <c r="M287" i="23"/>
  <c r="L287" i="23"/>
  <c r="K287" i="23"/>
  <c r="I287" i="23"/>
  <c r="J287" i="23"/>
  <c r="N286" i="23"/>
  <c r="M286" i="23"/>
  <c r="L286" i="23"/>
  <c r="K286" i="23"/>
  <c r="I286" i="23"/>
  <c r="J286" i="23"/>
  <c r="N285" i="23"/>
  <c r="M285" i="23"/>
  <c r="L285" i="23"/>
  <c r="K285" i="23"/>
  <c r="I285" i="23"/>
  <c r="J285" i="23"/>
  <c r="N284" i="23"/>
  <c r="L284" i="23"/>
  <c r="M284" i="23"/>
  <c r="K284" i="23"/>
  <c r="I284" i="23"/>
  <c r="J284" i="23"/>
  <c r="N283" i="23"/>
  <c r="M283" i="23"/>
  <c r="L283" i="23"/>
  <c r="K283" i="23"/>
  <c r="I283" i="23"/>
  <c r="J283" i="23"/>
  <c r="N282" i="23"/>
  <c r="M282" i="23"/>
  <c r="L282" i="23"/>
  <c r="K282" i="23"/>
  <c r="J282" i="23"/>
  <c r="I282" i="23"/>
  <c r="N281" i="23"/>
  <c r="L281" i="23"/>
  <c r="M281" i="23"/>
  <c r="K281" i="23"/>
  <c r="I281" i="23"/>
  <c r="J281" i="23"/>
  <c r="N280" i="23"/>
  <c r="M280" i="23"/>
  <c r="L280" i="23"/>
  <c r="K280" i="23"/>
  <c r="I280" i="23"/>
  <c r="J280" i="23"/>
  <c r="N279" i="23"/>
  <c r="M279" i="23"/>
  <c r="L279" i="23"/>
  <c r="K279" i="23"/>
  <c r="J279" i="23"/>
  <c r="I279" i="23"/>
  <c r="N278" i="23"/>
  <c r="L278" i="23"/>
  <c r="M278" i="23"/>
  <c r="K278" i="23"/>
  <c r="J278" i="23"/>
  <c r="I278" i="23"/>
  <c r="N277" i="23"/>
  <c r="M277" i="23"/>
  <c r="L277" i="23"/>
  <c r="K277" i="23"/>
  <c r="J277" i="23"/>
  <c r="I277" i="23"/>
  <c r="N276" i="23"/>
  <c r="M276" i="23"/>
  <c r="L276" i="23"/>
  <c r="K276" i="23"/>
  <c r="J276" i="23"/>
  <c r="I276" i="23"/>
  <c r="N275" i="23"/>
  <c r="M275" i="23"/>
  <c r="L275" i="23"/>
  <c r="K275" i="23"/>
  <c r="I275" i="23"/>
  <c r="J275" i="23"/>
  <c r="N274" i="23"/>
  <c r="M274" i="23"/>
  <c r="L274" i="23"/>
  <c r="K274" i="23"/>
  <c r="I274" i="23"/>
  <c r="J274" i="23"/>
  <c r="N273" i="23"/>
  <c r="M273" i="23"/>
  <c r="L273" i="23"/>
  <c r="K273" i="23"/>
  <c r="I273" i="23"/>
  <c r="J273" i="23"/>
  <c r="N272" i="23"/>
  <c r="L272" i="23"/>
  <c r="M272" i="23"/>
  <c r="K272" i="23"/>
  <c r="J272" i="23"/>
  <c r="I272" i="23"/>
  <c r="N271" i="23"/>
  <c r="M271" i="23"/>
  <c r="L271" i="23"/>
  <c r="K271" i="23"/>
  <c r="J271" i="23"/>
  <c r="I271" i="23"/>
  <c r="N270" i="23"/>
  <c r="M270" i="23"/>
  <c r="L270" i="23"/>
  <c r="K270" i="23"/>
  <c r="I270" i="23"/>
  <c r="J270" i="23"/>
  <c r="N269" i="23"/>
  <c r="M269" i="23"/>
  <c r="L269" i="23"/>
  <c r="K269" i="23"/>
  <c r="I269" i="23"/>
  <c r="J269" i="23"/>
  <c r="N268" i="23"/>
  <c r="M268" i="23"/>
  <c r="L268" i="23"/>
  <c r="K268" i="23"/>
  <c r="I268" i="23"/>
  <c r="J268" i="23"/>
  <c r="N267" i="23"/>
  <c r="M267" i="23"/>
  <c r="L267" i="23"/>
  <c r="K267" i="23"/>
  <c r="I267" i="23"/>
  <c r="J267" i="23"/>
  <c r="N266" i="23"/>
  <c r="L266" i="23"/>
  <c r="M266" i="23"/>
  <c r="K266" i="23"/>
  <c r="I266" i="23"/>
  <c r="J266" i="23"/>
  <c r="N265" i="23"/>
  <c r="M265" i="23"/>
  <c r="L265" i="23"/>
  <c r="K265" i="23"/>
  <c r="I265" i="23"/>
  <c r="J265" i="23"/>
  <c r="N264" i="23"/>
  <c r="M264" i="23"/>
  <c r="L264" i="23"/>
  <c r="K264" i="23"/>
  <c r="I264" i="23"/>
  <c r="J264" i="23"/>
  <c r="N263" i="23"/>
  <c r="L263" i="23"/>
  <c r="M263" i="23"/>
  <c r="K263" i="23"/>
  <c r="J263" i="23"/>
  <c r="I263" i="23"/>
  <c r="N262" i="23"/>
  <c r="M262" i="23"/>
  <c r="L262" i="23"/>
  <c r="K262" i="23"/>
  <c r="J262" i="23"/>
  <c r="I262" i="23"/>
  <c r="N261" i="23"/>
  <c r="M261" i="23"/>
  <c r="L261" i="23"/>
  <c r="K261" i="23"/>
  <c r="I261" i="23"/>
  <c r="J261" i="23"/>
  <c r="N260" i="23"/>
  <c r="L260" i="23"/>
  <c r="M260" i="23"/>
  <c r="K260" i="23"/>
  <c r="J260" i="23"/>
  <c r="I260" i="23"/>
  <c r="N259" i="23"/>
  <c r="M259" i="23"/>
  <c r="L259" i="23"/>
  <c r="K259" i="23"/>
  <c r="J259" i="23"/>
  <c r="I259" i="23"/>
  <c r="N258" i="23"/>
  <c r="M258" i="23"/>
  <c r="L258" i="23"/>
  <c r="K258" i="23"/>
  <c r="J258" i="23"/>
  <c r="I258" i="23"/>
  <c r="N257" i="23"/>
  <c r="L257" i="23"/>
  <c r="M257" i="23"/>
  <c r="K257" i="23"/>
  <c r="I257" i="23"/>
  <c r="J257" i="23"/>
  <c r="N256" i="23"/>
  <c r="M256" i="23"/>
  <c r="L256" i="23"/>
  <c r="K256" i="23"/>
  <c r="I256" i="23"/>
  <c r="J256" i="23"/>
  <c r="N255" i="23"/>
  <c r="M255" i="23"/>
  <c r="L255" i="23"/>
  <c r="K255" i="23"/>
  <c r="I255" i="23"/>
  <c r="J255" i="23"/>
  <c r="N254" i="23"/>
  <c r="M254" i="23"/>
  <c r="L254" i="23"/>
  <c r="K254" i="23"/>
  <c r="I254" i="23"/>
  <c r="J254" i="23"/>
  <c r="N253" i="23"/>
  <c r="M253" i="23"/>
  <c r="L253" i="23"/>
  <c r="K253" i="23"/>
  <c r="J253" i="23"/>
  <c r="I253" i="23"/>
  <c r="N252" i="23"/>
  <c r="M252" i="23"/>
  <c r="L252" i="23"/>
  <c r="K252" i="23"/>
  <c r="J252" i="23"/>
  <c r="I252" i="23"/>
  <c r="N251" i="23"/>
  <c r="M251" i="23"/>
  <c r="L251" i="23"/>
  <c r="K251" i="23"/>
  <c r="J251" i="23"/>
  <c r="I251" i="23"/>
  <c r="N250" i="23"/>
  <c r="M250" i="23"/>
  <c r="L250" i="23"/>
  <c r="K250" i="23"/>
  <c r="I250" i="23"/>
  <c r="J250" i="23"/>
  <c r="N249" i="23"/>
  <c r="M249" i="23"/>
  <c r="L249" i="23"/>
  <c r="K249" i="23"/>
  <c r="I249" i="23"/>
  <c r="J249" i="23"/>
  <c r="N248" i="23"/>
  <c r="L248" i="23"/>
  <c r="M248" i="23"/>
  <c r="K248" i="23"/>
  <c r="I248" i="23"/>
  <c r="J248" i="23"/>
  <c r="N247" i="23"/>
  <c r="M247" i="23"/>
  <c r="L247" i="23"/>
  <c r="K247" i="23"/>
  <c r="I247" i="23"/>
  <c r="J247" i="23"/>
  <c r="N246" i="23"/>
  <c r="M246" i="23"/>
  <c r="L246" i="23"/>
  <c r="K246" i="23"/>
  <c r="I246" i="23"/>
  <c r="J246" i="23"/>
  <c r="N245" i="23"/>
  <c r="M245" i="23"/>
  <c r="L245" i="23"/>
  <c r="K245" i="23"/>
  <c r="I245" i="23"/>
  <c r="J245" i="23"/>
  <c r="N244" i="23"/>
  <c r="M244" i="23"/>
  <c r="L244" i="23"/>
  <c r="K244" i="23"/>
  <c r="I244" i="23"/>
  <c r="J244" i="23"/>
  <c r="N243" i="23"/>
  <c r="M243" i="23"/>
  <c r="L243" i="23"/>
  <c r="K243" i="23"/>
  <c r="I243" i="23"/>
  <c r="J243" i="23"/>
  <c r="N242" i="23"/>
  <c r="L242" i="23"/>
  <c r="M242" i="23"/>
  <c r="K242" i="23"/>
  <c r="J242" i="23"/>
  <c r="I242" i="23"/>
  <c r="N241" i="23"/>
  <c r="M241" i="23"/>
  <c r="L241" i="23"/>
  <c r="K241" i="23"/>
  <c r="I241" i="23"/>
  <c r="J241" i="23"/>
  <c r="N240" i="23"/>
  <c r="M240" i="23"/>
  <c r="L240" i="23"/>
  <c r="K240" i="23"/>
  <c r="J240" i="23"/>
  <c r="I240" i="23"/>
  <c r="N239" i="23"/>
  <c r="L239" i="23"/>
  <c r="M239" i="23"/>
  <c r="K239" i="23"/>
  <c r="J239" i="23"/>
  <c r="I239" i="23"/>
  <c r="N238" i="23"/>
  <c r="M238" i="23"/>
  <c r="L238" i="23"/>
  <c r="K238" i="23"/>
  <c r="I238" i="23"/>
  <c r="J238" i="23"/>
  <c r="N237" i="23"/>
  <c r="M237" i="23"/>
  <c r="L237" i="23"/>
  <c r="K237" i="23"/>
  <c r="I237" i="23"/>
  <c r="J237" i="23"/>
  <c r="N236" i="23"/>
  <c r="L236" i="23"/>
  <c r="M236" i="23"/>
  <c r="K236" i="23"/>
  <c r="J236" i="23"/>
  <c r="I236" i="23"/>
  <c r="N235" i="23"/>
  <c r="M235" i="23"/>
  <c r="L235" i="23"/>
  <c r="K235" i="23"/>
  <c r="J235" i="23"/>
  <c r="I235" i="23"/>
  <c r="N234" i="23"/>
  <c r="M234" i="23"/>
  <c r="L234" i="23"/>
  <c r="K234" i="23"/>
  <c r="I234" i="23"/>
  <c r="J234" i="23"/>
  <c r="N233" i="23"/>
  <c r="L233" i="23"/>
  <c r="M233" i="23"/>
  <c r="K233" i="23"/>
  <c r="J233" i="23"/>
  <c r="I233" i="23"/>
  <c r="N232" i="23"/>
  <c r="L232" i="23"/>
  <c r="M232" i="23"/>
  <c r="K232" i="23"/>
  <c r="I232" i="23"/>
  <c r="J232" i="23"/>
  <c r="N231" i="23"/>
  <c r="M231" i="23"/>
  <c r="L231" i="23"/>
  <c r="K231" i="23"/>
  <c r="J231" i="23"/>
  <c r="I231" i="23"/>
  <c r="N230" i="23"/>
  <c r="M230" i="23"/>
  <c r="L230" i="23"/>
  <c r="K230" i="23"/>
  <c r="I230" i="23"/>
  <c r="J230" i="23"/>
  <c r="N229" i="23"/>
  <c r="M229" i="23"/>
  <c r="L229" i="23"/>
  <c r="K229" i="23"/>
  <c r="J229" i="23"/>
  <c r="I229" i="23"/>
  <c r="N228" i="23"/>
  <c r="M228" i="23"/>
  <c r="L228" i="23"/>
  <c r="K228" i="23"/>
  <c r="I228" i="23"/>
  <c r="J228" i="23"/>
  <c r="N227" i="23"/>
  <c r="L227" i="23"/>
  <c r="M227" i="23"/>
  <c r="K227" i="23"/>
  <c r="J227" i="23"/>
  <c r="I227" i="23"/>
  <c r="N226" i="23"/>
  <c r="M226" i="23"/>
  <c r="L226" i="23"/>
  <c r="K226" i="23"/>
  <c r="I226" i="23"/>
  <c r="J226" i="23"/>
  <c r="N225" i="23"/>
  <c r="M225" i="23"/>
  <c r="L225" i="23"/>
  <c r="K225" i="23"/>
  <c r="I225" i="23"/>
  <c r="J225" i="23"/>
  <c r="N224" i="23"/>
  <c r="M224" i="23"/>
  <c r="L224" i="23"/>
  <c r="K224" i="23"/>
  <c r="I224" i="23"/>
  <c r="J224" i="23"/>
  <c r="N223" i="23"/>
  <c r="M223" i="23"/>
  <c r="L223" i="23"/>
  <c r="K223" i="23"/>
  <c r="I223" i="23"/>
  <c r="J223" i="23"/>
  <c r="N222" i="23"/>
  <c r="M222" i="23"/>
  <c r="L222" i="23"/>
  <c r="K222" i="23"/>
  <c r="J222" i="23"/>
  <c r="I222" i="23"/>
  <c r="N221" i="23"/>
  <c r="M221" i="23"/>
  <c r="L221" i="23"/>
  <c r="K221" i="23"/>
  <c r="I221" i="23"/>
  <c r="J221" i="23"/>
  <c r="N220" i="23"/>
  <c r="L220" i="23"/>
  <c r="M220" i="23"/>
  <c r="K220" i="23"/>
  <c r="J220" i="23"/>
  <c r="I220" i="23"/>
  <c r="N219" i="23"/>
  <c r="M219" i="23"/>
  <c r="L219" i="23"/>
  <c r="K219" i="23"/>
  <c r="J219" i="23"/>
  <c r="I219" i="23"/>
  <c r="N218" i="23"/>
  <c r="L218" i="23"/>
  <c r="M218" i="23"/>
  <c r="K218" i="23"/>
  <c r="J218" i="23"/>
  <c r="I218" i="23"/>
  <c r="N217" i="23"/>
  <c r="L217" i="23"/>
  <c r="M217" i="23"/>
  <c r="K217" i="23"/>
  <c r="J217" i="23"/>
  <c r="I217" i="23"/>
  <c r="N216" i="23"/>
  <c r="M216" i="23"/>
  <c r="L216" i="23"/>
  <c r="K216" i="23"/>
  <c r="I216" i="23"/>
  <c r="J216" i="23"/>
  <c r="N215" i="23"/>
  <c r="M215" i="23"/>
  <c r="L215" i="23"/>
  <c r="K215" i="23"/>
  <c r="I215" i="23"/>
  <c r="J215" i="23"/>
  <c r="N214" i="23"/>
  <c r="M214" i="23"/>
  <c r="L214" i="23"/>
  <c r="K214" i="23"/>
  <c r="I214" i="23"/>
  <c r="J214" i="23"/>
  <c r="N213" i="23"/>
  <c r="M213" i="23"/>
  <c r="L213" i="23"/>
  <c r="K213" i="23"/>
  <c r="J213" i="23"/>
  <c r="I213" i="23"/>
  <c r="N212" i="23"/>
  <c r="M212" i="23"/>
  <c r="L212" i="23"/>
  <c r="K212" i="23"/>
  <c r="J212" i="23"/>
  <c r="I212" i="23"/>
  <c r="N211" i="23"/>
  <c r="L211" i="23"/>
  <c r="M211" i="23"/>
  <c r="K211" i="23"/>
  <c r="J211" i="23"/>
  <c r="I211" i="23"/>
  <c r="N210" i="23"/>
  <c r="M210" i="23"/>
  <c r="L210" i="23"/>
  <c r="K210" i="23"/>
  <c r="I210" i="23"/>
  <c r="J210" i="23"/>
  <c r="N209" i="23"/>
  <c r="L209" i="23"/>
  <c r="M209" i="23"/>
  <c r="K209" i="23"/>
  <c r="I209" i="23"/>
  <c r="J209" i="23"/>
  <c r="N208" i="23"/>
  <c r="L208" i="23"/>
  <c r="M208" i="23"/>
  <c r="K208" i="23"/>
  <c r="I208" i="23"/>
  <c r="J208" i="23"/>
  <c r="N207" i="23"/>
  <c r="M207" i="23"/>
  <c r="L207" i="23"/>
  <c r="K207" i="23"/>
  <c r="I207" i="23"/>
  <c r="J207" i="23"/>
  <c r="N206" i="23"/>
  <c r="M206" i="23"/>
  <c r="L206" i="23"/>
  <c r="K206" i="23"/>
  <c r="J206" i="23"/>
  <c r="I206" i="23"/>
  <c r="N205" i="23"/>
  <c r="L205" i="23"/>
  <c r="M205" i="23"/>
  <c r="K205" i="23"/>
  <c r="I205" i="23"/>
  <c r="J205" i="23"/>
  <c r="N204" i="23"/>
  <c r="M204" i="23"/>
  <c r="L204" i="23"/>
  <c r="K204" i="23"/>
  <c r="J204" i="23"/>
  <c r="I204" i="23"/>
  <c r="N203" i="23"/>
  <c r="L203" i="23"/>
  <c r="M203" i="23"/>
  <c r="K203" i="23"/>
  <c r="J203" i="23"/>
  <c r="I203" i="23"/>
  <c r="N202" i="23"/>
  <c r="M202" i="23"/>
  <c r="L202" i="23"/>
  <c r="K202" i="23"/>
  <c r="I202" i="23"/>
  <c r="J202" i="23"/>
  <c r="N201" i="23"/>
  <c r="M201" i="23"/>
  <c r="L201" i="23"/>
  <c r="K201" i="23"/>
  <c r="J201" i="23"/>
  <c r="I201" i="23"/>
  <c r="N200" i="23"/>
  <c r="M200" i="23"/>
  <c r="L200" i="23"/>
  <c r="K200" i="23"/>
  <c r="J200" i="23"/>
  <c r="I200" i="23"/>
  <c r="N199" i="23"/>
  <c r="L199" i="23"/>
  <c r="M199" i="23"/>
  <c r="K199" i="23"/>
  <c r="I199" i="23"/>
  <c r="J199" i="23"/>
  <c r="N198" i="23"/>
  <c r="M198" i="23"/>
  <c r="L198" i="23"/>
  <c r="K198" i="23"/>
  <c r="I198" i="23"/>
  <c r="J198" i="23"/>
  <c r="N197" i="23"/>
  <c r="L197" i="23"/>
  <c r="M197" i="23"/>
  <c r="K197" i="23"/>
  <c r="I197" i="23"/>
  <c r="J197" i="23"/>
  <c r="N196" i="23"/>
  <c r="L196" i="23"/>
  <c r="M196" i="23"/>
  <c r="K196" i="23"/>
  <c r="I196" i="23"/>
  <c r="J196" i="23"/>
  <c r="N195" i="23"/>
  <c r="M195" i="23"/>
  <c r="L195" i="23"/>
  <c r="K195" i="23"/>
  <c r="J195" i="23"/>
  <c r="I195" i="23"/>
  <c r="N194" i="23"/>
  <c r="M194" i="23"/>
  <c r="L194" i="23"/>
  <c r="K194" i="23"/>
  <c r="I194" i="23"/>
  <c r="J194" i="23"/>
  <c r="N193" i="23"/>
  <c r="M193" i="23"/>
  <c r="L193" i="23"/>
  <c r="K193" i="23"/>
  <c r="I193" i="23"/>
  <c r="J193" i="23"/>
  <c r="N192" i="23"/>
  <c r="M192" i="23"/>
  <c r="L192" i="23"/>
  <c r="K192" i="23"/>
  <c r="I192" i="23"/>
  <c r="J192" i="23"/>
  <c r="N191" i="23"/>
  <c r="M191" i="23"/>
  <c r="L191" i="23"/>
  <c r="K191" i="23"/>
  <c r="J191" i="23"/>
  <c r="I191" i="23"/>
  <c r="N190" i="23"/>
  <c r="L190" i="23"/>
  <c r="M190" i="23"/>
  <c r="K190" i="23"/>
  <c r="I190" i="23"/>
  <c r="J190" i="23"/>
  <c r="N189" i="23"/>
  <c r="M189" i="23"/>
  <c r="L189" i="23"/>
  <c r="K189" i="23"/>
  <c r="J189" i="23"/>
  <c r="I189" i="23"/>
  <c r="N188" i="23"/>
  <c r="L188" i="23"/>
  <c r="M188" i="23"/>
  <c r="K188" i="23"/>
  <c r="J188" i="23"/>
  <c r="I188" i="23"/>
  <c r="N187" i="23"/>
  <c r="L187" i="23"/>
  <c r="M187" i="23"/>
  <c r="K187" i="23"/>
  <c r="I187" i="23"/>
  <c r="J187" i="23"/>
  <c r="N186" i="23"/>
  <c r="M186" i="23"/>
  <c r="L186" i="23"/>
  <c r="K186" i="23"/>
  <c r="J186" i="23"/>
  <c r="I186" i="23"/>
  <c r="N185" i="23"/>
  <c r="L185" i="23"/>
  <c r="M185" i="23"/>
  <c r="K185" i="23"/>
  <c r="I185" i="23"/>
  <c r="J185" i="23"/>
  <c r="N184" i="23"/>
  <c r="M184" i="23"/>
  <c r="L184" i="23"/>
  <c r="K184" i="23"/>
  <c r="J184" i="23"/>
  <c r="I184" i="23"/>
  <c r="N183" i="23"/>
  <c r="M183" i="23"/>
  <c r="L183" i="23"/>
  <c r="K183" i="23"/>
  <c r="J183" i="23"/>
  <c r="I183" i="23"/>
  <c r="N182" i="23"/>
  <c r="L182" i="23"/>
  <c r="M182" i="23"/>
  <c r="K182" i="23"/>
  <c r="I182" i="23"/>
  <c r="J182" i="23"/>
  <c r="N181" i="23"/>
  <c r="L181" i="23"/>
  <c r="M181" i="23"/>
  <c r="K181" i="23"/>
  <c r="I181" i="23"/>
  <c r="J181" i="23"/>
  <c r="N180" i="23"/>
  <c r="M180" i="23"/>
  <c r="L180" i="23"/>
  <c r="K180" i="23"/>
  <c r="I180" i="23"/>
  <c r="J180" i="23"/>
  <c r="N179" i="23"/>
  <c r="M179" i="23"/>
  <c r="L179" i="23"/>
  <c r="K179" i="23"/>
  <c r="J179" i="23"/>
  <c r="I179" i="23"/>
  <c r="N178" i="23"/>
  <c r="L178" i="23"/>
  <c r="M178" i="23"/>
  <c r="K178" i="23"/>
  <c r="J178" i="23"/>
  <c r="I178" i="23"/>
  <c r="N177" i="23"/>
  <c r="M177" i="23"/>
  <c r="L177" i="23"/>
  <c r="K177" i="23"/>
  <c r="I177" i="23"/>
  <c r="J177" i="23"/>
  <c r="N176" i="23"/>
  <c r="M176" i="23"/>
  <c r="L176" i="23"/>
  <c r="K176" i="23"/>
  <c r="I176" i="23"/>
  <c r="J176" i="23"/>
  <c r="N175" i="23"/>
  <c r="M175" i="23"/>
  <c r="L175" i="23"/>
  <c r="K175" i="23"/>
  <c r="J175" i="23"/>
  <c r="I175" i="23"/>
  <c r="N174" i="23"/>
  <c r="M174" i="23"/>
  <c r="L174" i="23"/>
  <c r="K174" i="23"/>
  <c r="J174" i="23"/>
  <c r="I174" i="23"/>
  <c r="N173" i="23"/>
  <c r="L173" i="23"/>
  <c r="M173" i="23"/>
  <c r="K173" i="23"/>
  <c r="I173" i="23"/>
  <c r="J173" i="23"/>
  <c r="N172" i="23"/>
  <c r="L172" i="23"/>
  <c r="M172" i="23"/>
  <c r="K172" i="23"/>
  <c r="I172" i="23"/>
  <c r="J172" i="23"/>
  <c r="N171" i="23"/>
  <c r="M171" i="23"/>
  <c r="L171" i="23"/>
  <c r="K171" i="23"/>
  <c r="I171" i="23"/>
  <c r="J171" i="23"/>
  <c r="N170" i="23"/>
  <c r="M170" i="23"/>
  <c r="L170" i="23"/>
  <c r="K170" i="23"/>
  <c r="J170" i="23"/>
  <c r="I170" i="23"/>
  <c r="N169" i="23"/>
  <c r="L169" i="23"/>
  <c r="M169" i="23"/>
  <c r="K169" i="23"/>
  <c r="J169" i="23"/>
  <c r="I169" i="23"/>
  <c r="N168" i="23"/>
  <c r="M168" i="23"/>
  <c r="L168" i="23"/>
  <c r="K168" i="23"/>
  <c r="I168" i="23"/>
  <c r="J168" i="23"/>
  <c r="N167" i="23"/>
  <c r="L167" i="23"/>
  <c r="M167" i="23"/>
  <c r="K167" i="23"/>
  <c r="J167" i="23"/>
  <c r="I167" i="23"/>
  <c r="N166" i="23"/>
  <c r="L166" i="23"/>
  <c r="M166" i="23"/>
  <c r="K166" i="23"/>
  <c r="I166" i="23"/>
  <c r="J166" i="23"/>
  <c r="N165" i="23"/>
  <c r="M165" i="23"/>
  <c r="L165" i="23"/>
  <c r="K165" i="23"/>
  <c r="J165" i="23"/>
  <c r="I165" i="23"/>
  <c r="N164" i="23"/>
  <c r="L164" i="23"/>
  <c r="M164" i="23"/>
  <c r="K164" i="23"/>
  <c r="I164" i="23"/>
  <c r="J164" i="23"/>
  <c r="N163" i="23"/>
  <c r="M163" i="23"/>
  <c r="L163" i="23"/>
  <c r="K163" i="23"/>
  <c r="J163" i="23"/>
  <c r="I163" i="23"/>
  <c r="N162" i="23"/>
  <c r="M162" i="23"/>
  <c r="L162" i="23"/>
  <c r="K162" i="23"/>
  <c r="I162" i="23"/>
  <c r="J162" i="23"/>
  <c r="N161" i="23"/>
  <c r="L161" i="23"/>
  <c r="M161" i="23"/>
  <c r="K161" i="23"/>
  <c r="J161" i="23"/>
  <c r="I161" i="23"/>
  <c r="N160" i="23"/>
  <c r="L160" i="23"/>
  <c r="M160" i="23"/>
  <c r="K160" i="23"/>
  <c r="J160" i="23"/>
  <c r="I160" i="23"/>
  <c r="N159" i="23"/>
  <c r="M159" i="23"/>
  <c r="L159" i="23"/>
  <c r="K159" i="23"/>
  <c r="J159" i="23"/>
  <c r="I159" i="23"/>
  <c r="N158" i="23"/>
  <c r="L158" i="23"/>
  <c r="M158" i="23"/>
  <c r="K158" i="23"/>
  <c r="J158" i="23"/>
  <c r="I158" i="23"/>
  <c r="N157" i="23"/>
  <c r="M157" i="23"/>
  <c r="L157" i="23"/>
  <c r="K157" i="23"/>
  <c r="J157" i="23"/>
  <c r="I157" i="23"/>
  <c r="N156" i="23"/>
  <c r="M156" i="23"/>
  <c r="L156" i="23"/>
  <c r="K156" i="23"/>
  <c r="I156" i="23"/>
  <c r="J156" i="23"/>
  <c r="N155" i="23"/>
  <c r="M155" i="23"/>
  <c r="L155" i="23"/>
  <c r="K155" i="23"/>
  <c r="I155" i="23"/>
  <c r="J155" i="23"/>
  <c r="N154" i="23"/>
  <c r="L154" i="23"/>
  <c r="M154" i="23"/>
  <c r="K154" i="23"/>
  <c r="I154" i="23"/>
  <c r="J154" i="23"/>
  <c r="N153" i="23"/>
  <c r="M153" i="23"/>
  <c r="L153" i="23"/>
  <c r="K153" i="23"/>
  <c r="J153" i="23"/>
  <c r="I153" i="23"/>
  <c r="N152" i="23"/>
  <c r="L152" i="23"/>
  <c r="M152" i="23"/>
  <c r="K152" i="23"/>
  <c r="J152" i="23"/>
  <c r="I152" i="23"/>
  <c r="N151" i="23"/>
  <c r="M151" i="23"/>
  <c r="L151" i="23"/>
  <c r="K151" i="23"/>
  <c r="I151" i="23"/>
  <c r="J151" i="23"/>
  <c r="N150" i="23"/>
  <c r="M150" i="23"/>
  <c r="L150" i="23"/>
  <c r="K150" i="23"/>
  <c r="I150" i="23"/>
  <c r="J150" i="23"/>
  <c r="N149" i="23"/>
  <c r="L149" i="23"/>
  <c r="M149" i="23"/>
  <c r="K149" i="23"/>
  <c r="J149" i="23"/>
  <c r="I149" i="23"/>
  <c r="N148" i="23"/>
  <c r="L148" i="23"/>
  <c r="M148" i="23"/>
  <c r="K148" i="23"/>
  <c r="J148" i="23"/>
  <c r="I148" i="23"/>
  <c r="N147" i="23"/>
  <c r="M147" i="23"/>
  <c r="L147" i="23"/>
  <c r="K147" i="23"/>
  <c r="I147" i="23"/>
  <c r="J147" i="23"/>
  <c r="N146" i="23"/>
  <c r="L146" i="23"/>
  <c r="M146" i="23"/>
  <c r="K146" i="23"/>
  <c r="I146" i="23"/>
  <c r="J146" i="23"/>
  <c r="N145" i="23"/>
  <c r="L145" i="23"/>
  <c r="M145" i="23"/>
  <c r="K145" i="23"/>
  <c r="J145" i="23"/>
  <c r="I145" i="23"/>
  <c r="N144" i="23"/>
  <c r="L144" i="23"/>
  <c r="M144" i="23"/>
  <c r="K144" i="23"/>
  <c r="J144" i="23"/>
  <c r="I144" i="23"/>
  <c r="N143" i="23"/>
  <c r="L143" i="23"/>
  <c r="M143" i="23"/>
  <c r="K143" i="23"/>
  <c r="I143" i="23"/>
  <c r="J143" i="23"/>
  <c r="N142" i="23"/>
  <c r="M142" i="23"/>
  <c r="L142" i="23"/>
  <c r="K142" i="23"/>
  <c r="J142" i="23"/>
  <c r="I142" i="23"/>
  <c r="N141" i="23"/>
  <c r="L141" i="23"/>
  <c r="M141" i="23"/>
  <c r="K141" i="23"/>
  <c r="J141" i="23"/>
  <c r="I141" i="23"/>
  <c r="N140" i="23"/>
  <c r="L140" i="23"/>
  <c r="M140" i="23"/>
  <c r="K140" i="23"/>
  <c r="I140" i="23"/>
  <c r="J140" i="23"/>
  <c r="N139" i="23"/>
  <c r="M139" i="23"/>
  <c r="L139" i="23"/>
  <c r="K139" i="23"/>
  <c r="J139" i="23"/>
  <c r="I139" i="23"/>
  <c r="N138" i="23"/>
  <c r="L138" i="23"/>
  <c r="M138" i="23"/>
  <c r="K138" i="23"/>
  <c r="J138" i="23"/>
  <c r="I138" i="23"/>
  <c r="N137" i="23"/>
  <c r="L137" i="23"/>
  <c r="M137" i="23"/>
  <c r="K137" i="23"/>
  <c r="J137" i="23"/>
  <c r="I137" i="23"/>
  <c r="N136" i="23"/>
  <c r="M136" i="23"/>
  <c r="L136" i="23"/>
  <c r="K136" i="23"/>
  <c r="J136" i="23"/>
  <c r="I136" i="23"/>
  <c r="N135" i="23"/>
  <c r="L135" i="23"/>
  <c r="M135" i="23"/>
  <c r="K135" i="23"/>
  <c r="J135" i="23"/>
  <c r="I135" i="23"/>
  <c r="N134" i="23"/>
  <c r="L134" i="23"/>
  <c r="M134" i="23"/>
  <c r="K134" i="23"/>
  <c r="J134" i="23"/>
  <c r="I134" i="23"/>
  <c r="N133" i="23"/>
  <c r="M133" i="23"/>
  <c r="L133" i="23"/>
  <c r="K133" i="23"/>
  <c r="J133" i="23"/>
  <c r="I133" i="23"/>
  <c r="N132" i="23"/>
  <c r="L132" i="23"/>
  <c r="M132" i="23"/>
  <c r="K132" i="23"/>
  <c r="J132" i="23"/>
  <c r="I132" i="23"/>
  <c r="N131" i="23"/>
  <c r="L131" i="23"/>
  <c r="M131" i="23"/>
  <c r="K131" i="23"/>
  <c r="J131" i="23"/>
  <c r="I131" i="23"/>
  <c r="N130" i="23"/>
  <c r="M130" i="23"/>
  <c r="L130" i="23"/>
  <c r="K130" i="23"/>
  <c r="I130" i="23"/>
  <c r="J130" i="23"/>
  <c r="N129" i="23"/>
  <c r="L129" i="23"/>
  <c r="M129" i="23"/>
  <c r="K129" i="23"/>
  <c r="J129" i="23"/>
  <c r="I129" i="23"/>
  <c r="N128" i="23"/>
  <c r="L128" i="23"/>
  <c r="M128" i="23"/>
  <c r="K128" i="23"/>
  <c r="I128" i="23"/>
  <c r="J128" i="23"/>
  <c r="N127" i="23"/>
  <c r="M127" i="23"/>
  <c r="L127" i="23"/>
  <c r="K127" i="23"/>
  <c r="I127" i="23"/>
  <c r="J127" i="23"/>
  <c r="N126" i="23"/>
  <c r="L126" i="23"/>
  <c r="M126" i="23"/>
  <c r="K126" i="23"/>
  <c r="J126" i="23"/>
  <c r="I126" i="23"/>
  <c r="N125" i="23"/>
  <c r="L125" i="23"/>
  <c r="M125" i="23"/>
  <c r="K125" i="23"/>
  <c r="J125" i="23"/>
  <c r="I125" i="23"/>
  <c r="N124" i="23"/>
  <c r="M124" i="23"/>
  <c r="L124" i="23"/>
  <c r="K124" i="23"/>
  <c r="J124" i="23"/>
  <c r="I124" i="23"/>
  <c r="N123" i="23"/>
  <c r="M123" i="23"/>
  <c r="L123" i="23"/>
  <c r="K123" i="23"/>
  <c r="J123" i="23"/>
  <c r="I123" i="23"/>
  <c r="N122" i="23"/>
  <c r="L122" i="23"/>
  <c r="M122" i="23"/>
  <c r="K122" i="23"/>
  <c r="I122" i="23"/>
  <c r="J122" i="23"/>
  <c r="N121" i="23"/>
  <c r="M121" i="23"/>
  <c r="L121" i="23"/>
  <c r="K121" i="23"/>
  <c r="J121" i="23"/>
  <c r="I121" i="23"/>
  <c r="N120" i="23"/>
  <c r="L120" i="23"/>
  <c r="M120" i="23"/>
  <c r="K120" i="23"/>
  <c r="J120" i="23"/>
  <c r="I120" i="23"/>
  <c r="N119" i="23"/>
  <c r="M119" i="23"/>
  <c r="L119" i="23"/>
  <c r="K119" i="23"/>
  <c r="J119" i="23"/>
  <c r="I119" i="23"/>
  <c r="N118" i="23"/>
  <c r="M118" i="23"/>
  <c r="L118" i="23"/>
  <c r="K118" i="23"/>
  <c r="I118" i="23"/>
  <c r="J118" i="23"/>
  <c r="N117" i="23"/>
  <c r="L117" i="23"/>
  <c r="M117" i="23"/>
  <c r="K117" i="23"/>
  <c r="J117" i="23"/>
  <c r="I117" i="23"/>
  <c r="N116" i="23"/>
  <c r="M116" i="23"/>
  <c r="L116" i="23"/>
  <c r="K116" i="23"/>
  <c r="J116" i="23"/>
  <c r="I116" i="23"/>
  <c r="N115" i="23"/>
  <c r="M115" i="23"/>
  <c r="L115" i="23"/>
  <c r="K115" i="23"/>
  <c r="I115" i="23"/>
  <c r="J115" i="23"/>
  <c r="N114" i="23"/>
  <c r="L114" i="23"/>
  <c r="M114" i="23"/>
  <c r="K114" i="23"/>
  <c r="J114" i="23"/>
  <c r="I114" i="23"/>
  <c r="N113" i="23"/>
  <c r="L113" i="23"/>
  <c r="M113" i="23"/>
  <c r="K113" i="23"/>
  <c r="I113" i="23"/>
  <c r="J113" i="23"/>
  <c r="N112" i="23"/>
  <c r="M112" i="23"/>
  <c r="L112" i="23"/>
  <c r="K112" i="23"/>
  <c r="J112" i="23"/>
  <c r="I112" i="23"/>
  <c r="N111" i="23"/>
  <c r="L111" i="23"/>
  <c r="M111" i="23"/>
  <c r="K111" i="23"/>
  <c r="J111" i="23"/>
  <c r="I111" i="23"/>
  <c r="N110" i="23"/>
  <c r="M110" i="23"/>
  <c r="L110" i="23"/>
  <c r="K110" i="23"/>
  <c r="I110" i="23"/>
  <c r="J110" i="23"/>
  <c r="N109" i="23"/>
  <c r="M109" i="23"/>
  <c r="L109" i="23"/>
  <c r="K109" i="23"/>
  <c r="I109" i="23"/>
  <c r="J109" i="23"/>
  <c r="N108" i="23"/>
  <c r="L108" i="23"/>
  <c r="M108" i="23"/>
  <c r="K108" i="23"/>
  <c r="J108" i="23"/>
  <c r="I108" i="23"/>
  <c r="N107" i="23"/>
  <c r="L107" i="23"/>
  <c r="M107" i="23"/>
  <c r="K107" i="23"/>
  <c r="I107" i="23"/>
  <c r="J107" i="23"/>
  <c r="N106" i="23"/>
  <c r="M106" i="23"/>
  <c r="L106" i="23"/>
  <c r="K106" i="23"/>
  <c r="J106" i="23"/>
  <c r="I106" i="23"/>
  <c r="N105" i="23"/>
  <c r="M105" i="23"/>
  <c r="L105" i="23"/>
  <c r="K105" i="23"/>
  <c r="I105" i="23"/>
  <c r="J105" i="23"/>
  <c r="N104" i="23"/>
  <c r="L104" i="23"/>
  <c r="M104" i="23"/>
  <c r="K104" i="23"/>
  <c r="I104" i="23"/>
  <c r="J104" i="23"/>
  <c r="N103" i="23"/>
  <c r="M103" i="23"/>
  <c r="L103" i="23"/>
  <c r="K103" i="23"/>
  <c r="J103" i="23"/>
  <c r="I103" i="23"/>
  <c r="N102" i="23"/>
  <c r="L102" i="23"/>
  <c r="M102" i="23"/>
  <c r="K102" i="23"/>
  <c r="I102" i="23"/>
  <c r="J102" i="23"/>
  <c r="N101" i="23"/>
  <c r="M101" i="23"/>
  <c r="L101" i="23"/>
  <c r="K101" i="23"/>
  <c r="J101" i="23"/>
  <c r="I101" i="23"/>
  <c r="N100" i="23"/>
  <c r="M100" i="23"/>
  <c r="L100" i="23"/>
  <c r="K100" i="23"/>
  <c r="I100" i="23"/>
  <c r="J100" i="23"/>
  <c r="N99" i="23"/>
  <c r="L99" i="23"/>
  <c r="M99" i="23"/>
  <c r="K99" i="23"/>
  <c r="I99" i="23"/>
  <c r="J99" i="23"/>
  <c r="N98" i="23"/>
  <c r="L98" i="23"/>
  <c r="M98" i="23"/>
  <c r="K98" i="23"/>
  <c r="J98" i="23"/>
  <c r="I98" i="23"/>
  <c r="N97" i="23"/>
  <c r="M97" i="23"/>
  <c r="L97" i="23"/>
  <c r="K97" i="23"/>
  <c r="I97" i="23"/>
  <c r="J97" i="23"/>
  <c r="N96" i="23"/>
  <c r="L96" i="23"/>
  <c r="M96" i="23"/>
  <c r="K96" i="23"/>
  <c r="I96" i="23"/>
  <c r="J96" i="23"/>
  <c r="N95" i="23"/>
  <c r="M95" i="23"/>
  <c r="L95" i="23"/>
  <c r="K95" i="23"/>
  <c r="I95" i="23"/>
  <c r="J95" i="23"/>
  <c r="N94" i="23"/>
  <c r="M94" i="23"/>
  <c r="L94" i="23"/>
  <c r="K94" i="23"/>
  <c r="I94" i="23"/>
  <c r="J94" i="23"/>
  <c r="N93" i="23"/>
  <c r="L93" i="23"/>
  <c r="M93" i="23"/>
  <c r="K93" i="23"/>
  <c r="J93" i="23"/>
  <c r="I93" i="23"/>
  <c r="N92" i="23"/>
  <c r="L92" i="23"/>
  <c r="M92" i="23"/>
  <c r="K92" i="23"/>
  <c r="J92" i="23"/>
  <c r="I92" i="23"/>
  <c r="N91" i="23"/>
  <c r="M91" i="23"/>
  <c r="L91" i="23"/>
  <c r="K91" i="23"/>
  <c r="I91" i="23"/>
  <c r="J91" i="23"/>
  <c r="N90" i="23"/>
  <c r="M90" i="23"/>
  <c r="L90" i="23"/>
  <c r="K90" i="23"/>
  <c r="J90" i="23"/>
  <c r="I90" i="23"/>
  <c r="N89" i="23"/>
  <c r="L89" i="23"/>
  <c r="M89" i="23"/>
  <c r="K89" i="23"/>
  <c r="I89" i="23"/>
  <c r="J89" i="23"/>
  <c r="N88" i="23"/>
  <c r="M88" i="23"/>
  <c r="L88" i="23"/>
  <c r="K88" i="23"/>
  <c r="J88" i="23"/>
  <c r="I88" i="23"/>
  <c r="N87" i="23"/>
  <c r="L87" i="23"/>
  <c r="M87" i="23"/>
  <c r="K87" i="23"/>
  <c r="J87" i="23"/>
  <c r="I87" i="23"/>
  <c r="N86" i="23"/>
  <c r="L86" i="23"/>
  <c r="M86" i="23"/>
  <c r="K86" i="23"/>
  <c r="I86" i="23"/>
  <c r="J86" i="23"/>
  <c r="N85" i="23"/>
  <c r="M85" i="23"/>
  <c r="L85" i="23"/>
  <c r="K85" i="23"/>
  <c r="J85" i="23"/>
  <c r="I85" i="23"/>
  <c r="N84" i="23"/>
  <c r="L84" i="23"/>
  <c r="M84" i="23"/>
  <c r="K84" i="23"/>
  <c r="I84" i="23"/>
  <c r="J84" i="23"/>
  <c r="N83" i="23"/>
  <c r="L83" i="23"/>
  <c r="M83" i="23"/>
  <c r="K83" i="23"/>
  <c r="J83" i="23"/>
  <c r="I83" i="23"/>
  <c r="N82" i="23"/>
  <c r="M82" i="23"/>
  <c r="L82" i="23"/>
  <c r="K82" i="23"/>
  <c r="I82" i="23"/>
  <c r="J82" i="23"/>
  <c r="N81" i="23"/>
  <c r="L81" i="23"/>
  <c r="M81" i="23"/>
  <c r="K81" i="23"/>
  <c r="J81" i="23"/>
  <c r="I81" i="23"/>
  <c r="N80" i="23"/>
  <c r="L80" i="23"/>
  <c r="M80" i="23"/>
  <c r="K80" i="23"/>
  <c r="J80" i="23"/>
  <c r="I80" i="23"/>
  <c r="N79" i="23"/>
  <c r="M79" i="23"/>
  <c r="L79" i="23"/>
  <c r="K79" i="23"/>
  <c r="J79" i="23"/>
  <c r="I79" i="23"/>
  <c r="N78" i="23"/>
  <c r="L78" i="23"/>
  <c r="M78" i="23"/>
  <c r="K78" i="23"/>
  <c r="I78" i="23"/>
  <c r="J78" i="23"/>
  <c r="N77" i="23"/>
  <c r="M77" i="23"/>
  <c r="L77" i="23"/>
  <c r="K77" i="23"/>
  <c r="J77" i="23"/>
  <c r="I77" i="23"/>
  <c r="N76" i="23"/>
  <c r="M76" i="23"/>
  <c r="L76" i="23"/>
  <c r="K76" i="23"/>
  <c r="I76" i="23"/>
  <c r="J76" i="23"/>
  <c r="N75" i="23"/>
  <c r="M75" i="23"/>
  <c r="L75" i="23"/>
  <c r="K75" i="23"/>
  <c r="J75" i="23"/>
  <c r="I75" i="23"/>
  <c r="N74" i="23"/>
  <c r="L74" i="23"/>
  <c r="M74" i="23"/>
  <c r="K74" i="23"/>
  <c r="J74" i="23"/>
  <c r="I74" i="23"/>
  <c r="N73" i="23"/>
  <c r="M73" i="23"/>
  <c r="L73" i="23"/>
  <c r="K73" i="23"/>
  <c r="I73" i="23"/>
  <c r="J73" i="23"/>
  <c r="N72" i="23"/>
  <c r="L72" i="23"/>
  <c r="M72" i="23"/>
  <c r="K72" i="23"/>
  <c r="J72" i="23"/>
  <c r="I72" i="23"/>
  <c r="N71" i="23"/>
  <c r="L71" i="23"/>
  <c r="M71" i="23"/>
  <c r="K71" i="23"/>
  <c r="I71" i="23"/>
  <c r="J71" i="23"/>
  <c r="N70" i="23"/>
  <c r="M70" i="23"/>
  <c r="L70" i="23"/>
  <c r="K70" i="23"/>
  <c r="J70" i="23"/>
  <c r="I70" i="23"/>
  <c r="N69" i="23"/>
  <c r="L69" i="23"/>
  <c r="M69" i="23"/>
  <c r="K69" i="23"/>
  <c r="I69" i="23"/>
  <c r="J69" i="23"/>
  <c r="N68" i="23"/>
  <c r="L68" i="23"/>
  <c r="M68" i="23"/>
  <c r="K68" i="23"/>
  <c r="I68" i="23"/>
  <c r="J68" i="23"/>
  <c r="N67" i="23"/>
  <c r="M67" i="23"/>
  <c r="L67" i="23"/>
  <c r="K67" i="23"/>
  <c r="J67" i="23"/>
  <c r="I67" i="23"/>
  <c r="N66" i="23"/>
  <c r="L66" i="23"/>
  <c r="M66" i="23"/>
  <c r="K66" i="23"/>
  <c r="I66" i="23"/>
  <c r="J66" i="23"/>
  <c r="N65" i="23"/>
  <c r="L65" i="23"/>
  <c r="M65" i="23"/>
  <c r="K65" i="23"/>
  <c r="J65" i="23"/>
  <c r="I65" i="23"/>
  <c r="N64" i="23"/>
  <c r="M64" i="23"/>
  <c r="L64" i="23"/>
  <c r="K64" i="23"/>
  <c r="I64" i="23"/>
  <c r="J64" i="23"/>
  <c r="N63" i="23"/>
  <c r="L63" i="23"/>
  <c r="M63" i="23"/>
  <c r="K63" i="23"/>
  <c r="J63" i="23"/>
  <c r="I63" i="23"/>
  <c r="N62" i="23"/>
  <c r="M62" i="23"/>
  <c r="L62" i="23"/>
  <c r="K62" i="23"/>
  <c r="I62" i="23"/>
  <c r="J62" i="23"/>
  <c r="N61" i="23"/>
  <c r="M61" i="23"/>
  <c r="L61" i="23"/>
  <c r="K61" i="23"/>
  <c r="J61" i="23"/>
  <c r="I61" i="23"/>
  <c r="N60" i="23"/>
  <c r="M60" i="23"/>
  <c r="L60" i="23"/>
  <c r="K60" i="23"/>
  <c r="I60" i="23"/>
  <c r="J60" i="23"/>
  <c r="N59" i="23"/>
  <c r="L59" i="23"/>
  <c r="M59" i="23"/>
  <c r="K59" i="23"/>
  <c r="J59" i="23"/>
  <c r="I59" i="23"/>
  <c r="N58" i="23"/>
  <c r="M58" i="23"/>
  <c r="L58" i="23"/>
  <c r="K58" i="23"/>
  <c r="I58" i="23"/>
  <c r="J58" i="23"/>
  <c r="N57" i="23"/>
  <c r="L57" i="23"/>
  <c r="M57" i="23"/>
  <c r="K57" i="23"/>
  <c r="I57" i="23"/>
  <c r="J57" i="23"/>
  <c r="N56" i="23"/>
  <c r="L56" i="23"/>
  <c r="M56" i="23"/>
  <c r="K56" i="23"/>
  <c r="I56" i="23"/>
  <c r="J56" i="23"/>
  <c r="N55" i="23"/>
  <c r="M55" i="23"/>
  <c r="L55" i="23"/>
  <c r="K55" i="23"/>
  <c r="J55" i="23"/>
  <c r="I55" i="23"/>
  <c r="N54" i="23"/>
  <c r="M54" i="23"/>
  <c r="L54" i="23"/>
  <c r="K54" i="23"/>
  <c r="I54" i="23"/>
  <c r="J54" i="23"/>
  <c r="N53" i="23"/>
  <c r="M53" i="23"/>
  <c r="L53" i="23"/>
  <c r="K53" i="23"/>
  <c r="I53" i="23"/>
  <c r="J53" i="23"/>
  <c r="N52" i="23"/>
  <c r="M52" i="23"/>
  <c r="L52" i="23"/>
  <c r="K52" i="23"/>
  <c r="I52" i="23"/>
  <c r="J52" i="23"/>
  <c r="N51" i="23"/>
  <c r="L51" i="23"/>
  <c r="M51" i="23"/>
  <c r="K51" i="23"/>
  <c r="J51" i="23"/>
  <c r="I51" i="23"/>
  <c r="N50" i="23"/>
  <c r="L50" i="23"/>
  <c r="M50" i="23"/>
  <c r="K50" i="23"/>
  <c r="J50" i="23"/>
  <c r="I50" i="23"/>
  <c r="N49" i="23"/>
  <c r="M49" i="23"/>
  <c r="L49" i="23"/>
  <c r="K49" i="23"/>
  <c r="I49" i="23"/>
  <c r="J49" i="23"/>
  <c r="N48" i="23"/>
  <c r="M48" i="23"/>
  <c r="L48" i="23"/>
  <c r="K48" i="23"/>
  <c r="I48" i="23"/>
  <c r="J48" i="23"/>
  <c r="N47" i="23"/>
  <c r="L47" i="23"/>
  <c r="M47" i="23"/>
  <c r="K47" i="23"/>
  <c r="I47" i="23"/>
  <c r="J47" i="23"/>
  <c r="N46" i="23"/>
  <c r="M46" i="23"/>
  <c r="L46" i="23"/>
  <c r="K46" i="23"/>
  <c r="I46" i="23"/>
  <c r="J46" i="23"/>
  <c r="N45" i="23"/>
  <c r="M45" i="23"/>
  <c r="L45" i="23"/>
  <c r="K45" i="23"/>
  <c r="J45" i="23"/>
  <c r="I45" i="23"/>
  <c r="N44" i="23"/>
  <c r="L44" i="23"/>
  <c r="M44" i="23"/>
  <c r="K44" i="23"/>
  <c r="I44" i="23"/>
  <c r="J44" i="23"/>
  <c r="N43" i="23"/>
  <c r="M43" i="23"/>
  <c r="L43" i="23"/>
  <c r="K43" i="23"/>
  <c r="I43" i="23"/>
  <c r="J43" i="23"/>
  <c r="N42" i="23"/>
  <c r="L42" i="23"/>
  <c r="M42" i="23"/>
  <c r="K42" i="23"/>
  <c r="I42" i="23"/>
  <c r="J42" i="23"/>
  <c r="N41" i="23"/>
  <c r="L41" i="23"/>
  <c r="M41" i="23"/>
  <c r="K41" i="23"/>
  <c r="J41" i="23"/>
  <c r="I41" i="23"/>
  <c r="N40" i="23"/>
  <c r="M40" i="23"/>
  <c r="L40" i="23"/>
  <c r="K40" i="23"/>
  <c r="J40" i="23"/>
  <c r="I40" i="23"/>
  <c r="N39" i="23"/>
  <c r="M39" i="23"/>
  <c r="L39" i="23"/>
  <c r="K39" i="23"/>
  <c r="I39" i="23"/>
  <c r="J39" i="23"/>
  <c r="N38" i="23"/>
  <c r="M38" i="23"/>
  <c r="L38" i="23"/>
  <c r="K38" i="23"/>
  <c r="I38" i="23"/>
  <c r="J38" i="23"/>
  <c r="N37" i="23"/>
  <c r="M37" i="23"/>
  <c r="L37" i="23"/>
  <c r="K37" i="23"/>
  <c r="I37" i="23"/>
  <c r="J37" i="23"/>
  <c r="N36" i="23"/>
  <c r="L36" i="23"/>
  <c r="M36" i="23"/>
  <c r="K36" i="23"/>
  <c r="J36" i="23"/>
  <c r="I36" i="23"/>
  <c r="N35" i="23"/>
  <c r="L35" i="23"/>
  <c r="M35" i="23"/>
  <c r="K35" i="23"/>
  <c r="I35" i="23"/>
  <c r="J35" i="23"/>
  <c r="N34" i="23"/>
  <c r="M34" i="23"/>
  <c r="L34" i="23"/>
  <c r="K34" i="23"/>
  <c r="J34" i="23"/>
  <c r="I34" i="23"/>
  <c r="N33" i="23"/>
  <c r="L33" i="23"/>
  <c r="M33" i="23"/>
  <c r="K33" i="23"/>
  <c r="I33" i="23"/>
  <c r="J33" i="23"/>
  <c r="N32" i="23"/>
  <c r="M32" i="23"/>
  <c r="L32" i="23"/>
  <c r="K32" i="23"/>
  <c r="I32" i="23"/>
  <c r="J32" i="23"/>
  <c r="N31" i="23"/>
  <c r="M31" i="23"/>
  <c r="L31" i="23"/>
  <c r="K31" i="23"/>
  <c r="I31" i="23"/>
  <c r="J31" i="23"/>
  <c r="N30" i="23"/>
  <c r="L30" i="23"/>
  <c r="M30" i="23"/>
  <c r="K30" i="23"/>
  <c r="I30" i="23"/>
  <c r="J30" i="23"/>
  <c r="N29" i="23"/>
  <c r="L29" i="23"/>
  <c r="M29" i="23"/>
  <c r="K29" i="23"/>
  <c r="J29" i="23"/>
  <c r="I29" i="23"/>
  <c r="N28" i="23"/>
  <c r="M28" i="23"/>
  <c r="L28" i="23"/>
  <c r="K28" i="23"/>
  <c r="I28" i="23"/>
  <c r="J28" i="23"/>
  <c r="N27" i="23"/>
  <c r="L27" i="23"/>
  <c r="M27" i="23"/>
  <c r="K27" i="23"/>
  <c r="I27" i="23"/>
  <c r="J27" i="23"/>
  <c r="N26" i="23"/>
  <c r="L26" i="23"/>
  <c r="M26" i="23"/>
  <c r="K26" i="23"/>
  <c r="I26" i="23"/>
  <c r="J26" i="23"/>
  <c r="N25" i="23"/>
  <c r="M25" i="23"/>
  <c r="L25" i="23"/>
  <c r="K25" i="23"/>
  <c r="I25" i="23"/>
  <c r="J25" i="23"/>
  <c r="N24" i="23"/>
  <c r="M24" i="23"/>
  <c r="L24" i="23"/>
  <c r="K24" i="23"/>
  <c r="I24" i="23"/>
  <c r="J24" i="23"/>
  <c r="N23" i="23"/>
  <c r="L23" i="23"/>
  <c r="M23" i="23"/>
  <c r="K23" i="23"/>
  <c r="J23" i="23"/>
  <c r="I23" i="23"/>
  <c r="N22" i="23"/>
  <c r="M22" i="23"/>
  <c r="L22" i="23"/>
  <c r="K22" i="23"/>
  <c r="I22" i="23"/>
  <c r="J22" i="23"/>
  <c r="N21" i="23"/>
  <c r="L21" i="23"/>
  <c r="M21" i="23"/>
  <c r="K21" i="23"/>
  <c r="I21" i="23"/>
  <c r="J21" i="23"/>
  <c r="N20" i="23"/>
  <c r="L20" i="23"/>
  <c r="M20" i="23"/>
  <c r="K20" i="23"/>
  <c r="I20" i="23"/>
  <c r="J20" i="23"/>
  <c r="N19" i="23"/>
  <c r="M19" i="23"/>
  <c r="L19" i="23"/>
  <c r="K19" i="23"/>
  <c r="I19" i="23"/>
  <c r="J19" i="23"/>
  <c r="N18" i="23"/>
  <c r="M18" i="23"/>
  <c r="L18" i="23"/>
  <c r="K18" i="23"/>
  <c r="I18" i="23"/>
  <c r="J18" i="23"/>
  <c r="N17" i="23"/>
  <c r="M17" i="23"/>
  <c r="L17" i="23"/>
  <c r="K17" i="23"/>
  <c r="I17" i="23"/>
  <c r="J17" i="23"/>
  <c r="N16" i="23"/>
  <c r="M16" i="23"/>
  <c r="L16" i="23"/>
  <c r="K16" i="23"/>
  <c r="I16" i="23"/>
  <c r="J16" i="23"/>
  <c r="N15" i="23"/>
  <c r="L15" i="23"/>
  <c r="M15" i="23"/>
  <c r="K15" i="23"/>
  <c r="J15" i="23"/>
  <c r="I15" i="23"/>
  <c r="N14" i="23"/>
  <c r="L14" i="23"/>
  <c r="M14" i="23"/>
  <c r="K14" i="23"/>
  <c r="J14" i="23"/>
  <c r="I14" i="23"/>
  <c r="N13" i="23"/>
  <c r="M13" i="23"/>
  <c r="L13" i="23"/>
  <c r="K13" i="23"/>
  <c r="I13" i="23"/>
  <c r="J13" i="23"/>
  <c r="N12" i="23"/>
  <c r="L12" i="23"/>
  <c r="M12" i="23"/>
  <c r="K12" i="23"/>
  <c r="I12" i="23"/>
  <c r="J12" i="23"/>
  <c r="N11" i="23"/>
  <c r="L11" i="23"/>
  <c r="M11" i="23"/>
  <c r="K11" i="23"/>
  <c r="I11" i="23"/>
  <c r="J11" i="23"/>
  <c r="N10" i="23"/>
  <c r="L10" i="23"/>
  <c r="M10" i="23"/>
  <c r="K10" i="23"/>
  <c r="I10" i="23"/>
  <c r="J10" i="23"/>
  <c r="L9" i="23"/>
  <c r="M9" i="23"/>
  <c r="N9" i="23" s="1"/>
  <c r="I9" i="23"/>
  <c r="J9" i="23"/>
  <c r="K9" i="23" s="1"/>
  <c r="N8" i="23"/>
  <c r="L8" i="23"/>
  <c r="M8" i="23"/>
  <c r="K8" i="23"/>
  <c r="I8" i="23"/>
  <c r="J8" i="23"/>
  <c r="N7" i="23"/>
  <c r="L7" i="23"/>
  <c r="M7" i="23"/>
  <c r="N6" i="23"/>
  <c r="L6" i="23"/>
  <c r="M6" i="23"/>
  <c r="K6" i="23"/>
  <c r="I6" i="23"/>
  <c r="J6" i="23"/>
  <c r="Q44" i="15"/>
  <c r="P44" i="15"/>
  <c r="O44" i="15"/>
  <c r="N44" i="15"/>
  <c r="M44" i="15"/>
  <c r="L44" i="15"/>
  <c r="K44" i="15"/>
  <c r="J44" i="15"/>
  <c r="I44" i="15"/>
  <c r="H44" i="15"/>
  <c r="G44" i="15"/>
  <c r="F44" i="15"/>
  <c r="Q42" i="15"/>
  <c r="P42" i="15"/>
  <c r="O42" i="15"/>
  <c r="N42" i="15"/>
  <c r="M42" i="15"/>
  <c r="L42" i="15"/>
  <c r="K42" i="15"/>
  <c r="J42" i="15"/>
  <c r="I42" i="15"/>
  <c r="H42" i="15"/>
  <c r="G42" i="15"/>
  <c r="Q41" i="15"/>
  <c r="P41" i="15"/>
  <c r="O41" i="15"/>
  <c r="N41" i="15"/>
  <c r="M41" i="15"/>
  <c r="L41" i="15"/>
  <c r="K41" i="15"/>
  <c r="J41" i="15"/>
  <c r="I41" i="15"/>
  <c r="H41" i="15"/>
  <c r="G41" i="15"/>
  <c r="Q40" i="15"/>
  <c r="P40" i="15"/>
  <c r="O40" i="15"/>
  <c r="N40" i="15"/>
  <c r="M40" i="15"/>
  <c r="L40" i="15"/>
  <c r="K40" i="15"/>
  <c r="J40" i="15"/>
  <c r="I40" i="15"/>
  <c r="H40" i="15"/>
  <c r="G40" i="15"/>
  <c r="F42" i="15"/>
  <c r="F41" i="15"/>
  <c r="F40" i="15"/>
  <c r="Q38" i="15"/>
  <c r="P38" i="15"/>
  <c r="O38" i="15"/>
  <c r="N38" i="15"/>
  <c r="M38" i="15"/>
  <c r="L38" i="15"/>
  <c r="K38" i="15"/>
  <c r="J38" i="15"/>
  <c r="I38" i="15"/>
  <c r="H38" i="15"/>
  <c r="G38" i="15"/>
  <c r="Q37" i="15"/>
  <c r="P37" i="15"/>
  <c r="O37" i="15"/>
  <c r="N37" i="15"/>
  <c r="M37" i="15"/>
  <c r="L37" i="15"/>
  <c r="K37" i="15"/>
  <c r="J37" i="15"/>
  <c r="I37" i="15"/>
  <c r="H37" i="15"/>
  <c r="G37" i="15"/>
  <c r="Q36" i="15"/>
  <c r="P36" i="15"/>
  <c r="O36" i="15"/>
  <c r="N36" i="15"/>
  <c r="M36" i="15"/>
  <c r="L36" i="15"/>
  <c r="K36" i="15"/>
  <c r="J36" i="15"/>
  <c r="I36" i="15"/>
  <c r="H36" i="15"/>
  <c r="G36" i="15"/>
  <c r="F38" i="15"/>
  <c r="F37" i="15"/>
  <c r="F36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Q11" i="15"/>
  <c r="P11" i="15"/>
  <c r="O11" i="15"/>
  <c r="N11" i="15"/>
  <c r="M11" i="15"/>
  <c r="L11" i="15"/>
  <c r="K11" i="15"/>
  <c r="J11" i="15"/>
  <c r="I11" i="15"/>
  <c r="H11" i="15"/>
  <c r="G11" i="15"/>
  <c r="F11" i="15"/>
  <c r="Q9" i="15"/>
  <c r="P9" i="15"/>
  <c r="O9" i="15"/>
  <c r="N9" i="15"/>
  <c r="M9" i="15"/>
  <c r="L9" i="15"/>
  <c r="K9" i="15"/>
  <c r="J9" i="15"/>
  <c r="I9" i="15"/>
  <c r="H9" i="15"/>
  <c r="G9" i="15"/>
  <c r="Q8" i="15"/>
  <c r="P8" i="15"/>
  <c r="O8" i="15"/>
  <c r="N8" i="15"/>
  <c r="M8" i="15"/>
  <c r="L8" i="15"/>
  <c r="K8" i="15"/>
  <c r="J8" i="15"/>
  <c r="I8" i="15"/>
  <c r="H8" i="15"/>
  <c r="G8" i="15"/>
  <c r="Q7" i="15"/>
  <c r="P7" i="15"/>
  <c r="O7" i="15"/>
  <c r="N7" i="15"/>
  <c r="M7" i="15"/>
  <c r="L7" i="15"/>
  <c r="K7" i="15"/>
  <c r="J7" i="15"/>
  <c r="I7" i="15"/>
  <c r="H7" i="15"/>
  <c r="G7" i="15"/>
  <c r="F9" i="15"/>
  <c r="F8" i="15"/>
  <c r="F7" i="15"/>
  <c r="Q5" i="15"/>
  <c r="P5" i="15"/>
  <c r="O5" i="15"/>
  <c r="N5" i="15"/>
  <c r="M5" i="15"/>
  <c r="L5" i="15"/>
  <c r="K5" i="15"/>
  <c r="J5" i="15"/>
  <c r="I5" i="15"/>
  <c r="H5" i="15"/>
  <c r="G5" i="15"/>
  <c r="Q4" i="15"/>
  <c r="P4" i="15"/>
  <c r="O4" i="15"/>
  <c r="N4" i="15"/>
  <c r="M4" i="15"/>
  <c r="L4" i="15"/>
  <c r="K4" i="15"/>
  <c r="J4" i="15"/>
  <c r="I4" i="15"/>
  <c r="H4" i="15"/>
  <c r="G4" i="15"/>
  <c r="Q3" i="15"/>
  <c r="P3" i="15"/>
  <c r="O3" i="15"/>
  <c r="N3" i="15"/>
  <c r="M3" i="15"/>
  <c r="L3" i="15"/>
  <c r="K3" i="15"/>
  <c r="J3" i="15"/>
  <c r="I3" i="15"/>
  <c r="H3" i="15"/>
  <c r="G3" i="15"/>
  <c r="F5" i="15"/>
  <c r="F4" i="15"/>
  <c r="F3" i="15"/>
  <c r="N3" i="20"/>
  <c r="M3" i="20"/>
  <c r="M3" i="19"/>
  <c r="O3" i="18"/>
  <c r="N3" i="18"/>
  <c r="M3" i="18"/>
  <c r="O3" i="17"/>
  <c r="N3" i="17"/>
  <c r="M3" i="17"/>
  <c r="N408" i="20"/>
  <c r="L408" i="20"/>
  <c r="M408" i="20"/>
  <c r="K408" i="20"/>
  <c r="I408" i="20"/>
  <c r="J408" i="20"/>
  <c r="N407" i="20"/>
  <c r="L407" i="20"/>
  <c r="M407" i="20"/>
  <c r="K407" i="20"/>
  <c r="I407" i="20"/>
  <c r="J407" i="20"/>
  <c r="N406" i="20"/>
  <c r="L406" i="20"/>
  <c r="M406" i="20"/>
  <c r="K406" i="20"/>
  <c r="I406" i="20"/>
  <c r="J406" i="20"/>
  <c r="N405" i="20"/>
  <c r="L405" i="20"/>
  <c r="M405" i="20"/>
  <c r="K405" i="20"/>
  <c r="I405" i="20"/>
  <c r="J405" i="20"/>
  <c r="N404" i="20"/>
  <c r="L404" i="20"/>
  <c r="M404" i="20"/>
  <c r="K404" i="20"/>
  <c r="I404" i="20"/>
  <c r="J404" i="20"/>
  <c r="N403" i="20"/>
  <c r="L403" i="20"/>
  <c r="M403" i="20"/>
  <c r="K403" i="20"/>
  <c r="I403" i="20"/>
  <c r="J403" i="20"/>
  <c r="N402" i="20"/>
  <c r="L402" i="20"/>
  <c r="M402" i="20"/>
  <c r="K402" i="20"/>
  <c r="I402" i="20"/>
  <c r="J402" i="20"/>
  <c r="N401" i="20"/>
  <c r="L401" i="20"/>
  <c r="M401" i="20"/>
  <c r="K401" i="20"/>
  <c r="I401" i="20"/>
  <c r="J401" i="20"/>
  <c r="N400" i="20"/>
  <c r="L400" i="20"/>
  <c r="M400" i="20"/>
  <c r="K400" i="20"/>
  <c r="I400" i="20"/>
  <c r="J400" i="20"/>
  <c r="N399" i="20"/>
  <c r="L399" i="20"/>
  <c r="M399" i="20"/>
  <c r="K399" i="20"/>
  <c r="I399" i="20"/>
  <c r="J399" i="20"/>
  <c r="N398" i="20"/>
  <c r="L398" i="20"/>
  <c r="M398" i="20"/>
  <c r="K398" i="20"/>
  <c r="I398" i="20"/>
  <c r="J398" i="20"/>
  <c r="N397" i="20"/>
  <c r="L397" i="20"/>
  <c r="M397" i="20"/>
  <c r="K397" i="20"/>
  <c r="I397" i="20"/>
  <c r="J397" i="20"/>
  <c r="N396" i="20"/>
  <c r="L396" i="20"/>
  <c r="M396" i="20"/>
  <c r="K396" i="20"/>
  <c r="I396" i="20"/>
  <c r="J396" i="20"/>
  <c r="N395" i="20"/>
  <c r="L395" i="20"/>
  <c r="M395" i="20"/>
  <c r="K395" i="20"/>
  <c r="I395" i="20"/>
  <c r="J395" i="20"/>
  <c r="N394" i="20"/>
  <c r="L394" i="20"/>
  <c r="M394" i="20"/>
  <c r="K394" i="20"/>
  <c r="I394" i="20"/>
  <c r="J394" i="20"/>
  <c r="N393" i="20"/>
  <c r="L393" i="20"/>
  <c r="M393" i="20"/>
  <c r="K393" i="20"/>
  <c r="I393" i="20"/>
  <c r="J393" i="20"/>
  <c r="N392" i="20"/>
  <c r="L392" i="20"/>
  <c r="M392" i="20"/>
  <c r="K392" i="20"/>
  <c r="I392" i="20"/>
  <c r="J392" i="20"/>
  <c r="N391" i="20"/>
  <c r="L391" i="20"/>
  <c r="M391" i="20"/>
  <c r="K391" i="20"/>
  <c r="I391" i="20"/>
  <c r="J391" i="20"/>
  <c r="N390" i="20"/>
  <c r="L390" i="20"/>
  <c r="M390" i="20"/>
  <c r="K390" i="20"/>
  <c r="I390" i="20"/>
  <c r="J390" i="20"/>
  <c r="N389" i="20"/>
  <c r="L389" i="20"/>
  <c r="M389" i="20"/>
  <c r="K389" i="20"/>
  <c r="I389" i="20"/>
  <c r="J389" i="20"/>
  <c r="N388" i="20"/>
  <c r="L388" i="20"/>
  <c r="M388" i="20"/>
  <c r="K388" i="20"/>
  <c r="I388" i="20"/>
  <c r="J388" i="20"/>
  <c r="N387" i="20"/>
  <c r="L387" i="20"/>
  <c r="M387" i="20"/>
  <c r="K387" i="20"/>
  <c r="I387" i="20"/>
  <c r="J387" i="20"/>
  <c r="N386" i="20"/>
  <c r="L386" i="20"/>
  <c r="M386" i="20"/>
  <c r="K386" i="20"/>
  <c r="I386" i="20"/>
  <c r="J386" i="20"/>
  <c r="N385" i="20"/>
  <c r="L385" i="20"/>
  <c r="M385" i="20"/>
  <c r="K385" i="20"/>
  <c r="I385" i="20"/>
  <c r="J385" i="20"/>
  <c r="N384" i="20"/>
  <c r="L384" i="20"/>
  <c r="M384" i="20"/>
  <c r="K384" i="20"/>
  <c r="I384" i="20"/>
  <c r="J384" i="20"/>
  <c r="N383" i="20"/>
  <c r="L383" i="20"/>
  <c r="M383" i="20"/>
  <c r="K383" i="20"/>
  <c r="I383" i="20"/>
  <c r="J383" i="20"/>
  <c r="N382" i="20"/>
  <c r="L382" i="20"/>
  <c r="M382" i="20"/>
  <c r="K382" i="20"/>
  <c r="I382" i="20"/>
  <c r="J382" i="20"/>
  <c r="N381" i="20"/>
  <c r="L381" i="20"/>
  <c r="M381" i="20"/>
  <c r="K381" i="20"/>
  <c r="I381" i="20"/>
  <c r="J381" i="20"/>
  <c r="N380" i="20"/>
  <c r="L380" i="20"/>
  <c r="M380" i="20"/>
  <c r="K380" i="20"/>
  <c r="I380" i="20"/>
  <c r="J380" i="20"/>
  <c r="N379" i="20"/>
  <c r="L379" i="20"/>
  <c r="M379" i="20"/>
  <c r="K379" i="20"/>
  <c r="I379" i="20"/>
  <c r="J379" i="20"/>
  <c r="N378" i="20"/>
  <c r="L378" i="20"/>
  <c r="M378" i="20"/>
  <c r="K378" i="20"/>
  <c r="I378" i="20"/>
  <c r="J378" i="20"/>
  <c r="N377" i="20"/>
  <c r="L377" i="20"/>
  <c r="M377" i="20"/>
  <c r="K377" i="20"/>
  <c r="I377" i="20"/>
  <c r="J377" i="20"/>
  <c r="N376" i="20"/>
  <c r="L376" i="20"/>
  <c r="M376" i="20"/>
  <c r="K376" i="20"/>
  <c r="I376" i="20"/>
  <c r="J376" i="20"/>
  <c r="N375" i="20"/>
  <c r="L375" i="20"/>
  <c r="M375" i="20"/>
  <c r="K375" i="20"/>
  <c r="I375" i="20"/>
  <c r="J375" i="20"/>
  <c r="N374" i="20"/>
  <c r="L374" i="20"/>
  <c r="M374" i="20"/>
  <c r="K374" i="20"/>
  <c r="I374" i="20"/>
  <c r="J374" i="20"/>
  <c r="N373" i="20"/>
  <c r="L373" i="20"/>
  <c r="M373" i="20"/>
  <c r="K373" i="20"/>
  <c r="I373" i="20"/>
  <c r="J373" i="20"/>
  <c r="N372" i="20"/>
  <c r="L372" i="20"/>
  <c r="M372" i="20"/>
  <c r="K372" i="20"/>
  <c r="I372" i="20"/>
  <c r="J372" i="20"/>
  <c r="N371" i="20"/>
  <c r="L371" i="20"/>
  <c r="M371" i="20"/>
  <c r="K371" i="20"/>
  <c r="I371" i="20"/>
  <c r="J371" i="20"/>
  <c r="N370" i="20"/>
  <c r="L370" i="20"/>
  <c r="M370" i="20"/>
  <c r="K370" i="20"/>
  <c r="I370" i="20"/>
  <c r="J370" i="20"/>
  <c r="N369" i="20"/>
  <c r="L369" i="20"/>
  <c r="M369" i="20"/>
  <c r="K369" i="20"/>
  <c r="I369" i="20"/>
  <c r="J369" i="20"/>
  <c r="N368" i="20"/>
  <c r="L368" i="20"/>
  <c r="M368" i="20"/>
  <c r="K368" i="20"/>
  <c r="I368" i="20"/>
  <c r="J368" i="20"/>
  <c r="N367" i="20"/>
  <c r="L367" i="20"/>
  <c r="M367" i="20"/>
  <c r="K367" i="20"/>
  <c r="I367" i="20"/>
  <c r="J367" i="20"/>
  <c r="N366" i="20"/>
  <c r="L366" i="20"/>
  <c r="M366" i="20"/>
  <c r="K366" i="20"/>
  <c r="I366" i="20"/>
  <c r="J366" i="20"/>
  <c r="N365" i="20"/>
  <c r="L365" i="20"/>
  <c r="M365" i="20"/>
  <c r="K365" i="20"/>
  <c r="I365" i="20"/>
  <c r="J365" i="20"/>
  <c r="N364" i="20"/>
  <c r="L364" i="20"/>
  <c r="M364" i="20"/>
  <c r="K364" i="20"/>
  <c r="I364" i="20"/>
  <c r="J364" i="20"/>
  <c r="N363" i="20"/>
  <c r="L363" i="20"/>
  <c r="M363" i="20"/>
  <c r="K363" i="20"/>
  <c r="I363" i="20"/>
  <c r="J363" i="20"/>
  <c r="N362" i="20"/>
  <c r="L362" i="20"/>
  <c r="M362" i="20"/>
  <c r="K362" i="20"/>
  <c r="I362" i="20"/>
  <c r="J362" i="20"/>
  <c r="N361" i="20"/>
  <c r="L361" i="20"/>
  <c r="M361" i="20"/>
  <c r="K361" i="20"/>
  <c r="I361" i="20"/>
  <c r="J361" i="20"/>
  <c r="N360" i="20"/>
  <c r="L360" i="20"/>
  <c r="M360" i="20"/>
  <c r="K360" i="20"/>
  <c r="I360" i="20"/>
  <c r="J360" i="20"/>
  <c r="N359" i="20"/>
  <c r="L359" i="20"/>
  <c r="M359" i="20"/>
  <c r="K359" i="20"/>
  <c r="I359" i="20"/>
  <c r="J359" i="20"/>
  <c r="N358" i="20"/>
  <c r="L358" i="20"/>
  <c r="M358" i="20"/>
  <c r="K358" i="20"/>
  <c r="I358" i="20"/>
  <c r="J358" i="20"/>
  <c r="N357" i="20"/>
  <c r="L357" i="20"/>
  <c r="M357" i="20"/>
  <c r="K357" i="20"/>
  <c r="I357" i="20"/>
  <c r="J357" i="20"/>
  <c r="N356" i="20"/>
  <c r="L356" i="20"/>
  <c r="M356" i="20"/>
  <c r="K356" i="20"/>
  <c r="I356" i="20"/>
  <c r="J356" i="20"/>
  <c r="N355" i="20"/>
  <c r="L355" i="20"/>
  <c r="M355" i="20"/>
  <c r="K355" i="20"/>
  <c r="I355" i="20"/>
  <c r="J355" i="20"/>
  <c r="N354" i="20"/>
  <c r="L354" i="20"/>
  <c r="M354" i="20"/>
  <c r="K354" i="20"/>
  <c r="I354" i="20"/>
  <c r="J354" i="20"/>
  <c r="N353" i="20"/>
  <c r="L353" i="20"/>
  <c r="M353" i="20"/>
  <c r="K353" i="20"/>
  <c r="I353" i="20"/>
  <c r="J353" i="20"/>
  <c r="N352" i="20"/>
  <c r="L352" i="20"/>
  <c r="M352" i="20"/>
  <c r="K352" i="20"/>
  <c r="I352" i="20"/>
  <c r="J352" i="20"/>
  <c r="N351" i="20"/>
  <c r="L351" i="20"/>
  <c r="M351" i="20"/>
  <c r="K351" i="20"/>
  <c r="I351" i="20"/>
  <c r="J351" i="20"/>
  <c r="N350" i="20"/>
  <c r="L350" i="20"/>
  <c r="M350" i="20"/>
  <c r="K350" i="20"/>
  <c r="I350" i="20"/>
  <c r="J350" i="20"/>
  <c r="N349" i="20"/>
  <c r="L349" i="20"/>
  <c r="M349" i="20"/>
  <c r="K349" i="20"/>
  <c r="I349" i="20"/>
  <c r="J349" i="20"/>
  <c r="N348" i="20"/>
  <c r="L348" i="20"/>
  <c r="M348" i="20"/>
  <c r="K348" i="20"/>
  <c r="I348" i="20"/>
  <c r="J348" i="20"/>
  <c r="N347" i="20"/>
  <c r="L347" i="20"/>
  <c r="M347" i="20"/>
  <c r="K347" i="20"/>
  <c r="I347" i="20"/>
  <c r="J347" i="20"/>
  <c r="N346" i="20"/>
  <c r="L346" i="20"/>
  <c r="M346" i="20"/>
  <c r="K346" i="20"/>
  <c r="I346" i="20"/>
  <c r="J346" i="20"/>
  <c r="N345" i="20"/>
  <c r="L345" i="20"/>
  <c r="M345" i="20"/>
  <c r="K345" i="20"/>
  <c r="I345" i="20"/>
  <c r="J345" i="20"/>
  <c r="N344" i="20"/>
  <c r="L344" i="20"/>
  <c r="M344" i="20"/>
  <c r="K344" i="20"/>
  <c r="I344" i="20"/>
  <c r="J344" i="20"/>
  <c r="N343" i="20"/>
  <c r="L343" i="20"/>
  <c r="M343" i="20"/>
  <c r="K343" i="20"/>
  <c r="I343" i="20"/>
  <c r="J343" i="20"/>
  <c r="N342" i="20"/>
  <c r="L342" i="20"/>
  <c r="M342" i="20"/>
  <c r="K342" i="20"/>
  <c r="I342" i="20"/>
  <c r="J342" i="20"/>
  <c r="N341" i="20"/>
  <c r="L341" i="20"/>
  <c r="M341" i="20"/>
  <c r="K341" i="20"/>
  <c r="I341" i="20"/>
  <c r="J341" i="20"/>
  <c r="N340" i="20"/>
  <c r="L340" i="20"/>
  <c r="M340" i="20"/>
  <c r="K340" i="20"/>
  <c r="I340" i="20"/>
  <c r="J340" i="20"/>
  <c r="N339" i="20"/>
  <c r="L339" i="20"/>
  <c r="M339" i="20"/>
  <c r="K339" i="20"/>
  <c r="I339" i="20"/>
  <c r="J339" i="20"/>
  <c r="N338" i="20"/>
  <c r="L338" i="20"/>
  <c r="M338" i="20"/>
  <c r="K338" i="20"/>
  <c r="I338" i="20"/>
  <c r="J338" i="20"/>
  <c r="N337" i="20"/>
  <c r="L337" i="20"/>
  <c r="M337" i="20"/>
  <c r="K337" i="20"/>
  <c r="I337" i="20"/>
  <c r="J337" i="20"/>
  <c r="N336" i="20"/>
  <c r="L336" i="20"/>
  <c r="M336" i="20"/>
  <c r="K336" i="20"/>
  <c r="I336" i="20"/>
  <c r="J336" i="20"/>
  <c r="N335" i="20"/>
  <c r="L335" i="20"/>
  <c r="M335" i="20"/>
  <c r="K335" i="20"/>
  <c r="I335" i="20"/>
  <c r="J335" i="20"/>
  <c r="N334" i="20"/>
  <c r="L334" i="20"/>
  <c r="M334" i="20"/>
  <c r="K334" i="20"/>
  <c r="I334" i="20"/>
  <c r="J334" i="20"/>
  <c r="N333" i="20"/>
  <c r="L333" i="20"/>
  <c r="M333" i="20"/>
  <c r="K333" i="20"/>
  <c r="I333" i="20"/>
  <c r="J333" i="20"/>
  <c r="N332" i="20"/>
  <c r="L332" i="20"/>
  <c r="M332" i="20"/>
  <c r="K332" i="20"/>
  <c r="I332" i="20"/>
  <c r="J332" i="20"/>
  <c r="N331" i="20"/>
  <c r="L331" i="20"/>
  <c r="M331" i="20"/>
  <c r="K331" i="20"/>
  <c r="I331" i="20"/>
  <c r="J331" i="20"/>
  <c r="N330" i="20"/>
  <c r="L330" i="20"/>
  <c r="M330" i="20"/>
  <c r="K330" i="20"/>
  <c r="I330" i="20"/>
  <c r="J330" i="20"/>
  <c r="N329" i="20"/>
  <c r="L329" i="20"/>
  <c r="M329" i="20"/>
  <c r="K329" i="20"/>
  <c r="I329" i="20"/>
  <c r="J329" i="20"/>
  <c r="N328" i="20"/>
  <c r="L328" i="20"/>
  <c r="M328" i="20"/>
  <c r="K328" i="20"/>
  <c r="I328" i="20"/>
  <c r="J328" i="20"/>
  <c r="N327" i="20"/>
  <c r="L327" i="20"/>
  <c r="M327" i="20"/>
  <c r="K327" i="20"/>
  <c r="I327" i="20"/>
  <c r="J327" i="20"/>
  <c r="N326" i="20"/>
  <c r="L326" i="20"/>
  <c r="M326" i="20"/>
  <c r="K326" i="20"/>
  <c r="I326" i="20"/>
  <c r="J326" i="20"/>
  <c r="N325" i="20"/>
  <c r="L325" i="20"/>
  <c r="M325" i="20"/>
  <c r="K325" i="20"/>
  <c r="I325" i="20"/>
  <c r="J325" i="20"/>
  <c r="N324" i="20"/>
  <c r="L324" i="20"/>
  <c r="M324" i="20"/>
  <c r="K324" i="20"/>
  <c r="I324" i="20"/>
  <c r="J324" i="20"/>
  <c r="N323" i="20"/>
  <c r="L323" i="20"/>
  <c r="M323" i="20"/>
  <c r="K323" i="20"/>
  <c r="I323" i="20"/>
  <c r="J323" i="20"/>
  <c r="N322" i="20"/>
  <c r="L322" i="20"/>
  <c r="M322" i="20"/>
  <c r="K322" i="20"/>
  <c r="I322" i="20"/>
  <c r="J322" i="20"/>
  <c r="N321" i="20"/>
  <c r="L321" i="20"/>
  <c r="M321" i="20"/>
  <c r="K321" i="20"/>
  <c r="I321" i="20"/>
  <c r="J321" i="20"/>
  <c r="N320" i="20"/>
  <c r="L320" i="20"/>
  <c r="M320" i="20"/>
  <c r="K320" i="20"/>
  <c r="I320" i="20"/>
  <c r="J320" i="20"/>
  <c r="N319" i="20"/>
  <c r="L319" i="20"/>
  <c r="M319" i="20"/>
  <c r="K319" i="20"/>
  <c r="I319" i="20"/>
  <c r="J319" i="20"/>
  <c r="N318" i="20"/>
  <c r="L318" i="20"/>
  <c r="M318" i="20"/>
  <c r="K318" i="20"/>
  <c r="I318" i="20"/>
  <c r="J318" i="20"/>
  <c r="N317" i="20"/>
  <c r="L317" i="20"/>
  <c r="M317" i="20"/>
  <c r="K317" i="20"/>
  <c r="I317" i="20"/>
  <c r="J317" i="20"/>
  <c r="N316" i="20"/>
  <c r="L316" i="20"/>
  <c r="M316" i="20"/>
  <c r="K316" i="20"/>
  <c r="I316" i="20"/>
  <c r="J316" i="20"/>
  <c r="N315" i="20"/>
  <c r="L315" i="20"/>
  <c r="M315" i="20"/>
  <c r="K315" i="20"/>
  <c r="I315" i="20"/>
  <c r="J315" i="20"/>
  <c r="N314" i="20"/>
  <c r="L314" i="20"/>
  <c r="M314" i="20"/>
  <c r="K314" i="20"/>
  <c r="I314" i="20"/>
  <c r="J314" i="20"/>
  <c r="N313" i="20"/>
  <c r="L313" i="20"/>
  <c r="M313" i="20"/>
  <c r="K313" i="20"/>
  <c r="I313" i="20"/>
  <c r="J313" i="20"/>
  <c r="N312" i="20"/>
  <c r="L312" i="20"/>
  <c r="M312" i="20"/>
  <c r="K312" i="20"/>
  <c r="I312" i="20"/>
  <c r="J312" i="20"/>
  <c r="N311" i="20"/>
  <c r="L311" i="20"/>
  <c r="M311" i="20"/>
  <c r="K311" i="20"/>
  <c r="I311" i="20"/>
  <c r="J311" i="20"/>
  <c r="N310" i="20"/>
  <c r="L310" i="20"/>
  <c r="M310" i="20"/>
  <c r="K310" i="20"/>
  <c r="I310" i="20"/>
  <c r="J310" i="20"/>
  <c r="N309" i="20"/>
  <c r="L309" i="20"/>
  <c r="M309" i="20"/>
  <c r="K309" i="20"/>
  <c r="I309" i="20"/>
  <c r="J309" i="20"/>
  <c r="N308" i="20"/>
  <c r="L308" i="20"/>
  <c r="M308" i="20"/>
  <c r="K308" i="20"/>
  <c r="I308" i="20"/>
  <c r="J308" i="20"/>
  <c r="N307" i="20"/>
  <c r="L307" i="20"/>
  <c r="M307" i="20"/>
  <c r="K307" i="20"/>
  <c r="I307" i="20"/>
  <c r="J307" i="20"/>
  <c r="N306" i="20"/>
  <c r="L306" i="20"/>
  <c r="M306" i="20"/>
  <c r="K306" i="20"/>
  <c r="I306" i="20"/>
  <c r="J306" i="20"/>
  <c r="N305" i="20"/>
  <c r="L305" i="20"/>
  <c r="M305" i="20"/>
  <c r="K305" i="20"/>
  <c r="I305" i="20"/>
  <c r="J305" i="20"/>
  <c r="N304" i="20"/>
  <c r="L304" i="20"/>
  <c r="M304" i="20"/>
  <c r="K304" i="20"/>
  <c r="I304" i="20"/>
  <c r="J304" i="20"/>
  <c r="N303" i="20"/>
  <c r="L303" i="20"/>
  <c r="M303" i="20"/>
  <c r="K303" i="20"/>
  <c r="I303" i="20"/>
  <c r="J303" i="20"/>
  <c r="N302" i="20"/>
  <c r="L302" i="20"/>
  <c r="M302" i="20"/>
  <c r="K302" i="20"/>
  <c r="I302" i="20"/>
  <c r="J302" i="20"/>
  <c r="N301" i="20"/>
  <c r="L301" i="20"/>
  <c r="M301" i="20"/>
  <c r="K301" i="20"/>
  <c r="I301" i="20"/>
  <c r="J301" i="20"/>
  <c r="N300" i="20"/>
  <c r="L300" i="20"/>
  <c r="M300" i="20"/>
  <c r="K300" i="20"/>
  <c r="I300" i="20"/>
  <c r="J300" i="20"/>
  <c r="N299" i="20"/>
  <c r="L299" i="20"/>
  <c r="M299" i="20"/>
  <c r="K299" i="20"/>
  <c r="I299" i="20"/>
  <c r="J299" i="20"/>
  <c r="N298" i="20"/>
  <c r="L298" i="20"/>
  <c r="M298" i="20"/>
  <c r="K298" i="20"/>
  <c r="I298" i="20"/>
  <c r="J298" i="20"/>
  <c r="N297" i="20"/>
  <c r="L297" i="20"/>
  <c r="M297" i="20"/>
  <c r="K297" i="20"/>
  <c r="I297" i="20"/>
  <c r="J297" i="20"/>
  <c r="N296" i="20"/>
  <c r="L296" i="20"/>
  <c r="M296" i="20"/>
  <c r="K296" i="20"/>
  <c r="I296" i="20"/>
  <c r="J296" i="20"/>
  <c r="N295" i="20"/>
  <c r="L295" i="20"/>
  <c r="M295" i="20"/>
  <c r="K295" i="20"/>
  <c r="I295" i="20"/>
  <c r="J295" i="20"/>
  <c r="N294" i="20"/>
  <c r="L294" i="20"/>
  <c r="M294" i="20"/>
  <c r="K294" i="20"/>
  <c r="I294" i="20"/>
  <c r="J294" i="20"/>
  <c r="N293" i="20"/>
  <c r="L293" i="20"/>
  <c r="M293" i="20"/>
  <c r="K293" i="20"/>
  <c r="I293" i="20"/>
  <c r="J293" i="20"/>
  <c r="N292" i="20"/>
  <c r="L292" i="20"/>
  <c r="M292" i="20"/>
  <c r="K292" i="20"/>
  <c r="I292" i="20"/>
  <c r="J292" i="20"/>
  <c r="N291" i="20"/>
  <c r="L291" i="20"/>
  <c r="M291" i="20"/>
  <c r="K291" i="20"/>
  <c r="I291" i="20"/>
  <c r="J291" i="20"/>
  <c r="N290" i="20"/>
  <c r="L290" i="20"/>
  <c r="M290" i="20"/>
  <c r="K290" i="20"/>
  <c r="I290" i="20"/>
  <c r="J290" i="20"/>
  <c r="N289" i="20"/>
  <c r="L289" i="20"/>
  <c r="M289" i="20"/>
  <c r="K289" i="20"/>
  <c r="I289" i="20"/>
  <c r="J289" i="20"/>
  <c r="N288" i="20"/>
  <c r="L288" i="20"/>
  <c r="M288" i="20"/>
  <c r="K288" i="20"/>
  <c r="I288" i="20"/>
  <c r="J288" i="20"/>
  <c r="N287" i="20"/>
  <c r="L287" i="20"/>
  <c r="M287" i="20"/>
  <c r="K287" i="20"/>
  <c r="I287" i="20"/>
  <c r="J287" i="20"/>
  <c r="N286" i="20"/>
  <c r="L286" i="20"/>
  <c r="M286" i="20"/>
  <c r="K286" i="20"/>
  <c r="I286" i="20"/>
  <c r="J286" i="20"/>
  <c r="N285" i="20"/>
  <c r="L285" i="20"/>
  <c r="M285" i="20"/>
  <c r="K285" i="20"/>
  <c r="I285" i="20"/>
  <c r="J285" i="20"/>
  <c r="N284" i="20"/>
  <c r="L284" i="20"/>
  <c r="M284" i="20"/>
  <c r="K284" i="20"/>
  <c r="I284" i="20"/>
  <c r="J284" i="20"/>
  <c r="N283" i="20"/>
  <c r="L283" i="20"/>
  <c r="M283" i="20"/>
  <c r="K283" i="20"/>
  <c r="I283" i="20"/>
  <c r="J283" i="20"/>
  <c r="N282" i="20"/>
  <c r="L282" i="20"/>
  <c r="M282" i="20"/>
  <c r="K282" i="20"/>
  <c r="I282" i="20"/>
  <c r="J282" i="20"/>
  <c r="N281" i="20"/>
  <c r="L281" i="20"/>
  <c r="M281" i="20"/>
  <c r="K281" i="20"/>
  <c r="I281" i="20"/>
  <c r="J281" i="20"/>
  <c r="N280" i="20"/>
  <c r="L280" i="20"/>
  <c r="M280" i="20"/>
  <c r="K280" i="20"/>
  <c r="I280" i="20"/>
  <c r="J280" i="20"/>
  <c r="N279" i="20"/>
  <c r="L279" i="20"/>
  <c r="M279" i="20"/>
  <c r="K279" i="20"/>
  <c r="I279" i="20"/>
  <c r="J279" i="20"/>
  <c r="N278" i="20"/>
  <c r="L278" i="20"/>
  <c r="M278" i="20"/>
  <c r="K278" i="20"/>
  <c r="I278" i="20"/>
  <c r="J278" i="20"/>
  <c r="N277" i="20"/>
  <c r="L277" i="20"/>
  <c r="M277" i="20"/>
  <c r="K277" i="20"/>
  <c r="I277" i="20"/>
  <c r="J277" i="20"/>
  <c r="N276" i="20"/>
  <c r="L276" i="20"/>
  <c r="M276" i="20"/>
  <c r="K276" i="20"/>
  <c r="I276" i="20"/>
  <c r="J276" i="20"/>
  <c r="N275" i="20"/>
  <c r="L275" i="20"/>
  <c r="M275" i="20"/>
  <c r="K275" i="20"/>
  <c r="I275" i="20"/>
  <c r="J275" i="20"/>
  <c r="N274" i="20"/>
  <c r="L274" i="20"/>
  <c r="M274" i="20"/>
  <c r="K274" i="20"/>
  <c r="I274" i="20"/>
  <c r="J274" i="20"/>
  <c r="N273" i="20"/>
  <c r="L273" i="20"/>
  <c r="M273" i="20"/>
  <c r="K273" i="20"/>
  <c r="I273" i="20"/>
  <c r="J273" i="20"/>
  <c r="N272" i="20"/>
  <c r="L272" i="20"/>
  <c r="M272" i="20"/>
  <c r="K272" i="20"/>
  <c r="I272" i="20"/>
  <c r="J272" i="20"/>
  <c r="N271" i="20"/>
  <c r="L271" i="20"/>
  <c r="M271" i="20"/>
  <c r="K271" i="20"/>
  <c r="I271" i="20"/>
  <c r="J271" i="20"/>
  <c r="N270" i="20"/>
  <c r="L270" i="20"/>
  <c r="M270" i="20"/>
  <c r="K270" i="20"/>
  <c r="I270" i="20"/>
  <c r="J270" i="20"/>
  <c r="N269" i="20"/>
  <c r="L269" i="20"/>
  <c r="M269" i="20"/>
  <c r="K269" i="20"/>
  <c r="I269" i="20"/>
  <c r="J269" i="20"/>
  <c r="N268" i="20"/>
  <c r="L268" i="20"/>
  <c r="M268" i="20"/>
  <c r="K268" i="20"/>
  <c r="I268" i="20"/>
  <c r="J268" i="20"/>
  <c r="N267" i="20"/>
  <c r="L267" i="20"/>
  <c r="M267" i="20"/>
  <c r="K267" i="20"/>
  <c r="I267" i="20"/>
  <c r="J267" i="20"/>
  <c r="N266" i="20"/>
  <c r="L266" i="20"/>
  <c r="M266" i="20"/>
  <c r="K266" i="20"/>
  <c r="I266" i="20"/>
  <c r="J266" i="20"/>
  <c r="N265" i="20"/>
  <c r="L265" i="20"/>
  <c r="M265" i="20"/>
  <c r="K265" i="20"/>
  <c r="I265" i="20"/>
  <c r="J265" i="20"/>
  <c r="N264" i="20"/>
  <c r="L264" i="20"/>
  <c r="M264" i="20"/>
  <c r="K264" i="20"/>
  <c r="I264" i="20"/>
  <c r="J264" i="20"/>
  <c r="N263" i="20"/>
  <c r="L263" i="20"/>
  <c r="M263" i="20"/>
  <c r="K263" i="20"/>
  <c r="I263" i="20"/>
  <c r="J263" i="20"/>
  <c r="N262" i="20"/>
  <c r="L262" i="20"/>
  <c r="M262" i="20"/>
  <c r="K262" i="20"/>
  <c r="I262" i="20"/>
  <c r="J262" i="20"/>
  <c r="N261" i="20"/>
  <c r="L261" i="20"/>
  <c r="M261" i="20"/>
  <c r="K261" i="20"/>
  <c r="I261" i="20"/>
  <c r="J261" i="20"/>
  <c r="N260" i="20"/>
  <c r="L260" i="20"/>
  <c r="M260" i="20"/>
  <c r="K260" i="20"/>
  <c r="I260" i="20"/>
  <c r="J260" i="20"/>
  <c r="N259" i="20"/>
  <c r="L259" i="20"/>
  <c r="M259" i="20"/>
  <c r="K259" i="20"/>
  <c r="I259" i="20"/>
  <c r="J259" i="20"/>
  <c r="N258" i="20"/>
  <c r="L258" i="20"/>
  <c r="M258" i="20"/>
  <c r="K258" i="20"/>
  <c r="I258" i="20"/>
  <c r="J258" i="20"/>
  <c r="N257" i="20"/>
  <c r="L257" i="20"/>
  <c r="M257" i="20"/>
  <c r="K257" i="20"/>
  <c r="I257" i="20"/>
  <c r="J257" i="20"/>
  <c r="N256" i="20"/>
  <c r="L256" i="20"/>
  <c r="M256" i="20"/>
  <c r="K256" i="20"/>
  <c r="I256" i="20"/>
  <c r="J256" i="20"/>
  <c r="N255" i="20"/>
  <c r="L255" i="20"/>
  <c r="M255" i="20"/>
  <c r="K255" i="20"/>
  <c r="I255" i="20"/>
  <c r="J255" i="20"/>
  <c r="N254" i="20"/>
  <c r="L254" i="20"/>
  <c r="M254" i="20"/>
  <c r="K254" i="20"/>
  <c r="I254" i="20"/>
  <c r="J254" i="20"/>
  <c r="N253" i="20"/>
  <c r="L253" i="20"/>
  <c r="M253" i="20"/>
  <c r="K253" i="20"/>
  <c r="I253" i="20"/>
  <c r="J253" i="20"/>
  <c r="N252" i="20"/>
  <c r="L252" i="20"/>
  <c r="M252" i="20"/>
  <c r="K252" i="20"/>
  <c r="I252" i="20"/>
  <c r="J252" i="20"/>
  <c r="N251" i="20"/>
  <c r="L251" i="20"/>
  <c r="M251" i="20"/>
  <c r="K251" i="20"/>
  <c r="I251" i="20"/>
  <c r="J251" i="20"/>
  <c r="N250" i="20"/>
  <c r="L250" i="20"/>
  <c r="M250" i="20"/>
  <c r="K250" i="20"/>
  <c r="I250" i="20"/>
  <c r="J250" i="20"/>
  <c r="N249" i="20"/>
  <c r="L249" i="20"/>
  <c r="M249" i="20"/>
  <c r="K249" i="20"/>
  <c r="I249" i="20"/>
  <c r="J249" i="20"/>
  <c r="N248" i="20"/>
  <c r="L248" i="20"/>
  <c r="M248" i="20"/>
  <c r="K248" i="20"/>
  <c r="I248" i="20"/>
  <c r="J248" i="20"/>
  <c r="N247" i="20"/>
  <c r="L247" i="20"/>
  <c r="M247" i="20"/>
  <c r="K247" i="20"/>
  <c r="I247" i="20"/>
  <c r="J247" i="20"/>
  <c r="N246" i="20"/>
  <c r="L246" i="20"/>
  <c r="M246" i="20"/>
  <c r="K246" i="20"/>
  <c r="I246" i="20"/>
  <c r="J246" i="20"/>
  <c r="N245" i="20"/>
  <c r="L245" i="20"/>
  <c r="M245" i="20"/>
  <c r="K245" i="20"/>
  <c r="I245" i="20"/>
  <c r="J245" i="20"/>
  <c r="N244" i="20"/>
  <c r="L244" i="20"/>
  <c r="M244" i="20"/>
  <c r="K244" i="20"/>
  <c r="I244" i="20"/>
  <c r="J244" i="20"/>
  <c r="N243" i="20"/>
  <c r="L243" i="20"/>
  <c r="M243" i="20"/>
  <c r="K243" i="20"/>
  <c r="I243" i="20"/>
  <c r="J243" i="20"/>
  <c r="N242" i="20"/>
  <c r="L242" i="20"/>
  <c r="M242" i="20"/>
  <c r="K242" i="20"/>
  <c r="I242" i="20"/>
  <c r="J242" i="20"/>
  <c r="N241" i="20"/>
  <c r="L241" i="20"/>
  <c r="M241" i="20"/>
  <c r="K241" i="20"/>
  <c r="I241" i="20"/>
  <c r="J241" i="20"/>
  <c r="N240" i="20"/>
  <c r="L240" i="20"/>
  <c r="M240" i="20"/>
  <c r="K240" i="20"/>
  <c r="I240" i="20"/>
  <c r="J240" i="20"/>
  <c r="N239" i="20"/>
  <c r="L239" i="20"/>
  <c r="M239" i="20"/>
  <c r="K239" i="20"/>
  <c r="I239" i="20"/>
  <c r="J239" i="20"/>
  <c r="N238" i="20"/>
  <c r="L238" i="20"/>
  <c r="M238" i="20"/>
  <c r="K238" i="20"/>
  <c r="I238" i="20"/>
  <c r="J238" i="20"/>
  <c r="N237" i="20"/>
  <c r="L237" i="20"/>
  <c r="M237" i="20"/>
  <c r="K237" i="20"/>
  <c r="I237" i="20"/>
  <c r="J237" i="20"/>
  <c r="N236" i="20"/>
  <c r="L236" i="20"/>
  <c r="M236" i="20"/>
  <c r="K236" i="20"/>
  <c r="I236" i="20"/>
  <c r="J236" i="20"/>
  <c r="N235" i="20"/>
  <c r="L235" i="20"/>
  <c r="M235" i="20"/>
  <c r="K235" i="20"/>
  <c r="I235" i="20"/>
  <c r="J235" i="20"/>
  <c r="N234" i="20"/>
  <c r="L234" i="20"/>
  <c r="M234" i="20"/>
  <c r="K234" i="20"/>
  <c r="I234" i="20"/>
  <c r="J234" i="20"/>
  <c r="N233" i="20"/>
  <c r="L233" i="20"/>
  <c r="M233" i="20"/>
  <c r="K233" i="20"/>
  <c r="I233" i="20"/>
  <c r="J233" i="20"/>
  <c r="N232" i="20"/>
  <c r="L232" i="20"/>
  <c r="M232" i="20"/>
  <c r="K232" i="20"/>
  <c r="I232" i="20"/>
  <c r="J232" i="20"/>
  <c r="N231" i="20"/>
  <c r="L231" i="20"/>
  <c r="M231" i="20"/>
  <c r="K231" i="20"/>
  <c r="I231" i="20"/>
  <c r="J231" i="20"/>
  <c r="N230" i="20"/>
  <c r="L230" i="20"/>
  <c r="M230" i="20"/>
  <c r="K230" i="20"/>
  <c r="I230" i="20"/>
  <c r="J230" i="20"/>
  <c r="N229" i="20"/>
  <c r="L229" i="20"/>
  <c r="M229" i="20"/>
  <c r="K229" i="20"/>
  <c r="I229" i="20"/>
  <c r="J229" i="20"/>
  <c r="N228" i="20"/>
  <c r="L228" i="20"/>
  <c r="M228" i="20"/>
  <c r="K228" i="20"/>
  <c r="I228" i="20"/>
  <c r="J228" i="20"/>
  <c r="N227" i="20"/>
  <c r="L227" i="20"/>
  <c r="M227" i="20"/>
  <c r="K227" i="20"/>
  <c r="I227" i="20"/>
  <c r="J227" i="20"/>
  <c r="N226" i="20"/>
  <c r="L226" i="20"/>
  <c r="M226" i="20"/>
  <c r="K226" i="20"/>
  <c r="I226" i="20"/>
  <c r="J226" i="20"/>
  <c r="N225" i="20"/>
  <c r="L225" i="20"/>
  <c r="M225" i="20"/>
  <c r="K225" i="20"/>
  <c r="I225" i="20"/>
  <c r="J225" i="20"/>
  <c r="N224" i="20"/>
  <c r="L224" i="20"/>
  <c r="M224" i="20"/>
  <c r="K224" i="20"/>
  <c r="I224" i="20"/>
  <c r="J224" i="20"/>
  <c r="N223" i="20"/>
  <c r="L223" i="20"/>
  <c r="M223" i="20"/>
  <c r="K223" i="20"/>
  <c r="I223" i="20"/>
  <c r="J223" i="20"/>
  <c r="N222" i="20"/>
  <c r="L222" i="20"/>
  <c r="M222" i="20"/>
  <c r="K222" i="20"/>
  <c r="I222" i="20"/>
  <c r="J222" i="20"/>
  <c r="N221" i="20"/>
  <c r="L221" i="20"/>
  <c r="M221" i="20"/>
  <c r="K221" i="20"/>
  <c r="I221" i="20"/>
  <c r="J221" i="20"/>
  <c r="N220" i="20"/>
  <c r="L220" i="20"/>
  <c r="M220" i="20"/>
  <c r="K220" i="20"/>
  <c r="I220" i="20"/>
  <c r="J220" i="20"/>
  <c r="N219" i="20"/>
  <c r="L219" i="20"/>
  <c r="M219" i="20"/>
  <c r="K219" i="20"/>
  <c r="I219" i="20"/>
  <c r="J219" i="20"/>
  <c r="N218" i="20"/>
  <c r="L218" i="20"/>
  <c r="M218" i="20"/>
  <c r="K218" i="20"/>
  <c r="I218" i="20"/>
  <c r="J218" i="20"/>
  <c r="N217" i="20"/>
  <c r="L217" i="20"/>
  <c r="M217" i="20"/>
  <c r="K217" i="20"/>
  <c r="I217" i="20"/>
  <c r="J217" i="20"/>
  <c r="N216" i="20"/>
  <c r="L216" i="20"/>
  <c r="M216" i="20"/>
  <c r="K216" i="20"/>
  <c r="I216" i="20"/>
  <c r="J216" i="20"/>
  <c r="N215" i="20"/>
  <c r="L215" i="20"/>
  <c r="M215" i="20"/>
  <c r="K215" i="20"/>
  <c r="I215" i="20"/>
  <c r="J215" i="20"/>
  <c r="N214" i="20"/>
  <c r="L214" i="20"/>
  <c r="M214" i="20"/>
  <c r="K214" i="20"/>
  <c r="I214" i="20"/>
  <c r="J214" i="20"/>
  <c r="N213" i="20"/>
  <c r="L213" i="20"/>
  <c r="M213" i="20"/>
  <c r="K213" i="20"/>
  <c r="I213" i="20"/>
  <c r="J213" i="20"/>
  <c r="N212" i="20"/>
  <c r="L212" i="20"/>
  <c r="M212" i="20"/>
  <c r="K212" i="20"/>
  <c r="I212" i="20"/>
  <c r="J212" i="20"/>
  <c r="N211" i="20"/>
  <c r="L211" i="20"/>
  <c r="M211" i="20"/>
  <c r="K211" i="20"/>
  <c r="I211" i="20"/>
  <c r="J211" i="20"/>
  <c r="N210" i="20"/>
  <c r="L210" i="20"/>
  <c r="M210" i="20"/>
  <c r="K210" i="20"/>
  <c r="I210" i="20"/>
  <c r="J210" i="20"/>
  <c r="N209" i="20"/>
  <c r="L209" i="20"/>
  <c r="M209" i="20"/>
  <c r="K209" i="20"/>
  <c r="I209" i="20"/>
  <c r="J209" i="20"/>
  <c r="N208" i="20"/>
  <c r="L208" i="20"/>
  <c r="M208" i="20"/>
  <c r="K208" i="20"/>
  <c r="I208" i="20"/>
  <c r="J208" i="20"/>
  <c r="N207" i="20"/>
  <c r="L207" i="20"/>
  <c r="M207" i="20"/>
  <c r="K207" i="20"/>
  <c r="I207" i="20"/>
  <c r="J207" i="20"/>
  <c r="N206" i="20"/>
  <c r="L206" i="20"/>
  <c r="M206" i="20"/>
  <c r="K206" i="20"/>
  <c r="I206" i="20"/>
  <c r="J206" i="20"/>
  <c r="N205" i="20"/>
  <c r="L205" i="20"/>
  <c r="M205" i="20"/>
  <c r="K205" i="20"/>
  <c r="I205" i="20"/>
  <c r="J205" i="20"/>
  <c r="N204" i="20"/>
  <c r="L204" i="20"/>
  <c r="M204" i="20"/>
  <c r="K204" i="20"/>
  <c r="I204" i="20"/>
  <c r="J204" i="20"/>
  <c r="N203" i="20"/>
  <c r="L203" i="20"/>
  <c r="M203" i="20"/>
  <c r="K203" i="20"/>
  <c r="I203" i="20"/>
  <c r="J203" i="20"/>
  <c r="N202" i="20"/>
  <c r="L202" i="20"/>
  <c r="M202" i="20"/>
  <c r="K202" i="20"/>
  <c r="I202" i="20"/>
  <c r="J202" i="20"/>
  <c r="N201" i="20"/>
  <c r="L201" i="20"/>
  <c r="M201" i="20"/>
  <c r="K201" i="20"/>
  <c r="I201" i="20"/>
  <c r="J201" i="20"/>
  <c r="N200" i="20"/>
  <c r="L200" i="20"/>
  <c r="M200" i="20"/>
  <c r="K200" i="20"/>
  <c r="I200" i="20"/>
  <c r="J200" i="20"/>
  <c r="N199" i="20"/>
  <c r="L199" i="20"/>
  <c r="M199" i="20"/>
  <c r="K199" i="20"/>
  <c r="I199" i="20"/>
  <c r="J199" i="20"/>
  <c r="N198" i="20"/>
  <c r="L198" i="20"/>
  <c r="M198" i="20"/>
  <c r="K198" i="20"/>
  <c r="I198" i="20"/>
  <c r="J198" i="20"/>
  <c r="N197" i="20"/>
  <c r="L197" i="20"/>
  <c r="M197" i="20"/>
  <c r="K197" i="20"/>
  <c r="I197" i="20"/>
  <c r="J197" i="20"/>
  <c r="N196" i="20"/>
  <c r="L196" i="20"/>
  <c r="M196" i="20"/>
  <c r="K196" i="20"/>
  <c r="I196" i="20"/>
  <c r="J196" i="20"/>
  <c r="N195" i="20"/>
  <c r="L195" i="20"/>
  <c r="M195" i="20"/>
  <c r="K195" i="20"/>
  <c r="I195" i="20"/>
  <c r="J195" i="20"/>
  <c r="N194" i="20"/>
  <c r="L194" i="20"/>
  <c r="M194" i="20"/>
  <c r="K194" i="20"/>
  <c r="I194" i="20"/>
  <c r="J194" i="20"/>
  <c r="N193" i="20"/>
  <c r="L193" i="20"/>
  <c r="M193" i="20"/>
  <c r="K193" i="20"/>
  <c r="I193" i="20"/>
  <c r="J193" i="20"/>
  <c r="N192" i="20"/>
  <c r="L192" i="20"/>
  <c r="M192" i="20"/>
  <c r="K192" i="20"/>
  <c r="I192" i="20"/>
  <c r="J192" i="20"/>
  <c r="N191" i="20"/>
  <c r="L191" i="20"/>
  <c r="M191" i="20"/>
  <c r="K191" i="20"/>
  <c r="I191" i="20"/>
  <c r="J191" i="20"/>
  <c r="N190" i="20"/>
  <c r="L190" i="20"/>
  <c r="M190" i="20"/>
  <c r="K190" i="20"/>
  <c r="I190" i="20"/>
  <c r="J190" i="20"/>
  <c r="N189" i="20"/>
  <c r="L189" i="20"/>
  <c r="M189" i="20"/>
  <c r="K189" i="20"/>
  <c r="I189" i="20"/>
  <c r="J189" i="20"/>
  <c r="N188" i="20"/>
  <c r="L188" i="20"/>
  <c r="M188" i="20"/>
  <c r="K188" i="20"/>
  <c r="I188" i="20"/>
  <c r="J188" i="20"/>
  <c r="N187" i="20"/>
  <c r="L187" i="20"/>
  <c r="M187" i="20"/>
  <c r="K187" i="20"/>
  <c r="I187" i="20"/>
  <c r="J187" i="20"/>
  <c r="N186" i="20"/>
  <c r="L186" i="20"/>
  <c r="M186" i="20"/>
  <c r="K186" i="20"/>
  <c r="I186" i="20"/>
  <c r="J186" i="20"/>
  <c r="N185" i="20"/>
  <c r="L185" i="20"/>
  <c r="M185" i="20"/>
  <c r="K185" i="20"/>
  <c r="I185" i="20"/>
  <c r="J185" i="20"/>
  <c r="N184" i="20"/>
  <c r="L184" i="20"/>
  <c r="M184" i="20"/>
  <c r="K184" i="20"/>
  <c r="I184" i="20"/>
  <c r="J184" i="20"/>
  <c r="N183" i="20"/>
  <c r="L183" i="20"/>
  <c r="M183" i="20"/>
  <c r="K183" i="20"/>
  <c r="I183" i="20"/>
  <c r="J183" i="20"/>
  <c r="N182" i="20"/>
  <c r="L182" i="20"/>
  <c r="M182" i="20"/>
  <c r="K182" i="20"/>
  <c r="I182" i="20"/>
  <c r="J182" i="20"/>
  <c r="N181" i="20"/>
  <c r="L181" i="20"/>
  <c r="M181" i="20"/>
  <c r="K181" i="20"/>
  <c r="I181" i="20"/>
  <c r="J181" i="20"/>
  <c r="N180" i="20"/>
  <c r="L180" i="20"/>
  <c r="M180" i="20"/>
  <c r="K180" i="20"/>
  <c r="I180" i="20"/>
  <c r="J180" i="20"/>
  <c r="N179" i="20"/>
  <c r="L179" i="20"/>
  <c r="M179" i="20"/>
  <c r="K179" i="20"/>
  <c r="I179" i="20"/>
  <c r="J179" i="20"/>
  <c r="N178" i="20"/>
  <c r="L178" i="20"/>
  <c r="M178" i="20"/>
  <c r="K178" i="20"/>
  <c r="I178" i="20"/>
  <c r="J178" i="20"/>
  <c r="N177" i="20"/>
  <c r="L177" i="20"/>
  <c r="M177" i="20"/>
  <c r="K177" i="20"/>
  <c r="I177" i="20"/>
  <c r="J177" i="20"/>
  <c r="N176" i="20"/>
  <c r="L176" i="20"/>
  <c r="M176" i="20"/>
  <c r="K176" i="20"/>
  <c r="I176" i="20"/>
  <c r="J176" i="20"/>
  <c r="N175" i="20"/>
  <c r="L175" i="20"/>
  <c r="M175" i="20"/>
  <c r="K175" i="20"/>
  <c r="I175" i="20"/>
  <c r="J175" i="20"/>
  <c r="N174" i="20"/>
  <c r="L174" i="20"/>
  <c r="M174" i="20"/>
  <c r="K174" i="20"/>
  <c r="I174" i="20"/>
  <c r="J174" i="20"/>
  <c r="N173" i="20"/>
  <c r="L173" i="20"/>
  <c r="M173" i="20"/>
  <c r="K173" i="20"/>
  <c r="I173" i="20"/>
  <c r="J173" i="20"/>
  <c r="N172" i="20"/>
  <c r="L172" i="20"/>
  <c r="M172" i="20"/>
  <c r="K172" i="20"/>
  <c r="I172" i="20"/>
  <c r="J172" i="20"/>
  <c r="N171" i="20"/>
  <c r="L171" i="20"/>
  <c r="M171" i="20"/>
  <c r="K171" i="20"/>
  <c r="I171" i="20"/>
  <c r="J171" i="20"/>
  <c r="N170" i="20"/>
  <c r="L170" i="20"/>
  <c r="M170" i="20"/>
  <c r="K170" i="20"/>
  <c r="I170" i="20"/>
  <c r="J170" i="20"/>
  <c r="N169" i="20"/>
  <c r="L169" i="20"/>
  <c r="M169" i="20"/>
  <c r="K169" i="20"/>
  <c r="I169" i="20"/>
  <c r="J169" i="20"/>
  <c r="N168" i="20"/>
  <c r="L168" i="20"/>
  <c r="M168" i="20"/>
  <c r="K168" i="20"/>
  <c r="I168" i="20"/>
  <c r="J168" i="20"/>
  <c r="N167" i="20"/>
  <c r="L167" i="20"/>
  <c r="M167" i="20"/>
  <c r="K167" i="20"/>
  <c r="I167" i="20"/>
  <c r="J167" i="20"/>
  <c r="N166" i="20"/>
  <c r="L166" i="20"/>
  <c r="M166" i="20"/>
  <c r="K166" i="20"/>
  <c r="I166" i="20"/>
  <c r="J166" i="20"/>
  <c r="N165" i="20"/>
  <c r="L165" i="20"/>
  <c r="M165" i="20"/>
  <c r="K165" i="20"/>
  <c r="I165" i="20"/>
  <c r="J165" i="20"/>
  <c r="N164" i="20"/>
  <c r="L164" i="20"/>
  <c r="M164" i="20"/>
  <c r="K164" i="20"/>
  <c r="I164" i="20"/>
  <c r="J164" i="20"/>
  <c r="N163" i="20"/>
  <c r="L163" i="20"/>
  <c r="M163" i="20"/>
  <c r="K163" i="20"/>
  <c r="I163" i="20"/>
  <c r="J163" i="20"/>
  <c r="N162" i="20"/>
  <c r="L162" i="20"/>
  <c r="M162" i="20"/>
  <c r="K162" i="20"/>
  <c r="I162" i="20"/>
  <c r="J162" i="20"/>
  <c r="N161" i="20"/>
  <c r="L161" i="20"/>
  <c r="M161" i="20"/>
  <c r="K161" i="20"/>
  <c r="I161" i="20"/>
  <c r="J161" i="20"/>
  <c r="N160" i="20"/>
  <c r="L160" i="20"/>
  <c r="M160" i="20"/>
  <c r="K160" i="20"/>
  <c r="I160" i="20"/>
  <c r="J160" i="20"/>
  <c r="N159" i="20"/>
  <c r="L159" i="20"/>
  <c r="M159" i="20"/>
  <c r="K159" i="20"/>
  <c r="I159" i="20"/>
  <c r="J159" i="20"/>
  <c r="N158" i="20"/>
  <c r="L158" i="20"/>
  <c r="M158" i="20"/>
  <c r="K158" i="20"/>
  <c r="I158" i="20"/>
  <c r="J158" i="20"/>
  <c r="N157" i="20"/>
  <c r="L157" i="20"/>
  <c r="M157" i="20"/>
  <c r="K157" i="20"/>
  <c r="I157" i="20"/>
  <c r="J157" i="20"/>
  <c r="N156" i="20"/>
  <c r="L156" i="20"/>
  <c r="M156" i="20"/>
  <c r="K156" i="20"/>
  <c r="I156" i="20"/>
  <c r="J156" i="20"/>
  <c r="N155" i="20"/>
  <c r="L155" i="20"/>
  <c r="M155" i="20"/>
  <c r="K155" i="20"/>
  <c r="I155" i="20"/>
  <c r="J155" i="20"/>
  <c r="N154" i="20"/>
  <c r="L154" i="20"/>
  <c r="M154" i="20"/>
  <c r="K154" i="20"/>
  <c r="I154" i="20"/>
  <c r="J154" i="20"/>
  <c r="N153" i="20"/>
  <c r="L153" i="20"/>
  <c r="M153" i="20"/>
  <c r="K153" i="20"/>
  <c r="I153" i="20"/>
  <c r="J153" i="20"/>
  <c r="N152" i="20"/>
  <c r="L152" i="20"/>
  <c r="M152" i="20"/>
  <c r="K152" i="20"/>
  <c r="I152" i="20"/>
  <c r="J152" i="20"/>
  <c r="N151" i="20"/>
  <c r="L151" i="20"/>
  <c r="M151" i="20"/>
  <c r="K151" i="20"/>
  <c r="I151" i="20"/>
  <c r="J151" i="20"/>
  <c r="N150" i="20"/>
  <c r="L150" i="20"/>
  <c r="M150" i="20"/>
  <c r="K150" i="20"/>
  <c r="I150" i="20"/>
  <c r="J150" i="20"/>
  <c r="N149" i="20"/>
  <c r="L149" i="20"/>
  <c r="M149" i="20"/>
  <c r="K149" i="20"/>
  <c r="I149" i="20"/>
  <c r="J149" i="20"/>
  <c r="N148" i="20"/>
  <c r="L148" i="20"/>
  <c r="M148" i="20"/>
  <c r="K148" i="20"/>
  <c r="I148" i="20"/>
  <c r="J148" i="20"/>
  <c r="N147" i="20"/>
  <c r="L147" i="20"/>
  <c r="M147" i="20"/>
  <c r="K147" i="20"/>
  <c r="I147" i="20"/>
  <c r="J147" i="20"/>
  <c r="N146" i="20"/>
  <c r="L146" i="20"/>
  <c r="M146" i="20"/>
  <c r="K146" i="20"/>
  <c r="I146" i="20"/>
  <c r="J146" i="20"/>
  <c r="N145" i="20"/>
  <c r="L145" i="20"/>
  <c r="M145" i="20"/>
  <c r="K145" i="20"/>
  <c r="I145" i="20"/>
  <c r="J145" i="20"/>
  <c r="N144" i="20"/>
  <c r="L144" i="20"/>
  <c r="M144" i="20"/>
  <c r="K144" i="20"/>
  <c r="I144" i="20"/>
  <c r="J144" i="20"/>
  <c r="N143" i="20"/>
  <c r="L143" i="20"/>
  <c r="M143" i="20"/>
  <c r="K143" i="20"/>
  <c r="I143" i="20"/>
  <c r="J143" i="20"/>
  <c r="N142" i="20"/>
  <c r="L142" i="20"/>
  <c r="M142" i="20"/>
  <c r="K142" i="20"/>
  <c r="I142" i="20"/>
  <c r="J142" i="20"/>
  <c r="N141" i="20"/>
  <c r="L141" i="20"/>
  <c r="M141" i="20"/>
  <c r="K141" i="20"/>
  <c r="I141" i="20"/>
  <c r="J141" i="20"/>
  <c r="N140" i="20"/>
  <c r="L140" i="20"/>
  <c r="M140" i="20"/>
  <c r="K140" i="20"/>
  <c r="I140" i="20"/>
  <c r="J140" i="20"/>
  <c r="N139" i="20"/>
  <c r="L139" i="20"/>
  <c r="M139" i="20"/>
  <c r="K139" i="20"/>
  <c r="I139" i="20"/>
  <c r="J139" i="20"/>
  <c r="N138" i="20"/>
  <c r="L138" i="20"/>
  <c r="M138" i="20"/>
  <c r="K138" i="20"/>
  <c r="I138" i="20"/>
  <c r="J138" i="20"/>
  <c r="N137" i="20"/>
  <c r="L137" i="20"/>
  <c r="M137" i="20"/>
  <c r="K137" i="20"/>
  <c r="I137" i="20"/>
  <c r="J137" i="20"/>
  <c r="N136" i="20"/>
  <c r="L136" i="20"/>
  <c r="M136" i="20"/>
  <c r="K136" i="20"/>
  <c r="I136" i="20"/>
  <c r="J136" i="20"/>
  <c r="N135" i="20"/>
  <c r="L135" i="20"/>
  <c r="M135" i="20"/>
  <c r="K135" i="20"/>
  <c r="I135" i="20"/>
  <c r="J135" i="20"/>
  <c r="N134" i="20"/>
  <c r="L134" i="20"/>
  <c r="M134" i="20"/>
  <c r="K134" i="20"/>
  <c r="I134" i="20"/>
  <c r="J134" i="20"/>
  <c r="N133" i="20"/>
  <c r="L133" i="20"/>
  <c r="M133" i="20"/>
  <c r="K133" i="20"/>
  <c r="I133" i="20"/>
  <c r="J133" i="20"/>
  <c r="N132" i="20"/>
  <c r="L132" i="20"/>
  <c r="M132" i="20"/>
  <c r="K132" i="20"/>
  <c r="I132" i="20"/>
  <c r="J132" i="20"/>
  <c r="N131" i="20"/>
  <c r="L131" i="20"/>
  <c r="M131" i="20"/>
  <c r="K131" i="20"/>
  <c r="I131" i="20"/>
  <c r="J131" i="20"/>
  <c r="N130" i="20"/>
  <c r="L130" i="20"/>
  <c r="M130" i="20"/>
  <c r="K130" i="20"/>
  <c r="I130" i="20"/>
  <c r="J130" i="20"/>
  <c r="N129" i="20"/>
  <c r="L129" i="20"/>
  <c r="M129" i="20"/>
  <c r="K129" i="20"/>
  <c r="I129" i="20"/>
  <c r="J129" i="20"/>
  <c r="N128" i="20"/>
  <c r="L128" i="20"/>
  <c r="M128" i="20"/>
  <c r="K128" i="20"/>
  <c r="I128" i="20"/>
  <c r="J128" i="20"/>
  <c r="N127" i="20"/>
  <c r="L127" i="20"/>
  <c r="M127" i="20"/>
  <c r="K127" i="20"/>
  <c r="I127" i="20"/>
  <c r="J127" i="20"/>
  <c r="N126" i="20"/>
  <c r="L126" i="20"/>
  <c r="M126" i="20"/>
  <c r="K126" i="20"/>
  <c r="I126" i="20"/>
  <c r="J126" i="20"/>
  <c r="N125" i="20"/>
  <c r="L125" i="20"/>
  <c r="M125" i="20"/>
  <c r="K125" i="20"/>
  <c r="I125" i="20"/>
  <c r="J125" i="20"/>
  <c r="N124" i="20"/>
  <c r="L124" i="20"/>
  <c r="M124" i="20"/>
  <c r="K124" i="20"/>
  <c r="I124" i="20"/>
  <c r="J124" i="20"/>
  <c r="N123" i="20"/>
  <c r="L123" i="20"/>
  <c r="M123" i="20"/>
  <c r="K123" i="20"/>
  <c r="I123" i="20"/>
  <c r="J123" i="20"/>
  <c r="N122" i="20"/>
  <c r="L122" i="20"/>
  <c r="M122" i="20"/>
  <c r="K122" i="20"/>
  <c r="I122" i="20"/>
  <c r="J122" i="20"/>
  <c r="N121" i="20"/>
  <c r="L121" i="20"/>
  <c r="M121" i="20"/>
  <c r="K121" i="20"/>
  <c r="I121" i="20"/>
  <c r="J121" i="20"/>
  <c r="N120" i="20"/>
  <c r="L120" i="20"/>
  <c r="M120" i="20"/>
  <c r="K120" i="20"/>
  <c r="I120" i="20"/>
  <c r="J120" i="20"/>
  <c r="N119" i="20"/>
  <c r="L119" i="20"/>
  <c r="M119" i="20"/>
  <c r="K119" i="20"/>
  <c r="I119" i="20"/>
  <c r="J119" i="20"/>
  <c r="N118" i="20"/>
  <c r="L118" i="20"/>
  <c r="M118" i="20"/>
  <c r="K118" i="20"/>
  <c r="I118" i="20"/>
  <c r="J118" i="20"/>
  <c r="N117" i="20"/>
  <c r="L117" i="20"/>
  <c r="M117" i="20"/>
  <c r="K117" i="20"/>
  <c r="I117" i="20"/>
  <c r="J117" i="20"/>
  <c r="N116" i="20"/>
  <c r="L116" i="20"/>
  <c r="M116" i="20"/>
  <c r="K116" i="20"/>
  <c r="I116" i="20"/>
  <c r="J116" i="20"/>
  <c r="N115" i="20"/>
  <c r="L115" i="20"/>
  <c r="M115" i="20"/>
  <c r="K115" i="20"/>
  <c r="I115" i="20"/>
  <c r="J115" i="20"/>
  <c r="N114" i="20"/>
  <c r="L114" i="20"/>
  <c r="M114" i="20"/>
  <c r="K114" i="20"/>
  <c r="I114" i="20"/>
  <c r="J114" i="20"/>
  <c r="N113" i="20"/>
  <c r="L113" i="20"/>
  <c r="M113" i="20"/>
  <c r="K113" i="20"/>
  <c r="I113" i="20"/>
  <c r="J113" i="20"/>
  <c r="N112" i="20"/>
  <c r="L112" i="20"/>
  <c r="M112" i="20"/>
  <c r="K112" i="20"/>
  <c r="I112" i="20"/>
  <c r="J112" i="20"/>
  <c r="N111" i="20"/>
  <c r="L111" i="20"/>
  <c r="M111" i="20"/>
  <c r="K111" i="20"/>
  <c r="I111" i="20"/>
  <c r="J111" i="20"/>
  <c r="N110" i="20"/>
  <c r="L110" i="20"/>
  <c r="M110" i="20"/>
  <c r="K110" i="20"/>
  <c r="I110" i="20"/>
  <c r="J110" i="20"/>
  <c r="N109" i="20"/>
  <c r="L109" i="20"/>
  <c r="M109" i="20"/>
  <c r="K109" i="20"/>
  <c r="I109" i="20"/>
  <c r="J109" i="20"/>
  <c r="N108" i="20"/>
  <c r="L108" i="20"/>
  <c r="M108" i="20"/>
  <c r="K108" i="20"/>
  <c r="I108" i="20"/>
  <c r="J108" i="20"/>
  <c r="N107" i="20"/>
  <c r="L107" i="20"/>
  <c r="M107" i="20"/>
  <c r="K107" i="20"/>
  <c r="I107" i="20"/>
  <c r="J107" i="20"/>
  <c r="N106" i="20"/>
  <c r="L106" i="20"/>
  <c r="M106" i="20"/>
  <c r="K106" i="20"/>
  <c r="I106" i="20"/>
  <c r="J106" i="20"/>
  <c r="N105" i="20"/>
  <c r="L105" i="20"/>
  <c r="M105" i="20"/>
  <c r="K105" i="20"/>
  <c r="I105" i="20"/>
  <c r="J105" i="20"/>
  <c r="N104" i="20"/>
  <c r="L104" i="20"/>
  <c r="M104" i="20"/>
  <c r="K104" i="20"/>
  <c r="I104" i="20"/>
  <c r="J104" i="20"/>
  <c r="N103" i="20"/>
  <c r="L103" i="20"/>
  <c r="M103" i="20"/>
  <c r="K103" i="20"/>
  <c r="I103" i="20"/>
  <c r="J103" i="20"/>
  <c r="N102" i="20"/>
  <c r="L102" i="20"/>
  <c r="M102" i="20"/>
  <c r="K102" i="20"/>
  <c r="I102" i="20"/>
  <c r="J102" i="20"/>
  <c r="N101" i="20"/>
  <c r="L101" i="20"/>
  <c r="M101" i="20"/>
  <c r="K101" i="20"/>
  <c r="I101" i="20"/>
  <c r="J101" i="20"/>
  <c r="N100" i="20"/>
  <c r="L100" i="20"/>
  <c r="M100" i="20"/>
  <c r="K100" i="20"/>
  <c r="I100" i="20"/>
  <c r="J100" i="20"/>
  <c r="N99" i="20"/>
  <c r="L99" i="20"/>
  <c r="M99" i="20"/>
  <c r="K99" i="20"/>
  <c r="I99" i="20"/>
  <c r="J99" i="20"/>
  <c r="N98" i="20"/>
  <c r="L98" i="20"/>
  <c r="M98" i="20"/>
  <c r="K98" i="20"/>
  <c r="I98" i="20"/>
  <c r="J98" i="20"/>
  <c r="N97" i="20"/>
  <c r="L97" i="20"/>
  <c r="M97" i="20"/>
  <c r="K97" i="20"/>
  <c r="I97" i="20"/>
  <c r="J97" i="20"/>
  <c r="N96" i="20"/>
  <c r="L96" i="20"/>
  <c r="M96" i="20"/>
  <c r="K96" i="20"/>
  <c r="I96" i="20"/>
  <c r="J96" i="20"/>
  <c r="N95" i="20"/>
  <c r="L95" i="20"/>
  <c r="M95" i="20"/>
  <c r="K95" i="20"/>
  <c r="I95" i="20"/>
  <c r="J95" i="20"/>
  <c r="N94" i="20"/>
  <c r="L94" i="20"/>
  <c r="M94" i="20"/>
  <c r="K94" i="20"/>
  <c r="I94" i="20"/>
  <c r="J94" i="20"/>
  <c r="N93" i="20"/>
  <c r="L93" i="20"/>
  <c r="M93" i="20"/>
  <c r="K93" i="20"/>
  <c r="I93" i="20"/>
  <c r="J93" i="20"/>
  <c r="N92" i="20"/>
  <c r="L92" i="20"/>
  <c r="M92" i="20"/>
  <c r="K92" i="20"/>
  <c r="I92" i="20"/>
  <c r="J92" i="20"/>
  <c r="N91" i="20"/>
  <c r="L91" i="20"/>
  <c r="M91" i="20"/>
  <c r="K91" i="20"/>
  <c r="I91" i="20"/>
  <c r="J91" i="20"/>
  <c r="N90" i="20"/>
  <c r="L90" i="20"/>
  <c r="M90" i="20"/>
  <c r="K90" i="20"/>
  <c r="I90" i="20"/>
  <c r="J90" i="20"/>
  <c r="N89" i="20"/>
  <c r="L89" i="20"/>
  <c r="M89" i="20"/>
  <c r="K89" i="20"/>
  <c r="I89" i="20"/>
  <c r="J89" i="20"/>
  <c r="N88" i="20"/>
  <c r="L88" i="20"/>
  <c r="M88" i="20"/>
  <c r="K88" i="20"/>
  <c r="I88" i="20"/>
  <c r="J88" i="20"/>
  <c r="N87" i="20"/>
  <c r="L87" i="20"/>
  <c r="M87" i="20"/>
  <c r="K87" i="20"/>
  <c r="I87" i="20"/>
  <c r="J87" i="20"/>
  <c r="N86" i="20"/>
  <c r="L86" i="20"/>
  <c r="M86" i="20"/>
  <c r="K86" i="20"/>
  <c r="I86" i="20"/>
  <c r="J86" i="20"/>
  <c r="N85" i="20"/>
  <c r="L85" i="20"/>
  <c r="M85" i="20"/>
  <c r="K85" i="20"/>
  <c r="I85" i="20"/>
  <c r="J85" i="20"/>
  <c r="N84" i="20"/>
  <c r="L84" i="20"/>
  <c r="M84" i="20"/>
  <c r="K84" i="20"/>
  <c r="O84" i="20" s="1"/>
  <c r="P84" i="20" s="1"/>
  <c r="I84" i="20"/>
  <c r="J84" i="20"/>
  <c r="N83" i="20"/>
  <c r="L83" i="20"/>
  <c r="M83" i="20"/>
  <c r="K83" i="20"/>
  <c r="I83" i="20"/>
  <c r="J83" i="20"/>
  <c r="N82" i="20"/>
  <c r="L82" i="20"/>
  <c r="M82" i="20"/>
  <c r="K82" i="20"/>
  <c r="I82" i="20"/>
  <c r="J82" i="20"/>
  <c r="N81" i="20"/>
  <c r="L81" i="20"/>
  <c r="M81" i="20"/>
  <c r="K81" i="20"/>
  <c r="I81" i="20"/>
  <c r="J81" i="20"/>
  <c r="N80" i="20"/>
  <c r="L80" i="20"/>
  <c r="M80" i="20"/>
  <c r="K80" i="20"/>
  <c r="I80" i="20"/>
  <c r="J80" i="20"/>
  <c r="N79" i="20"/>
  <c r="L79" i="20"/>
  <c r="M79" i="20"/>
  <c r="K79" i="20"/>
  <c r="I79" i="20"/>
  <c r="J79" i="20"/>
  <c r="N78" i="20"/>
  <c r="L78" i="20"/>
  <c r="M78" i="20"/>
  <c r="K78" i="20"/>
  <c r="I78" i="20"/>
  <c r="J78" i="20"/>
  <c r="N77" i="20"/>
  <c r="L77" i="20"/>
  <c r="M77" i="20"/>
  <c r="K77" i="20"/>
  <c r="I77" i="20"/>
  <c r="J77" i="20"/>
  <c r="N76" i="20"/>
  <c r="L76" i="20"/>
  <c r="M76" i="20"/>
  <c r="K76" i="20"/>
  <c r="I76" i="20"/>
  <c r="J76" i="20"/>
  <c r="N75" i="20"/>
  <c r="L75" i="20"/>
  <c r="M75" i="20"/>
  <c r="K75" i="20"/>
  <c r="I75" i="20"/>
  <c r="J75" i="20"/>
  <c r="N74" i="20"/>
  <c r="L74" i="20"/>
  <c r="M74" i="20"/>
  <c r="K74" i="20"/>
  <c r="I74" i="20"/>
  <c r="J74" i="20"/>
  <c r="N73" i="20"/>
  <c r="L73" i="20"/>
  <c r="M73" i="20"/>
  <c r="K73" i="20"/>
  <c r="I73" i="20"/>
  <c r="J73" i="20"/>
  <c r="N72" i="20"/>
  <c r="L72" i="20"/>
  <c r="M72" i="20"/>
  <c r="K72" i="20"/>
  <c r="I72" i="20"/>
  <c r="J72" i="20"/>
  <c r="N71" i="20"/>
  <c r="L71" i="20"/>
  <c r="M71" i="20"/>
  <c r="K71" i="20"/>
  <c r="I71" i="20"/>
  <c r="J71" i="20"/>
  <c r="N70" i="20"/>
  <c r="L70" i="20"/>
  <c r="M70" i="20"/>
  <c r="K70" i="20"/>
  <c r="I70" i="20"/>
  <c r="J70" i="20"/>
  <c r="N69" i="20"/>
  <c r="L69" i="20"/>
  <c r="M69" i="20"/>
  <c r="K69" i="20"/>
  <c r="I69" i="20"/>
  <c r="J69" i="20"/>
  <c r="N68" i="20"/>
  <c r="L68" i="20"/>
  <c r="M68" i="20"/>
  <c r="K68" i="20"/>
  <c r="I68" i="20"/>
  <c r="J68" i="20"/>
  <c r="N67" i="20"/>
  <c r="L67" i="20"/>
  <c r="M67" i="20"/>
  <c r="K67" i="20"/>
  <c r="I67" i="20"/>
  <c r="J67" i="20"/>
  <c r="N66" i="20"/>
  <c r="L66" i="20"/>
  <c r="M66" i="20"/>
  <c r="K66" i="20"/>
  <c r="I66" i="20"/>
  <c r="J66" i="20"/>
  <c r="N65" i="20"/>
  <c r="L65" i="20"/>
  <c r="M65" i="20"/>
  <c r="K65" i="20"/>
  <c r="I65" i="20"/>
  <c r="J65" i="20"/>
  <c r="N64" i="20"/>
  <c r="L64" i="20"/>
  <c r="M64" i="20"/>
  <c r="K64" i="20"/>
  <c r="I64" i="20"/>
  <c r="J64" i="20"/>
  <c r="N63" i="20"/>
  <c r="L63" i="20"/>
  <c r="M63" i="20"/>
  <c r="K63" i="20"/>
  <c r="I63" i="20"/>
  <c r="J63" i="20"/>
  <c r="N62" i="20"/>
  <c r="L62" i="20"/>
  <c r="M62" i="20"/>
  <c r="K62" i="20"/>
  <c r="I62" i="20"/>
  <c r="J62" i="20"/>
  <c r="N61" i="20"/>
  <c r="L61" i="20"/>
  <c r="M61" i="20"/>
  <c r="K61" i="20"/>
  <c r="I61" i="20"/>
  <c r="J61" i="20"/>
  <c r="N60" i="20"/>
  <c r="L60" i="20"/>
  <c r="M60" i="20"/>
  <c r="K60" i="20"/>
  <c r="I60" i="20"/>
  <c r="J60" i="20"/>
  <c r="N59" i="20"/>
  <c r="L59" i="20"/>
  <c r="M59" i="20"/>
  <c r="K59" i="20"/>
  <c r="I59" i="20"/>
  <c r="J59" i="20"/>
  <c r="N58" i="20"/>
  <c r="L58" i="20"/>
  <c r="M58" i="20"/>
  <c r="K58" i="20"/>
  <c r="I58" i="20"/>
  <c r="J58" i="20"/>
  <c r="N57" i="20"/>
  <c r="L57" i="20"/>
  <c r="M57" i="20"/>
  <c r="K57" i="20"/>
  <c r="I57" i="20"/>
  <c r="J57" i="20"/>
  <c r="N56" i="20"/>
  <c r="L56" i="20"/>
  <c r="M56" i="20"/>
  <c r="K56" i="20"/>
  <c r="I56" i="20"/>
  <c r="J56" i="20"/>
  <c r="N55" i="20"/>
  <c r="L55" i="20"/>
  <c r="M55" i="20"/>
  <c r="K55" i="20"/>
  <c r="I55" i="20"/>
  <c r="J55" i="20"/>
  <c r="N54" i="20"/>
  <c r="L54" i="20"/>
  <c r="M54" i="20"/>
  <c r="K54" i="20"/>
  <c r="I54" i="20"/>
  <c r="J54" i="20"/>
  <c r="N53" i="20"/>
  <c r="L53" i="20"/>
  <c r="M53" i="20"/>
  <c r="K53" i="20"/>
  <c r="I53" i="20"/>
  <c r="J53" i="20"/>
  <c r="N52" i="20"/>
  <c r="L52" i="20"/>
  <c r="M52" i="20"/>
  <c r="K52" i="20"/>
  <c r="I52" i="20"/>
  <c r="J52" i="20"/>
  <c r="N51" i="20"/>
  <c r="L51" i="20"/>
  <c r="M51" i="20"/>
  <c r="K51" i="20"/>
  <c r="I51" i="20"/>
  <c r="J51" i="20"/>
  <c r="N50" i="20"/>
  <c r="L50" i="20"/>
  <c r="M50" i="20"/>
  <c r="K50" i="20"/>
  <c r="I50" i="20"/>
  <c r="J50" i="20"/>
  <c r="N49" i="20"/>
  <c r="L49" i="20"/>
  <c r="M49" i="20"/>
  <c r="K49" i="20"/>
  <c r="I49" i="20"/>
  <c r="J49" i="20"/>
  <c r="N48" i="20"/>
  <c r="L48" i="20"/>
  <c r="M48" i="20"/>
  <c r="K48" i="20"/>
  <c r="I48" i="20"/>
  <c r="J48" i="20"/>
  <c r="N47" i="20"/>
  <c r="L47" i="20"/>
  <c r="M47" i="20"/>
  <c r="K47" i="20"/>
  <c r="I47" i="20"/>
  <c r="J47" i="20"/>
  <c r="N46" i="20"/>
  <c r="L46" i="20"/>
  <c r="M46" i="20"/>
  <c r="K46" i="20"/>
  <c r="I46" i="20"/>
  <c r="J46" i="20"/>
  <c r="N45" i="20"/>
  <c r="L45" i="20"/>
  <c r="M45" i="20"/>
  <c r="K45" i="20"/>
  <c r="I45" i="20"/>
  <c r="J45" i="20"/>
  <c r="N44" i="20"/>
  <c r="L44" i="20"/>
  <c r="M44" i="20"/>
  <c r="K44" i="20"/>
  <c r="I44" i="20"/>
  <c r="J44" i="20"/>
  <c r="N43" i="20"/>
  <c r="L43" i="20"/>
  <c r="M43" i="20"/>
  <c r="K43" i="20"/>
  <c r="I43" i="20"/>
  <c r="J43" i="20"/>
  <c r="N42" i="20"/>
  <c r="L42" i="20"/>
  <c r="M42" i="20"/>
  <c r="K42" i="20"/>
  <c r="I42" i="20"/>
  <c r="J42" i="20"/>
  <c r="N30" i="20"/>
  <c r="L30" i="20"/>
  <c r="M30" i="20"/>
  <c r="K30" i="20"/>
  <c r="I30" i="20"/>
  <c r="J30" i="20"/>
  <c r="N29" i="20"/>
  <c r="L29" i="20"/>
  <c r="M29" i="20"/>
  <c r="K29" i="20"/>
  <c r="I29" i="20"/>
  <c r="J29" i="20"/>
  <c r="N28" i="20"/>
  <c r="L28" i="20"/>
  <c r="M28" i="20"/>
  <c r="K28" i="20"/>
  <c r="I28" i="20"/>
  <c r="J28" i="20"/>
  <c r="N27" i="20"/>
  <c r="L27" i="20"/>
  <c r="M27" i="20"/>
  <c r="K27" i="20"/>
  <c r="I27" i="20"/>
  <c r="J27" i="20"/>
  <c r="N26" i="20"/>
  <c r="L26" i="20"/>
  <c r="M26" i="20"/>
  <c r="K26" i="20"/>
  <c r="I26" i="20"/>
  <c r="J26" i="20"/>
  <c r="N25" i="20"/>
  <c r="L25" i="20"/>
  <c r="M25" i="20"/>
  <c r="K25" i="20"/>
  <c r="I25" i="20"/>
  <c r="J25" i="20"/>
  <c r="N24" i="20"/>
  <c r="L24" i="20"/>
  <c r="M24" i="20"/>
  <c r="K24" i="20"/>
  <c r="I24" i="20"/>
  <c r="J24" i="20"/>
  <c r="N23" i="20"/>
  <c r="L23" i="20"/>
  <c r="M23" i="20"/>
  <c r="K23" i="20"/>
  <c r="I23" i="20"/>
  <c r="J23" i="20"/>
  <c r="N22" i="20"/>
  <c r="L22" i="20"/>
  <c r="M22" i="20"/>
  <c r="K22" i="20"/>
  <c r="I22" i="20"/>
  <c r="J22" i="20"/>
  <c r="N21" i="20"/>
  <c r="L21" i="20"/>
  <c r="M21" i="20"/>
  <c r="K21" i="20"/>
  <c r="I21" i="20"/>
  <c r="J21" i="20"/>
  <c r="N20" i="20"/>
  <c r="L20" i="20"/>
  <c r="M20" i="20"/>
  <c r="K20" i="20"/>
  <c r="I20" i="20"/>
  <c r="J20" i="20"/>
  <c r="N19" i="20"/>
  <c r="L19" i="20"/>
  <c r="M19" i="20"/>
  <c r="K19" i="20"/>
  <c r="I19" i="20"/>
  <c r="J19" i="20"/>
  <c r="N18" i="20"/>
  <c r="L18" i="20"/>
  <c r="M18" i="20"/>
  <c r="K18" i="20"/>
  <c r="I18" i="20"/>
  <c r="J18" i="20"/>
  <c r="N17" i="20"/>
  <c r="L17" i="20"/>
  <c r="M17" i="20"/>
  <c r="K17" i="20"/>
  <c r="I17" i="20"/>
  <c r="J17" i="20"/>
  <c r="N16" i="20"/>
  <c r="L16" i="20"/>
  <c r="M16" i="20"/>
  <c r="K16" i="20"/>
  <c r="I16" i="20"/>
  <c r="J16" i="20"/>
  <c r="N15" i="20"/>
  <c r="L15" i="20"/>
  <c r="M15" i="20"/>
  <c r="K15" i="20"/>
  <c r="I15" i="20"/>
  <c r="J15" i="20"/>
  <c r="N14" i="20"/>
  <c r="L14" i="20"/>
  <c r="M14" i="20"/>
  <c r="K14" i="20"/>
  <c r="I14" i="20"/>
  <c r="J14" i="20"/>
  <c r="N13" i="20"/>
  <c r="L13" i="20"/>
  <c r="M13" i="20"/>
  <c r="K13" i="20"/>
  <c r="I13" i="20"/>
  <c r="J13" i="20"/>
  <c r="N12" i="20"/>
  <c r="L12" i="20"/>
  <c r="M12" i="20"/>
  <c r="K12" i="20"/>
  <c r="I12" i="20"/>
  <c r="J12" i="20"/>
  <c r="N11" i="20"/>
  <c r="L11" i="20"/>
  <c r="M11" i="20"/>
  <c r="K11" i="20"/>
  <c r="I11" i="20"/>
  <c r="J11" i="20"/>
  <c r="N10" i="20"/>
  <c r="L10" i="20"/>
  <c r="M10" i="20"/>
  <c r="K10" i="20"/>
  <c r="I10" i="20"/>
  <c r="J10" i="20"/>
  <c r="N9" i="20"/>
  <c r="L9" i="20"/>
  <c r="M9" i="20"/>
  <c r="K9" i="20"/>
  <c r="I9" i="20"/>
  <c r="J9" i="20"/>
  <c r="N8" i="20"/>
  <c r="L8" i="20"/>
  <c r="M8" i="20"/>
  <c r="K8" i="20"/>
  <c r="I8" i="20"/>
  <c r="J8" i="20"/>
  <c r="N7" i="20"/>
  <c r="L7" i="20"/>
  <c r="M7" i="20"/>
  <c r="K7" i="20"/>
  <c r="I7" i="20"/>
  <c r="J7" i="20"/>
  <c r="N6" i="20"/>
  <c r="L6" i="20"/>
  <c r="M6" i="20"/>
  <c r="K6" i="20"/>
  <c r="I6" i="20"/>
  <c r="J6" i="20"/>
  <c r="N400" i="19"/>
  <c r="L400" i="19"/>
  <c r="M400" i="19"/>
  <c r="K400" i="19"/>
  <c r="I400" i="19"/>
  <c r="J400" i="19"/>
  <c r="N399" i="19"/>
  <c r="M399" i="19"/>
  <c r="L399" i="19"/>
  <c r="K399" i="19"/>
  <c r="I399" i="19"/>
  <c r="J399" i="19"/>
  <c r="N398" i="19"/>
  <c r="M398" i="19"/>
  <c r="L398" i="19"/>
  <c r="K398" i="19"/>
  <c r="I398" i="19"/>
  <c r="J398" i="19"/>
  <c r="N397" i="19"/>
  <c r="L397" i="19"/>
  <c r="M397" i="19"/>
  <c r="K397" i="19"/>
  <c r="I397" i="19"/>
  <c r="J397" i="19"/>
  <c r="N396" i="19"/>
  <c r="M396" i="19"/>
  <c r="L396" i="19"/>
  <c r="K396" i="19"/>
  <c r="I396" i="19"/>
  <c r="J396" i="19"/>
  <c r="N395" i="19"/>
  <c r="L395" i="19"/>
  <c r="M395" i="19"/>
  <c r="K395" i="19"/>
  <c r="J395" i="19"/>
  <c r="I395" i="19"/>
  <c r="N394" i="19"/>
  <c r="L394" i="19"/>
  <c r="M394" i="19"/>
  <c r="K394" i="19"/>
  <c r="I394" i="19"/>
  <c r="J394" i="19"/>
  <c r="N393" i="19"/>
  <c r="M393" i="19"/>
  <c r="L393" i="19"/>
  <c r="K393" i="19"/>
  <c r="I393" i="19"/>
  <c r="J393" i="19"/>
  <c r="N392" i="19"/>
  <c r="L392" i="19"/>
  <c r="M392" i="19"/>
  <c r="K392" i="19"/>
  <c r="I392" i="19"/>
  <c r="J392" i="19"/>
  <c r="N391" i="19"/>
  <c r="L391" i="19"/>
  <c r="M391" i="19"/>
  <c r="K391" i="19"/>
  <c r="I391" i="19"/>
  <c r="J391" i="19"/>
  <c r="N390" i="19"/>
  <c r="M390" i="19"/>
  <c r="L390" i="19"/>
  <c r="K390" i="19"/>
  <c r="I390" i="19"/>
  <c r="J390" i="19"/>
  <c r="N389" i="19"/>
  <c r="L389" i="19"/>
  <c r="M389" i="19"/>
  <c r="K389" i="19"/>
  <c r="I389" i="19"/>
  <c r="J389" i="19"/>
  <c r="N388" i="19"/>
  <c r="L388" i="19"/>
  <c r="M388" i="19"/>
  <c r="K388" i="19"/>
  <c r="J388" i="19"/>
  <c r="I388" i="19"/>
  <c r="N387" i="19"/>
  <c r="M387" i="19"/>
  <c r="L387" i="19"/>
  <c r="K387" i="19"/>
  <c r="I387" i="19"/>
  <c r="J387" i="19"/>
  <c r="N386" i="19"/>
  <c r="L386" i="19"/>
  <c r="M386" i="19"/>
  <c r="K386" i="19"/>
  <c r="I386" i="19"/>
  <c r="J386" i="19"/>
  <c r="N385" i="19"/>
  <c r="L385" i="19"/>
  <c r="M385" i="19"/>
  <c r="K385" i="19"/>
  <c r="I385" i="19"/>
  <c r="J385" i="19"/>
  <c r="N384" i="19"/>
  <c r="M384" i="19"/>
  <c r="L384" i="19"/>
  <c r="K384" i="19"/>
  <c r="I384" i="19"/>
  <c r="J384" i="19"/>
  <c r="N383" i="19"/>
  <c r="L383" i="19"/>
  <c r="M383" i="19"/>
  <c r="K383" i="19"/>
  <c r="I383" i="19"/>
  <c r="J383" i="19"/>
  <c r="N382" i="19"/>
  <c r="L382" i="19"/>
  <c r="M382" i="19"/>
  <c r="K382" i="19"/>
  <c r="J382" i="19"/>
  <c r="I382" i="19"/>
  <c r="N381" i="19"/>
  <c r="M381" i="19"/>
  <c r="L381" i="19"/>
  <c r="K381" i="19"/>
  <c r="I381" i="19"/>
  <c r="J381" i="19"/>
  <c r="N380" i="19"/>
  <c r="L380" i="19"/>
  <c r="M380" i="19"/>
  <c r="K380" i="19"/>
  <c r="I380" i="19"/>
  <c r="J380" i="19"/>
  <c r="N379" i="19"/>
  <c r="L379" i="19"/>
  <c r="M379" i="19"/>
  <c r="K379" i="19"/>
  <c r="J379" i="19"/>
  <c r="I379" i="19"/>
  <c r="N378" i="19"/>
  <c r="M378" i="19"/>
  <c r="L378" i="19"/>
  <c r="K378" i="19"/>
  <c r="I378" i="19"/>
  <c r="J378" i="19"/>
  <c r="N377" i="19"/>
  <c r="L377" i="19"/>
  <c r="M377" i="19"/>
  <c r="K377" i="19"/>
  <c r="I377" i="19"/>
  <c r="J377" i="19"/>
  <c r="N376" i="19"/>
  <c r="L376" i="19"/>
  <c r="M376" i="19"/>
  <c r="K376" i="19"/>
  <c r="J376" i="19"/>
  <c r="I376" i="19"/>
  <c r="N375" i="19"/>
  <c r="M375" i="19"/>
  <c r="L375" i="19"/>
  <c r="K375" i="19"/>
  <c r="I375" i="19"/>
  <c r="J375" i="19"/>
  <c r="N374" i="19"/>
  <c r="M374" i="19"/>
  <c r="L374" i="19"/>
  <c r="K374" i="19"/>
  <c r="I374" i="19"/>
  <c r="J374" i="19"/>
  <c r="N373" i="19"/>
  <c r="L373" i="19"/>
  <c r="M373" i="19"/>
  <c r="K373" i="19"/>
  <c r="I373" i="19"/>
  <c r="J373" i="19"/>
  <c r="N372" i="19"/>
  <c r="M372" i="19"/>
  <c r="L372" i="19"/>
  <c r="K372" i="19"/>
  <c r="I372" i="19"/>
  <c r="J372" i="19"/>
  <c r="N371" i="19"/>
  <c r="L371" i="19"/>
  <c r="M371" i="19"/>
  <c r="K371" i="19"/>
  <c r="J371" i="19"/>
  <c r="I371" i="19"/>
  <c r="N370" i="19"/>
  <c r="L370" i="19"/>
  <c r="M370" i="19"/>
  <c r="K370" i="19"/>
  <c r="J370" i="19"/>
  <c r="I370" i="19"/>
  <c r="N369" i="19"/>
  <c r="M369" i="19"/>
  <c r="L369" i="19"/>
  <c r="K369" i="19"/>
  <c r="I369" i="19"/>
  <c r="J369" i="19"/>
  <c r="N368" i="19"/>
  <c r="L368" i="19"/>
  <c r="M368" i="19"/>
  <c r="K368" i="19"/>
  <c r="I368" i="19"/>
  <c r="J368" i="19"/>
  <c r="N367" i="19"/>
  <c r="L367" i="19"/>
  <c r="M367" i="19"/>
  <c r="K367" i="19"/>
  <c r="I367" i="19"/>
  <c r="J367" i="19"/>
  <c r="N366" i="19"/>
  <c r="M366" i="19"/>
  <c r="L366" i="19"/>
  <c r="K366" i="19"/>
  <c r="I366" i="19"/>
  <c r="J366" i="19"/>
  <c r="N365" i="19"/>
  <c r="L365" i="19"/>
  <c r="M365" i="19"/>
  <c r="K365" i="19"/>
  <c r="J365" i="19"/>
  <c r="I365" i="19"/>
  <c r="N364" i="19"/>
  <c r="L364" i="19"/>
  <c r="M364" i="19"/>
  <c r="K364" i="19"/>
  <c r="J364" i="19"/>
  <c r="I364" i="19"/>
  <c r="N363" i="19"/>
  <c r="M363" i="19"/>
  <c r="L363" i="19"/>
  <c r="K363" i="19"/>
  <c r="I363" i="19"/>
  <c r="J363" i="19"/>
  <c r="N362" i="19"/>
  <c r="L362" i="19"/>
  <c r="M362" i="19"/>
  <c r="K362" i="19"/>
  <c r="I362" i="19"/>
  <c r="J362" i="19"/>
  <c r="N361" i="19"/>
  <c r="M361" i="19"/>
  <c r="L361" i="19"/>
  <c r="K361" i="19"/>
  <c r="I361" i="19"/>
  <c r="J361" i="19"/>
  <c r="N360" i="19"/>
  <c r="M360" i="19"/>
  <c r="L360" i="19"/>
  <c r="K360" i="19"/>
  <c r="I360" i="19"/>
  <c r="J360" i="19"/>
  <c r="N359" i="19"/>
  <c r="L359" i="19"/>
  <c r="M359" i="19"/>
  <c r="K359" i="19"/>
  <c r="I359" i="19"/>
  <c r="J359" i="19"/>
  <c r="N358" i="19"/>
  <c r="L358" i="19"/>
  <c r="M358" i="19"/>
  <c r="K358" i="19"/>
  <c r="J358" i="19"/>
  <c r="I358" i="19"/>
  <c r="N357" i="19"/>
  <c r="M357" i="19"/>
  <c r="L357" i="19"/>
  <c r="K357" i="19"/>
  <c r="I357" i="19"/>
  <c r="J357" i="19"/>
  <c r="N356" i="19"/>
  <c r="L356" i="19"/>
  <c r="M356" i="19"/>
  <c r="K356" i="19"/>
  <c r="I356" i="19"/>
  <c r="J356" i="19"/>
  <c r="N355" i="19"/>
  <c r="L355" i="19"/>
  <c r="M355" i="19"/>
  <c r="K355" i="19"/>
  <c r="I355" i="19"/>
  <c r="J355" i="19"/>
  <c r="N354" i="19"/>
  <c r="M354" i="19"/>
  <c r="L354" i="19"/>
  <c r="K354" i="19"/>
  <c r="I354" i="19"/>
  <c r="J354" i="19"/>
  <c r="N353" i="19"/>
  <c r="L353" i="19"/>
  <c r="M353" i="19"/>
  <c r="K353" i="19"/>
  <c r="J353" i="19"/>
  <c r="I353" i="19"/>
  <c r="N352" i="19"/>
  <c r="L352" i="19"/>
  <c r="M352" i="19"/>
  <c r="K352" i="19"/>
  <c r="J352" i="19"/>
  <c r="I352" i="19"/>
  <c r="N351" i="19"/>
  <c r="M351" i="19"/>
  <c r="L351" i="19"/>
  <c r="K351" i="19"/>
  <c r="I351" i="19"/>
  <c r="J351" i="19"/>
  <c r="N350" i="19"/>
  <c r="L350" i="19"/>
  <c r="M350" i="19"/>
  <c r="K350" i="19"/>
  <c r="I350" i="19"/>
  <c r="J350" i="19"/>
  <c r="N349" i="19"/>
  <c r="L349" i="19"/>
  <c r="M349" i="19"/>
  <c r="K349" i="19"/>
  <c r="I349" i="19"/>
  <c r="J349" i="19"/>
  <c r="N348" i="19"/>
  <c r="M348" i="19"/>
  <c r="L348" i="19"/>
  <c r="K348" i="19"/>
  <c r="I348" i="19"/>
  <c r="J348" i="19"/>
  <c r="N347" i="19"/>
  <c r="L347" i="19"/>
  <c r="M347" i="19"/>
  <c r="K347" i="19"/>
  <c r="J347" i="19"/>
  <c r="I347" i="19"/>
  <c r="N346" i="19"/>
  <c r="L346" i="19"/>
  <c r="M346" i="19"/>
  <c r="K346" i="19"/>
  <c r="J346" i="19"/>
  <c r="I346" i="19"/>
  <c r="N345" i="19"/>
  <c r="M345" i="19"/>
  <c r="L345" i="19"/>
  <c r="K345" i="19"/>
  <c r="I345" i="19"/>
  <c r="J345" i="19"/>
  <c r="N344" i="19"/>
  <c r="L344" i="19"/>
  <c r="M344" i="19"/>
  <c r="K344" i="19"/>
  <c r="I344" i="19"/>
  <c r="J344" i="19"/>
  <c r="N343" i="19"/>
  <c r="L343" i="19"/>
  <c r="M343" i="19"/>
  <c r="K343" i="19"/>
  <c r="I343" i="19"/>
  <c r="J343" i="19"/>
  <c r="N342" i="19"/>
  <c r="M342" i="19"/>
  <c r="L342" i="19"/>
  <c r="K342" i="19"/>
  <c r="I342" i="19"/>
  <c r="J342" i="19"/>
  <c r="N341" i="19"/>
  <c r="L341" i="19"/>
  <c r="M341" i="19"/>
  <c r="K341" i="19"/>
  <c r="J341" i="19"/>
  <c r="I341" i="19"/>
  <c r="N340" i="19"/>
  <c r="L340" i="19"/>
  <c r="M340" i="19"/>
  <c r="K340" i="19"/>
  <c r="J340" i="19"/>
  <c r="I340" i="19"/>
  <c r="N339" i="19"/>
  <c r="M339" i="19"/>
  <c r="L339" i="19"/>
  <c r="K339" i="19"/>
  <c r="I339" i="19"/>
  <c r="J339" i="19"/>
  <c r="N338" i="19"/>
  <c r="L338" i="19"/>
  <c r="M338" i="19"/>
  <c r="K338" i="19"/>
  <c r="J338" i="19"/>
  <c r="I338" i="19"/>
  <c r="N337" i="19"/>
  <c r="L337" i="19"/>
  <c r="M337" i="19"/>
  <c r="K337" i="19"/>
  <c r="I337" i="19"/>
  <c r="J337" i="19"/>
  <c r="N336" i="19"/>
  <c r="M336" i="19"/>
  <c r="L336" i="19"/>
  <c r="K336" i="19"/>
  <c r="I336" i="19"/>
  <c r="J336" i="19"/>
  <c r="N335" i="19"/>
  <c r="L335" i="19"/>
  <c r="M335" i="19"/>
  <c r="K335" i="19"/>
  <c r="I335" i="19"/>
  <c r="J335" i="19"/>
  <c r="N334" i="19"/>
  <c r="L334" i="19"/>
  <c r="M334" i="19"/>
  <c r="K334" i="19"/>
  <c r="I334" i="19"/>
  <c r="J334" i="19"/>
  <c r="N333" i="19"/>
  <c r="M333" i="19"/>
  <c r="L333" i="19"/>
  <c r="K333" i="19"/>
  <c r="I333" i="19"/>
  <c r="J333" i="19"/>
  <c r="N332" i="19"/>
  <c r="L332" i="19"/>
  <c r="M332" i="19"/>
  <c r="K332" i="19"/>
  <c r="I332" i="19"/>
  <c r="J332" i="19"/>
  <c r="N331" i="19"/>
  <c r="L331" i="19"/>
  <c r="M331" i="19"/>
  <c r="K331" i="19"/>
  <c r="J331" i="19"/>
  <c r="I331" i="19"/>
  <c r="N330" i="19"/>
  <c r="M330" i="19"/>
  <c r="L330" i="19"/>
  <c r="K330" i="19"/>
  <c r="I330" i="19"/>
  <c r="J330" i="19"/>
  <c r="N329" i="19"/>
  <c r="M329" i="19"/>
  <c r="L329" i="19"/>
  <c r="K329" i="19"/>
  <c r="I329" i="19"/>
  <c r="J329" i="19"/>
  <c r="N328" i="19"/>
  <c r="L328" i="19"/>
  <c r="M328" i="19"/>
  <c r="K328" i="19"/>
  <c r="I328" i="19"/>
  <c r="J328" i="19"/>
  <c r="N327" i="19"/>
  <c r="M327" i="19"/>
  <c r="L327" i="19"/>
  <c r="K327" i="19"/>
  <c r="I327" i="19"/>
  <c r="J327" i="19"/>
  <c r="N326" i="19"/>
  <c r="L326" i="19"/>
  <c r="M326" i="19"/>
  <c r="K326" i="19"/>
  <c r="I326" i="19"/>
  <c r="J326" i="19"/>
  <c r="N325" i="19"/>
  <c r="M325" i="19"/>
  <c r="L325" i="19"/>
  <c r="K325" i="19"/>
  <c r="I325" i="19"/>
  <c r="J325" i="19"/>
  <c r="N324" i="19"/>
  <c r="M324" i="19"/>
  <c r="L324" i="19"/>
  <c r="K324" i="19"/>
  <c r="I324" i="19"/>
  <c r="J324" i="19"/>
  <c r="N323" i="19"/>
  <c r="L323" i="19"/>
  <c r="M323" i="19"/>
  <c r="K323" i="19"/>
  <c r="I323" i="19"/>
  <c r="J323" i="19"/>
  <c r="N322" i="19"/>
  <c r="M322" i="19"/>
  <c r="L322" i="19"/>
  <c r="K322" i="19"/>
  <c r="J322" i="19"/>
  <c r="I322" i="19"/>
  <c r="N321" i="19"/>
  <c r="M321" i="19"/>
  <c r="L321" i="19"/>
  <c r="K321" i="19"/>
  <c r="I321" i="19"/>
  <c r="J321" i="19"/>
  <c r="N320" i="19"/>
  <c r="L320" i="19"/>
  <c r="M320" i="19"/>
  <c r="K320" i="19"/>
  <c r="I320" i="19"/>
  <c r="J320" i="19"/>
  <c r="N319" i="19"/>
  <c r="M319" i="19"/>
  <c r="L319" i="19"/>
  <c r="K319" i="19"/>
  <c r="J319" i="19"/>
  <c r="I319" i="19"/>
  <c r="N318" i="19"/>
  <c r="M318" i="19"/>
  <c r="L318" i="19"/>
  <c r="K318" i="19"/>
  <c r="I318" i="19"/>
  <c r="J318" i="19"/>
  <c r="N317" i="19"/>
  <c r="M317" i="19"/>
  <c r="L317" i="19"/>
  <c r="K317" i="19"/>
  <c r="I317" i="19"/>
  <c r="J317" i="19"/>
  <c r="N316" i="19"/>
  <c r="L316" i="19"/>
  <c r="M316" i="19"/>
  <c r="K316" i="19"/>
  <c r="I316" i="19"/>
  <c r="J316" i="19"/>
  <c r="N315" i="19"/>
  <c r="M315" i="19"/>
  <c r="L315" i="19"/>
  <c r="K315" i="19"/>
  <c r="I315" i="19"/>
  <c r="J315" i="19"/>
  <c r="N314" i="19"/>
  <c r="L314" i="19"/>
  <c r="M314" i="19"/>
  <c r="K314" i="19"/>
  <c r="I314" i="19"/>
  <c r="J314" i="19"/>
  <c r="N313" i="19"/>
  <c r="L313" i="19"/>
  <c r="M313" i="19"/>
  <c r="K313" i="19"/>
  <c r="I313" i="19"/>
  <c r="J313" i="19"/>
  <c r="N312" i="19"/>
  <c r="M312" i="19"/>
  <c r="L312" i="19"/>
  <c r="K312" i="19"/>
  <c r="I312" i="19"/>
  <c r="J312" i="19"/>
  <c r="N311" i="19"/>
  <c r="L311" i="19"/>
  <c r="M311" i="19"/>
  <c r="K311" i="19"/>
  <c r="I311" i="19"/>
  <c r="J311" i="19"/>
  <c r="N310" i="19"/>
  <c r="M310" i="19"/>
  <c r="L310" i="19"/>
  <c r="K310" i="19"/>
  <c r="I310" i="19"/>
  <c r="J310" i="19"/>
  <c r="N309" i="19"/>
  <c r="M309" i="19"/>
  <c r="L309" i="19"/>
  <c r="K309" i="19"/>
  <c r="I309" i="19"/>
  <c r="J309" i="19"/>
  <c r="N308" i="19"/>
  <c r="M308" i="19"/>
  <c r="L308" i="19"/>
  <c r="K308" i="19"/>
  <c r="I308" i="19"/>
  <c r="J308" i="19"/>
  <c r="N307" i="19"/>
  <c r="L307" i="19"/>
  <c r="M307" i="19"/>
  <c r="K307" i="19"/>
  <c r="J307" i="19"/>
  <c r="I307" i="19"/>
  <c r="N306" i="19"/>
  <c r="M306" i="19"/>
  <c r="L306" i="19"/>
  <c r="K306" i="19"/>
  <c r="I306" i="19"/>
  <c r="J306" i="19"/>
  <c r="N305" i="19"/>
  <c r="M305" i="19"/>
  <c r="L305" i="19"/>
  <c r="K305" i="19"/>
  <c r="I305" i="19"/>
  <c r="J305" i="19"/>
  <c r="N304" i="19"/>
  <c r="L304" i="19"/>
  <c r="M304" i="19"/>
  <c r="K304" i="19"/>
  <c r="I304" i="19"/>
  <c r="J304" i="19"/>
  <c r="N303" i="19"/>
  <c r="M303" i="19"/>
  <c r="L303" i="19"/>
  <c r="K303" i="19"/>
  <c r="I303" i="19"/>
  <c r="J303" i="19"/>
  <c r="N302" i="19"/>
  <c r="M302" i="19"/>
  <c r="L302" i="19"/>
  <c r="K302" i="19"/>
  <c r="I302" i="19"/>
  <c r="J302" i="19"/>
  <c r="N301" i="19"/>
  <c r="M301" i="19"/>
  <c r="L301" i="19"/>
  <c r="K301" i="19"/>
  <c r="I301" i="19"/>
  <c r="J301" i="19"/>
  <c r="N300" i="19"/>
  <c r="M300" i="19"/>
  <c r="L300" i="19"/>
  <c r="K300" i="19"/>
  <c r="I300" i="19"/>
  <c r="J300" i="19"/>
  <c r="N299" i="19"/>
  <c r="L299" i="19"/>
  <c r="M299" i="19"/>
  <c r="K299" i="19"/>
  <c r="I299" i="19"/>
  <c r="J299" i="19"/>
  <c r="N298" i="19"/>
  <c r="M298" i="19"/>
  <c r="L298" i="19"/>
  <c r="K298" i="19"/>
  <c r="I298" i="19"/>
  <c r="J298" i="19"/>
  <c r="N297" i="19"/>
  <c r="M297" i="19"/>
  <c r="L297" i="19"/>
  <c r="K297" i="19"/>
  <c r="I297" i="19"/>
  <c r="J297" i="19"/>
  <c r="N296" i="19"/>
  <c r="L296" i="19"/>
  <c r="M296" i="19"/>
  <c r="K296" i="19"/>
  <c r="I296" i="19"/>
  <c r="J296" i="19"/>
  <c r="N295" i="19"/>
  <c r="M295" i="19"/>
  <c r="L295" i="19"/>
  <c r="K295" i="19"/>
  <c r="J295" i="19"/>
  <c r="I295" i="19"/>
  <c r="N294" i="19"/>
  <c r="M294" i="19"/>
  <c r="L294" i="19"/>
  <c r="K294" i="19"/>
  <c r="I294" i="19"/>
  <c r="J294" i="19"/>
  <c r="N293" i="19"/>
  <c r="L293" i="19"/>
  <c r="M293" i="19"/>
  <c r="K293" i="19"/>
  <c r="J293" i="19"/>
  <c r="I293" i="19"/>
  <c r="N292" i="19"/>
  <c r="L292" i="19"/>
  <c r="M292" i="19"/>
  <c r="K292" i="19"/>
  <c r="I292" i="19"/>
  <c r="J292" i="19"/>
  <c r="N291" i="19"/>
  <c r="M291" i="19"/>
  <c r="L291" i="19"/>
  <c r="K291" i="19"/>
  <c r="I291" i="19"/>
  <c r="J291" i="19"/>
  <c r="N290" i="19"/>
  <c r="M290" i="19"/>
  <c r="L290" i="19"/>
  <c r="K290" i="19"/>
  <c r="J290" i="19"/>
  <c r="I290" i="19"/>
  <c r="N289" i="19"/>
  <c r="L289" i="19"/>
  <c r="M289" i="19"/>
  <c r="K289" i="19"/>
  <c r="I289" i="19"/>
  <c r="J289" i="19"/>
  <c r="N288" i="19"/>
  <c r="M288" i="19"/>
  <c r="L288" i="19"/>
  <c r="K288" i="19"/>
  <c r="I288" i="19"/>
  <c r="J288" i="19"/>
  <c r="N287" i="19"/>
  <c r="L287" i="19"/>
  <c r="M287" i="19"/>
  <c r="K287" i="19"/>
  <c r="I287" i="19"/>
  <c r="J287" i="19"/>
  <c r="N286" i="19"/>
  <c r="M286" i="19"/>
  <c r="L286" i="19"/>
  <c r="K286" i="19"/>
  <c r="I286" i="19"/>
  <c r="J286" i="19"/>
  <c r="N285" i="19"/>
  <c r="M285" i="19"/>
  <c r="L285" i="19"/>
  <c r="K285" i="19"/>
  <c r="I285" i="19"/>
  <c r="J285" i="19"/>
  <c r="N284" i="19"/>
  <c r="M284" i="19"/>
  <c r="L284" i="19"/>
  <c r="K284" i="19"/>
  <c r="I284" i="19"/>
  <c r="J284" i="19"/>
  <c r="N283" i="19"/>
  <c r="L283" i="19"/>
  <c r="M283" i="19"/>
  <c r="K283" i="19"/>
  <c r="I283" i="19"/>
  <c r="J283" i="19"/>
  <c r="N282" i="19"/>
  <c r="M282" i="19"/>
  <c r="L282" i="19"/>
  <c r="K282" i="19"/>
  <c r="I282" i="19"/>
  <c r="J282" i="19"/>
  <c r="N281" i="19"/>
  <c r="L281" i="19"/>
  <c r="M281" i="19"/>
  <c r="K281" i="19"/>
  <c r="I281" i="19"/>
  <c r="J281" i="19"/>
  <c r="N280" i="19"/>
  <c r="L280" i="19"/>
  <c r="M280" i="19"/>
  <c r="K280" i="19"/>
  <c r="I280" i="19"/>
  <c r="J280" i="19"/>
  <c r="N279" i="19"/>
  <c r="M279" i="19"/>
  <c r="L279" i="19"/>
  <c r="K279" i="19"/>
  <c r="I279" i="19"/>
  <c r="J279" i="19"/>
  <c r="N278" i="19"/>
  <c r="L278" i="19"/>
  <c r="M278" i="19"/>
  <c r="K278" i="19"/>
  <c r="I278" i="19"/>
  <c r="J278" i="19"/>
  <c r="N277" i="19"/>
  <c r="L277" i="19"/>
  <c r="M277" i="19"/>
  <c r="K277" i="19"/>
  <c r="I277" i="19"/>
  <c r="J277" i="19"/>
  <c r="N276" i="19"/>
  <c r="M276" i="19"/>
  <c r="L276" i="19"/>
  <c r="K276" i="19"/>
  <c r="I276" i="19"/>
  <c r="J276" i="19"/>
  <c r="N275" i="19"/>
  <c r="L275" i="19"/>
  <c r="M275" i="19"/>
  <c r="K275" i="19"/>
  <c r="J275" i="19"/>
  <c r="I275" i="19"/>
  <c r="N274" i="19"/>
  <c r="L274" i="19"/>
  <c r="M274" i="19"/>
  <c r="K274" i="19"/>
  <c r="J274" i="19"/>
  <c r="I274" i="19"/>
  <c r="N273" i="19"/>
  <c r="M273" i="19"/>
  <c r="L273" i="19"/>
  <c r="K273" i="19"/>
  <c r="I273" i="19"/>
  <c r="J273" i="19"/>
  <c r="N272" i="19"/>
  <c r="M272" i="19"/>
  <c r="L272" i="19"/>
  <c r="K272" i="19"/>
  <c r="I272" i="19"/>
  <c r="J272" i="19"/>
  <c r="N271" i="19"/>
  <c r="M271" i="19"/>
  <c r="L271" i="19"/>
  <c r="K271" i="19"/>
  <c r="I271" i="19"/>
  <c r="J271" i="19"/>
  <c r="N270" i="19"/>
  <c r="M270" i="19"/>
  <c r="L270" i="19"/>
  <c r="K270" i="19"/>
  <c r="I270" i="19"/>
  <c r="J270" i="19"/>
  <c r="N269" i="19"/>
  <c r="L269" i="19"/>
  <c r="M269" i="19"/>
  <c r="K269" i="19"/>
  <c r="I269" i="19"/>
  <c r="J269" i="19"/>
  <c r="N268" i="19"/>
  <c r="L268" i="19"/>
  <c r="M268" i="19"/>
  <c r="K268" i="19"/>
  <c r="J268" i="19"/>
  <c r="I268" i="19"/>
  <c r="N267" i="19"/>
  <c r="M267" i="19"/>
  <c r="L267" i="19"/>
  <c r="K267" i="19"/>
  <c r="I267" i="19"/>
  <c r="J267" i="19"/>
  <c r="N266" i="19"/>
  <c r="L266" i="19"/>
  <c r="M266" i="19"/>
  <c r="K266" i="19"/>
  <c r="J266" i="19"/>
  <c r="I266" i="19"/>
  <c r="N265" i="19"/>
  <c r="L265" i="19"/>
  <c r="M265" i="19"/>
  <c r="K265" i="19"/>
  <c r="I265" i="19"/>
  <c r="J265" i="19"/>
  <c r="N264" i="19"/>
  <c r="M264" i="19"/>
  <c r="L264" i="19"/>
  <c r="K264" i="19"/>
  <c r="I264" i="19"/>
  <c r="J264" i="19"/>
  <c r="N263" i="19"/>
  <c r="L263" i="19"/>
  <c r="M263" i="19"/>
  <c r="K263" i="19"/>
  <c r="I263" i="19"/>
  <c r="J263" i="19"/>
  <c r="N262" i="19"/>
  <c r="L262" i="19"/>
  <c r="M262" i="19"/>
  <c r="K262" i="19"/>
  <c r="I262" i="19"/>
  <c r="J262" i="19"/>
  <c r="N261" i="19"/>
  <c r="M261" i="19"/>
  <c r="L261" i="19"/>
  <c r="K261" i="19"/>
  <c r="I261" i="19"/>
  <c r="J261" i="19"/>
  <c r="N260" i="19"/>
  <c r="M260" i="19"/>
  <c r="L260" i="19"/>
  <c r="K260" i="19"/>
  <c r="I260" i="19"/>
  <c r="J260" i="19"/>
  <c r="N259" i="19"/>
  <c r="M259" i="19"/>
  <c r="L259" i="19"/>
  <c r="K259" i="19"/>
  <c r="J259" i="19"/>
  <c r="I259" i="19"/>
  <c r="N258" i="19"/>
  <c r="M258" i="19"/>
  <c r="L258" i="19"/>
  <c r="K258" i="19"/>
  <c r="I258" i="19"/>
  <c r="J258" i="19"/>
  <c r="N257" i="19"/>
  <c r="M257" i="19"/>
  <c r="L257" i="19"/>
  <c r="K257" i="19"/>
  <c r="I257" i="19"/>
  <c r="J257" i="19"/>
  <c r="N256" i="19"/>
  <c r="L256" i="19"/>
  <c r="M256" i="19"/>
  <c r="K256" i="19"/>
  <c r="I256" i="19"/>
  <c r="J256" i="19"/>
  <c r="N255" i="19"/>
  <c r="M255" i="19"/>
  <c r="L255" i="19"/>
  <c r="K255" i="19"/>
  <c r="I255" i="19"/>
  <c r="J255" i="19"/>
  <c r="N254" i="19"/>
  <c r="M254" i="19"/>
  <c r="L254" i="19"/>
  <c r="K254" i="19"/>
  <c r="I254" i="19"/>
  <c r="J254" i="19"/>
  <c r="N253" i="19"/>
  <c r="M253" i="19"/>
  <c r="L253" i="19"/>
  <c r="K253" i="19"/>
  <c r="I253" i="19"/>
  <c r="J253" i="19"/>
  <c r="N252" i="19"/>
  <c r="M252" i="19"/>
  <c r="L252" i="19"/>
  <c r="K252" i="19"/>
  <c r="I252" i="19"/>
  <c r="J252" i="19"/>
  <c r="N251" i="19"/>
  <c r="L251" i="19"/>
  <c r="M251" i="19"/>
  <c r="K251" i="19"/>
  <c r="J251" i="19"/>
  <c r="I251" i="19"/>
  <c r="N250" i="19"/>
  <c r="L250" i="19"/>
  <c r="M250" i="19"/>
  <c r="K250" i="19"/>
  <c r="I250" i="19"/>
  <c r="J250" i="19"/>
  <c r="N249" i="19"/>
  <c r="M249" i="19"/>
  <c r="L249" i="19"/>
  <c r="K249" i="19"/>
  <c r="I249" i="19"/>
  <c r="J249" i="19"/>
  <c r="N248" i="19"/>
  <c r="M248" i="19"/>
  <c r="L248" i="19"/>
  <c r="K248" i="19"/>
  <c r="I248" i="19"/>
  <c r="J248" i="19"/>
  <c r="N247" i="19"/>
  <c r="M247" i="19"/>
  <c r="L247" i="19"/>
  <c r="K247" i="19"/>
  <c r="I247" i="19"/>
  <c r="J247" i="19"/>
  <c r="N246" i="19"/>
  <c r="M246" i="19"/>
  <c r="L246" i="19"/>
  <c r="K246" i="19"/>
  <c r="I246" i="19"/>
  <c r="J246" i="19"/>
  <c r="N245" i="19"/>
  <c r="L245" i="19"/>
  <c r="M245" i="19"/>
  <c r="K245" i="19"/>
  <c r="I245" i="19"/>
  <c r="J245" i="19"/>
  <c r="N244" i="19"/>
  <c r="L244" i="19"/>
  <c r="M244" i="19"/>
  <c r="K244" i="19"/>
  <c r="I244" i="19"/>
  <c r="J244" i="19"/>
  <c r="N243" i="19"/>
  <c r="M243" i="19"/>
  <c r="L243" i="19"/>
  <c r="K243" i="19"/>
  <c r="I243" i="19"/>
  <c r="J243" i="19"/>
  <c r="N242" i="19"/>
  <c r="L242" i="19"/>
  <c r="M242" i="19"/>
  <c r="K242" i="19"/>
  <c r="I242" i="19"/>
  <c r="J242" i="19"/>
  <c r="N241" i="19"/>
  <c r="L241" i="19"/>
  <c r="M241" i="19"/>
  <c r="K241" i="19"/>
  <c r="I241" i="19"/>
  <c r="J241" i="19"/>
  <c r="N240" i="19"/>
  <c r="M240" i="19"/>
  <c r="L240" i="19"/>
  <c r="K240" i="19"/>
  <c r="I240" i="19"/>
  <c r="J240" i="19"/>
  <c r="N239" i="19"/>
  <c r="L239" i="19"/>
  <c r="M239" i="19"/>
  <c r="K239" i="19"/>
  <c r="J239" i="19"/>
  <c r="I239" i="19"/>
  <c r="N238" i="19"/>
  <c r="L238" i="19"/>
  <c r="M238" i="19"/>
  <c r="K238" i="19"/>
  <c r="I238" i="19"/>
  <c r="J238" i="19"/>
  <c r="N237" i="19"/>
  <c r="M237" i="19"/>
  <c r="L237" i="19"/>
  <c r="K237" i="19"/>
  <c r="I237" i="19"/>
  <c r="J237" i="19"/>
  <c r="N236" i="19"/>
  <c r="L236" i="19"/>
  <c r="M236" i="19"/>
  <c r="K236" i="19"/>
  <c r="I236" i="19"/>
  <c r="J236" i="19"/>
  <c r="N235" i="19"/>
  <c r="L235" i="19"/>
  <c r="M235" i="19"/>
  <c r="K235" i="19"/>
  <c r="I235" i="19"/>
  <c r="J235" i="19"/>
  <c r="N234" i="19"/>
  <c r="M234" i="19"/>
  <c r="L234" i="19"/>
  <c r="K234" i="19"/>
  <c r="I234" i="19"/>
  <c r="J234" i="19"/>
  <c r="N233" i="19"/>
  <c r="L233" i="19"/>
  <c r="M233" i="19"/>
  <c r="K233" i="19"/>
  <c r="J233" i="19"/>
  <c r="I233" i="19"/>
  <c r="N232" i="19"/>
  <c r="L232" i="19"/>
  <c r="M232" i="19"/>
  <c r="K232" i="19"/>
  <c r="J232" i="19"/>
  <c r="I232" i="19"/>
  <c r="N231" i="19"/>
  <c r="M231" i="19"/>
  <c r="L231" i="19"/>
  <c r="K231" i="19"/>
  <c r="I231" i="19"/>
  <c r="J231" i="19"/>
  <c r="N230" i="19"/>
  <c r="M230" i="19"/>
  <c r="L230" i="19"/>
  <c r="K230" i="19"/>
  <c r="I230" i="19"/>
  <c r="J230" i="19"/>
  <c r="N229" i="19"/>
  <c r="L229" i="19"/>
  <c r="M229" i="19"/>
  <c r="K229" i="19"/>
  <c r="J229" i="19"/>
  <c r="I229" i="19"/>
  <c r="N228" i="19"/>
  <c r="M228" i="19"/>
  <c r="L228" i="19"/>
  <c r="K228" i="19"/>
  <c r="I228" i="19"/>
  <c r="J228" i="19"/>
  <c r="N227" i="19"/>
  <c r="L227" i="19"/>
  <c r="M227" i="19"/>
  <c r="K227" i="19"/>
  <c r="J227" i="19"/>
  <c r="I227" i="19"/>
  <c r="N226" i="19"/>
  <c r="L226" i="19"/>
  <c r="M226" i="19"/>
  <c r="K226" i="19"/>
  <c r="I226" i="19"/>
  <c r="J226" i="19"/>
  <c r="N225" i="19"/>
  <c r="M225" i="19"/>
  <c r="L225" i="19"/>
  <c r="K225" i="19"/>
  <c r="I225" i="19"/>
  <c r="J225" i="19"/>
  <c r="N224" i="19"/>
  <c r="L224" i="19"/>
  <c r="M224" i="19"/>
  <c r="K224" i="19"/>
  <c r="I224" i="19"/>
  <c r="J224" i="19"/>
  <c r="N223" i="19"/>
  <c r="M223" i="19"/>
  <c r="L223" i="19"/>
  <c r="K223" i="19"/>
  <c r="J223" i="19"/>
  <c r="I223" i="19"/>
  <c r="N222" i="19"/>
  <c r="M222" i="19"/>
  <c r="L222" i="19"/>
  <c r="K222" i="19"/>
  <c r="I222" i="19"/>
  <c r="J222" i="19"/>
  <c r="N221" i="19"/>
  <c r="L221" i="19"/>
  <c r="M221" i="19"/>
  <c r="K221" i="19"/>
  <c r="J221" i="19"/>
  <c r="I221" i="19"/>
  <c r="N220" i="19"/>
  <c r="L220" i="19"/>
  <c r="M220" i="19"/>
  <c r="K220" i="19"/>
  <c r="J220" i="19"/>
  <c r="I220" i="19"/>
  <c r="N219" i="19"/>
  <c r="M219" i="19"/>
  <c r="L219" i="19"/>
  <c r="K219" i="19"/>
  <c r="I219" i="19"/>
  <c r="J219" i="19"/>
  <c r="N218" i="19"/>
  <c r="M218" i="19"/>
  <c r="L218" i="19"/>
  <c r="K218" i="19"/>
  <c r="I218" i="19"/>
  <c r="J218" i="19"/>
  <c r="N217" i="19"/>
  <c r="L217" i="19"/>
  <c r="M217" i="19"/>
  <c r="K217" i="19"/>
  <c r="J217" i="19"/>
  <c r="I217" i="19"/>
  <c r="N216" i="19"/>
  <c r="M216" i="19"/>
  <c r="L216" i="19"/>
  <c r="K216" i="19"/>
  <c r="I216" i="19"/>
  <c r="J216" i="19"/>
  <c r="N215" i="19"/>
  <c r="L215" i="19"/>
  <c r="M215" i="19"/>
  <c r="K215" i="19"/>
  <c r="J215" i="19"/>
  <c r="I215" i="19"/>
  <c r="N214" i="19"/>
  <c r="M214" i="19"/>
  <c r="L214" i="19"/>
  <c r="K214" i="19"/>
  <c r="I214" i="19"/>
  <c r="J214" i="19"/>
  <c r="N213" i="19"/>
  <c r="M213" i="19"/>
  <c r="L213" i="19"/>
  <c r="K213" i="19"/>
  <c r="I213" i="19"/>
  <c r="J213" i="19"/>
  <c r="N212" i="19"/>
  <c r="L212" i="19"/>
  <c r="M212" i="19"/>
  <c r="K212" i="19"/>
  <c r="I212" i="19"/>
  <c r="J212" i="19"/>
  <c r="N211" i="19"/>
  <c r="M211" i="19"/>
  <c r="L211" i="19"/>
  <c r="K211" i="19"/>
  <c r="J211" i="19"/>
  <c r="I211" i="19"/>
  <c r="N210" i="19"/>
  <c r="M210" i="19"/>
  <c r="L210" i="19"/>
  <c r="K210" i="19"/>
  <c r="I210" i="19"/>
  <c r="J210" i="19"/>
  <c r="N209" i="19"/>
  <c r="L209" i="19"/>
  <c r="M209" i="19"/>
  <c r="K209" i="19"/>
  <c r="I209" i="19"/>
  <c r="J209" i="19"/>
  <c r="N208" i="19"/>
  <c r="M208" i="19"/>
  <c r="L208" i="19"/>
  <c r="K208" i="19"/>
  <c r="J208" i="19"/>
  <c r="I208" i="19"/>
  <c r="N207" i="19"/>
  <c r="M207" i="19"/>
  <c r="L207" i="19"/>
  <c r="K207" i="19"/>
  <c r="I207" i="19"/>
  <c r="J207" i="19"/>
  <c r="N206" i="19"/>
  <c r="M206" i="19"/>
  <c r="L206" i="19"/>
  <c r="K206" i="19"/>
  <c r="I206" i="19"/>
  <c r="J206" i="19"/>
  <c r="N205" i="19"/>
  <c r="L205" i="19"/>
  <c r="M205" i="19"/>
  <c r="K205" i="19"/>
  <c r="I205" i="19"/>
  <c r="J205" i="19"/>
  <c r="N204" i="19"/>
  <c r="M204" i="19"/>
  <c r="L204" i="19"/>
  <c r="K204" i="19"/>
  <c r="I204" i="19"/>
  <c r="J204" i="19"/>
  <c r="N203" i="19"/>
  <c r="L203" i="19"/>
  <c r="M203" i="19"/>
  <c r="K203" i="19"/>
  <c r="J203" i="19"/>
  <c r="I203" i="19"/>
  <c r="N202" i="19"/>
  <c r="L202" i="19"/>
  <c r="M202" i="19"/>
  <c r="K202" i="19"/>
  <c r="J202" i="19"/>
  <c r="I202" i="19"/>
  <c r="N201" i="19"/>
  <c r="M201" i="19"/>
  <c r="L201" i="19"/>
  <c r="K201" i="19"/>
  <c r="I201" i="19"/>
  <c r="J201" i="19"/>
  <c r="N200" i="19"/>
  <c r="M200" i="19"/>
  <c r="L200" i="19"/>
  <c r="K200" i="19"/>
  <c r="J200" i="19"/>
  <c r="I200" i="19"/>
  <c r="N199" i="19"/>
  <c r="M199" i="19"/>
  <c r="L199" i="19"/>
  <c r="K199" i="19"/>
  <c r="I199" i="19"/>
  <c r="J199" i="19"/>
  <c r="N198" i="19"/>
  <c r="M198" i="19"/>
  <c r="L198" i="19"/>
  <c r="K198" i="19"/>
  <c r="I198" i="19"/>
  <c r="J198" i="19"/>
  <c r="N197" i="19"/>
  <c r="M197" i="19"/>
  <c r="L197" i="19"/>
  <c r="K197" i="19"/>
  <c r="I197" i="19"/>
  <c r="J197" i="19"/>
  <c r="N196" i="19"/>
  <c r="L196" i="19"/>
  <c r="M196" i="19"/>
  <c r="K196" i="19"/>
  <c r="J196" i="19"/>
  <c r="I196" i="19"/>
  <c r="N195" i="19"/>
  <c r="M195" i="19"/>
  <c r="L195" i="19"/>
  <c r="K195" i="19"/>
  <c r="I195" i="19"/>
  <c r="J195" i="19"/>
  <c r="N194" i="19"/>
  <c r="M194" i="19"/>
  <c r="L194" i="19"/>
  <c r="K194" i="19"/>
  <c r="I194" i="19"/>
  <c r="J194" i="19"/>
  <c r="N193" i="19"/>
  <c r="M193" i="19"/>
  <c r="L193" i="19"/>
  <c r="K193" i="19"/>
  <c r="I193" i="19"/>
  <c r="J193" i="19"/>
  <c r="N192" i="19"/>
  <c r="M192" i="19"/>
  <c r="L192" i="19"/>
  <c r="K192" i="19"/>
  <c r="I192" i="19"/>
  <c r="J192" i="19"/>
  <c r="N191" i="19"/>
  <c r="M191" i="19"/>
  <c r="L191" i="19"/>
  <c r="K191" i="19"/>
  <c r="J191" i="19"/>
  <c r="I191" i="19"/>
  <c r="N190" i="19"/>
  <c r="L190" i="19"/>
  <c r="M190" i="19"/>
  <c r="K190" i="19"/>
  <c r="J190" i="19"/>
  <c r="I190" i="19"/>
  <c r="N189" i="19"/>
  <c r="M189" i="19"/>
  <c r="L189" i="19"/>
  <c r="K189" i="19"/>
  <c r="I189" i="19"/>
  <c r="J189" i="19"/>
  <c r="N188" i="19"/>
  <c r="L188" i="19"/>
  <c r="M188" i="19"/>
  <c r="K188" i="19"/>
  <c r="J188" i="19"/>
  <c r="I188" i="19"/>
  <c r="N187" i="19"/>
  <c r="L187" i="19"/>
  <c r="M187" i="19"/>
  <c r="K187" i="19"/>
  <c r="I187" i="19"/>
  <c r="J187" i="19"/>
  <c r="N186" i="19"/>
  <c r="M186" i="19"/>
  <c r="L186" i="19"/>
  <c r="K186" i="19"/>
  <c r="I186" i="19"/>
  <c r="J186" i="19"/>
  <c r="N185" i="19"/>
  <c r="L185" i="19"/>
  <c r="M185" i="19"/>
  <c r="K185" i="19"/>
  <c r="I185" i="19"/>
  <c r="J185" i="19"/>
  <c r="N184" i="19"/>
  <c r="L184" i="19"/>
  <c r="M184" i="19"/>
  <c r="K184" i="19"/>
  <c r="I184" i="19"/>
  <c r="J184" i="19"/>
  <c r="N183" i="19"/>
  <c r="M183" i="19"/>
  <c r="L183" i="19"/>
  <c r="K183" i="19"/>
  <c r="J183" i="19"/>
  <c r="I183" i="19"/>
  <c r="N182" i="19"/>
  <c r="L182" i="19"/>
  <c r="M182" i="19"/>
  <c r="K182" i="19"/>
  <c r="J182" i="19"/>
  <c r="I182" i="19"/>
  <c r="N181" i="19"/>
  <c r="M181" i="19"/>
  <c r="L181" i="19"/>
  <c r="K181" i="19"/>
  <c r="I181" i="19"/>
  <c r="J181" i="19"/>
  <c r="N180" i="19"/>
  <c r="M180" i="19"/>
  <c r="L180" i="19"/>
  <c r="K180" i="19"/>
  <c r="I180" i="19"/>
  <c r="J180" i="19"/>
  <c r="N179" i="19"/>
  <c r="L179" i="19"/>
  <c r="M179" i="19"/>
  <c r="K179" i="19"/>
  <c r="I179" i="19"/>
  <c r="J179" i="19"/>
  <c r="N178" i="19"/>
  <c r="L178" i="19"/>
  <c r="M178" i="19"/>
  <c r="K178" i="19"/>
  <c r="I178" i="19"/>
  <c r="J178" i="19"/>
  <c r="N177" i="19"/>
  <c r="M177" i="19"/>
  <c r="L177" i="19"/>
  <c r="K177" i="19"/>
  <c r="J177" i="19"/>
  <c r="I177" i="19"/>
  <c r="N176" i="19"/>
  <c r="L176" i="19"/>
  <c r="M176" i="19"/>
  <c r="K176" i="19"/>
  <c r="I176" i="19"/>
  <c r="J176" i="19"/>
  <c r="N175" i="19"/>
  <c r="M175" i="19"/>
  <c r="L175" i="19"/>
  <c r="K175" i="19"/>
  <c r="I175" i="19"/>
  <c r="J175" i="19"/>
  <c r="N174" i="19"/>
  <c r="M174" i="19"/>
  <c r="L174" i="19"/>
  <c r="K174" i="19"/>
  <c r="J174" i="19"/>
  <c r="I174" i="19"/>
  <c r="N173" i="19"/>
  <c r="L173" i="19"/>
  <c r="M173" i="19"/>
  <c r="K173" i="19"/>
  <c r="I173" i="19"/>
  <c r="J173" i="19"/>
  <c r="N172" i="19"/>
  <c r="L172" i="19"/>
  <c r="M172" i="19"/>
  <c r="K172" i="19"/>
  <c r="J172" i="19"/>
  <c r="I172" i="19"/>
  <c r="N171" i="19"/>
  <c r="M171" i="19"/>
  <c r="L171" i="19"/>
  <c r="K171" i="19"/>
  <c r="I171" i="19"/>
  <c r="J171" i="19"/>
  <c r="N170" i="19"/>
  <c r="L170" i="19"/>
  <c r="M170" i="19"/>
  <c r="K170" i="19"/>
  <c r="J170" i="19"/>
  <c r="I170" i="19"/>
  <c r="N169" i="19"/>
  <c r="L169" i="19"/>
  <c r="M169" i="19"/>
  <c r="K169" i="19"/>
  <c r="I169" i="19"/>
  <c r="J169" i="19"/>
  <c r="N168" i="19"/>
  <c r="M168" i="19"/>
  <c r="L168" i="19"/>
  <c r="K168" i="19"/>
  <c r="I168" i="19"/>
  <c r="J168" i="19"/>
  <c r="N167" i="19"/>
  <c r="M167" i="19"/>
  <c r="L167" i="19"/>
  <c r="K167" i="19"/>
  <c r="J167" i="19"/>
  <c r="I167" i="19"/>
  <c r="N166" i="19"/>
  <c r="L166" i="19"/>
  <c r="M166" i="19"/>
  <c r="K166" i="19"/>
  <c r="J166" i="19"/>
  <c r="I166" i="19"/>
  <c r="N165" i="19"/>
  <c r="M165" i="19"/>
  <c r="L165" i="19"/>
  <c r="K165" i="19"/>
  <c r="J165" i="19"/>
  <c r="I165" i="19"/>
  <c r="N164" i="19"/>
  <c r="L164" i="19"/>
  <c r="M164" i="19"/>
  <c r="K164" i="19"/>
  <c r="I164" i="19"/>
  <c r="J164" i="19"/>
  <c r="N163" i="19"/>
  <c r="L163" i="19"/>
  <c r="M163" i="19"/>
  <c r="K163" i="19"/>
  <c r="I163" i="19"/>
  <c r="J163" i="19"/>
  <c r="N162" i="19"/>
  <c r="M162" i="19"/>
  <c r="L162" i="19"/>
  <c r="K162" i="19"/>
  <c r="I162" i="19"/>
  <c r="J162" i="19"/>
  <c r="N161" i="19"/>
  <c r="M161" i="19"/>
  <c r="L161" i="19"/>
  <c r="K161" i="19"/>
  <c r="I161" i="19"/>
  <c r="J161" i="19"/>
  <c r="N160" i="19"/>
  <c r="L160" i="19"/>
  <c r="M160" i="19"/>
  <c r="K160" i="19"/>
  <c r="I160" i="19"/>
  <c r="J160" i="19"/>
  <c r="N159" i="19"/>
  <c r="M159" i="19"/>
  <c r="L159" i="19"/>
  <c r="K159" i="19"/>
  <c r="J159" i="19"/>
  <c r="I159" i="19"/>
  <c r="N158" i="19"/>
  <c r="L158" i="19"/>
  <c r="M158" i="19"/>
  <c r="K158" i="19"/>
  <c r="J158" i="19"/>
  <c r="I158" i="19"/>
  <c r="N157" i="19"/>
  <c r="M157" i="19"/>
  <c r="L157" i="19"/>
  <c r="K157" i="19"/>
  <c r="I157" i="19"/>
  <c r="J157" i="19"/>
  <c r="N156" i="19"/>
  <c r="M156" i="19"/>
  <c r="L156" i="19"/>
  <c r="K156" i="19"/>
  <c r="J156" i="19"/>
  <c r="I156" i="19"/>
  <c r="N155" i="19"/>
  <c r="L155" i="19"/>
  <c r="M155" i="19"/>
  <c r="K155" i="19"/>
  <c r="I155" i="19"/>
  <c r="J155" i="19"/>
  <c r="N154" i="19"/>
  <c r="L154" i="19"/>
  <c r="M154" i="19"/>
  <c r="K154" i="19"/>
  <c r="J154" i="19"/>
  <c r="I154" i="19"/>
  <c r="N153" i="19"/>
  <c r="M153" i="19"/>
  <c r="L153" i="19"/>
  <c r="K153" i="19"/>
  <c r="J153" i="19"/>
  <c r="I153" i="19"/>
  <c r="N152" i="19"/>
  <c r="L152" i="19"/>
  <c r="M152" i="19"/>
  <c r="K152" i="19"/>
  <c r="J152" i="19"/>
  <c r="I152" i="19"/>
  <c r="N151" i="19"/>
  <c r="L151" i="19"/>
  <c r="M151" i="19"/>
  <c r="K151" i="19"/>
  <c r="J151" i="19"/>
  <c r="I151" i="19"/>
  <c r="N150" i="19"/>
  <c r="M150" i="19"/>
  <c r="L150" i="19"/>
  <c r="K150" i="19"/>
  <c r="I150" i="19"/>
  <c r="J150" i="19"/>
  <c r="N149" i="19"/>
  <c r="L149" i="19"/>
  <c r="M149" i="19"/>
  <c r="K149" i="19"/>
  <c r="I149" i="19"/>
  <c r="J149" i="19"/>
  <c r="N148" i="19"/>
  <c r="L148" i="19"/>
  <c r="M148" i="19"/>
  <c r="K148" i="19"/>
  <c r="I148" i="19"/>
  <c r="J148" i="19"/>
  <c r="N147" i="19"/>
  <c r="M147" i="19"/>
  <c r="L147" i="19"/>
  <c r="K147" i="19"/>
  <c r="J147" i="19"/>
  <c r="I147" i="19"/>
  <c r="N146" i="19"/>
  <c r="L146" i="19"/>
  <c r="M146" i="19"/>
  <c r="K146" i="19"/>
  <c r="J146" i="19"/>
  <c r="I146" i="19"/>
  <c r="N145" i="19"/>
  <c r="L145" i="19"/>
  <c r="M145" i="19"/>
  <c r="K145" i="19"/>
  <c r="J145" i="19"/>
  <c r="I145" i="19"/>
  <c r="N144" i="19"/>
  <c r="L144" i="19"/>
  <c r="M144" i="19"/>
  <c r="K144" i="19"/>
  <c r="J144" i="19"/>
  <c r="I144" i="19"/>
  <c r="N143" i="19"/>
  <c r="L143" i="19"/>
  <c r="M143" i="19"/>
  <c r="K143" i="19"/>
  <c r="I143" i="19"/>
  <c r="J143" i="19"/>
  <c r="N142" i="19"/>
  <c r="L142" i="19"/>
  <c r="M142" i="19"/>
  <c r="K142" i="19"/>
  <c r="I142" i="19"/>
  <c r="J142" i="19"/>
  <c r="N141" i="19"/>
  <c r="L141" i="19"/>
  <c r="M141" i="19"/>
  <c r="K141" i="19"/>
  <c r="J141" i="19"/>
  <c r="I141" i="19"/>
  <c r="N140" i="19"/>
  <c r="L140" i="19"/>
  <c r="M140" i="19"/>
  <c r="K140" i="19"/>
  <c r="J140" i="19"/>
  <c r="I140" i="19"/>
  <c r="N139" i="19"/>
  <c r="L139" i="19"/>
  <c r="M139" i="19"/>
  <c r="K139" i="19"/>
  <c r="I139" i="19"/>
  <c r="J139" i="19"/>
  <c r="N138" i="19"/>
  <c r="L138" i="19"/>
  <c r="M138" i="19"/>
  <c r="K138" i="19"/>
  <c r="J138" i="19"/>
  <c r="I138" i="19"/>
  <c r="N137" i="19"/>
  <c r="L137" i="19"/>
  <c r="M137" i="19"/>
  <c r="K137" i="19"/>
  <c r="I137" i="19"/>
  <c r="J137" i="19"/>
  <c r="N136" i="19"/>
  <c r="L136" i="19"/>
  <c r="M136" i="19"/>
  <c r="K136" i="19"/>
  <c r="I136" i="19"/>
  <c r="J136" i="19"/>
  <c r="N135" i="19"/>
  <c r="M135" i="19"/>
  <c r="L135" i="19"/>
  <c r="K135" i="19"/>
  <c r="J135" i="19"/>
  <c r="I135" i="19"/>
  <c r="N134" i="19"/>
  <c r="L134" i="19"/>
  <c r="M134" i="19"/>
  <c r="K134" i="19"/>
  <c r="I134" i="19"/>
  <c r="J134" i="19"/>
  <c r="N133" i="19"/>
  <c r="L133" i="19"/>
  <c r="M133" i="19"/>
  <c r="K133" i="19"/>
  <c r="J133" i="19"/>
  <c r="I133" i="19"/>
  <c r="N132" i="19"/>
  <c r="L132" i="19"/>
  <c r="M132" i="19"/>
  <c r="K132" i="19"/>
  <c r="J132" i="19"/>
  <c r="I132" i="19"/>
  <c r="N131" i="19"/>
  <c r="L131" i="19"/>
  <c r="M131" i="19"/>
  <c r="K131" i="19"/>
  <c r="I131" i="19"/>
  <c r="J131" i="19"/>
  <c r="N130" i="19"/>
  <c r="L130" i="19"/>
  <c r="M130" i="19"/>
  <c r="K130" i="19"/>
  <c r="I130" i="19"/>
  <c r="J130" i="19"/>
  <c r="N129" i="19"/>
  <c r="L129" i="19"/>
  <c r="M129" i="19"/>
  <c r="K129" i="19"/>
  <c r="J129" i="19"/>
  <c r="I129" i="19"/>
  <c r="N128" i="19"/>
  <c r="M128" i="19"/>
  <c r="L128" i="19"/>
  <c r="K128" i="19"/>
  <c r="J128" i="19"/>
  <c r="I128" i="19"/>
  <c r="N127" i="19"/>
  <c r="L127" i="19"/>
  <c r="M127" i="19"/>
  <c r="K127" i="19"/>
  <c r="J127" i="19"/>
  <c r="I127" i="19"/>
  <c r="N126" i="19"/>
  <c r="L126" i="19"/>
  <c r="M126" i="19"/>
  <c r="K126" i="19"/>
  <c r="J126" i="19"/>
  <c r="I126" i="19"/>
  <c r="N125" i="19"/>
  <c r="L125" i="19"/>
  <c r="M125" i="19"/>
  <c r="K125" i="19"/>
  <c r="I125" i="19"/>
  <c r="J125" i="19"/>
  <c r="N124" i="19"/>
  <c r="L124" i="19"/>
  <c r="M124" i="19"/>
  <c r="K124" i="19"/>
  <c r="I124" i="19"/>
  <c r="J124" i="19"/>
  <c r="N123" i="19"/>
  <c r="L123" i="19"/>
  <c r="M123" i="19"/>
  <c r="K123" i="19"/>
  <c r="J123" i="19"/>
  <c r="I123" i="19"/>
  <c r="N122" i="19"/>
  <c r="L122" i="19"/>
  <c r="M122" i="19"/>
  <c r="K122" i="19"/>
  <c r="I122" i="19"/>
  <c r="J122" i="19"/>
  <c r="N121" i="19"/>
  <c r="L121" i="19"/>
  <c r="M121" i="19"/>
  <c r="K121" i="19"/>
  <c r="I121" i="19"/>
  <c r="J121" i="19"/>
  <c r="N120" i="19"/>
  <c r="L120" i="19"/>
  <c r="M120" i="19"/>
  <c r="K120" i="19"/>
  <c r="J120" i="19"/>
  <c r="I120" i="19"/>
  <c r="N119" i="19"/>
  <c r="L119" i="19"/>
  <c r="M119" i="19"/>
  <c r="K119" i="19"/>
  <c r="J119" i="19"/>
  <c r="I119" i="19"/>
  <c r="N118" i="19"/>
  <c r="L118" i="19"/>
  <c r="M118" i="19"/>
  <c r="K118" i="19"/>
  <c r="I118" i="19"/>
  <c r="J118" i="19"/>
  <c r="N117" i="19"/>
  <c r="M117" i="19"/>
  <c r="L117" i="19"/>
  <c r="K117" i="19"/>
  <c r="J117" i="19"/>
  <c r="I117" i="19"/>
  <c r="N116" i="19"/>
  <c r="L116" i="19"/>
  <c r="M116" i="19"/>
  <c r="K116" i="19"/>
  <c r="J116" i="19"/>
  <c r="I116" i="19"/>
  <c r="N115" i="19"/>
  <c r="L115" i="19"/>
  <c r="M115" i="19"/>
  <c r="K115" i="19"/>
  <c r="I115" i="19"/>
  <c r="J115" i="19"/>
  <c r="N114" i="19"/>
  <c r="M114" i="19"/>
  <c r="L114" i="19"/>
  <c r="K114" i="19"/>
  <c r="J114" i="19"/>
  <c r="I114" i="19"/>
  <c r="N113" i="19"/>
  <c r="L113" i="19"/>
  <c r="M113" i="19"/>
  <c r="K113" i="19"/>
  <c r="J113" i="19"/>
  <c r="I113" i="19"/>
  <c r="N112" i="19"/>
  <c r="L112" i="19"/>
  <c r="M112" i="19"/>
  <c r="K112" i="19"/>
  <c r="I112" i="19"/>
  <c r="J112" i="19"/>
  <c r="N111" i="19"/>
  <c r="L111" i="19"/>
  <c r="M111" i="19"/>
  <c r="K111" i="19"/>
  <c r="J111" i="19"/>
  <c r="I111" i="19"/>
  <c r="N110" i="19"/>
  <c r="L110" i="19"/>
  <c r="M110" i="19"/>
  <c r="K110" i="19"/>
  <c r="I110" i="19"/>
  <c r="J110" i="19"/>
  <c r="N109" i="19"/>
  <c r="L109" i="19"/>
  <c r="M109" i="19"/>
  <c r="K109" i="19"/>
  <c r="I109" i="19"/>
  <c r="J109" i="19"/>
  <c r="N108" i="19"/>
  <c r="L108" i="19"/>
  <c r="M108" i="19"/>
  <c r="K108" i="19"/>
  <c r="J108" i="19"/>
  <c r="I108" i="19"/>
  <c r="N107" i="19"/>
  <c r="L107" i="19"/>
  <c r="M107" i="19"/>
  <c r="K107" i="19"/>
  <c r="J107" i="19"/>
  <c r="I107" i="19"/>
  <c r="N106" i="19"/>
  <c r="L106" i="19"/>
  <c r="M106" i="19"/>
  <c r="K106" i="19"/>
  <c r="J106" i="19"/>
  <c r="I106" i="19"/>
  <c r="N105" i="19"/>
  <c r="L105" i="19"/>
  <c r="M105" i="19"/>
  <c r="K105" i="19"/>
  <c r="J105" i="19"/>
  <c r="I105" i="19"/>
  <c r="N104" i="19"/>
  <c r="L104" i="19"/>
  <c r="M104" i="19"/>
  <c r="K104" i="19"/>
  <c r="I104" i="19"/>
  <c r="J104" i="19"/>
  <c r="N103" i="19"/>
  <c r="L103" i="19"/>
  <c r="M103" i="19"/>
  <c r="K103" i="19"/>
  <c r="I103" i="19"/>
  <c r="J103" i="19"/>
  <c r="N102" i="19"/>
  <c r="L102" i="19"/>
  <c r="M102" i="19"/>
  <c r="K102" i="19"/>
  <c r="J102" i="19"/>
  <c r="I102" i="19"/>
  <c r="N101" i="19"/>
  <c r="L101" i="19"/>
  <c r="M101" i="19"/>
  <c r="K101" i="19"/>
  <c r="I101" i="19"/>
  <c r="J101" i="19"/>
  <c r="N100" i="19"/>
  <c r="L100" i="19"/>
  <c r="M100" i="19"/>
  <c r="K100" i="19"/>
  <c r="I100" i="19"/>
  <c r="J100" i="19"/>
  <c r="N99" i="19"/>
  <c r="M99" i="19"/>
  <c r="L99" i="19"/>
  <c r="K99" i="19"/>
  <c r="J99" i="19"/>
  <c r="I99" i="19"/>
  <c r="N98" i="19"/>
  <c r="L98" i="19"/>
  <c r="M98" i="19"/>
  <c r="K98" i="19"/>
  <c r="I98" i="19"/>
  <c r="J98" i="19"/>
  <c r="N97" i="19"/>
  <c r="L97" i="19"/>
  <c r="M97" i="19"/>
  <c r="K97" i="19"/>
  <c r="J97" i="19"/>
  <c r="I97" i="19"/>
  <c r="N96" i="19"/>
  <c r="M96" i="19"/>
  <c r="L96" i="19"/>
  <c r="K96" i="19"/>
  <c r="J96" i="19"/>
  <c r="I96" i="19"/>
  <c r="N95" i="19"/>
  <c r="L95" i="19"/>
  <c r="M95" i="19"/>
  <c r="K95" i="19"/>
  <c r="I95" i="19"/>
  <c r="J95" i="19"/>
  <c r="N94" i="19"/>
  <c r="L94" i="19"/>
  <c r="M94" i="19"/>
  <c r="K94" i="19"/>
  <c r="J94" i="19"/>
  <c r="I94" i="19"/>
  <c r="N93" i="19"/>
  <c r="L93" i="19"/>
  <c r="M93" i="19"/>
  <c r="K93" i="19"/>
  <c r="J93" i="19"/>
  <c r="I93" i="19"/>
  <c r="N92" i="19"/>
  <c r="M92" i="19"/>
  <c r="L92" i="19"/>
  <c r="K92" i="19"/>
  <c r="I92" i="19"/>
  <c r="J92" i="19"/>
  <c r="N91" i="19"/>
  <c r="L91" i="19"/>
  <c r="M91" i="19"/>
  <c r="K91" i="19"/>
  <c r="I91" i="19"/>
  <c r="J91" i="19"/>
  <c r="N90" i="19"/>
  <c r="L90" i="19"/>
  <c r="M90" i="19"/>
  <c r="K90" i="19"/>
  <c r="J90" i="19"/>
  <c r="I90" i="19"/>
  <c r="N89" i="19"/>
  <c r="L89" i="19"/>
  <c r="M89" i="19"/>
  <c r="K89" i="19"/>
  <c r="I89" i="19"/>
  <c r="J89" i="19"/>
  <c r="N88" i="19"/>
  <c r="L88" i="19"/>
  <c r="M88" i="19"/>
  <c r="K88" i="19"/>
  <c r="I88" i="19"/>
  <c r="J88" i="19"/>
  <c r="N87" i="19"/>
  <c r="L87" i="19"/>
  <c r="M87" i="19"/>
  <c r="K87" i="19"/>
  <c r="J87" i="19"/>
  <c r="I87" i="19"/>
  <c r="N86" i="19"/>
  <c r="M86" i="19"/>
  <c r="L86" i="19"/>
  <c r="K86" i="19"/>
  <c r="I86" i="19"/>
  <c r="J86" i="19"/>
  <c r="N85" i="19"/>
  <c r="L85" i="19"/>
  <c r="M85" i="19"/>
  <c r="K85" i="19"/>
  <c r="I85" i="19"/>
  <c r="J85" i="19"/>
  <c r="N84" i="19"/>
  <c r="L84" i="19"/>
  <c r="M84" i="19"/>
  <c r="K84" i="19"/>
  <c r="J84" i="19"/>
  <c r="I84" i="19"/>
  <c r="N83" i="19"/>
  <c r="L83" i="19"/>
  <c r="M83" i="19"/>
  <c r="K83" i="19"/>
  <c r="J83" i="19"/>
  <c r="I83" i="19"/>
  <c r="N82" i="19"/>
  <c r="L82" i="19"/>
  <c r="M82" i="19"/>
  <c r="K82" i="19"/>
  <c r="J82" i="19"/>
  <c r="I82" i="19"/>
  <c r="N81" i="19"/>
  <c r="M81" i="19"/>
  <c r="L81" i="19"/>
  <c r="K81" i="19"/>
  <c r="J81" i="19"/>
  <c r="I81" i="19"/>
  <c r="N80" i="19"/>
  <c r="L80" i="19"/>
  <c r="M80" i="19"/>
  <c r="K80" i="19"/>
  <c r="I80" i="19"/>
  <c r="J80" i="19"/>
  <c r="N79" i="19"/>
  <c r="L79" i="19"/>
  <c r="M79" i="19"/>
  <c r="K79" i="19"/>
  <c r="I79" i="19"/>
  <c r="J79" i="19"/>
  <c r="N78" i="19"/>
  <c r="L78" i="19"/>
  <c r="M78" i="19"/>
  <c r="K78" i="19"/>
  <c r="J78" i="19"/>
  <c r="I78" i="19"/>
  <c r="N77" i="19"/>
  <c r="M77" i="19"/>
  <c r="L77" i="19"/>
  <c r="K77" i="19"/>
  <c r="I77" i="19"/>
  <c r="J77" i="19"/>
  <c r="N76" i="19"/>
  <c r="L76" i="19"/>
  <c r="M76" i="19"/>
  <c r="K76" i="19"/>
  <c r="J76" i="19"/>
  <c r="I76" i="19"/>
  <c r="N75" i="19"/>
  <c r="M75" i="19"/>
  <c r="L75" i="19"/>
  <c r="K75" i="19"/>
  <c r="J75" i="19"/>
  <c r="I75" i="19"/>
  <c r="N74" i="19"/>
  <c r="M74" i="19"/>
  <c r="L74" i="19"/>
  <c r="K74" i="19"/>
  <c r="I74" i="19"/>
  <c r="J74" i="19"/>
  <c r="N73" i="19"/>
  <c r="L73" i="19"/>
  <c r="M73" i="19"/>
  <c r="K73" i="19"/>
  <c r="I73" i="19"/>
  <c r="J73" i="19"/>
  <c r="N72" i="19"/>
  <c r="L72" i="19"/>
  <c r="M72" i="19"/>
  <c r="K72" i="19"/>
  <c r="J72" i="19"/>
  <c r="I72" i="19"/>
  <c r="N71" i="19"/>
  <c r="L71" i="19"/>
  <c r="M71" i="19"/>
  <c r="K71" i="19"/>
  <c r="I71" i="19"/>
  <c r="J71" i="19"/>
  <c r="N70" i="19"/>
  <c r="L70" i="19"/>
  <c r="M70" i="19"/>
  <c r="K70" i="19"/>
  <c r="I70" i="19"/>
  <c r="J70" i="19"/>
  <c r="N69" i="19"/>
  <c r="L69" i="19"/>
  <c r="M69" i="19"/>
  <c r="K69" i="19"/>
  <c r="J69" i="19"/>
  <c r="I69" i="19"/>
  <c r="N68" i="19"/>
  <c r="L68" i="19"/>
  <c r="M68" i="19"/>
  <c r="K68" i="19"/>
  <c r="I68" i="19"/>
  <c r="J68" i="19"/>
  <c r="N67" i="19"/>
  <c r="L67" i="19"/>
  <c r="M67" i="19"/>
  <c r="K67" i="19"/>
  <c r="I67" i="19"/>
  <c r="J67" i="19"/>
  <c r="N66" i="19"/>
  <c r="M66" i="19"/>
  <c r="L66" i="19"/>
  <c r="K66" i="19"/>
  <c r="J66" i="19"/>
  <c r="I66" i="19"/>
  <c r="N65" i="19"/>
  <c r="M65" i="19"/>
  <c r="L65" i="19"/>
  <c r="K65" i="19"/>
  <c r="I65" i="19"/>
  <c r="J65" i="19"/>
  <c r="N64" i="19"/>
  <c r="L64" i="19"/>
  <c r="M64" i="19"/>
  <c r="K64" i="19"/>
  <c r="I64" i="19"/>
  <c r="J64" i="19"/>
  <c r="N63" i="19"/>
  <c r="L63" i="19"/>
  <c r="M63" i="19"/>
  <c r="K63" i="19"/>
  <c r="J63" i="19"/>
  <c r="I63" i="19"/>
  <c r="N62" i="19"/>
  <c r="L62" i="19"/>
  <c r="M62" i="19"/>
  <c r="K62" i="19"/>
  <c r="J62" i="19"/>
  <c r="I62" i="19"/>
  <c r="N61" i="19"/>
  <c r="L61" i="19"/>
  <c r="M61" i="19"/>
  <c r="K61" i="19"/>
  <c r="J61" i="19"/>
  <c r="I61" i="19"/>
  <c r="N60" i="19"/>
  <c r="L60" i="19"/>
  <c r="M60" i="19"/>
  <c r="K60" i="19"/>
  <c r="J60" i="19"/>
  <c r="I60" i="19"/>
  <c r="N59" i="19"/>
  <c r="L59" i="19"/>
  <c r="M59" i="19"/>
  <c r="K59" i="19"/>
  <c r="I59" i="19"/>
  <c r="J59" i="19"/>
  <c r="N58" i="19"/>
  <c r="L58" i="19"/>
  <c r="M58" i="19"/>
  <c r="K58" i="19"/>
  <c r="I58" i="19"/>
  <c r="J58" i="19"/>
  <c r="N57" i="19"/>
  <c r="L57" i="19"/>
  <c r="M57" i="19"/>
  <c r="K57" i="19"/>
  <c r="J57" i="19"/>
  <c r="I57" i="19"/>
  <c r="N56" i="19"/>
  <c r="M56" i="19"/>
  <c r="L56" i="19"/>
  <c r="K56" i="19"/>
  <c r="J56" i="19"/>
  <c r="I56" i="19"/>
  <c r="N55" i="19"/>
  <c r="L55" i="19"/>
  <c r="M55" i="19"/>
  <c r="K55" i="19"/>
  <c r="I55" i="19"/>
  <c r="J55" i="19"/>
  <c r="N54" i="19"/>
  <c r="L54" i="19"/>
  <c r="M54" i="19"/>
  <c r="K54" i="19"/>
  <c r="J54" i="19"/>
  <c r="I54" i="19"/>
  <c r="N53" i="19"/>
  <c r="L53" i="19"/>
  <c r="M53" i="19"/>
  <c r="K53" i="19"/>
  <c r="I53" i="19"/>
  <c r="J53" i="19"/>
  <c r="N52" i="19"/>
  <c r="L52" i="19"/>
  <c r="M52" i="19"/>
  <c r="K52" i="19"/>
  <c r="J52" i="19"/>
  <c r="I52" i="19"/>
  <c r="N51" i="19"/>
  <c r="L51" i="19"/>
  <c r="M51" i="19"/>
  <c r="K51" i="19"/>
  <c r="J51" i="19"/>
  <c r="I51" i="19"/>
  <c r="N50" i="19"/>
  <c r="M50" i="19"/>
  <c r="L50" i="19"/>
  <c r="K50" i="19"/>
  <c r="I50" i="19"/>
  <c r="J50" i="19"/>
  <c r="N49" i="19"/>
  <c r="L49" i="19"/>
  <c r="M49" i="19"/>
  <c r="K49" i="19"/>
  <c r="I49" i="19"/>
  <c r="J49" i="19"/>
  <c r="N48" i="19"/>
  <c r="L48" i="19"/>
  <c r="M48" i="19"/>
  <c r="K48" i="19"/>
  <c r="J48" i="19"/>
  <c r="I48" i="19"/>
  <c r="N47" i="19"/>
  <c r="L47" i="19"/>
  <c r="M47" i="19"/>
  <c r="K47" i="19"/>
  <c r="J47" i="19"/>
  <c r="I47" i="19"/>
  <c r="N46" i="19"/>
  <c r="L46" i="19"/>
  <c r="M46" i="19"/>
  <c r="K46" i="19"/>
  <c r="I46" i="19"/>
  <c r="J46" i="19"/>
  <c r="N45" i="19"/>
  <c r="M45" i="19"/>
  <c r="L45" i="19"/>
  <c r="K45" i="19"/>
  <c r="J45" i="19"/>
  <c r="I45" i="19"/>
  <c r="N44" i="19"/>
  <c r="L44" i="19"/>
  <c r="M44" i="19"/>
  <c r="K44" i="19"/>
  <c r="J44" i="19"/>
  <c r="I44" i="19"/>
  <c r="N43" i="19"/>
  <c r="L43" i="19"/>
  <c r="M43" i="19"/>
  <c r="K43" i="19"/>
  <c r="I43" i="19"/>
  <c r="J43" i="19"/>
  <c r="N42" i="19"/>
  <c r="L42" i="19"/>
  <c r="M42" i="19"/>
  <c r="K42" i="19"/>
  <c r="J42" i="19"/>
  <c r="I42" i="19"/>
  <c r="N41" i="19"/>
  <c r="L41" i="19"/>
  <c r="M41" i="19"/>
  <c r="K41" i="19"/>
  <c r="I41" i="19"/>
  <c r="J41" i="19"/>
  <c r="N40" i="19"/>
  <c r="L40" i="19"/>
  <c r="M40" i="19"/>
  <c r="K40" i="19"/>
  <c r="I40" i="19"/>
  <c r="J40" i="19"/>
  <c r="N39" i="19"/>
  <c r="L39" i="19"/>
  <c r="M39" i="19"/>
  <c r="K39" i="19"/>
  <c r="J39" i="19"/>
  <c r="I39" i="19"/>
  <c r="N38" i="19"/>
  <c r="M38" i="19"/>
  <c r="L38" i="19"/>
  <c r="K38" i="19"/>
  <c r="I38" i="19"/>
  <c r="J38" i="19"/>
  <c r="N37" i="19"/>
  <c r="L37" i="19"/>
  <c r="M37" i="19"/>
  <c r="K37" i="19"/>
  <c r="J37" i="19"/>
  <c r="I37" i="19"/>
  <c r="N36" i="19"/>
  <c r="L36" i="19"/>
  <c r="M36" i="19"/>
  <c r="K36" i="19"/>
  <c r="J36" i="19"/>
  <c r="I36" i="19"/>
  <c r="N35" i="19"/>
  <c r="M35" i="19"/>
  <c r="L35" i="19"/>
  <c r="K35" i="19"/>
  <c r="I35" i="19"/>
  <c r="J35" i="19"/>
  <c r="N34" i="19"/>
  <c r="L34" i="19"/>
  <c r="M34" i="19"/>
  <c r="K34" i="19"/>
  <c r="I34" i="19"/>
  <c r="J34" i="19"/>
  <c r="N33" i="19"/>
  <c r="L33" i="19"/>
  <c r="M33" i="19"/>
  <c r="K33" i="19"/>
  <c r="J33" i="19"/>
  <c r="I33" i="19"/>
  <c r="N32" i="19"/>
  <c r="L32" i="19"/>
  <c r="M32" i="19"/>
  <c r="K32" i="19"/>
  <c r="I32" i="19"/>
  <c r="J32" i="19"/>
  <c r="N31" i="19"/>
  <c r="L31" i="19"/>
  <c r="M31" i="19"/>
  <c r="K31" i="19"/>
  <c r="I31" i="19"/>
  <c r="J31" i="19"/>
  <c r="N30" i="19"/>
  <c r="L30" i="19"/>
  <c r="M30" i="19"/>
  <c r="K30" i="19"/>
  <c r="I30" i="19"/>
  <c r="J30" i="19"/>
  <c r="N29" i="19"/>
  <c r="L29" i="19"/>
  <c r="M29" i="19"/>
  <c r="K29" i="19"/>
  <c r="I29" i="19"/>
  <c r="J29" i="19"/>
  <c r="N28" i="19"/>
  <c r="L28" i="19"/>
  <c r="M28" i="19"/>
  <c r="K28" i="19"/>
  <c r="I28" i="19"/>
  <c r="J28" i="19"/>
  <c r="N27" i="19"/>
  <c r="L27" i="19"/>
  <c r="M27" i="19"/>
  <c r="K27" i="19"/>
  <c r="I27" i="19"/>
  <c r="J27" i="19"/>
  <c r="N26" i="19"/>
  <c r="L26" i="19"/>
  <c r="M26" i="19"/>
  <c r="K26" i="19"/>
  <c r="I26" i="19"/>
  <c r="J26" i="19"/>
  <c r="N25" i="19"/>
  <c r="L25" i="19"/>
  <c r="M25" i="19"/>
  <c r="K25" i="19"/>
  <c r="I25" i="19"/>
  <c r="J25" i="19"/>
  <c r="N24" i="19"/>
  <c r="L24" i="19"/>
  <c r="M24" i="19"/>
  <c r="K24" i="19"/>
  <c r="I24" i="19"/>
  <c r="J24" i="19"/>
  <c r="N23" i="19"/>
  <c r="L23" i="19"/>
  <c r="M23" i="19"/>
  <c r="K23" i="19"/>
  <c r="I23" i="19"/>
  <c r="J23" i="19"/>
  <c r="N22" i="19"/>
  <c r="L22" i="19"/>
  <c r="M22" i="19"/>
  <c r="K22" i="19"/>
  <c r="I22" i="19"/>
  <c r="J22" i="19"/>
  <c r="N21" i="19"/>
  <c r="L21" i="19"/>
  <c r="M21" i="19"/>
  <c r="K21" i="19"/>
  <c r="I21" i="19"/>
  <c r="J21" i="19"/>
  <c r="N20" i="19"/>
  <c r="L20" i="19"/>
  <c r="M20" i="19"/>
  <c r="K20" i="19"/>
  <c r="I20" i="19"/>
  <c r="J20" i="19"/>
  <c r="N19" i="19"/>
  <c r="L19" i="19"/>
  <c r="M19" i="19"/>
  <c r="K19" i="19"/>
  <c r="I19" i="19"/>
  <c r="J19" i="19"/>
  <c r="N18" i="19"/>
  <c r="L18" i="19"/>
  <c r="M18" i="19"/>
  <c r="K18" i="19"/>
  <c r="I18" i="19"/>
  <c r="J18" i="19"/>
  <c r="N17" i="19"/>
  <c r="L17" i="19"/>
  <c r="M17" i="19"/>
  <c r="K17" i="19"/>
  <c r="I17" i="19"/>
  <c r="J17" i="19"/>
  <c r="N16" i="19"/>
  <c r="L16" i="19"/>
  <c r="M16" i="19"/>
  <c r="K16" i="19"/>
  <c r="I16" i="19"/>
  <c r="J16" i="19"/>
  <c r="N15" i="19"/>
  <c r="L15" i="19"/>
  <c r="M15" i="19"/>
  <c r="K15" i="19"/>
  <c r="I15" i="19"/>
  <c r="J15" i="19"/>
  <c r="N14" i="19"/>
  <c r="L14" i="19"/>
  <c r="M14" i="19"/>
  <c r="K14" i="19"/>
  <c r="I14" i="19"/>
  <c r="J14" i="19"/>
  <c r="N13" i="19"/>
  <c r="L13" i="19"/>
  <c r="M13" i="19"/>
  <c r="K13" i="19"/>
  <c r="I13" i="19"/>
  <c r="J13" i="19"/>
  <c r="N12" i="19"/>
  <c r="L12" i="19"/>
  <c r="M12" i="19"/>
  <c r="K12" i="19"/>
  <c r="I12" i="19"/>
  <c r="J12" i="19"/>
  <c r="N11" i="19"/>
  <c r="L11" i="19"/>
  <c r="M11" i="19"/>
  <c r="K11" i="19"/>
  <c r="I11" i="19"/>
  <c r="J11" i="19"/>
  <c r="N10" i="19"/>
  <c r="L10" i="19"/>
  <c r="M10" i="19"/>
  <c r="K10" i="19"/>
  <c r="I10" i="19"/>
  <c r="J10" i="19"/>
  <c r="N9" i="19"/>
  <c r="L9" i="19"/>
  <c r="M9" i="19"/>
  <c r="K9" i="19"/>
  <c r="I9" i="19"/>
  <c r="J9" i="19"/>
  <c r="N8" i="19"/>
  <c r="L8" i="19"/>
  <c r="M8" i="19"/>
  <c r="K8" i="19"/>
  <c r="I8" i="19"/>
  <c r="J8" i="19"/>
  <c r="N7" i="19"/>
  <c r="L7" i="19"/>
  <c r="M7" i="19"/>
  <c r="K7" i="19"/>
  <c r="I7" i="19"/>
  <c r="J7" i="19"/>
  <c r="N6" i="19"/>
  <c r="L6" i="19"/>
  <c r="M6" i="19"/>
  <c r="K6" i="19"/>
  <c r="I6" i="19"/>
  <c r="J6" i="19"/>
  <c r="N399" i="16"/>
  <c r="L399" i="16"/>
  <c r="M399" i="16"/>
  <c r="K399" i="16"/>
  <c r="I399" i="16"/>
  <c r="J399" i="16"/>
  <c r="N398" i="16"/>
  <c r="L398" i="16"/>
  <c r="M398" i="16"/>
  <c r="K398" i="16"/>
  <c r="I398" i="16"/>
  <c r="J398" i="16"/>
  <c r="N397" i="16"/>
  <c r="L397" i="16"/>
  <c r="M397" i="16"/>
  <c r="K397" i="16"/>
  <c r="I397" i="16"/>
  <c r="J397" i="16"/>
  <c r="N396" i="16"/>
  <c r="L396" i="16"/>
  <c r="M396" i="16"/>
  <c r="K396" i="16"/>
  <c r="I396" i="16"/>
  <c r="J396" i="16"/>
  <c r="N395" i="16"/>
  <c r="L395" i="16"/>
  <c r="M395" i="16"/>
  <c r="K395" i="16"/>
  <c r="I395" i="16"/>
  <c r="J395" i="16"/>
  <c r="N394" i="16"/>
  <c r="L394" i="16"/>
  <c r="M394" i="16"/>
  <c r="K394" i="16"/>
  <c r="I394" i="16"/>
  <c r="J394" i="16"/>
  <c r="N393" i="16"/>
  <c r="L393" i="16"/>
  <c r="M393" i="16"/>
  <c r="K393" i="16"/>
  <c r="I393" i="16"/>
  <c r="J393" i="16"/>
  <c r="N392" i="16"/>
  <c r="L392" i="16"/>
  <c r="M392" i="16"/>
  <c r="K392" i="16"/>
  <c r="I392" i="16"/>
  <c r="J392" i="16"/>
  <c r="N391" i="16"/>
  <c r="L391" i="16"/>
  <c r="M391" i="16"/>
  <c r="K391" i="16"/>
  <c r="I391" i="16"/>
  <c r="J391" i="16"/>
  <c r="N390" i="16"/>
  <c r="L390" i="16"/>
  <c r="M390" i="16"/>
  <c r="K390" i="16"/>
  <c r="I390" i="16"/>
  <c r="J390" i="16"/>
  <c r="N389" i="16"/>
  <c r="L389" i="16"/>
  <c r="M389" i="16"/>
  <c r="K389" i="16"/>
  <c r="I389" i="16"/>
  <c r="J389" i="16"/>
  <c r="N388" i="16"/>
  <c r="L388" i="16"/>
  <c r="M388" i="16"/>
  <c r="K388" i="16"/>
  <c r="I388" i="16"/>
  <c r="J388" i="16"/>
  <c r="N387" i="16"/>
  <c r="L387" i="16"/>
  <c r="M387" i="16"/>
  <c r="K387" i="16"/>
  <c r="I387" i="16"/>
  <c r="J387" i="16"/>
  <c r="N386" i="16"/>
  <c r="L386" i="16"/>
  <c r="M386" i="16"/>
  <c r="K386" i="16"/>
  <c r="I386" i="16"/>
  <c r="J386" i="16"/>
  <c r="N385" i="16"/>
  <c r="L385" i="16"/>
  <c r="M385" i="16"/>
  <c r="K385" i="16"/>
  <c r="I385" i="16"/>
  <c r="J385" i="16"/>
  <c r="N384" i="16"/>
  <c r="L384" i="16"/>
  <c r="M384" i="16"/>
  <c r="K384" i="16"/>
  <c r="I384" i="16"/>
  <c r="J384" i="16"/>
  <c r="N383" i="16"/>
  <c r="L383" i="16"/>
  <c r="M383" i="16"/>
  <c r="K383" i="16"/>
  <c r="I383" i="16"/>
  <c r="J383" i="16"/>
  <c r="N382" i="16"/>
  <c r="L382" i="16"/>
  <c r="M382" i="16"/>
  <c r="K382" i="16"/>
  <c r="I382" i="16"/>
  <c r="J382" i="16"/>
  <c r="N381" i="16"/>
  <c r="L381" i="16"/>
  <c r="M381" i="16"/>
  <c r="K381" i="16"/>
  <c r="I381" i="16"/>
  <c r="J381" i="16"/>
  <c r="N380" i="16"/>
  <c r="L380" i="16"/>
  <c r="M380" i="16"/>
  <c r="K380" i="16"/>
  <c r="I380" i="16"/>
  <c r="J380" i="16"/>
  <c r="N379" i="16"/>
  <c r="L379" i="16"/>
  <c r="M379" i="16"/>
  <c r="K379" i="16"/>
  <c r="I379" i="16"/>
  <c r="J379" i="16"/>
  <c r="N378" i="16"/>
  <c r="L378" i="16"/>
  <c r="M378" i="16"/>
  <c r="K378" i="16"/>
  <c r="I378" i="16"/>
  <c r="J378" i="16"/>
  <c r="N377" i="16"/>
  <c r="L377" i="16"/>
  <c r="M377" i="16"/>
  <c r="K377" i="16"/>
  <c r="I377" i="16"/>
  <c r="J377" i="16"/>
  <c r="N376" i="16"/>
  <c r="L376" i="16"/>
  <c r="M376" i="16"/>
  <c r="K376" i="16"/>
  <c r="I376" i="16"/>
  <c r="J376" i="16"/>
  <c r="N375" i="16"/>
  <c r="L375" i="16"/>
  <c r="M375" i="16"/>
  <c r="K375" i="16"/>
  <c r="I375" i="16"/>
  <c r="J375" i="16"/>
  <c r="N374" i="16"/>
  <c r="L374" i="16"/>
  <c r="M374" i="16"/>
  <c r="K374" i="16"/>
  <c r="I374" i="16"/>
  <c r="J374" i="16"/>
  <c r="N373" i="16"/>
  <c r="L373" i="16"/>
  <c r="M373" i="16"/>
  <c r="K373" i="16"/>
  <c r="I373" i="16"/>
  <c r="J373" i="16"/>
  <c r="N372" i="16"/>
  <c r="L372" i="16"/>
  <c r="M372" i="16"/>
  <c r="K372" i="16"/>
  <c r="I372" i="16"/>
  <c r="J372" i="16"/>
  <c r="N371" i="16"/>
  <c r="L371" i="16"/>
  <c r="M371" i="16"/>
  <c r="K371" i="16"/>
  <c r="I371" i="16"/>
  <c r="J371" i="16"/>
  <c r="N370" i="16"/>
  <c r="L370" i="16"/>
  <c r="M370" i="16"/>
  <c r="K370" i="16"/>
  <c r="I370" i="16"/>
  <c r="J370" i="16"/>
  <c r="N369" i="16"/>
  <c r="L369" i="16"/>
  <c r="M369" i="16"/>
  <c r="K369" i="16"/>
  <c r="I369" i="16"/>
  <c r="J369" i="16"/>
  <c r="N368" i="16"/>
  <c r="L368" i="16"/>
  <c r="M368" i="16"/>
  <c r="K368" i="16"/>
  <c r="I368" i="16"/>
  <c r="J368" i="16"/>
  <c r="N367" i="16"/>
  <c r="L367" i="16"/>
  <c r="M367" i="16"/>
  <c r="K367" i="16"/>
  <c r="I367" i="16"/>
  <c r="J367" i="16"/>
  <c r="N366" i="16"/>
  <c r="L366" i="16"/>
  <c r="M366" i="16"/>
  <c r="K366" i="16"/>
  <c r="I366" i="16"/>
  <c r="J366" i="16"/>
  <c r="N365" i="16"/>
  <c r="L365" i="16"/>
  <c r="M365" i="16"/>
  <c r="K365" i="16"/>
  <c r="I365" i="16"/>
  <c r="J365" i="16"/>
  <c r="N364" i="16"/>
  <c r="L364" i="16"/>
  <c r="M364" i="16"/>
  <c r="K364" i="16"/>
  <c r="I364" i="16"/>
  <c r="J364" i="16"/>
  <c r="N363" i="16"/>
  <c r="L363" i="16"/>
  <c r="M363" i="16"/>
  <c r="K363" i="16"/>
  <c r="I363" i="16"/>
  <c r="J363" i="16"/>
  <c r="N362" i="16"/>
  <c r="L362" i="16"/>
  <c r="M362" i="16"/>
  <c r="K362" i="16"/>
  <c r="I362" i="16"/>
  <c r="J362" i="16"/>
  <c r="N361" i="16"/>
  <c r="L361" i="16"/>
  <c r="M361" i="16"/>
  <c r="K361" i="16"/>
  <c r="I361" i="16"/>
  <c r="J361" i="16"/>
  <c r="N360" i="16"/>
  <c r="L360" i="16"/>
  <c r="M360" i="16"/>
  <c r="K360" i="16"/>
  <c r="I360" i="16"/>
  <c r="J360" i="16"/>
  <c r="N359" i="16"/>
  <c r="L359" i="16"/>
  <c r="M359" i="16"/>
  <c r="K359" i="16"/>
  <c r="I359" i="16"/>
  <c r="J359" i="16"/>
  <c r="N358" i="16"/>
  <c r="L358" i="16"/>
  <c r="M358" i="16"/>
  <c r="K358" i="16"/>
  <c r="I358" i="16"/>
  <c r="J358" i="16"/>
  <c r="N357" i="16"/>
  <c r="L357" i="16"/>
  <c r="M357" i="16"/>
  <c r="K357" i="16"/>
  <c r="I357" i="16"/>
  <c r="J357" i="16"/>
  <c r="N356" i="16"/>
  <c r="L356" i="16"/>
  <c r="M356" i="16"/>
  <c r="K356" i="16"/>
  <c r="I356" i="16"/>
  <c r="J356" i="16"/>
  <c r="N355" i="16"/>
  <c r="L355" i="16"/>
  <c r="M355" i="16"/>
  <c r="K355" i="16"/>
  <c r="I355" i="16"/>
  <c r="J355" i="16"/>
  <c r="N354" i="16"/>
  <c r="L354" i="16"/>
  <c r="M354" i="16"/>
  <c r="K354" i="16"/>
  <c r="I354" i="16"/>
  <c r="J354" i="16"/>
  <c r="N353" i="16"/>
  <c r="L353" i="16"/>
  <c r="M353" i="16"/>
  <c r="K353" i="16"/>
  <c r="I353" i="16"/>
  <c r="J353" i="16"/>
  <c r="N352" i="16"/>
  <c r="L352" i="16"/>
  <c r="M352" i="16"/>
  <c r="K352" i="16"/>
  <c r="I352" i="16"/>
  <c r="J352" i="16"/>
  <c r="N351" i="16"/>
  <c r="L351" i="16"/>
  <c r="M351" i="16"/>
  <c r="K351" i="16"/>
  <c r="I351" i="16"/>
  <c r="J351" i="16"/>
  <c r="N350" i="16"/>
  <c r="L350" i="16"/>
  <c r="M350" i="16"/>
  <c r="K350" i="16"/>
  <c r="I350" i="16"/>
  <c r="J350" i="16"/>
  <c r="N349" i="16"/>
  <c r="L349" i="16"/>
  <c r="M349" i="16"/>
  <c r="K349" i="16"/>
  <c r="I349" i="16"/>
  <c r="J349" i="16"/>
  <c r="N348" i="16"/>
  <c r="L348" i="16"/>
  <c r="M348" i="16"/>
  <c r="K348" i="16"/>
  <c r="I348" i="16"/>
  <c r="J348" i="16"/>
  <c r="N347" i="16"/>
  <c r="L347" i="16"/>
  <c r="M347" i="16"/>
  <c r="K347" i="16"/>
  <c r="I347" i="16"/>
  <c r="J347" i="16"/>
  <c r="N346" i="16"/>
  <c r="L346" i="16"/>
  <c r="M346" i="16"/>
  <c r="K346" i="16"/>
  <c r="I346" i="16"/>
  <c r="J346" i="16"/>
  <c r="N345" i="16"/>
  <c r="L345" i="16"/>
  <c r="M345" i="16"/>
  <c r="K345" i="16"/>
  <c r="I345" i="16"/>
  <c r="J345" i="16"/>
  <c r="N344" i="16"/>
  <c r="L344" i="16"/>
  <c r="M344" i="16"/>
  <c r="K344" i="16"/>
  <c r="I344" i="16"/>
  <c r="J344" i="16"/>
  <c r="N343" i="16"/>
  <c r="L343" i="16"/>
  <c r="M343" i="16"/>
  <c r="K343" i="16"/>
  <c r="I343" i="16"/>
  <c r="J343" i="16"/>
  <c r="N342" i="16"/>
  <c r="L342" i="16"/>
  <c r="M342" i="16"/>
  <c r="K342" i="16"/>
  <c r="I342" i="16"/>
  <c r="J342" i="16"/>
  <c r="N341" i="16"/>
  <c r="L341" i="16"/>
  <c r="M341" i="16"/>
  <c r="K341" i="16"/>
  <c r="I341" i="16"/>
  <c r="J341" i="16"/>
  <c r="N340" i="16"/>
  <c r="L340" i="16"/>
  <c r="M340" i="16"/>
  <c r="K340" i="16"/>
  <c r="I340" i="16"/>
  <c r="J340" i="16"/>
  <c r="N339" i="16"/>
  <c r="L339" i="16"/>
  <c r="M339" i="16"/>
  <c r="K339" i="16"/>
  <c r="I339" i="16"/>
  <c r="J339" i="16"/>
  <c r="N338" i="16"/>
  <c r="L338" i="16"/>
  <c r="M338" i="16"/>
  <c r="K338" i="16"/>
  <c r="I338" i="16"/>
  <c r="J338" i="16"/>
  <c r="N337" i="16"/>
  <c r="L337" i="16"/>
  <c r="M337" i="16"/>
  <c r="K337" i="16"/>
  <c r="I337" i="16"/>
  <c r="J337" i="16"/>
  <c r="N336" i="16"/>
  <c r="L336" i="16"/>
  <c r="M336" i="16"/>
  <c r="K336" i="16"/>
  <c r="I336" i="16"/>
  <c r="J336" i="16"/>
  <c r="N335" i="16"/>
  <c r="L335" i="16"/>
  <c r="M335" i="16"/>
  <c r="K335" i="16"/>
  <c r="I335" i="16"/>
  <c r="J335" i="16"/>
  <c r="N334" i="16"/>
  <c r="L334" i="16"/>
  <c r="M334" i="16"/>
  <c r="K334" i="16"/>
  <c r="I334" i="16"/>
  <c r="J334" i="16"/>
  <c r="N333" i="16"/>
  <c r="L333" i="16"/>
  <c r="M333" i="16"/>
  <c r="K333" i="16"/>
  <c r="I333" i="16"/>
  <c r="J333" i="16"/>
  <c r="N332" i="16"/>
  <c r="L332" i="16"/>
  <c r="M332" i="16"/>
  <c r="K332" i="16"/>
  <c r="I332" i="16"/>
  <c r="J332" i="16"/>
  <c r="N331" i="16"/>
  <c r="L331" i="16"/>
  <c r="M331" i="16"/>
  <c r="K331" i="16"/>
  <c r="I331" i="16"/>
  <c r="J331" i="16"/>
  <c r="N330" i="16"/>
  <c r="L330" i="16"/>
  <c r="M330" i="16"/>
  <c r="K330" i="16"/>
  <c r="I330" i="16"/>
  <c r="J330" i="16"/>
  <c r="N329" i="16"/>
  <c r="L329" i="16"/>
  <c r="M329" i="16"/>
  <c r="K329" i="16"/>
  <c r="I329" i="16"/>
  <c r="J329" i="16"/>
  <c r="N328" i="16"/>
  <c r="L328" i="16"/>
  <c r="M328" i="16"/>
  <c r="K328" i="16"/>
  <c r="I328" i="16"/>
  <c r="J328" i="16"/>
  <c r="N327" i="16"/>
  <c r="L327" i="16"/>
  <c r="M327" i="16"/>
  <c r="K327" i="16"/>
  <c r="I327" i="16"/>
  <c r="J327" i="16"/>
  <c r="N326" i="16"/>
  <c r="L326" i="16"/>
  <c r="M326" i="16"/>
  <c r="K326" i="16"/>
  <c r="I326" i="16"/>
  <c r="J326" i="16"/>
  <c r="N325" i="16"/>
  <c r="L325" i="16"/>
  <c r="M325" i="16"/>
  <c r="K325" i="16"/>
  <c r="I325" i="16"/>
  <c r="J325" i="16"/>
  <c r="N324" i="16"/>
  <c r="L324" i="16"/>
  <c r="M324" i="16"/>
  <c r="K324" i="16"/>
  <c r="I324" i="16"/>
  <c r="J324" i="16"/>
  <c r="N323" i="16"/>
  <c r="L323" i="16"/>
  <c r="M323" i="16"/>
  <c r="K323" i="16"/>
  <c r="I323" i="16"/>
  <c r="J323" i="16"/>
  <c r="N322" i="16"/>
  <c r="L322" i="16"/>
  <c r="M322" i="16"/>
  <c r="K322" i="16"/>
  <c r="I322" i="16"/>
  <c r="J322" i="16"/>
  <c r="N321" i="16"/>
  <c r="L321" i="16"/>
  <c r="M321" i="16"/>
  <c r="K321" i="16"/>
  <c r="I321" i="16"/>
  <c r="J321" i="16"/>
  <c r="N320" i="16"/>
  <c r="L320" i="16"/>
  <c r="M320" i="16"/>
  <c r="K320" i="16"/>
  <c r="I320" i="16"/>
  <c r="J320" i="16"/>
  <c r="N319" i="16"/>
  <c r="L319" i="16"/>
  <c r="M319" i="16"/>
  <c r="K319" i="16"/>
  <c r="I319" i="16"/>
  <c r="J319" i="16"/>
  <c r="N318" i="16"/>
  <c r="L318" i="16"/>
  <c r="M318" i="16"/>
  <c r="K318" i="16"/>
  <c r="I318" i="16"/>
  <c r="J318" i="16"/>
  <c r="N317" i="16"/>
  <c r="L317" i="16"/>
  <c r="M317" i="16"/>
  <c r="K317" i="16"/>
  <c r="I317" i="16"/>
  <c r="J317" i="16"/>
  <c r="N316" i="16"/>
  <c r="L316" i="16"/>
  <c r="M316" i="16"/>
  <c r="K316" i="16"/>
  <c r="I316" i="16"/>
  <c r="J316" i="16"/>
  <c r="N315" i="16"/>
  <c r="L315" i="16"/>
  <c r="M315" i="16"/>
  <c r="K315" i="16"/>
  <c r="I315" i="16"/>
  <c r="J315" i="16"/>
  <c r="N314" i="16"/>
  <c r="L314" i="16"/>
  <c r="M314" i="16"/>
  <c r="K314" i="16"/>
  <c r="I314" i="16"/>
  <c r="J314" i="16"/>
  <c r="N313" i="16"/>
  <c r="L313" i="16"/>
  <c r="M313" i="16"/>
  <c r="K313" i="16"/>
  <c r="I313" i="16"/>
  <c r="J313" i="16"/>
  <c r="N312" i="16"/>
  <c r="L312" i="16"/>
  <c r="M312" i="16"/>
  <c r="K312" i="16"/>
  <c r="I312" i="16"/>
  <c r="J312" i="16"/>
  <c r="N311" i="16"/>
  <c r="L311" i="16"/>
  <c r="M311" i="16"/>
  <c r="K311" i="16"/>
  <c r="I311" i="16"/>
  <c r="J311" i="16"/>
  <c r="N310" i="16"/>
  <c r="L310" i="16"/>
  <c r="M310" i="16"/>
  <c r="K310" i="16"/>
  <c r="I310" i="16"/>
  <c r="J310" i="16"/>
  <c r="N309" i="16"/>
  <c r="L309" i="16"/>
  <c r="M309" i="16"/>
  <c r="K309" i="16"/>
  <c r="I309" i="16"/>
  <c r="J309" i="16"/>
  <c r="N308" i="16"/>
  <c r="L308" i="16"/>
  <c r="M308" i="16"/>
  <c r="K308" i="16"/>
  <c r="I308" i="16"/>
  <c r="J308" i="16"/>
  <c r="N307" i="16"/>
  <c r="L307" i="16"/>
  <c r="M307" i="16"/>
  <c r="K307" i="16"/>
  <c r="I307" i="16"/>
  <c r="J307" i="16"/>
  <c r="N306" i="16"/>
  <c r="L306" i="16"/>
  <c r="M306" i="16"/>
  <c r="K306" i="16"/>
  <c r="I306" i="16"/>
  <c r="J306" i="16"/>
  <c r="N305" i="16"/>
  <c r="L305" i="16"/>
  <c r="M305" i="16"/>
  <c r="K305" i="16"/>
  <c r="I305" i="16"/>
  <c r="J305" i="16"/>
  <c r="N304" i="16"/>
  <c r="L304" i="16"/>
  <c r="M304" i="16"/>
  <c r="K304" i="16"/>
  <c r="I304" i="16"/>
  <c r="J304" i="16"/>
  <c r="N303" i="16"/>
  <c r="L303" i="16"/>
  <c r="M303" i="16"/>
  <c r="K303" i="16"/>
  <c r="I303" i="16"/>
  <c r="J303" i="16"/>
  <c r="N302" i="16"/>
  <c r="L302" i="16"/>
  <c r="M302" i="16"/>
  <c r="K302" i="16"/>
  <c r="I302" i="16"/>
  <c r="J302" i="16"/>
  <c r="N301" i="16"/>
  <c r="L301" i="16"/>
  <c r="M301" i="16"/>
  <c r="K301" i="16"/>
  <c r="I301" i="16"/>
  <c r="J301" i="16"/>
  <c r="N300" i="16"/>
  <c r="L300" i="16"/>
  <c r="M300" i="16"/>
  <c r="K300" i="16"/>
  <c r="I300" i="16"/>
  <c r="J300" i="16"/>
  <c r="N299" i="16"/>
  <c r="L299" i="16"/>
  <c r="M299" i="16"/>
  <c r="K299" i="16"/>
  <c r="I299" i="16"/>
  <c r="J299" i="16"/>
  <c r="N298" i="16"/>
  <c r="L298" i="16"/>
  <c r="M298" i="16"/>
  <c r="K298" i="16"/>
  <c r="I298" i="16"/>
  <c r="J298" i="16"/>
  <c r="N297" i="16"/>
  <c r="L297" i="16"/>
  <c r="M297" i="16"/>
  <c r="K297" i="16"/>
  <c r="I297" i="16"/>
  <c r="J297" i="16"/>
  <c r="N296" i="16"/>
  <c r="L296" i="16"/>
  <c r="M296" i="16"/>
  <c r="K296" i="16"/>
  <c r="I296" i="16"/>
  <c r="J296" i="16"/>
  <c r="N295" i="16"/>
  <c r="L295" i="16"/>
  <c r="M295" i="16"/>
  <c r="K295" i="16"/>
  <c r="I295" i="16"/>
  <c r="J295" i="16"/>
  <c r="N294" i="16"/>
  <c r="L294" i="16"/>
  <c r="M294" i="16"/>
  <c r="K294" i="16"/>
  <c r="I294" i="16"/>
  <c r="J294" i="16"/>
  <c r="N293" i="16"/>
  <c r="L293" i="16"/>
  <c r="M293" i="16"/>
  <c r="K293" i="16"/>
  <c r="I293" i="16"/>
  <c r="J293" i="16"/>
  <c r="N292" i="16"/>
  <c r="L292" i="16"/>
  <c r="M292" i="16"/>
  <c r="K292" i="16"/>
  <c r="I292" i="16"/>
  <c r="J292" i="16"/>
  <c r="N291" i="16"/>
  <c r="L291" i="16"/>
  <c r="M291" i="16"/>
  <c r="K291" i="16"/>
  <c r="I291" i="16"/>
  <c r="J291" i="16"/>
  <c r="N290" i="16"/>
  <c r="L290" i="16"/>
  <c r="M290" i="16"/>
  <c r="K290" i="16"/>
  <c r="I290" i="16"/>
  <c r="J290" i="16"/>
  <c r="N289" i="16"/>
  <c r="L289" i="16"/>
  <c r="M289" i="16"/>
  <c r="K289" i="16"/>
  <c r="I289" i="16"/>
  <c r="J289" i="16"/>
  <c r="N288" i="16"/>
  <c r="L288" i="16"/>
  <c r="M288" i="16"/>
  <c r="K288" i="16"/>
  <c r="I288" i="16"/>
  <c r="J288" i="16"/>
  <c r="N287" i="16"/>
  <c r="L287" i="16"/>
  <c r="M287" i="16"/>
  <c r="K287" i="16"/>
  <c r="I287" i="16"/>
  <c r="J287" i="16"/>
  <c r="N286" i="16"/>
  <c r="L286" i="16"/>
  <c r="M286" i="16"/>
  <c r="K286" i="16"/>
  <c r="I286" i="16"/>
  <c r="J286" i="16"/>
  <c r="N285" i="16"/>
  <c r="L285" i="16"/>
  <c r="M285" i="16"/>
  <c r="K285" i="16"/>
  <c r="I285" i="16"/>
  <c r="J285" i="16"/>
  <c r="N284" i="16"/>
  <c r="L284" i="16"/>
  <c r="M284" i="16"/>
  <c r="K284" i="16"/>
  <c r="I284" i="16"/>
  <c r="J284" i="16"/>
  <c r="N283" i="16"/>
  <c r="L283" i="16"/>
  <c r="M283" i="16"/>
  <c r="K283" i="16"/>
  <c r="I283" i="16"/>
  <c r="J283" i="16"/>
  <c r="N282" i="16"/>
  <c r="L282" i="16"/>
  <c r="M282" i="16"/>
  <c r="K282" i="16"/>
  <c r="I282" i="16"/>
  <c r="J282" i="16"/>
  <c r="N281" i="16"/>
  <c r="L281" i="16"/>
  <c r="M281" i="16"/>
  <c r="K281" i="16"/>
  <c r="I281" i="16"/>
  <c r="J281" i="16"/>
  <c r="N280" i="16"/>
  <c r="L280" i="16"/>
  <c r="M280" i="16"/>
  <c r="K280" i="16"/>
  <c r="I280" i="16"/>
  <c r="J280" i="16"/>
  <c r="N279" i="16"/>
  <c r="L279" i="16"/>
  <c r="M279" i="16"/>
  <c r="K279" i="16"/>
  <c r="I279" i="16"/>
  <c r="J279" i="16"/>
  <c r="N278" i="16"/>
  <c r="L278" i="16"/>
  <c r="M278" i="16"/>
  <c r="K278" i="16"/>
  <c r="I278" i="16"/>
  <c r="J278" i="16"/>
  <c r="N277" i="16"/>
  <c r="L277" i="16"/>
  <c r="M277" i="16"/>
  <c r="K277" i="16"/>
  <c r="I277" i="16"/>
  <c r="J277" i="16"/>
  <c r="N276" i="16"/>
  <c r="L276" i="16"/>
  <c r="M276" i="16"/>
  <c r="K276" i="16"/>
  <c r="I276" i="16"/>
  <c r="J276" i="16"/>
  <c r="N275" i="16"/>
  <c r="L275" i="16"/>
  <c r="M275" i="16"/>
  <c r="K275" i="16"/>
  <c r="I275" i="16"/>
  <c r="J275" i="16"/>
  <c r="N274" i="16"/>
  <c r="L274" i="16"/>
  <c r="M274" i="16"/>
  <c r="K274" i="16"/>
  <c r="I274" i="16"/>
  <c r="J274" i="16"/>
  <c r="N273" i="16"/>
  <c r="L273" i="16"/>
  <c r="M273" i="16"/>
  <c r="K273" i="16"/>
  <c r="I273" i="16"/>
  <c r="J273" i="16"/>
  <c r="N272" i="16"/>
  <c r="L272" i="16"/>
  <c r="M272" i="16"/>
  <c r="K272" i="16"/>
  <c r="I272" i="16"/>
  <c r="J272" i="16"/>
  <c r="N271" i="16"/>
  <c r="L271" i="16"/>
  <c r="M271" i="16"/>
  <c r="K271" i="16"/>
  <c r="I271" i="16"/>
  <c r="J271" i="16"/>
  <c r="N270" i="16"/>
  <c r="L270" i="16"/>
  <c r="M270" i="16"/>
  <c r="K270" i="16"/>
  <c r="I270" i="16"/>
  <c r="J270" i="16"/>
  <c r="N269" i="16"/>
  <c r="L269" i="16"/>
  <c r="M269" i="16"/>
  <c r="K269" i="16"/>
  <c r="I269" i="16"/>
  <c r="J269" i="16"/>
  <c r="N268" i="16"/>
  <c r="L268" i="16"/>
  <c r="M268" i="16"/>
  <c r="K268" i="16"/>
  <c r="I268" i="16"/>
  <c r="J268" i="16"/>
  <c r="N267" i="16"/>
  <c r="L267" i="16"/>
  <c r="M267" i="16"/>
  <c r="K267" i="16"/>
  <c r="I267" i="16"/>
  <c r="J267" i="16"/>
  <c r="N266" i="16"/>
  <c r="L266" i="16"/>
  <c r="M266" i="16"/>
  <c r="K266" i="16"/>
  <c r="I266" i="16"/>
  <c r="J266" i="16"/>
  <c r="N265" i="16"/>
  <c r="L265" i="16"/>
  <c r="M265" i="16"/>
  <c r="K265" i="16"/>
  <c r="I265" i="16"/>
  <c r="J265" i="16"/>
  <c r="N264" i="16"/>
  <c r="L264" i="16"/>
  <c r="M264" i="16"/>
  <c r="K264" i="16"/>
  <c r="I264" i="16"/>
  <c r="J264" i="16"/>
  <c r="N263" i="16"/>
  <c r="L263" i="16"/>
  <c r="M263" i="16"/>
  <c r="K263" i="16"/>
  <c r="I263" i="16"/>
  <c r="J263" i="16"/>
  <c r="N262" i="16"/>
  <c r="L262" i="16"/>
  <c r="M262" i="16"/>
  <c r="K262" i="16"/>
  <c r="I262" i="16"/>
  <c r="J262" i="16"/>
  <c r="N261" i="16"/>
  <c r="L261" i="16"/>
  <c r="M261" i="16"/>
  <c r="K261" i="16"/>
  <c r="I261" i="16"/>
  <c r="J261" i="16"/>
  <c r="N260" i="16"/>
  <c r="L260" i="16"/>
  <c r="M260" i="16"/>
  <c r="K260" i="16"/>
  <c r="I260" i="16"/>
  <c r="J260" i="16"/>
  <c r="N259" i="16"/>
  <c r="L259" i="16"/>
  <c r="M259" i="16"/>
  <c r="K259" i="16"/>
  <c r="I259" i="16"/>
  <c r="J259" i="16"/>
  <c r="N258" i="16"/>
  <c r="L258" i="16"/>
  <c r="M258" i="16"/>
  <c r="K258" i="16"/>
  <c r="I258" i="16"/>
  <c r="J258" i="16"/>
  <c r="N257" i="16"/>
  <c r="L257" i="16"/>
  <c r="M257" i="16"/>
  <c r="K257" i="16"/>
  <c r="I257" i="16"/>
  <c r="J257" i="16"/>
  <c r="N256" i="16"/>
  <c r="L256" i="16"/>
  <c r="M256" i="16"/>
  <c r="K256" i="16"/>
  <c r="I256" i="16"/>
  <c r="J256" i="16"/>
  <c r="N255" i="16"/>
  <c r="L255" i="16"/>
  <c r="M255" i="16"/>
  <c r="K255" i="16"/>
  <c r="I255" i="16"/>
  <c r="J255" i="16"/>
  <c r="N254" i="16"/>
  <c r="L254" i="16"/>
  <c r="M254" i="16"/>
  <c r="K254" i="16"/>
  <c r="I254" i="16"/>
  <c r="J254" i="16"/>
  <c r="N253" i="16"/>
  <c r="L253" i="16"/>
  <c r="M253" i="16"/>
  <c r="K253" i="16"/>
  <c r="I253" i="16"/>
  <c r="J253" i="16"/>
  <c r="N252" i="16"/>
  <c r="L252" i="16"/>
  <c r="M252" i="16"/>
  <c r="K252" i="16"/>
  <c r="I252" i="16"/>
  <c r="J252" i="16"/>
  <c r="N251" i="16"/>
  <c r="L251" i="16"/>
  <c r="M251" i="16"/>
  <c r="K251" i="16"/>
  <c r="I251" i="16"/>
  <c r="J251" i="16"/>
  <c r="N250" i="16"/>
  <c r="L250" i="16"/>
  <c r="M250" i="16"/>
  <c r="K250" i="16"/>
  <c r="I250" i="16"/>
  <c r="J250" i="16"/>
  <c r="N249" i="16"/>
  <c r="L249" i="16"/>
  <c r="M249" i="16"/>
  <c r="K249" i="16"/>
  <c r="I249" i="16"/>
  <c r="J249" i="16"/>
  <c r="N248" i="16"/>
  <c r="L248" i="16"/>
  <c r="M248" i="16"/>
  <c r="K248" i="16"/>
  <c r="I248" i="16"/>
  <c r="J248" i="16"/>
  <c r="N247" i="16"/>
  <c r="L247" i="16"/>
  <c r="M247" i="16"/>
  <c r="K247" i="16"/>
  <c r="I247" i="16"/>
  <c r="J247" i="16"/>
  <c r="N246" i="16"/>
  <c r="L246" i="16"/>
  <c r="M246" i="16"/>
  <c r="K246" i="16"/>
  <c r="I246" i="16"/>
  <c r="J246" i="16"/>
  <c r="N245" i="16"/>
  <c r="L245" i="16"/>
  <c r="M245" i="16"/>
  <c r="K245" i="16"/>
  <c r="I245" i="16"/>
  <c r="J245" i="16"/>
  <c r="N244" i="16"/>
  <c r="L244" i="16"/>
  <c r="M244" i="16"/>
  <c r="K244" i="16"/>
  <c r="I244" i="16"/>
  <c r="J244" i="16"/>
  <c r="N243" i="16"/>
  <c r="L243" i="16"/>
  <c r="M243" i="16"/>
  <c r="K243" i="16"/>
  <c r="I243" i="16"/>
  <c r="J243" i="16"/>
  <c r="N242" i="16"/>
  <c r="L242" i="16"/>
  <c r="M242" i="16"/>
  <c r="K242" i="16"/>
  <c r="I242" i="16"/>
  <c r="J242" i="16"/>
  <c r="N241" i="16"/>
  <c r="L241" i="16"/>
  <c r="M241" i="16"/>
  <c r="K241" i="16"/>
  <c r="I241" i="16"/>
  <c r="J241" i="16"/>
  <c r="N240" i="16"/>
  <c r="L240" i="16"/>
  <c r="M240" i="16"/>
  <c r="K240" i="16"/>
  <c r="I240" i="16"/>
  <c r="J240" i="16"/>
  <c r="N239" i="16"/>
  <c r="L239" i="16"/>
  <c r="M239" i="16"/>
  <c r="K239" i="16"/>
  <c r="I239" i="16"/>
  <c r="J239" i="16"/>
  <c r="N238" i="16"/>
  <c r="L238" i="16"/>
  <c r="M238" i="16"/>
  <c r="K238" i="16"/>
  <c r="I238" i="16"/>
  <c r="J238" i="16"/>
  <c r="N237" i="16"/>
  <c r="L237" i="16"/>
  <c r="M237" i="16"/>
  <c r="K237" i="16"/>
  <c r="I237" i="16"/>
  <c r="J237" i="16"/>
  <c r="N236" i="16"/>
  <c r="L236" i="16"/>
  <c r="M236" i="16"/>
  <c r="K236" i="16"/>
  <c r="I236" i="16"/>
  <c r="J236" i="16"/>
  <c r="N235" i="16"/>
  <c r="L235" i="16"/>
  <c r="M235" i="16"/>
  <c r="K235" i="16"/>
  <c r="I235" i="16"/>
  <c r="J235" i="16"/>
  <c r="N234" i="16"/>
  <c r="L234" i="16"/>
  <c r="M234" i="16"/>
  <c r="K234" i="16"/>
  <c r="I234" i="16"/>
  <c r="J234" i="16"/>
  <c r="N233" i="16"/>
  <c r="L233" i="16"/>
  <c r="M233" i="16"/>
  <c r="K233" i="16"/>
  <c r="I233" i="16"/>
  <c r="J233" i="16"/>
  <c r="N232" i="16"/>
  <c r="L232" i="16"/>
  <c r="M232" i="16"/>
  <c r="K232" i="16"/>
  <c r="I232" i="16"/>
  <c r="J232" i="16"/>
  <c r="N231" i="16"/>
  <c r="L231" i="16"/>
  <c r="M231" i="16"/>
  <c r="K231" i="16"/>
  <c r="I231" i="16"/>
  <c r="J231" i="16"/>
  <c r="N230" i="16"/>
  <c r="L230" i="16"/>
  <c r="M230" i="16"/>
  <c r="K230" i="16"/>
  <c r="I230" i="16"/>
  <c r="J230" i="16"/>
  <c r="N229" i="16"/>
  <c r="L229" i="16"/>
  <c r="M229" i="16"/>
  <c r="K229" i="16"/>
  <c r="I229" i="16"/>
  <c r="J229" i="16"/>
  <c r="N228" i="16"/>
  <c r="L228" i="16"/>
  <c r="M228" i="16"/>
  <c r="K228" i="16"/>
  <c r="I228" i="16"/>
  <c r="J228" i="16"/>
  <c r="N227" i="16"/>
  <c r="L227" i="16"/>
  <c r="M227" i="16"/>
  <c r="K227" i="16"/>
  <c r="I227" i="16"/>
  <c r="J227" i="16"/>
  <c r="N226" i="16"/>
  <c r="L226" i="16"/>
  <c r="M226" i="16"/>
  <c r="K226" i="16"/>
  <c r="I226" i="16"/>
  <c r="J226" i="16"/>
  <c r="N225" i="16"/>
  <c r="L225" i="16"/>
  <c r="M225" i="16"/>
  <c r="K225" i="16"/>
  <c r="I225" i="16"/>
  <c r="J225" i="16"/>
  <c r="N224" i="16"/>
  <c r="L224" i="16"/>
  <c r="M224" i="16"/>
  <c r="K224" i="16"/>
  <c r="I224" i="16"/>
  <c r="J224" i="16"/>
  <c r="N223" i="16"/>
  <c r="L223" i="16"/>
  <c r="M223" i="16"/>
  <c r="K223" i="16"/>
  <c r="I223" i="16"/>
  <c r="J223" i="16"/>
  <c r="N222" i="16"/>
  <c r="L222" i="16"/>
  <c r="M222" i="16"/>
  <c r="K222" i="16"/>
  <c r="I222" i="16"/>
  <c r="J222" i="16"/>
  <c r="N221" i="16"/>
  <c r="L221" i="16"/>
  <c r="M221" i="16"/>
  <c r="K221" i="16"/>
  <c r="I221" i="16"/>
  <c r="J221" i="16"/>
  <c r="N220" i="16"/>
  <c r="L220" i="16"/>
  <c r="M220" i="16"/>
  <c r="K220" i="16"/>
  <c r="I220" i="16"/>
  <c r="J220" i="16"/>
  <c r="N219" i="16"/>
  <c r="L219" i="16"/>
  <c r="M219" i="16"/>
  <c r="K219" i="16"/>
  <c r="I219" i="16"/>
  <c r="J219" i="16"/>
  <c r="N218" i="16"/>
  <c r="L218" i="16"/>
  <c r="M218" i="16"/>
  <c r="K218" i="16"/>
  <c r="I218" i="16"/>
  <c r="J218" i="16"/>
  <c r="N217" i="16"/>
  <c r="L217" i="16"/>
  <c r="M217" i="16"/>
  <c r="K217" i="16"/>
  <c r="I217" i="16"/>
  <c r="J217" i="16"/>
  <c r="N216" i="16"/>
  <c r="L216" i="16"/>
  <c r="M216" i="16"/>
  <c r="K216" i="16"/>
  <c r="I216" i="16"/>
  <c r="J216" i="16"/>
  <c r="N215" i="16"/>
  <c r="L215" i="16"/>
  <c r="M215" i="16"/>
  <c r="K215" i="16"/>
  <c r="I215" i="16"/>
  <c r="J215" i="16"/>
  <c r="N214" i="16"/>
  <c r="L214" i="16"/>
  <c r="M214" i="16"/>
  <c r="K214" i="16"/>
  <c r="I214" i="16"/>
  <c r="J214" i="16"/>
  <c r="N213" i="16"/>
  <c r="L213" i="16"/>
  <c r="M213" i="16"/>
  <c r="K213" i="16"/>
  <c r="I213" i="16"/>
  <c r="J213" i="16"/>
  <c r="N212" i="16"/>
  <c r="L212" i="16"/>
  <c r="M212" i="16"/>
  <c r="K212" i="16"/>
  <c r="I212" i="16"/>
  <c r="J212" i="16"/>
  <c r="N211" i="16"/>
  <c r="L211" i="16"/>
  <c r="M211" i="16"/>
  <c r="K211" i="16"/>
  <c r="I211" i="16"/>
  <c r="J211" i="16"/>
  <c r="N210" i="16"/>
  <c r="L210" i="16"/>
  <c r="M210" i="16"/>
  <c r="K210" i="16"/>
  <c r="I210" i="16"/>
  <c r="J210" i="16"/>
  <c r="N209" i="16"/>
  <c r="L209" i="16"/>
  <c r="M209" i="16"/>
  <c r="K209" i="16"/>
  <c r="I209" i="16"/>
  <c r="J209" i="16"/>
  <c r="N208" i="16"/>
  <c r="L208" i="16"/>
  <c r="M208" i="16"/>
  <c r="K208" i="16"/>
  <c r="I208" i="16"/>
  <c r="J208" i="16"/>
  <c r="N207" i="16"/>
  <c r="L207" i="16"/>
  <c r="M207" i="16"/>
  <c r="K207" i="16"/>
  <c r="I207" i="16"/>
  <c r="J207" i="16"/>
  <c r="N206" i="16"/>
  <c r="L206" i="16"/>
  <c r="M206" i="16"/>
  <c r="K206" i="16"/>
  <c r="I206" i="16"/>
  <c r="J206" i="16"/>
  <c r="N205" i="16"/>
  <c r="L205" i="16"/>
  <c r="M205" i="16"/>
  <c r="K205" i="16"/>
  <c r="I205" i="16"/>
  <c r="J205" i="16"/>
  <c r="N204" i="16"/>
  <c r="L204" i="16"/>
  <c r="M204" i="16"/>
  <c r="K204" i="16"/>
  <c r="I204" i="16"/>
  <c r="J204" i="16"/>
  <c r="N203" i="16"/>
  <c r="L203" i="16"/>
  <c r="M203" i="16"/>
  <c r="K203" i="16"/>
  <c r="I203" i="16"/>
  <c r="J203" i="16"/>
  <c r="N202" i="16"/>
  <c r="L202" i="16"/>
  <c r="M202" i="16"/>
  <c r="K202" i="16"/>
  <c r="I202" i="16"/>
  <c r="J202" i="16"/>
  <c r="N201" i="16"/>
  <c r="L201" i="16"/>
  <c r="M201" i="16"/>
  <c r="K201" i="16"/>
  <c r="I201" i="16"/>
  <c r="J201" i="16"/>
  <c r="N200" i="16"/>
  <c r="L200" i="16"/>
  <c r="M200" i="16"/>
  <c r="K200" i="16"/>
  <c r="I200" i="16"/>
  <c r="J200" i="16"/>
  <c r="N199" i="16"/>
  <c r="L199" i="16"/>
  <c r="M199" i="16"/>
  <c r="K199" i="16"/>
  <c r="I199" i="16"/>
  <c r="J199" i="16"/>
  <c r="N198" i="16"/>
  <c r="L198" i="16"/>
  <c r="M198" i="16"/>
  <c r="K198" i="16"/>
  <c r="I198" i="16"/>
  <c r="J198" i="16"/>
  <c r="N197" i="16"/>
  <c r="L197" i="16"/>
  <c r="M197" i="16"/>
  <c r="K197" i="16"/>
  <c r="I197" i="16"/>
  <c r="J197" i="16"/>
  <c r="N196" i="16"/>
  <c r="L196" i="16"/>
  <c r="M196" i="16"/>
  <c r="K196" i="16"/>
  <c r="I196" i="16"/>
  <c r="J196" i="16"/>
  <c r="N195" i="16"/>
  <c r="L195" i="16"/>
  <c r="M195" i="16"/>
  <c r="K195" i="16"/>
  <c r="I195" i="16"/>
  <c r="J195" i="16"/>
  <c r="N194" i="16"/>
  <c r="L194" i="16"/>
  <c r="M194" i="16"/>
  <c r="K194" i="16"/>
  <c r="I194" i="16"/>
  <c r="J194" i="16"/>
  <c r="N193" i="16"/>
  <c r="L193" i="16"/>
  <c r="M193" i="16"/>
  <c r="K193" i="16"/>
  <c r="I193" i="16"/>
  <c r="J193" i="16"/>
  <c r="N192" i="16"/>
  <c r="L192" i="16"/>
  <c r="M192" i="16"/>
  <c r="K192" i="16"/>
  <c r="I192" i="16"/>
  <c r="J192" i="16"/>
  <c r="N191" i="16"/>
  <c r="L191" i="16"/>
  <c r="M191" i="16"/>
  <c r="K191" i="16"/>
  <c r="I191" i="16"/>
  <c r="J191" i="16"/>
  <c r="N190" i="16"/>
  <c r="L190" i="16"/>
  <c r="M190" i="16"/>
  <c r="K190" i="16"/>
  <c r="I190" i="16"/>
  <c r="J190" i="16"/>
  <c r="N189" i="16"/>
  <c r="L189" i="16"/>
  <c r="M189" i="16"/>
  <c r="K189" i="16"/>
  <c r="I189" i="16"/>
  <c r="J189" i="16"/>
  <c r="N188" i="16"/>
  <c r="L188" i="16"/>
  <c r="M188" i="16"/>
  <c r="K188" i="16"/>
  <c r="I188" i="16"/>
  <c r="J188" i="16"/>
  <c r="N187" i="16"/>
  <c r="L187" i="16"/>
  <c r="M187" i="16"/>
  <c r="K187" i="16"/>
  <c r="I187" i="16"/>
  <c r="J187" i="16"/>
  <c r="N186" i="16"/>
  <c r="L186" i="16"/>
  <c r="M186" i="16"/>
  <c r="K186" i="16"/>
  <c r="I186" i="16"/>
  <c r="J186" i="16"/>
  <c r="N185" i="16"/>
  <c r="L185" i="16"/>
  <c r="M185" i="16"/>
  <c r="K185" i="16"/>
  <c r="I185" i="16"/>
  <c r="J185" i="16"/>
  <c r="N184" i="16"/>
  <c r="L184" i="16"/>
  <c r="M184" i="16"/>
  <c r="K184" i="16"/>
  <c r="I184" i="16"/>
  <c r="J184" i="16"/>
  <c r="N183" i="16"/>
  <c r="L183" i="16"/>
  <c r="M183" i="16"/>
  <c r="K183" i="16"/>
  <c r="I183" i="16"/>
  <c r="J183" i="16"/>
  <c r="N182" i="16"/>
  <c r="L182" i="16"/>
  <c r="M182" i="16"/>
  <c r="K182" i="16"/>
  <c r="I182" i="16"/>
  <c r="J182" i="16"/>
  <c r="N181" i="16"/>
  <c r="L181" i="16"/>
  <c r="M181" i="16"/>
  <c r="K181" i="16"/>
  <c r="I181" i="16"/>
  <c r="J181" i="16"/>
  <c r="N180" i="16"/>
  <c r="L180" i="16"/>
  <c r="M180" i="16"/>
  <c r="K180" i="16"/>
  <c r="I180" i="16"/>
  <c r="J180" i="16"/>
  <c r="N179" i="16"/>
  <c r="L179" i="16"/>
  <c r="M179" i="16"/>
  <c r="K179" i="16"/>
  <c r="I179" i="16"/>
  <c r="J179" i="16"/>
  <c r="N178" i="16"/>
  <c r="L178" i="16"/>
  <c r="M178" i="16"/>
  <c r="K178" i="16"/>
  <c r="I178" i="16"/>
  <c r="J178" i="16"/>
  <c r="N177" i="16"/>
  <c r="L177" i="16"/>
  <c r="M177" i="16"/>
  <c r="K177" i="16"/>
  <c r="I177" i="16"/>
  <c r="J177" i="16"/>
  <c r="N176" i="16"/>
  <c r="L176" i="16"/>
  <c r="M176" i="16"/>
  <c r="K176" i="16"/>
  <c r="I176" i="16"/>
  <c r="J176" i="16"/>
  <c r="N175" i="16"/>
  <c r="L175" i="16"/>
  <c r="M175" i="16"/>
  <c r="I175" i="16"/>
  <c r="J175" i="16"/>
  <c r="K175" i="16"/>
  <c r="N174" i="16"/>
  <c r="L174" i="16"/>
  <c r="M174" i="16"/>
  <c r="I174" i="16"/>
  <c r="J174" i="16"/>
  <c r="K174" i="16"/>
  <c r="N173" i="16"/>
  <c r="L173" i="16"/>
  <c r="M173" i="16"/>
  <c r="K173" i="16"/>
  <c r="I173" i="16"/>
  <c r="J173" i="16"/>
  <c r="N172" i="16"/>
  <c r="L172" i="16"/>
  <c r="M172" i="16"/>
  <c r="K172" i="16"/>
  <c r="I172" i="16"/>
  <c r="J172" i="16"/>
  <c r="N171" i="16"/>
  <c r="L171" i="16"/>
  <c r="M171" i="16"/>
  <c r="K171" i="16"/>
  <c r="I171" i="16"/>
  <c r="J171" i="16"/>
  <c r="N170" i="16"/>
  <c r="L170" i="16"/>
  <c r="M170" i="16"/>
  <c r="K170" i="16"/>
  <c r="I170" i="16"/>
  <c r="J170" i="16"/>
  <c r="N169" i="16"/>
  <c r="L169" i="16"/>
  <c r="M169" i="16"/>
  <c r="K169" i="16"/>
  <c r="I169" i="16"/>
  <c r="J169" i="16"/>
  <c r="N168" i="16"/>
  <c r="L168" i="16"/>
  <c r="M168" i="16"/>
  <c r="K168" i="16"/>
  <c r="I168" i="16"/>
  <c r="J168" i="16"/>
  <c r="N167" i="16"/>
  <c r="L167" i="16"/>
  <c r="M167" i="16"/>
  <c r="I167" i="16"/>
  <c r="J167" i="16"/>
  <c r="K167" i="16"/>
  <c r="N166" i="16"/>
  <c r="L166" i="16"/>
  <c r="M166" i="16"/>
  <c r="I166" i="16"/>
  <c r="J166" i="16"/>
  <c r="K166" i="16"/>
  <c r="N165" i="16"/>
  <c r="L165" i="16"/>
  <c r="M165" i="16"/>
  <c r="I165" i="16"/>
  <c r="J165" i="16"/>
  <c r="K165" i="16"/>
  <c r="N164" i="16"/>
  <c r="L164" i="16"/>
  <c r="M164" i="16"/>
  <c r="K164" i="16"/>
  <c r="I164" i="16"/>
  <c r="J164" i="16"/>
  <c r="N163" i="16"/>
  <c r="L163" i="16"/>
  <c r="M163" i="16"/>
  <c r="I163" i="16"/>
  <c r="J163" i="16"/>
  <c r="K163" i="16"/>
  <c r="N162" i="16"/>
  <c r="L162" i="16"/>
  <c r="M162" i="16"/>
  <c r="K162" i="16"/>
  <c r="J162" i="16"/>
  <c r="N161" i="16"/>
  <c r="L161" i="16"/>
  <c r="M161" i="16"/>
  <c r="K161" i="16"/>
  <c r="I161" i="16"/>
  <c r="J161" i="16"/>
  <c r="N160" i="16"/>
  <c r="L160" i="16"/>
  <c r="M160" i="16"/>
  <c r="K160" i="16"/>
  <c r="I160" i="16"/>
  <c r="J160" i="16"/>
  <c r="N159" i="16"/>
  <c r="L159" i="16"/>
  <c r="M159" i="16"/>
  <c r="K159" i="16"/>
  <c r="I159" i="16"/>
  <c r="J159" i="16"/>
  <c r="N158" i="16"/>
  <c r="L158" i="16"/>
  <c r="M158" i="16"/>
  <c r="K158" i="16"/>
  <c r="I158" i="16"/>
  <c r="J158" i="16"/>
  <c r="N157" i="16"/>
  <c r="L157" i="16"/>
  <c r="M157" i="16"/>
  <c r="K157" i="16"/>
  <c r="I157" i="16"/>
  <c r="J157" i="16"/>
  <c r="N156" i="16"/>
  <c r="L156" i="16"/>
  <c r="M156" i="16"/>
  <c r="I156" i="16"/>
  <c r="J156" i="16"/>
  <c r="K156" i="16"/>
  <c r="O156" i="16" s="1"/>
  <c r="P156" i="16" s="1"/>
  <c r="N155" i="16"/>
  <c r="L155" i="16"/>
  <c r="M155" i="16"/>
  <c r="K155" i="16"/>
  <c r="I155" i="16"/>
  <c r="J155" i="16"/>
  <c r="N154" i="16"/>
  <c r="L154" i="16"/>
  <c r="M154" i="16"/>
  <c r="K154" i="16"/>
  <c r="I154" i="16"/>
  <c r="J154" i="16"/>
  <c r="N153" i="16"/>
  <c r="L153" i="16"/>
  <c r="M153" i="16"/>
  <c r="K153" i="16"/>
  <c r="I153" i="16"/>
  <c r="J153" i="16"/>
  <c r="N152" i="16"/>
  <c r="L152" i="16"/>
  <c r="M152" i="16"/>
  <c r="K152" i="16"/>
  <c r="I152" i="16"/>
  <c r="J152" i="16"/>
  <c r="N151" i="16"/>
  <c r="L151" i="16"/>
  <c r="M151" i="16"/>
  <c r="K151" i="16"/>
  <c r="I151" i="16"/>
  <c r="J151" i="16"/>
  <c r="N150" i="16"/>
  <c r="L150" i="16"/>
  <c r="M150" i="16"/>
  <c r="K150" i="16"/>
  <c r="I150" i="16"/>
  <c r="J150" i="16"/>
  <c r="N149" i="16"/>
  <c r="L149" i="16"/>
  <c r="M149" i="16"/>
  <c r="I149" i="16"/>
  <c r="J149" i="16"/>
  <c r="K149" i="16"/>
  <c r="N148" i="16"/>
  <c r="L148" i="16"/>
  <c r="M148" i="16"/>
  <c r="I148" i="16"/>
  <c r="J148" i="16"/>
  <c r="K148" i="16"/>
  <c r="O148" i="16" s="1"/>
  <c r="P148" i="16" s="1"/>
  <c r="N147" i="16"/>
  <c r="L147" i="16"/>
  <c r="M147" i="16"/>
  <c r="I147" i="16"/>
  <c r="J147" i="16"/>
  <c r="K147" i="16"/>
  <c r="N146" i="16"/>
  <c r="L146" i="16"/>
  <c r="M146" i="16"/>
  <c r="K146" i="16"/>
  <c r="I146" i="16"/>
  <c r="J146" i="16"/>
  <c r="N145" i="16"/>
  <c r="L145" i="16"/>
  <c r="M145" i="16"/>
  <c r="K145" i="16"/>
  <c r="I145" i="16"/>
  <c r="J145" i="16"/>
  <c r="N144" i="16"/>
  <c r="L144" i="16"/>
  <c r="M144" i="16"/>
  <c r="I144" i="16"/>
  <c r="J144" i="16"/>
  <c r="K144" i="16"/>
  <c r="O144" i="16" s="1"/>
  <c r="N143" i="16"/>
  <c r="L143" i="16"/>
  <c r="M143" i="16"/>
  <c r="K143" i="16"/>
  <c r="I143" i="16"/>
  <c r="J143" i="16"/>
  <c r="N142" i="16"/>
  <c r="L142" i="16"/>
  <c r="M142" i="16"/>
  <c r="K142" i="16"/>
  <c r="I142" i="16"/>
  <c r="J142" i="16"/>
  <c r="N141" i="16"/>
  <c r="L141" i="16"/>
  <c r="M141" i="16"/>
  <c r="K141" i="16"/>
  <c r="I141" i="16"/>
  <c r="J141" i="16"/>
  <c r="N140" i="16"/>
  <c r="L140" i="16"/>
  <c r="M140" i="16"/>
  <c r="K140" i="16"/>
  <c r="I140" i="16"/>
  <c r="J140" i="16"/>
  <c r="N139" i="16"/>
  <c r="L139" i="16"/>
  <c r="M139" i="16"/>
  <c r="K139" i="16"/>
  <c r="I139" i="16"/>
  <c r="J139" i="16"/>
  <c r="N138" i="16"/>
  <c r="L138" i="16"/>
  <c r="M138" i="16"/>
  <c r="K138" i="16"/>
  <c r="I138" i="16"/>
  <c r="J138" i="16"/>
  <c r="N137" i="16"/>
  <c r="L137" i="16"/>
  <c r="M137" i="16"/>
  <c r="K137" i="16"/>
  <c r="I137" i="16"/>
  <c r="J137" i="16"/>
  <c r="N136" i="16"/>
  <c r="L136" i="16"/>
  <c r="M136" i="16"/>
  <c r="I136" i="16"/>
  <c r="J136" i="16"/>
  <c r="K136" i="16"/>
  <c r="O136" i="16" s="1"/>
  <c r="P136" i="16" s="1"/>
  <c r="N135" i="16"/>
  <c r="L135" i="16"/>
  <c r="M135" i="16"/>
  <c r="K135" i="16"/>
  <c r="I135" i="16"/>
  <c r="J135" i="16"/>
  <c r="N134" i="16"/>
  <c r="L134" i="16"/>
  <c r="M134" i="16"/>
  <c r="K134" i="16"/>
  <c r="I134" i="16"/>
  <c r="J134" i="16"/>
  <c r="N133" i="16"/>
  <c r="L133" i="16"/>
  <c r="M133" i="16"/>
  <c r="K133" i="16"/>
  <c r="I133" i="16"/>
  <c r="J133" i="16"/>
  <c r="N132" i="16"/>
  <c r="L132" i="16"/>
  <c r="M132" i="16"/>
  <c r="K132" i="16"/>
  <c r="I132" i="16"/>
  <c r="J132" i="16"/>
  <c r="N131" i="16"/>
  <c r="L131" i="16"/>
  <c r="M131" i="16"/>
  <c r="K131" i="16"/>
  <c r="I131" i="16"/>
  <c r="J131" i="16"/>
  <c r="N130" i="16"/>
  <c r="L130" i="16"/>
  <c r="M130" i="16"/>
  <c r="I130" i="16"/>
  <c r="J130" i="16"/>
  <c r="K130" i="16"/>
  <c r="O130" i="16" s="1"/>
  <c r="P130" i="16" s="1"/>
  <c r="N129" i="16"/>
  <c r="L129" i="16"/>
  <c r="M129" i="16"/>
  <c r="I129" i="16"/>
  <c r="J129" i="16"/>
  <c r="K129" i="16"/>
  <c r="N128" i="16"/>
  <c r="L128" i="16"/>
  <c r="M128" i="16"/>
  <c r="K128" i="16"/>
  <c r="I128" i="16"/>
  <c r="J128" i="16"/>
  <c r="N127" i="16"/>
  <c r="L127" i="16"/>
  <c r="M127" i="16"/>
  <c r="I127" i="16"/>
  <c r="J127" i="16"/>
  <c r="K127" i="16"/>
  <c r="N126" i="16"/>
  <c r="L126" i="16"/>
  <c r="M126" i="16"/>
  <c r="I126" i="16"/>
  <c r="J126" i="16"/>
  <c r="K126" i="16" s="1"/>
  <c r="N125" i="16"/>
  <c r="L125" i="16"/>
  <c r="M125" i="16"/>
  <c r="K125" i="16"/>
  <c r="I125" i="16"/>
  <c r="J125" i="16"/>
  <c r="N124" i="16"/>
  <c r="L124" i="16"/>
  <c r="M124" i="16"/>
  <c r="K124" i="16"/>
  <c r="I124" i="16"/>
  <c r="J124" i="16"/>
  <c r="N123" i="16"/>
  <c r="L123" i="16"/>
  <c r="M123" i="16"/>
  <c r="I123" i="16"/>
  <c r="J123" i="16"/>
  <c r="K123" i="16" s="1"/>
  <c r="N122" i="16"/>
  <c r="L122" i="16"/>
  <c r="M122" i="16"/>
  <c r="I122" i="16"/>
  <c r="J122" i="16"/>
  <c r="K122" i="16" s="1"/>
  <c r="N121" i="16"/>
  <c r="L121" i="16"/>
  <c r="M121" i="16"/>
  <c r="K121" i="16"/>
  <c r="I121" i="16"/>
  <c r="J121" i="16"/>
  <c r="N120" i="16"/>
  <c r="L120" i="16"/>
  <c r="M120" i="16"/>
  <c r="I120" i="16"/>
  <c r="J120" i="16"/>
  <c r="K120" i="16"/>
  <c r="N119" i="16"/>
  <c r="L119" i="16"/>
  <c r="M119" i="16"/>
  <c r="K119" i="16"/>
  <c r="I119" i="16"/>
  <c r="J119" i="16"/>
  <c r="N118" i="16"/>
  <c r="L118" i="16"/>
  <c r="M118" i="16"/>
  <c r="I118" i="16"/>
  <c r="J118" i="16"/>
  <c r="K118" i="16" s="1"/>
  <c r="N117" i="16"/>
  <c r="L117" i="16"/>
  <c r="M117" i="16"/>
  <c r="I117" i="16"/>
  <c r="J117" i="16"/>
  <c r="K117" i="16"/>
  <c r="N116" i="16"/>
  <c r="L116" i="16"/>
  <c r="M116" i="16"/>
  <c r="I116" i="16"/>
  <c r="J116" i="16"/>
  <c r="K116" i="16"/>
  <c r="N115" i="16"/>
  <c r="L115" i="16"/>
  <c r="M115" i="16"/>
  <c r="I115" i="16"/>
  <c r="J115" i="16"/>
  <c r="K115" i="16" s="1"/>
  <c r="N114" i="16"/>
  <c r="L114" i="16"/>
  <c r="M114" i="16"/>
  <c r="I114" i="16"/>
  <c r="J114" i="16"/>
  <c r="K114" i="16" s="1"/>
  <c r="N113" i="16"/>
  <c r="L113" i="16"/>
  <c r="M113" i="16"/>
  <c r="K113" i="16"/>
  <c r="I113" i="16"/>
  <c r="J113" i="16"/>
  <c r="N112" i="16"/>
  <c r="O112" i="16" s="1"/>
  <c r="P112" i="16" s="1"/>
  <c r="L112" i="16"/>
  <c r="M112" i="16"/>
  <c r="I112" i="16"/>
  <c r="K112" i="16"/>
  <c r="N111" i="16"/>
  <c r="L111" i="16"/>
  <c r="M111" i="16"/>
  <c r="K111" i="16"/>
  <c r="I111" i="16"/>
  <c r="N110" i="16"/>
  <c r="L110" i="16"/>
  <c r="M110" i="16"/>
  <c r="K110" i="16"/>
  <c r="I110" i="16"/>
  <c r="N109" i="16"/>
  <c r="L109" i="16"/>
  <c r="M109" i="16"/>
  <c r="I109" i="16"/>
  <c r="N108" i="16"/>
  <c r="L108" i="16"/>
  <c r="M108" i="16"/>
  <c r="K108" i="16"/>
  <c r="I108" i="16"/>
  <c r="J108" i="16"/>
  <c r="N107" i="16"/>
  <c r="L107" i="16"/>
  <c r="M107" i="16"/>
  <c r="I107" i="16"/>
  <c r="J107" i="16"/>
  <c r="K107" i="16"/>
  <c r="N106" i="16"/>
  <c r="L106" i="16"/>
  <c r="I106" i="16"/>
  <c r="K106" i="16"/>
  <c r="N105" i="16"/>
  <c r="L105" i="16"/>
  <c r="I105" i="16"/>
  <c r="J105" i="16"/>
  <c r="K105" i="16" s="1"/>
  <c r="N104" i="16"/>
  <c r="L104" i="16"/>
  <c r="I104" i="16"/>
  <c r="J104" i="16"/>
  <c r="K104" i="16"/>
  <c r="N103" i="16"/>
  <c r="O103" i="16" s="1"/>
  <c r="P103" i="16" s="1"/>
  <c r="L103" i="16"/>
  <c r="I103" i="16"/>
  <c r="K103" i="16"/>
  <c r="N102" i="16"/>
  <c r="O102" i="16" s="1"/>
  <c r="P102" i="16" s="1"/>
  <c r="L102" i="16"/>
  <c r="M102" i="16"/>
  <c r="I102" i="16"/>
  <c r="K102" i="16"/>
  <c r="N101" i="16"/>
  <c r="L101" i="16"/>
  <c r="M101" i="16"/>
  <c r="K101" i="16"/>
  <c r="I101" i="16"/>
  <c r="J101" i="16"/>
  <c r="N100" i="16"/>
  <c r="L100" i="16"/>
  <c r="M100" i="16"/>
  <c r="K100" i="16"/>
  <c r="I100" i="16"/>
  <c r="J100" i="16"/>
  <c r="N99" i="16"/>
  <c r="L99" i="16"/>
  <c r="M99" i="16"/>
  <c r="I99" i="16"/>
  <c r="J99" i="16"/>
  <c r="K99" i="16" s="1"/>
  <c r="N98" i="16"/>
  <c r="O98" i="16" s="1"/>
  <c r="P98" i="16" s="1"/>
  <c r="L98" i="16"/>
  <c r="M98" i="16"/>
  <c r="I98" i="16"/>
  <c r="J98" i="16"/>
  <c r="K98" i="16"/>
  <c r="N97" i="16"/>
  <c r="L97" i="16"/>
  <c r="M97" i="16"/>
  <c r="I97" i="16"/>
  <c r="J97" i="16"/>
  <c r="K97" i="16"/>
  <c r="O97" i="16" s="1"/>
  <c r="P97" i="16" s="1"/>
  <c r="N96" i="16"/>
  <c r="L96" i="16"/>
  <c r="M96" i="16"/>
  <c r="I96" i="16"/>
  <c r="J96" i="16"/>
  <c r="K96" i="16" s="1"/>
  <c r="N95" i="16"/>
  <c r="L95" i="16"/>
  <c r="M95" i="16"/>
  <c r="I95" i="16"/>
  <c r="J95" i="16"/>
  <c r="K95" i="16"/>
  <c r="N94" i="16"/>
  <c r="L94" i="16"/>
  <c r="M94" i="16"/>
  <c r="I94" i="16"/>
  <c r="J94" i="16"/>
  <c r="K94" i="16" s="1"/>
  <c r="N93" i="16"/>
  <c r="L93" i="16"/>
  <c r="M93" i="16"/>
  <c r="K93" i="16"/>
  <c r="I93" i="16"/>
  <c r="J93" i="16"/>
  <c r="N92" i="16"/>
  <c r="L92" i="16"/>
  <c r="M92" i="16"/>
  <c r="I92" i="16"/>
  <c r="J92" i="16"/>
  <c r="K92" i="16"/>
  <c r="N91" i="16"/>
  <c r="L91" i="16"/>
  <c r="M91" i="16"/>
  <c r="I91" i="16"/>
  <c r="J91" i="16"/>
  <c r="K91" i="16"/>
  <c r="N90" i="16"/>
  <c r="L90" i="16"/>
  <c r="M90" i="16"/>
  <c r="K90" i="16"/>
  <c r="I90" i="16"/>
  <c r="J90" i="16"/>
  <c r="N89" i="16"/>
  <c r="L89" i="16"/>
  <c r="M89" i="16"/>
  <c r="K89" i="16"/>
  <c r="I89" i="16"/>
  <c r="J89" i="16"/>
  <c r="N88" i="16"/>
  <c r="L88" i="16"/>
  <c r="M88" i="16"/>
  <c r="K88" i="16"/>
  <c r="I88" i="16"/>
  <c r="J88" i="16"/>
  <c r="N87" i="16"/>
  <c r="L87" i="16"/>
  <c r="M87" i="16"/>
  <c r="I87" i="16"/>
  <c r="J87" i="16"/>
  <c r="K87" i="16" s="1"/>
  <c r="N86" i="16"/>
  <c r="L86" i="16"/>
  <c r="M86" i="16"/>
  <c r="K86" i="16"/>
  <c r="I86" i="16"/>
  <c r="J86" i="16"/>
  <c r="N85" i="16"/>
  <c r="L85" i="16"/>
  <c r="M85" i="16"/>
  <c r="K85" i="16"/>
  <c r="I85" i="16"/>
  <c r="J85" i="16"/>
  <c r="N84" i="16"/>
  <c r="L84" i="16"/>
  <c r="M84" i="16"/>
  <c r="K84" i="16"/>
  <c r="I84" i="16"/>
  <c r="J84" i="16"/>
  <c r="N83" i="16"/>
  <c r="L83" i="16"/>
  <c r="M83" i="16"/>
  <c r="I83" i="16"/>
  <c r="J83" i="16"/>
  <c r="K83" i="16" s="1"/>
  <c r="N82" i="16"/>
  <c r="L82" i="16"/>
  <c r="M82" i="16"/>
  <c r="K82" i="16"/>
  <c r="I82" i="16"/>
  <c r="J82" i="16"/>
  <c r="N81" i="16"/>
  <c r="L81" i="16"/>
  <c r="M81" i="16"/>
  <c r="K81" i="16"/>
  <c r="I81" i="16"/>
  <c r="J81" i="16"/>
  <c r="N80" i="16"/>
  <c r="L80" i="16"/>
  <c r="M80" i="16"/>
  <c r="K80" i="16"/>
  <c r="I80" i="16"/>
  <c r="J80" i="16"/>
  <c r="N79" i="16"/>
  <c r="L79" i="16"/>
  <c r="M79" i="16"/>
  <c r="I79" i="16"/>
  <c r="J79" i="16"/>
  <c r="K79" i="16"/>
  <c r="N78" i="16"/>
  <c r="L78" i="16"/>
  <c r="M78" i="16"/>
  <c r="I78" i="16"/>
  <c r="J78" i="16"/>
  <c r="K78" i="16" s="1"/>
  <c r="N76" i="16"/>
  <c r="O76" i="16" s="1"/>
  <c r="P76" i="16" s="1"/>
  <c r="L76" i="16"/>
  <c r="M76" i="16"/>
  <c r="I76" i="16"/>
  <c r="J76" i="16"/>
  <c r="K76" i="16" s="1"/>
  <c r="N75" i="16"/>
  <c r="L75" i="16"/>
  <c r="M75" i="16"/>
  <c r="K75" i="16"/>
  <c r="I75" i="16"/>
  <c r="J75" i="16"/>
  <c r="N74" i="16"/>
  <c r="L74" i="16"/>
  <c r="M74" i="16"/>
  <c r="K74" i="16"/>
  <c r="I74" i="16"/>
  <c r="J74" i="16"/>
  <c r="N73" i="16"/>
  <c r="L73" i="16"/>
  <c r="M73" i="16"/>
  <c r="I73" i="16"/>
  <c r="J73" i="16"/>
  <c r="K73" i="16" s="1"/>
  <c r="N72" i="16"/>
  <c r="L72" i="16"/>
  <c r="M72" i="16"/>
  <c r="K72" i="16"/>
  <c r="I72" i="16"/>
  <c r="J72" i="16"/>
  <c r="N71" i="16"/>
  <c r="L71" i="16"/>
  <c r="M71" i="16"/>
  <c r="K71" i="16"/>
  <c r="I71" i="16"/>
  <c r="J71" i="16"/>
  <c r="N70" i="16"/>
  <c r="L70" i="16"/>
  <c r="M70" i="16"/>
  <c r="K70" i="16"/>
  <c r="I70" i="16"/>
  <c r="J70" i="16"/>
  <c r="N69" i="16"/>
  <c r="L69" i="16"/>
  <c r="M69" i="16"/>
  <c r="K69" i="16"/>
  <c r="I69" i="16"/>
  <c r="J69" i="16"/>
  <c r="N68" i="16"/>
  <c r="L68" i="16"/>
  <c r="M68" i="16"/>
  <c r="K68" i="16"/>
  <c r="I68" i="16"/>
  <c r="J68" i="16"/>
  <c r="N67" i="16"/>
  <c r="L67" i="16"/>
  <c r="M67" i="16"/>
  <c r="K67" i="16"/>
  <c r="I67" i="16"/>
  <c r="J67" i="16"/>
  <c r="N66" i="16"/>
  <c r="L66" i="16"/>
  <c r="M66" i="16"/>
  <c r="K66" i="16"/>
  <c r="I66" i="16"/>
  <c r="J66" i="16"/>
  <c r="N65" i="16"/>
  <c r="L65" i="16"/>
  <c r="M65" i="16"/>
  <c r="I65" i="16"/>
  <c r="J65" i="16"/>
  <c r="K65" i="16" s="1"/>
  <c r="N64" i="16"/>
  <c r="L64" i="16"/>
  <c r="M64" i="16"/>
  <c r="K64" i="16"/>
  <c r="O64" i="16" s="1"/>
  <c r="P64" i="16" s="1"/>
  <c r="I64" i="16"/>
  <c r="J64" i="16"/>
  <c r="N63" i="16"/>
  <c r="L63" i="16"/>
  <c r="M63" i="16"/>
  <c r="I63" i="16"/>
  <c r="J63" i="16"/>
  <c r="K63" i="16" s="1"/>
  <c r="N62" i="16"/>
  <c r="L62" i="16"/>
  <c r="M62" i="16"/>
  <c r="I62" i="16"/>
  <c r="J62" i="16"/>
  <c r="K62" i="16"/>
  <c r="N61" i="16"/>
  <c r="L61" i="16"/>
  <c r="M61" i="16"/>
  <c r="I61" i="16"/>
  <c r="J61" i="16"/>
  <c r="K61" i="16"/>
  <c r="N60" i="16"/>
  <c r="L60" i="16"/>
  <c r="M60" i="16"/>
  <c r="I60" i="16"/>
  <c r="J60" i="16"/>
  <c r="K60" i="16" s="1"/>
  <c r="N59" i="16"/>
  <c r="L59" i="16"/>
  <c r="M59" i="16"/>
  <c r="K59" i="16"/>
  <c r="I59" i="16"/>
  <c r="J59" i="16"/>
  <c r="N58" i="16"/>
  <c r="L58" i="16"/>
  <c r="M58" i="16"/>
  <c r="I58" i="16"/>
  <c r="J58" i="16"/>
  <c r="K58" i="16" s="1"/>
  <c r="O58" i="16" s="1"/>
  <c r="P58" i="16" s="1"/>
  <c r="N57" i="16"/>
  <c r="O57" i="16" s="1"/>
  <c r="P57" i="16" s="1"/>
  <c r="L57" i="16"/>
  <c r="M57" i="16"/>
  <c r="I57" i="16"/>
  <c r="J57" i="16"/>
  <c r="K57" i="16" s="1"/>
  <c r="N56" i="16"/>
  <c r="L56" i="16"/>
  <c r="M56" i="16"/>
  <c r="I56" i="16"/>
  <c r="J56" i="16"/>
  <c r="K56" i="16"/>
  <c r="O56" i="16" s="1"/>
  <c r="P56" i="16" s="1"/>
  <c r="N55" i="16"/>
  <c r="L55" i="16"/>
  <c r="M55" i="16"/>
  <c r="K55" i="16"/>
  <c r="I55" i="16"/>
  <c r="J55" i="16"/>
  <c r="N54" i="16"/>
  <c r="L54" i="16"/>
  <c r="M54" i="16"/>
  <c r="I54" i="16"/>
  <c r="J54" i="16"/>
  <c r="K54" i="16" s="1"/>
  <c r="N53" i="16"/>
  <c r="L53" i="16"/>
  <c r="M53" i="16"/>
  <c r="I53" i="16"/>
  <c r="J53" i="16"/>
  <c r="K53" i="16"/>
  <c r="N52" i="16"/>
  <c r="L52" i="16"/>
  <c r="M52" i="16"/>
  <c r="K52" i="16"/>
  <c r="I52" i="16"/>
  <c r="J52" i="16"/>
  <c r="N51" i="16"/>
  <c r="L51" i="16"/>
  <c r="M51" i="16"/>
  <c r="I51" i="16"/>
  <c r="J51" i="16"/>
  <c r="K51" i="16" s="1"/>
  <c r="N50" i="16"/>
  <c r="L50" i="16"/>
  <c r="M50" i="16"/>
  <c r="I50" i="16"/>
  <c r="J50" i="16"/>
  <c r="K50" i="16" s="1"/>
  <c r="N49" i="16"/>
  <c r="L49" i="16"/>
  <c r="M49" i="16"/>
  <c r="K49" i="16"/>
  <c r="I49" i="16"/>
  <c r="J49" i="16"/>
  <c r="N48" i="16"/>
  <c r="L48" i="16"/>
  <c r="M48" i="16"/>
  <c r="K48" i="16"/>
  <c r="I48" i="16"/>
  <c r="J48" i="16"/>
  <c r="N47" i="16"/>
  <c r="L47" i="16"/>
  <c r="M47" i="16"/>
  <c r="K47" i="16"/>
  <c r="I47" i="16"/>
  <c r="J47" i="16"/>
  <c r="N46" i="16"/>
  <c r="L46" i="16"/>
  <c r="M46" i="16"/>
  <c r="K46" i="16"/>
  <c r="I46" i="16"/>
  <c r="J46" i="16"/>
  <c r="N45" i="16"/>
  <c r="L45" i="16"/>
  <c r="M45" i="16"/>
  <c r="K45" i="16"/>
  <c r="I45" i="16"/>
  <c r="J45" i="16"/>
  <c r="N44" i="16"/>
  <c r="L44" i="16"/>
  <c r="M44" i="16"/>
  <c r="I44" i="16"/>
  <c r="J44" i="16"/>
  <c r="K44" i="16" s="1"/>
  <c r="N43" i="16"/>
  <c r="L43" i="16"/>
  <c r="M43" i="16"/>
  <c r="K43" i="16"/>
  <c r="I43" i="16"/>
  <c r="J43" i="16"/>
  <c r="N42" i="16"/>
  <c r="L42" i="16"/>
  <c r="M42" i="16"/>
  <c r="K42" i="16"/>
  <c r="I42" i="16"/>
  <c r="J42" i="16"/>
  <c r="N41" i="16"/>
  <c r="L41" i="16"/>
  <c r="M41" i="16"/>
  <c r="I41" i="16"/>
  <c r="J41" i="16"/>
  <c r="K41" i="16" s="1"/>
  <c r="O41" i="16" s="1"/>
  <c r="P41" i="16" s="1"/>
  <c r="N40" i="16"/>
  <c r="L40" i="16"/>
  <c r="M40" i="16"/>
  <c r="I40" i="16"/>
  <c r="J40" i="16"/>
  <c r="K40" i="16" s="1"/>
  <c r="N39" i="16"/>
  <c r="L39" i="16"/>
  <c r="M39" i="16"/>
  <c r="K39" i="16"/>
  <c r="I39" i="16"/>
  <c r="J39" i="16"/>
  <c r="N38" i="16"/>
  <c r="O38" i="16" s="1"/>
  <c r="P38" i="16" s="1"/>
  <c r="L38" i="16"/>
  <c r="M38" i="16"/>
  <c r="I38" i="16"/>
  <c r="J38" i="16"/>
  <c r="K38" i="16"/>
  <c r="N37" i="16"/>
  <c r="L37" i="16"/>
  <c r="M37" i="16"/>
  <c r="I37" i="16"/>
  <c r="J37" i="16"/>
  <c r="K37" i="16" s="1"/>
  <c r="N36" i="16"/>
  <c r="L36" i="16"/>
  <c r="M36" i="16"/>
  <c r="K36" i="16"/>
  <c r="I36" i="16"/>
  <c r="J36" i="16"/>
  <c r="N35" i="16"/>
  <c r="L35" i="16"/>
  <c r="M35" i="16"/>
  <c r="K35" i="16"/>
  <c r="I35" i="16"/>
  <c r="J35" i="16"/>
  <c r="N34" i="16"/>
  <c r="L34" i="16"/>
  <c r="M34" i="16"/>
  <c r="I34" i="16"/>
  <c r="J34" i="16"/>
  <c r="K34" i="16" s="1"/>
  <c r="N33" i="16"/>
  <c r="L33" i="16"/>
  <c r="M33" i="16"/>
  <c r="I33" i="16"/>
  <c r="J33" i="16"/>
  <c r="K33" i="16"/>
  <c r="N32" i="16"/>
  <c r="L32" i="16"/>
  <c r="M32" i="16"/>
  <c r="I32" i="16"/>
  <c r="J32" i="16"/>
  <c r="K32" i="16"/>
  <c r="N31" i="16"/>
  <c r="L31" i="16"/>
  <c r="M31" i="16"/>
  <c r="I31" i="16"/>
  <c r="N30" i="16"/>
  <c r="L30" i="16"/>
  <c r="M30" i="16"/>
  <c r="K30" i="16"/>
  <c r="I30" i="16"/>
  <c r="J30" i="16"/>
  <c r="N29" i="16"/>
  <c r="L29" i="16"/>
  <c r="M29" i="16"/>
  <c r="I29" i="16"/>
  <c r="N28" i="16"/>
  <c r="L28" i="16"/>
  <c r="M28" i="16"/>
  <c r="K28" i="16"/>
  <c r="I28" i="16"/>
  <c r="J28" i="16"/>
  <c r="N27" i="16"/>
  <c r="L27" i="16"/>
  <c r="M27" i="16"/>
  <c r="I27" i="16"/>
  <c r="N26" i="16"/>
  <c r="L26" i="16"/>
  <c r="M26" i="16"/>
  <c r="I26" i="16"/>
  <c r="N25" i="16"/>
  <c r="L25" i="16"/>
  <c r="M25" i="16"/>
  <c r="I25" i="16"/>
  <c r="N24" i="16"/>
  <c r="L24" i="16"/>
  <c r="M24" i="16"/>
  <c r="K24" i="16"/>
  <c r="I24" i="16"/>
  <c r="J24" i="16"/>
  <c r="N23" i="16"/>
  <c r="L23" i="16"/>
  <c r="M23" i="16"/>
  <c r="I23" i="16"/>
  <c r="J23" i="16"/>
  <c r="K23" i="16"/>
  <c r="N22" i="16"/>
  <c r="L22" i="16"/>
  <c r="M22" i="16"/>
  <c r="K22" i="16"/>
  <c r="I22" i="16"/>
  <c r="J22" i="16"/>
  <c r="N21" i="16"/>
  <c r="L21" i="16"/>
  <c r="M21" i="16"/>
  <c r="K21" i="16"/>
  <c r="I21" i="16"/>
  <c r="J21" i="16"/>
  <c r="N20" i="16"/>
  <c r="L20" i="16"/>
  <c r="M20" i="16"/>
  <c r="K20" i="16"/>
  <c r="I20" i="16"/>
  <c r="J20" i="16"/>
  <c r="N19" i="16"/>
  <c r="L19" i="16"/>
  <c r="M19" i="16"/>
  <c r="K19" i="16"/>
  <c r="I19" i="16"/>
  <c r="J19" i="16"/>
  <c r="N18" i="16"/>
  <c r="L18" i="16"/>
  <c r="M18" i="16"/>
  <c r="K18" i="16"/>
  <c r="I18" i="16"/>
  <c r="J18" i="16"/>
  <c r="N17" i="16"/>
  <c r="L17" i="16"/>
  <c r="M17" i="16"/>
  <c r="K17" i="16"/>
  <c r="I17" i="16"/>
  <c r="J17" i="16"/>
  <c r="N16" i="16"/>
  <c r="L16" i="16"/>
  <c r="M16" i="16"/>
  <c r="K16" i="16"/>
  <c r="I16" i="16"/>
  <c r="J16" i="16"/>
  <c r="N14" i="16"/>
  <c r="L14" i="16"/>
  <c r="M14" i="16"/>
  <c r="I14" i="16"/>
  <c r="N13" i="16"/>
  <c r="L13" i="16"/>
  <c r="M13" i="16"/>
  <c r="I13" i="16"/>
  <c r="N12" i="16"/>
  <c r="L12" i="16"/>
  <c r="M12" i="16"/>
  <c r="K12" i="16"/>
  <c r="I12" i="16"/>
  <c r="J12" i="16"/>
  <c r="N11" i="16"/>
  <c r="L11" i="16"/>
  <c r="M11" i="16"/>
  <c r="K11" i="16"/>
  <c r="I11" i="16"/>
  <c r="J11" i="16"/>
  <c r="N10" i="16"/>
  <c r="L10" i="16"/>
  <c r="M10" i="16"/>
  <c r="I10" i="16"/>
  <c r="N9" i="16"/>
  <c r="L9" i="16"/>
  <c r="M9" i="16"/>
  <c r="I9" i="16"/>
  <c r="J9" i="16"/>
  <c r="K9" i="16"/>
  <c r="O9" i="16" s="1"/>
  <c r="P9" i="16" s="1"/>
  <c r="N8" i="16"/>
  <c r="O8" i="16" s="1"/>
  <c r="P8" i="16" s="1"/>
  <c r="L8" i="16"/>
  <c r="M8" i="16"/>
  <c r="I8" i="16"/>
  <c r="J8" i="16"/>
  <c r="K8" i="16"/>
  <c r="N7" i="16"/>
  <c r="L7" i="16"/>
  <c r="M7" i="16"/>
  <c r="I7" i="16"/>
  <c r="J7" i="16"/>
  <c r="K7" i="16"/>
  <c r="O7" i="16" s="1"/>
  <c r="P7" i="16" s="1"/>
  <c r="N6" i="16"/>
  <c r="O6" i="16" s="1"/>
  <c r="P6" i="16" s="1"/>
  <c r="L6" i="16"/>
  <c r="M6" i="16"/>
  <c r="I6" i="16"/>
  <c r="J6" i="16"/>
  <c r="K6" i="16"/>
  <c r="O3" i="16"/>
  <c r="N3" i="16"/>
  <c r="M3" i="16"/>
  <c r="N404" i="17"/>
  <c r="L404" i="17"/>
  <c r="M404" i="17"/>
  <c r="K404" i="17"/>
  <c r="I404" i="17"/>
  <c r="J404" i="17"/>
  <c r="N403" i="17"/>
  <c r="L403" i="17"/>
  <c r="M403" i="17"/>
  <c r="K403" i="17"/>
  <c r="I403" i="17"/>
  <c r="J403" i="17"/>
  <c r="N402" i="17"/>
  <c r="L402" i="17"/>
  <c r="M402" i="17"/>
  <c r="K402" i="17"/>
  <c r="I402" i="17"/>
  <c r="J402" i="17"/>
  <c r="N401" i="17"/>
  <c r="L401" i="17"/>
  <c r="M401" i="17"/>
  <c r="K401" i="17"/>
  <c r="I401" i="17"/>
  <c r="J401" i="17"/>
  <c r="N400" i="17"/>
  <c r="L400" i="17"/>
  <c r="M400" i="17"/>
  <c r="K400" i="17"/>
  <c r="I400" i="17"/>
  <c r="J400" i="17"/>
  <c r="N399" i="17"/>
  <c r="L399" i="17"/>
  <c r="M399" i="17"/>
  <c r="K399" i="17"/>
  <c r="I399" i="17"/>
  <c r="J399" i="17"/>
  <c r="N398" i="17"/>
  <c r="L398" i="17"/>
  <c r="M398" i="17"/>
  <c r="K398" i="17"/>
  <c r="I398" i="17"/>
  <c r="J398" i="17"/>
  <c r="N397" i="17"/>
  <c r="L397" i="17"/>
  <c r="M397" i="17"/>
  <c r="K397" i="17"/>
  <c r="I397" i="17"/>
  <c r="J397" i="17"/>
  <c r="L396" i="17"/>
  <c r="M396" i="17"/>
  <c r="N396" i="17"/>
  <c r="I396" i="17"/>
  <c r="J396" i="17"/>
  <c r="K396" i="17"/>
  <c r="L395" i="17"/>
  <c r="M395" i="17"/>
  <c r="N395" i="17"/>
  <c r="I395" i="17"/>
  <c r="J395" i="17"/>
  <c r="K395" i="17"/>
  <c r="L394" i="17"/>
  <c r="M394" i="17"/>
  <c r="N394" i="17"/>
  <c r="I394" i="17"/>
  <c r="J394" i="17"/>
  <c r="K394" i="17"/>
  <c r="L393" i="17"/>
  <c r="M393" i="17"/>
  <c r="N393" i="17"/>
  <c r="I393" i="17"/>
  <c r="J393" i="17"/>
  <c r="K393" i="17"/>
  <c r="L392" i="17"/>
  <c r="M392" i="17"/>
  <c r="N392" i="17"/>
  <c r="I392" i="17"/>
  <c r="J392" i="17"/>
  <c r="K392" i="17"/>
  <c r="L391" i="17"/>
  <c r="M391" i="17"/>
  <c r="N391" i="17"/>
  <c r="I391" i="17"/>
  <c r="J391" i="17"/>
  <c r="K391" i="17"/>
  <c r="L390" i="17"/>
  <c r="M390" i="17"/>
  <c r="N390" i="17"/>
  <c r="I390" i="17"/>
  <c r="J390" i="17"/>
  <c r="K390" i="17"/>
  <c r="L389" i="17"/>
  <c r="M389" i="17"/>
  <c r="N389" i="17"/>
  <c r="I389" i="17"/>
  <c r="J389" i="17"/>
  <c r="K389" i="17"/>
  <c r="L388" i="17"/>
  <c r="M388" i="17"/>
  <c r="N388" i="17"/>
  <c r="I388" i="17"/>
  <c r="J388" i="17"/>
  <c r="K388" i="17"/>
  <c r="L387" i="17"/>
  <c r="M387" i="17"/>
  <c r="N387" i="17"/>
  <c r="I387" i="17"/>
  <c r="J387" i="17"/>
  <c r="K387" i="17"/>
  <c r="L386" i="17"/>
  <c r="M386" i="17"/>
  <c r="N386" i="17"/>
  <c r="I386" i="17"/>
  <c r="J386" i="17"/>
  <c r="K386" i="17"/>
  <c r="L385" i="17"/>
  <c r="M385" i="17"/>
  <c r="N385" i="17"/>
  <c r="I385" i="17"/>
  <c r="J385" i="17"/>
  <c r="K385" i="17"/>
  <c r="L384" i="17"/>
  <c r="M384" i="17"/>
  <c r="N384" i="17"/>
  <c r="I384" i="17"/>
  <c r="J384" i="17"/>
  <c r="K384" i="17"/>
  <c r="L383" i="17"/>
  <c r="M383" i="17"/>
  <c r="N383" i="17"/>
  <c r="I383" i="17"/>
  <c r="J383" i="17"/>
  <c r="K383" i="17"/>
  <c r="L382" i="17"/>
  <c r="M382" i="17"/>
  <c r="N382" i="17"/>
  <c r="I382" i="17"/>
  <c r="J382" i="17"/>
  <c r="K382" i="17"/>
  <c r="N381" i="17"/>
  <c r="L381" i="17"/>
  <c r="M381" i="17"/>
  <c r="I381" i="17"/>
  <c r="J381" i="17"/>
  <c r="K381" i="17"/>
  <c r="L380" i="17"/>
  <c r="M380" i="17"/>
  <c r="N380" i="17"/>
  <c r="K380" i="17"/>
  <c r="I380" i="17"/>
  <c r="J380" i="17"/>
  <c r="L379" i="17"/>
  <c r="M379" i="17"/>
  <c r="N379" i="17"/>
  <c r="I379" i="17"/>
  <c r="J379" i="17"/>
  <c r="K379" i="17"/>
  <c r="L378" i="17"/>
  <c r="M378" i="17"/>
  <c r="N378" i="17"/>
  <c r="I378" i="17"/>
  <c r="J378" i="17"/>
  <c r="K378" i="17"/>
  <c r="L377" i="17"/>
  <c r="M377" i="17"/>
  <c r="N377" i="17"/>
  <c r="I377" i="17"/>
  <c r="J377" i="17"/>
  <c r="K377" i="17"/>
  <c r="L376" i="17"/>
  <c r="M376" i="17"/>
  <c r="N376" i="17"/>
  <c r="I376" i="17"/>
  <c r="J376" i="17"/>
  <c r="K376" i="17"/>
  <c r="L375" i="17"/>
  <c r="M375" i="17"/>
  <c r="N375" i="17"/>
  <c r="I375" i="17"/>
  <c r="J375" i="17"/>
  <c r="K375" i="17"/>
  <c r="L374" i="17"/>
  <c r="M374" i="17"/>
  <c r="N374" i="17"/>
  <c r="I374" i="17"/>
  <c r="J374" i="17"/>
  <c r="K374" i="17"/>
  <c r="L373" i="17"/>
  <c r="M373" i="17"/>
  <c r="N373" i="17"/>
  <c r="I373" i="17"/>
  <c r="J373" i="17"/>
  <c r="K373" i="17"/>
  <c r="L372" i="17"/>
  <c r="M372" i="17"/>
  <c r="N372" i="17"/>
  <c r="I372" i="17"/>
  <c r="J372" i="17"/>
  <c r="K372" i="17"/>
  <c r="L371" i="17"/>
  <c r="M371" i="17"/>
  <c r="N371" i="17"/>
  <c r="I371" i="17"/>
  <c r="J371" i="17"/>
  <c r="K371" i="17"/>
  <c r="L370" i="17"/>
  <c r="M370" i="17"/>
  <c r="N370" i="17"/>
  <c r="I370" i="17"/>
  <c r="J370" i="17"/>
  <c r="K370" i="17"/>
  <c r="N369" i="17"/>
  <c r="L369" i="17"/>
  <c r="M369" i="17"/>
  <c r="I369" i="17"/>
  <c r="J369" i="17"/>
  <c r="K369" i="17"/>
  <c r="L368" i="17"/>
  <c r="M368" i="17"/>
  <c r="N368" i="17"/>
  <c r="I368" i="17"/>
  <c r="J368" i="17"/>
  <c r="K368" i="17"/>
  <c r="L367" i="17"/>
  <c r="M367" i="17"/>
  <c r="N367" i="17"/>
  <c r="I367" i="17"/>
  <c r="J367" i="17"/>
  <c r="K367" i="17"/>
  <c r="L366" i="17"/>
  <c r="M366" i="17"/>
  <c r="N366" i="17"/>
  <c r="I366" i="17"/>
  <c r="J366" i="17"/>
  <c r="K366" i="17"/>
  <c r="L365" i="17"/>
  <c r="M365" i="17"/>
  <c r="N365" i="17"/>
  <c r="I365" i="17"/>
  <c r="J365" i="17"/>
  <c r="K365" i="17"/>
  <c r="L364" i="17"/>
  <c r="M364" i="17"/>
  <c r="N364" i="17"/>
  <c r="I364" i="17"/>
  <c r="J364" i="17"/>
  <c r="K364" i="17"/>
  <c r="L363" i="17"/>
  <c r="M363" i="17"/>
  <c r="N363" i="17"/>
  <c r="K363" i="17"/>
  <c r="I363" i="17"/>
  <c r="J363" i="17"/>
  <c r="L362" i="17"/>
  <c r="M362" i="17"/>
  <c r="N362" i="17"/>
  <c r="I362" i="17"/>
  <c r="J362" i="17"/>
  <c r="K362" i="17"/>
  <c r="L361" i="17"/>
  <c r="M361" i="17"/>
  <c r="N361" i="17"/>
  <c r="I361" i="17"/>
  <c r="J361" i="17"/>
  <c r="K361" i="17"/>
  <c r="L360" i="17"/>
  <c r="M360" i="17"/>
  <c r="N360" i="17"/>
  <c r="I360" i="17"/>
  <c r="J360" i="17"/>
  <c r="K360" i="17"/>
  <c r="L359" i="17"/>
  <c r="M359" i="17"/>
  <c r="N359" i="17"/>
  <c r="I359" i="17"/>
  <c r="J359" i="17"/>
  <c r="K359" i="17"/>
  <c r="L358" i="17"/>
  <c r="M358" i="17"/>
  <c r="N358" i="17"/>
  <c r="I358" i="17"/>
  <c r="J358" i="17"/>
  <c r="K358" i="17"/>
  <c r="N357" i="17"/>
  <c r="L357" i="17"/>
  <c r="M357" i="17"/>
  <c r="I357" i="17"/>
  <c r="J357" i="17"/>
  <c r="K357" i="17"/>
  <c r="L356" i="17"/>
  <c r="M356" i="17"/>
  <c r="N356" i="17"/>
  <c r="I356" i="17"/>
  <c r="J356" i="17"/>
  <c r="K356" i="17"/>
  <c r="L355" i="17"/>
  <c r="M355" i="17"/>
  <c r="N355" i="17"/>
  <c r="I355" i="17"/>
  <c r="J355" i="17"/>
  <c r="K355" i="17"/>
  <c r="L354" i="17"/>
  <c r="M354" i="17"/>
  <c r="N354" i="17"/>
  <c r="I354" i="17"/>
  <c r="J354" i="17"/>
  <c r="K354" i="17"/>
  <c r="L353" i="17"/>
  <c r="M353" i="17"/>
  <c r="N353" i="17"/>
  <c r="I353" i="17"/>
  <c r="J353" i="17"/>
  <c r="K353" i="17"/>
  <c r="L352" i="17"/>
  <c r="M352" i="17"/>
  <c r="N352" i="17"/>
  <c r="I352" i="17"/>
  <c r="J352" i="17"/>
  <c r="K352" i="17"/>
  <c r="L351" i="17"/>
  <c r="M351" i="17"/>
  <c r="N351" i="17"/>
  <c r="I351" i="17"/>
  <c r="J351" i="17"/>
  <c r="K351" i="17"/>
  <c r="L350" i="17"/>
  <c r="M350" i="17"/>
  <c r="N350" i="17"/>
  <c r="I350" i="17"/>
  <c r="J350" i="17"/>
  <c r="K350" i="17"/>
  <c r="L349" i="17"/>
  <c r="M349" i="17"/>
  <c r="N349" i="17"/>
  <c r="I349" i="17"/>
  <c r="J349" i="17"/>
  <c r="K349" i="17"/>
  <c r="L348" i="17"/>
  <c r="M348" i="17"/>
  <c r="N348" i="17"/>
  <c r="I348" i="17"/>
  <c r="J348" i="17"/>
  <c r="K348" i="17" s="1"/>
  <c r="L347" i="17"/>
  <c r="M347" i="17"/>
  <c r="N347" i="17" s="1"/>
  <c r="I347" i="17"/>
  <c r="J347" i="17"/>
  <c r="K347" i="17" s="1"/>
  <c r="L346" i="17"/>
  <c r="M346" i="17"/>
  <c r="N346" i="17"/>
  <c r="I346" i="17"/>
  <c r="J346" i="17"/>
  <c r="K346" i="17" s="1"/>
  <c r="L345" i="17"/>
  <c r="M345" i="17" s="1"/>
  <c r="N345" i="17" s="1"/>
  <c r="I345" i="17"/>
  <c r="J345" i="17" s="1"/>
  <c r="K345" i="17" s="1"/>
  <c r="L344" i="17"/>
  <c r="M344" i="17"/>
  <c r="N344" i="17" s="1"/>
  <c r="I344" i="17"/>
  <c r="J344" i="17"/>
  <c r="K344" i="17" s="1"/>
  <c r="L343" i="17"/>
  <c r="M343" i="17" s="1"/>
  <c r="N343" i="17" s="1"/>
  <c r="I343" i="17"/>
  <c r="J343" i="17" s="1"/>
  <c r="K343" i="17" s="1"/>
  <c r="L342" i="17"/>
  <c r="M342" i="17"/>
  <c r="N342" i="17" s="1"/>
  <c r="I342" i="17"/>
  <c r="J342" i="17"/>
  <c r="K342" i="17" s="1"/>
  <c r="L341" i="17"/>
  <c r="M341" i="17" s="1"/>
  <c r="N341" i="17" s="1"/>
  <c r="I341" i="17"/>
  <c r="J341" i="17" s="1"/>
  <c r="K341" i="17" s="1"/>
  <c r="L340" i="17"/>
  <c r="M340" i="17"/>
  <c r="N340" i="17" s="1"/>
  <c r="I340" i="17"/>
  <c r="J340" i="17"/>
  <c r="K340" i="17" s="1"/>
  <c r="L339" i="17"/>
  <c r="M339" i="17" s="1"/>
  <c r="N339" i="17" s="1"/>
  <c r="I339" i="17"/>
  <c r="J339" i="17" s="1"/>
  <c r="K339" i="17" s="1"/>
  <c r="L338" i="17"/>
  <c r="M338" i="17"/>
  <c r="N338" i="17" s="1"/>
  <c r="I338" i="17"/>
  <c r="J338" i="17"/>
  <c r="K338" i="17" s="1"/>
  <c r="L337" i="17"/>
  <c r="M337" i="17" s="1"/>
  <c r="N337" i="17" s="1"/>
  <c r="I337" i="17"/>
  <c r="J337" i="17" s="1"/>
  <c r="K337" i="17" s="1"/>
  <c r="L336" i="17"/>
  <c r="M336" i="17"/>
  <c r="N336" i="17"/>
  <c r="I336" i="17"/>
  <c r="J336" i="17"/>
  <c r="K336" i="17" s="1"/>
  <c r="L335" i="17"/>
  <c r="M335" i="17" s="1"/>
  <c r="N335" i="17" s="1"/>
  <c r="I335" i="17"/>
  <c r="J335" i="17" s="1"/>
  <c r="K335" i="17" s="1"/>
  <c r="L334" i="17"/>
  <c r="M334" i="17"/>
  <c r="N334" i="17" s="1"/>
  <c r="I334" i="17"/>
  <c r="J334" i="17"/>
  <c r="K334" i="17" s="1"/>
  <c r="L333" i="17"/>
  <c r="M333" i="17"/>
  <c r="N333" i="17" s="1"/>
  <c r="I333" i="17"/>
  <c r="J333" i="17"/>
  <c r="K333" i="17" s="1"/>
  <c r="L332" i="17"/>
  <c r="M332" i="17"/>
  <c r="N332" i="17" s="1"/>
  <c r="I332" i="17"/>
  <c r="J332" i="17"/>
  <c r="K332" i="17" s="1"/>
  <c r="L331" i="17"/>
  <c r="M331" i="17"/>
  <c r="N331" i="17" s="1"/>
  <c r="I331" i="17"/>
  <c r="J331" i="17"/>
  <c r="K331" i="17" s="1"/>
  <c r="L330" i="17"/>
  <c r="M330" i="17"/>
  <c r="N330" i="17" s="1"/>
  <c r="I330" i="17"/>
  <c r="J330" i="17"/>
  <c r="K330" i="17" s="1"/>
  <c r="L329" i="17"/>
  <c r="M329" i="17"/>
  <c r="N329" i="17" s="1"/>
  <c r="I329" i="17"/>
  <c r="J329" i="17"/>
  <c r="K329" i="17" s="1"/>
  <c r="L328" i="17"/>
  <c r="M328" i="17"/>
  <c r="N328" i="17" s="1"/>
  <c r="I328" i="17"/>
  <c r="J328" i="17"/>
  <c r="K328" i="17" s="1"/>
  <c r="L327" i="17"/>
  <c r="M327" i="17"/>
  <c r="N327" i="17" s="1"/>
  <c r="I327" i="17"/>
  <c r="J327" i="17"/>
  <c r="K327" i="17" s="1"/>
  <c r="L326" i="17"/>
  <c r="M326" i="17"/>
  <c r="N326" i="17" s="1"/>
  <c r="I326" i="17"/>
  <c r="J326" i="17"/>
  <c r="K326" i="17" s="1"/>
  <c r="L325" i="17"/>
  <c r="M325" i="17"/>
  <c r="N325" i="17" s="1"/>
  <c r="I325" i="17"/>
  <c r="J325" i="17"/>
  <c r="K325" i="17" s="1"/>
  <c r="L324" i="17"/>
  <c r="M324" i="17"/>
  <c r="N324" i="17" s="1"/>
  <c r="I324" i="17"/>
  <c r="J324" i="17"/>
  <c r="K324" i="17" s="1"/>
  <c r="L323" i="17"/>
  <c r="M323" i="17"/>
  <c r="N323" i="17" s="1"/>
  <c r="I323" i="17"/>
  <c r="J323" i="17"/>
  <c r="K323" i="17" s="1"/>
  <c r="L322" i="17"/>
  <c r="M322" i="17"/>
  <c r="N322" i="17" s="1"/>
  <c r="I322" i="17"/>
  <c r="J322" i="17"/>
  <c r="K322" i="17" s="1"/>
  <c r="L321" i="17"/>
  <c r="M321" i="17" s="1"/>
  <c r="N321" i="17" s="1"/>
  <c r="I321" i="17"/>
  <c r="J321" i="17"/>
  <c r="K321" i="17" s="1"/>
  <c r="L320" i="17"/>
  <c r="M320" i="17"/>
  <c r="N320" i="17" s="1"/>
  <c r="I320" i="17"/>
  <c r="J320" i="17"/>
  <c r="K320" i="17" s="1"/>
  <c r="L319" i="17"/>
  <c r="M319" i="17" s="1"/>
  <c r="N319" i="17" s="1"/>
  <c r="I319" i="17"/>
  <c r="J319" i="17"/>
  <c r="K319" i="17" s="1"/>
  <c r="L318" i="17"/>
  <c r="M318" i="17"/>
  <c r="N318" i="17" s="1"/>
  <c r="I318" i="17"/>
  <c r="J318" i="17"/>
  <c r="K318" i="17" s="1"/>
  <c r="L317" i="17"/>
  <c r="M317" i="17" s="1"/>
  <c r="N317" i="17" s="1"/>
  <c r="I317" i="17"/>
  <c r="J317" i="17"/>
  <c r="K317" i="17" s="1"/>
  <c r="L316" i="17"/>
  <c r="M316" i="17"/>
  <c r="N316" i="17" s="1"/>
  <c r="I316" i="17"/>
  <c r="J316" i="17"/>
  <c r="K316" i="17" s="1"/>
  <c r="L315" i="17"/>
  <c r="M315" i="17" s="1"/>
  <c r="N315" i="17" s="1"/>
  <c r="I315" i="17"/>
  <c r="J315" i="17"/>
  <c r="K315" i="17" s="1"/>
  <c r="L314" i="17"/>
  <c r="M314" i="17"/>
  <c r="N314" i="17" s="1"/>
  <c r="I314" i="17"/>
  <c r="J314" i="17"/>
  <c r="K314" i="17" s="1"/>
  <c r="L313" i="17"/>
  <c r="M313" i="17" s="1"/>
  <c r="N313" i="17" s="1"/>
  <c r="I313" i="17"/>
  <c r="J313" i="17"/>
  <c r="K313" i="17" s="1"/>
  <c r="L312" i="17"/>
  <c r="M312" i="17"/>
  <c r="N312" i="17" s="1"/>
  <c r="I312" i="17"/>
  <c r="J312" i="17"/>
  <c r="K312" i="17" s="1"/>
  <c r="L311" i="17"/>
  <c r="M311" i="17" s="1"/>
  <c r="N311" i="17" s="1"/>
  <c r="I311" i="17"/>
  <c r="J311" i="17"/>
  <c r="K311" i="17" s="1"/>
  <c r="L310" i="17"/>
  <c r="M310" i="17"/>
  <c r="N310" i="17" s="1"/>
  <c r="I310" i="17"/>
  <c r="J310" i="17"/>
  <c r="K310" i="17" s="1"/>
  <c r="L309" i="17"/>
  <c r="M309" i="17" s="1"/>
  <c r="N309" i="17" s="1"/>
  <c r="I309" i="17"/>
  <c r="J309" i="17" s="1"/>
  <c r="K309" i="17" s="1"/>
  <c r="L308" i="17"/>
  <c r="M308" i="17"/>
  <c r="N308" i="17"/>
  <c r="I308" i="17"/>
  <c r="J308" i="17"/>
  <c r="K308" i="17"/>
  <c r="L307" i="17"/>
  <c r="M307" i="17"/>
  <c r="N307" i="17"/>
  <c r="I307" i="17"/>
  <c r="J307" i="17"/>
  <c r="K307" i="17"/>
  <c r="L306" i="17"/>
  <c r="M306" i="17"/>
  <c r="N306" i="17"/>
  <c r="I306" i="17"/>
  <c r="J306" i="17"/>
  <c r="K306" i="17"/>
  <c r="L305" i="17"/>
  <c r="M305" i="17"/>
  <c r="N305" i="17" s="1"/>
  <c r="I305" i="17"/>
  <c r="J305" i="17"/>
  <c r="K305" i="17" s="1"/>
  <c r="L304" i="17"/>
  <c r="M304" i="17"/>
  <c r="N304" i="17" s="1"/>
  <c r="I304" i="17"/>
  <c r="J304" i="17"/>
  <c r="K304" i="17" s="1"/>
  <c r="L303" i="17"/>
  <c r="M303" i="17"/>
  <c r="N303" i="17" s="1"/>
  <c r="I303" i="17"/>
  <c r="J303" i="17"/>
  <c r="K303" i="17" s="1"/>
  <c r="L302" i="17"/>
  <c r="M302" i="17"/>
  <c r="N302" i="17" s="1"/>
  <c r="I302" i="17"/>
  <c r="J302" i="17"/>
  <c r="K302" i="17" s="1"/>
  <c r="L301" i="17"/>
  <c r="M301" i="17"/>
  <c r="N301" i="17" s="1"/>
  <c r="I301" i="17"/>
  <c r="J301" i="17"/>
  <c r="K301" i="17" s="1"/>
  <c r="L300" i="17"/>
  <c r="M300" i="17"/>
  <c r="N300" i="17" s="1"/>
  <c r="I300" i="17"/>
  <c r="J300" i="17"/>
  <c r="K300" i="17" s="1"/>
  <c r="L299" i="17"/>
  <c r="M299" i="17"/>
  <c r="N299" i="17" s="1"/>
  <c r="I299" i="17"/>
  <c r="J299" i="17"/>
  <c r="K299" i="17" s="1"/>
  <c r="L298" i="17"/>
  <c r="M298" i="17"/>
  <c r="N298" i="17" s="1"/>
  <c r="I298" i="17"/>
  <c r="J298" i="17"/>
  <c r="K298" i="17" s="1"/>
  <c r="L297" i="17"/>
  <c r="M297" i="17"/>
  <c r="N297" i="17" s="1"/>
  <c r="I297" i="17"/>
  <c r="J297" i="17"/>
  <c r="K297" i="17" s="1"/>
  <c r="L296" i="17"/>
  <c r="M296" i="17"/>
  <c r="N296" i="17" s="1"/>
  <c r="I296" i="17"/>
  <c r="J296" i="17"/>
  <c r="K296" i="17" s="1"/>
  <c r="L295" i="17"/>
  <c r="M295" i="17"/>
  <c r="N295" i="17" s="1"/>
  <c r="I295" i="17"/>
  <c r="J295" i="17"/>
  <c r="K295" i="17" s="1"/>
  <c r="L294" i="17"/>
  <c r="M294" i="17"/>
  <c r="N294" i="17" s="1"/>
  <c r="I294" i="17"/>
  <c r="J294" i="17"/>
  <c r="K294" i="17" s="1"/>
  <c r="L293" i="17"/>
  <c r="M293" i="17"/>
  <c r="N293" i="17" s="1"/>
  <c r="I293" i="17"/>
  <c r="J293" i="17"/>
  <c r="K293" i="17" s="1"/>
  <c r="L292" i="17"/>
  <c r="M292" i="17"/>
  <c r="N292" i="17" s="1"/>
  <c r="I292" i="17"/>
  <c r="J292" i="17"/>
  <c r="K292" i="17" s="1"/>
  <c r="L291" i="17"/>
  <c r="M291" i="17"/>
  <c r="N291" i="17" s="1"/>
  <c r="I291" i="17"/>
  <c r="J291" i="17"/>
  <c r="K291" i="17" s="1"/>
  <c r="L290" i="17"/>
  <c r="M290" i="17"/>
  <c r="N290" i="17" s="1"/>
  <c r="I290" i="17"/>
  <c r="J290" i="17"/>
  <c r="K290" i="17" s="1"/>
  <c r="L289" i="17"/>
  <c r="M289" i="17"/>
  <c r="N289" i="17" s="1"/>
  <c r="I289" i="17"/>
  <c r="J289" i="17"/>
  <c r="K289" i="17" s="1"/>
  <c r="L288" i="17"/>
  <c r="M288" i="17"/>
  <c r="N288" i="17" s="1"/>
  <c r="I288" i="17"/>
  <c r="J288" i="17"/>
  <c r="K288" i="17" s="1"/>
  <c r="L287" i="17"/>
  <c r="M287" i="17"/>
  <c r="N287" i="17" s="1"/>
  <c r="I287" i="17"/>
  <c r="J287" i="17"/>
  <c r="K287" i="17" s="1"/>
  <c r="L286" i="17"/>
  <c r="M286" i="17"/>
  <c r="N286" i="17" s="1"/>
  <c r="I286" i="17"/>
  <c r="J286" i="17"/>
  <c r="K286" i="17" s="1"/>
  <c r="L285" i="17"/>
  <c r="M285" i="17"/>
  <c r="N285" i="17" s="1"/>
  <c r="I285" i="17"/>
  <c r="J285" i="17"/>
  <c r="K285" i="17" s="1"/>
  <c r="L284" i="17"/>
  <c r="M284" i="17"/>
  <c r="N284" i="17" s="1"/>
  <c r="I284" i="17"/>
  <c r="J284" i="17"/>
  <c r="K284" i="17" s="1"/>
  <c r="L283" i="17"/>
  <c r="M283" i="17"/>
  <c r="N283" i="17" s="1"/>
  <c r="I283" i="17"/>
  <c r="J283" i="17"/>
  <c r="K283" i="17" s="1"/>
  <c r="L282" i="17"/>
  <c r="M282" i="17"/>
  <c r="N282" i="17" s="1"/>
  <c r="I282" i="17"/>
  <c r="J282" i="17"/>
  <c r="K282" i="17" s="1"/>
  <c r="L281" i="17"/>
  <c r="M281" i="17"/>
  <c r="N281" i="17" s="1"/>
  <c r="I281" i="17"/>
  <c r="J281" i="17"/>
  <c r="K281" i="17" s="1"/>
  <c r="L280" i="17"/>
  <c r="M280" i="17"/>
  <c r="N280" i="17" s="1"/>
  <c r="I280" i="17"/>
  <c r="J280" i="17"/>
  <c r="K280" i="17" s="1"/>
  <c r="L279" i="17"/>
  <c r="M279" i="17"/>
  <c r="N279" i="17" s="1"/>
  <c r="I279" i="17"/>
  <c r="J279" i="17"/>
  <c r="K279" i="17" s="1"/>
  <c r="L278" i="17"/>
  <c r="M278" i="17"/>
  <c r="N278" i="17" s="1"/>
  <c r="I278" i="17"/>
  <c r="J278" i="17"/>
  <c r="K278" i="17" s="1"/>
  <c r="L277" i="17"/>
  <c r="M277" i="17"/>
  <c r="N277" i="17" s="1"/>
  <c r="I277" i="17"/>
  <c r="J277" i="17"/>
  <c r="K277" i="17" s="1"/>
  <c r="L276" i="17"/>
  <c r="M276" i="17"/>
  <c r="N276" i="17" s="1"/>
  <c r="I276" i="17"/>
  <c r="J276" i="17"/>
  <c r="K276" i="17" s="1"/>
  <c r="L275" i="17"/>
  <c r="M275" i="17"/>
  <c r="N275" i="17" s="1"/>
  <c r="I275" i="17"/>
  <c r="J275" i="17"/>
  <c r="K275" i="17" s="1"/>
  <c r="L274" i="17"/>
  <c r="M274" i="17"/>
  <c r="N274" i="17" s="1"/>
  <c r="I274" i="17"/>
  <c r="J274" i="17"/>
  <c r="K274" i="17" s="1"/>
  <c r="L273" i="17"/>
  <c r="M273" i="17"/>
  <c r="N273" i="17" s="1"/>
  <c r="I273" i="17"/>
  <c r="J273" i="17"/>
  <c r="K273" i="17" s="1"/>
  <c r="L272" i="17"/>
  <c r="M272" i="17"/>
  <c r="N272" i="17" s="1"/>
  <c r="I272" i="17"/>
  <c r="J272" i="17"/>
  <c r="K272" i="17" s="1"/>
  <c r="L271" i="17"/>
  <c r="M271" i="17"/>
  <c r="N271" i="17" s="1"/>
  <c r="I271" i="17"/>
  <c r="J271" i="17"/>
  <c r="K271" i="17" s="1"/>
  <c r="L269" i="17"/>
  <c r="M269" i="17"/>
  <c r="N269" i="17" s="1"/>
  <c r="I269" i="17"/>
  <c r="J269" i="17"/>
  <c r="K269" i="17" s="1"/>
  <c r="L268" i="17"/>
  <c r="M268" i="17"/>
  <c r="N268" i="17" s="1"/>
  <c r="I268" i="17"/>
  <c r="J268" i="17"/>
  <c r="K268" i="17" s="1"/>
  <c r="L267" i="17"/>
  <c r="M267" i="17"/>
  <c r="N267" i="17" s="1"/>
  <c r="I267" i="17"/>
  <c r="J267" i="17"/>
  <c r="K267" i="17" s="1"/>
  <c r="L266" i="17"/>
  <c r="M266" i="17"/>
  <c r="N266" i="17" s="1"/>
  <c r="I266" i="17"/>
  <c r="J266" i="17"/>
  <c r="K266" i="17" s="1"/>
  <c r="L265" i="17"/>
  <c r="M265" i="17"/>
  <c r="N265" i="17" s="1"/>
  <c r="I265" i="17"/>
  <c r="J265" i="17"/>
  <c r="K265" i="17" s="1"/>
  <c r="L264" i="17"/>
  <c r="M264" i="17"/>
  <c r="N264" i="17" s="1"/>
  <c r="I264" i="17"/>
  <c r="J264" i="17"/>
  <c r="K264" i="17" s="1"/>
  <c r="L263" i="17"/>
  <c r="M263" i="17"/>
  <c r="N263" i="17" s="1"/>
  <c r="I263" i="17"/>
  <c r="J263" i="17"/>
  <c r="K263" i="17" s="1"/>
  <c r="L262" i="17"/>
  <c r="M262" i="17"/>
  <c r="N262" i="17" s="1"/>
  <c r="I262" i="17"/>
  <c r="J262" i="17"/>
  <c r="K262" i="17" s="1"/>
  <c r="L261" i="17"/>
  <c r="M261" i="17"/>
  <c r="N261" i="17" s="1"/>
  <c r="I261" i="17"/>
  <c r="J261" i="17"/>
  <c r="K261" i="17" s="1"/>
  <c r="L260" i="17"/>
  <c r="M260" i="17"/>
  <c r="N260" i="17" s="1"/>
  <c r="I260" i="17"/>
  <c r="J260" i="17"/>
  <c r="K260" i="17" s="1"/>
  <c r="L259" i="17"/>
  <c r="M259" i="17"/>
  <c r="N259" i="17" s="1"/>
  <c r="I259" i="17"/>
  <c r="J259" i="17"/>
  <c r="K259" i="17" s="1"/>
  <c r="L258" i="17"/>
  <c r="M258" i="17"/>
  <c r="N258" i="17" s="1"/>
  <c r="I258" i="17"/>
  <c r="J258" i="17"/>
  <c r="K258" i="17" s="1"/>
  <c r="L257" i="17"/>
  <c r="M257" i="17"/>
  <c r="N257" i="17" s="1"/>
  <c r="I257" i="17"/>
  <c r="J257" i="17"/>
  <c r="K257" i="17" s="1"/>
  <c r="L256" i="17"/>
  <c r="M256" i="17"/>
  <c r="N256" i="17" s="1"/>
  <c r="I256" i="17"/>
  <c r="J256" i="17"/>
  <c r="K256" i="17" s="1"/>
  <c r="L255" i="17"/>
  <c r="M255" i="17"/>
  <c r="N255" i="17" s="1"/>
  <c r="I255" i="17"/>
  <c r="J255" i="17"/>
  <c r="K255" i="17" s="1"/>
  <c r="N253" i="17"/>
  <c r="L253" i="17"/>
  <c r="M253" i="17"/>
  <c r="I253" i="17"/>
  <c r="J253" i="17"/>
  <c r="K253" i="17"/>
  <c r="L252" i="17"/>
  <c r="M252" i="17"/>
  <c r="N252" i="17"/>
  <c r="I252" i="17"/>
  <c r="J252" i="17"/>
  <c r="K252" i="17"/>
  <c r="L251" i="17"/>
  <c r="M251" i="17"/>
  <c r="N251" i="17"/>
  <c r="I251" i="17"/>
  <c r="J251" i="17"/>
  <c r="K251" i="17"/>
  <c r="L250" i="17"/>
  <c r="M250" i="17"/>
  <c r="N250" i="17" s="1"/>
  <c r="I250" i="17"/>
  <c r="J250" i="17"/>
  <c r="K250" i="17" s="1"/>
  <c r="L249" i="17"/>
  <c r="M249" i="17"/>
  <c r="N249" i="17" s="1"/>
  <c r="I249" i="17"/>
  <c r="J249" i="17"/>
  <c r="K249" i="17" s="1"/>
  <c r="L248" i="17"/>
  <c r="M248" i="17"/>
  <c r="N248" i="17" s="1"/>
  <c r="I248" i="17"/>
  <c r="J248" i="17"/>
  <c r="K248" i="17" s="1"/>
  <c r="L247" i="17"/>
  <c r="M247" i="17"/>
  <c r="N247" i="17" s="1"/>
  <c r="I247" i="17"/>
  <c r="J247" i="17"/>
  <c r="K247" i="17" s="1"/>
  <c r="L246" i="17"/>
  <c r="M246" i="17"/>
  <c r="N246" i="17" s="1"/>
  <c r="I246" i="17"/>
  <c r="J246" i="17"/>
  <c r="K246" i="17" s="1"/>
  <c r="L245" i="17"/>
  <c r="M245" i="17"/>
  <c r="N245" i="17" s="1"/>
  <c r="I245" i="17"/>
  <c r="J245" i="17"/>
  <c r="K245" i="17" s="1"/>
  <c r="L244" i="17"/>
  <c r="M244" i="17"/>
  <c r="N244" i="17" s="1"/>
  <c r="I244" i="17"/>
  <c r="J244" i="17"/>
  <c r="K244" i="17" s="1"/>
  <c r="L243" i="17"/>
  <c r="M243" i="17"/>
  <c r="N243" i="17" s="1"/>
  <c r="I243" i="17"/>
  <c r="J243" i="17"/>
  <c r="K243" i="17" s="1"/>
  <c r="L242" i="17"/>
  <c r="M242" i="17"/>
  <c r="N242" i="17" s="1"/>
  <c r="I242" i="17"/>
  <c r="J242" i="17"/>
  <c r="K242" i="17" s="1"/>
  <c r="L241" i="17"/>
  <c r="M241" i="17"/>
  <c r="N241" i="17" s="1"/>
  <c r="I241" i="17"/>
  <c r="J241" i="17"/>
  <c r="K241" i="17" s="1"/>
  <c r="L240" i="17"/>
  <c r="M240" i="17"/>
  <c r="N240" i="17" s="1"/>
  <c r="I240" i="17"/>
  <c r="J240" i="17"/>
  <c r="K240" i="17" s="1"/>
  <c r="L239" i="17"/>
  <c r="M239" i="17"/>
  <c r="N239" i="17" s="1"/>
  <c r="I239" i="17"/>
  <c r="J239" i="17"/>
  <c r="K239" i="17" s="1"/>
  <c r="L238" i="17"/>
  <c r="M238" i="17"/>
  <c r="N238" i="17" s="1"/>
  <c r="I238" i="17"/>
  <c r="J238" i="17"/>
  <c r="K238" i="17" s="1"/>
  <c r="L237" i="17"/>
  <c r="M237" i="17"/>
  <c r="N237" i="17" s="1"/>
  <c r="I237" i="17"/>
  <c r="J237" i="17"/>
  <c r="K237" i="17" s="1"/>
  <c r="L236" i="17"/>
  <c r="M236" i="17"/>
  <c r="N236" i="17" s="1"/>
  <c r="I236" i="17"/>
  <c r="J236" i="17"/>
  <c r="K236" i="17" s="1"/>
  <c r="L235" i="17"/>
  <c r="M235" i="17"/>
  <c r="N235" i="17" s="1"/>
  <c r="I235" i="17"/>
  <c r="J235" i="17"/>
  <c r="K235" i="17" s="1"/>
  <c r="L234" i="17"/>
  <c r="M234" i="17"/>
  <c r="N234" i="17" s="1"/>
  <c r="I234" i="17"/>
  <c r="J234" i="17"/>
  <c r="K234" i="17" s="1"/>
  <c r="L233" i="17"/>
  <c r="M233" i="17"/>
  <c r="N233" i="17" s="1"/>
  <c r="I233" i="17"/>
  <c r="J233" i="17"/>
  <c r="K233" i="17" s="1"/>
  <c r="L232" i="17"/>
  <c r="M232" i="17"/>
  <c r="N232" i="17" s="1"/>
  <c r="I232" i="17"/>
  <c r="J232" i="17"/>
  <c r="K232" i="17" s="1"/>
  <c r="L231" i="17"/>
  <c r="M231" i="17"/>
  <c r="N231" i="17" s="1"/>
  <c r="I231" i="17"/>
  <c r="J231" i="17"/>
  <c r="K231" i="17" s="1"/>
  <c r="L230" i="17"/>
  <c r="M230" i="17"/>
  <c r="N230" i="17" s="1"/>
  <c r="I230" i="17"/>
  <c r="J230" i="17"/>
  <c r="K230" i="17" s="1"/>
  <c r="L229" i="17"/>
  <c r="M229" i="17"/>
  <c r="N229" i="17" s="1"/>
  <c r="I229" i="17"/>
  <c r="J229" i="17"/>
  <c r="K229" i="17" s="1"/>
  <c r="L228" i="17"/>
  <c r="M228" i="17"/>
  <c r="N228" i="17" s="1"/>
  <c r="I228" i="17"/>
  <c r="J228" i="17"/>
  <c r="K228" i="17" s="1"/>
  <c r="L227" i="17"/>
  <c r="M227" i="17"/>
  <c r="N227" i="17" s="1"/>
  <c r="I227" i="17"/>
  <c r="J227" i="17"/>
  <c r="K227" i="17" s="1"/>
  <c r="L226" i="17"/>
  <c r="M226" i="17"/>
  <c r="N226" i="17" s="1"/>
  <c r="I226" i="17"/>
  <c r="J226" i="17"/>
  <c r="K226" i="17" s="1"/>
  <c r="L225" i="17"/>
  <c r="M225" i="17"/>
  <c r="N225" i="17" s="1"/>
  <c r="I225" i="17"/>
  <c r="J225" i="17"/>
  <c r="K225" i="17" s="1"/>
  <c r="L224" i="17"/>
  <c r="M224" i="17"/>
  <c r="N224" i="17" s="1"/>
  <c r="I224" i="17"/>
  <c r="J224" i="17"/>
  <c r="K224" i="17" s="1"/>
  <c r="L223" i="17"/>
  <c r="M223" i="17"/>
  <c r="N223" i="17" s="1"/>
  <c r="I223" i="17"/>
  <c r="J223" i="17"/>
  <c r="K223" i="17" s="1"/>
  <c r="L222" i="17"/>
  <c r="M222" i="17"/>
  <c r="N222" i="17" s="1"/>
  <c r="I222" i="17"/>
  <c r="J222" i="17"/>
  <c r="K222" i="17" s="1"/>
  <c r="L221" i="17"/>
  <c r="M221" i="17"/>
  <c r="N221" i="17"/>
  <c r="I221" i="17"/>
  <c r="J221" i="17"/>
  <c r="K221" i="17"/>
  <c r="L220" i="17"/>
  <c r="M220" i="17"/>
  <c r="N220" i="17"/>
  <c r="I220" i="17"/>
  <c r="J220" i="17"/>
  <c r="K220" i="17"/>
  <c r="L219" i="17"/>
  <c r="M219" i="17"/>
  <c r="N219" i="17"/>
  <c r="I219" i="17"/>
  <c r="J219" i="17"/>
  <c r="K219" i="17"/>
  <c r="L218" i="17"/>
  <c r="M218" i="17"/>
  <c r="N218" i="17"/>
  <c r="I218" i="17"/>
  <c r="J218" i="17"/>
  <c r="K218" i="17"/>
  <c r="L217" i="17"/>
  <c r="M217" i="17"/>
  <c r="N217" i="17" s="1"/>
  <c r="I217" i="17"/>
  <c r="J217" i="17"/>
  <c r="K217" i="17" s="1"/>
  <c r="L216" i="17"/>
  <c r="M216" i="17"/>
  <c r="N216" i="17" s="1"/>
  <c r="I216" i="17"/>
  <c r="J216" i="17"/>
  <c r="K216" i="17" s="1"/>
  <c r="L215" i="17"/>
  <c r="M215" i="17"/>
  <c r="N215" i="17" s="1"/>
  <c r="I215" i="17"/>
  <c r="J215" i="17"/>
  <c r="K215" i="17" s="1"/>
  <c r="L214" i="17"/>
  <c r="M214" i="17"/>
  <c r="N214" i="17" s="1"/>
  <c r="I214" i="17"/>
  <c r="J214" i="17"/>
  <c r="K214" i="17" s="1"/>
  <c r="L213" i="17"/>
  <c r="M213" i="17"/>
  <c r="N213" i="17" s="1"/>
  <c r="I213" i="17"/>
  <c r="J213" i="17"/>
  <c r="K213" i="17" s="1"/>
  <c r="L212" i="17"/>
  <c r="M212" i="17"/>
  <c r="N212" i="17" s="1"/>
  <c r="I212" i="17"/>
  <c r="J212" i="17"/>
  <c r="K212" i="17" s="1"/>
  <c r="L211" i="17"/>
  <c r="M211" i="17"/>
  <c r="N211" i="17" s="1"/>
  <c r="I211" i="17"/>
  <c r="J211" i="17"/>
  <c r="K211" i="17" s="1"/>
  <c r="L210" i="17"/>
  <c r="M210" i="17"/>
  <c r="N210" i="17" s="1"/>
  <c r="I210" i="17"/>
  <c r="J210" i="17"/>
  <c r="K210" i="17" s="1"/>
  <c r="L209" i="17"/>
  <c r="M209" i="17"/>
  <c r="N209" i="17" s="1"/>
  <c r="I209" i="17"/>
  <c r="J209" i="17"/>
  <c r="K209" i="17" s="1"/>
  <c r="L208" i="17"/>
  <c r="M208" i="17"/>
  <c r="N208" i="17" s="1"/>
  <c r="I208" i="17"/>
  <c r="J208" i="17"/>
  <c r="K208" i="17" s="1"/>
  <c r="L207" i="17"/>
  <c r="M207" i="17"/>
  <c r="N207" i="17" s="1"/>
  <c r="I207" i="17"/>
  <c r="J207" i="17"/>
  <c r="K207" i="17" s="1"/>
  <c r="L206" i="17"/>
  <c r="M206" i="17"/>
  <c r="N206" i="17" s="1"/>
  <c r="I206" i="17"/>
  <c r="J206" i="17"/>
  <c r="K206" i="17" s="1"/>
  <c r="L205" i="17"/>
  <c r="M205" i="17"/>
  <c r="N205" i="17" s="1"/>
  <c r="I205" i="17"/>
  <c r="J205" i="17"/>
  <c r="K205" i="17" s="1"/>
  <c r="L204" i="17"/>
  <c r="M204" i="17"/>
  <c r="N204" i="17" s="1"/>
  <c r="I204" i="17"/>
  <c r="J204" i="17"/>
  <c r="K204" i="17" s="1"/>
  <c r="L203" i="17"/>
  <c r="M203" i="17"/>
  <c r="N203" i="17" s="1"/>
  <c r="I203" i="17"/>
  <c r="J203" i="17"/>
  <c r="K203" i="17" s="1"/>
  <c r="L202" i="17"/>
  <c r="M202" i="17"/>
  <c r="N202" i="17" s="1"/>
  <c r="I202" i="17"/>
  <c r="J202" i="17"/>
  <c r="K202" i="17" s="1"/>
  <c r="L201" i="17"/>
  <c r="M201" i="17"/>
  <c r="N201" i="17" s="1"/>
  <c r="I201" i="17"/>
  <c r="J201" i="17"/>
  <c r="K201" i="17" s="1"/>
  <c r="L198" i="17"/>
  <c r="M198" i="17"/>
  <c r="N198" i="17"/>
  <c r="I198" i="17"/>
  <c r="J198" i="17"/>
  <c r="K198" i="17"/>
  <c r="L197" i="17"/>
  <c r="M197" i="17"/>
  <c r="N197" i="17"/>
  <c r="I197" i="17"/>
  <c r="J197" i="17"/>
  <c r="K197" i="17"/>
  <c r="L196" i="17"/>
  <c r="M196" i="17"/>
  <c r="N196" i="17"/>
  <c r="I196" i="17"/>
  <c r="J196" i="17"/>
  <c r="K196" i="17"/>
  <c r="L195" i="17"/>
  <c r="M195" i="17"/>
  <c r="N195" i="17" s="1"/>
  <c r="I195" i="17"/>
  <c r="J195" i="17"/>
  <c r="K195" i="17" s="1"/>
  <c r="L194" i="17"/>
  <c r="M194" i="17"/>
  <c r="N194" i="17" s="1"/>
  <c r="I194" i="17"/>
  <c r="J194" i="17"/>
  <c r="K194" i="17" s="1"/>
  <c r="L193" i="17"/>
  <c r="M193" i="17"/>
  <c r="N193" i="17" s="1"/>
  <c r="I193" i="17"/>
  <c r="J193" i="17"/>
  <c r="K193" i="17" s="1"/>
  <c r="L192" i="17"/>
  <c r="M192" i="17"/>
  <c r="N192" i="17" s="1"/>
  <c r="I192" i="17"/>
  <c r="J192" i="17"/>
  <c r="K192" i="17" s="1"/>
  <c r="L191" i="17"/>
  <c r="M191" i="17"/>
  <c r="N191" i="17" s="1"/>
  <c r="I191" i="17"/>
  <c r="J191" i="17"/>
  <c r="K191" i="17" s="1"/>
  <c r="L190" i="17"/>
  <c r="M190" i="17"/>
  <c r="N190" i="17" s="1"/>
  <c r="I190" i="17"/>
  <c r="J190" i="17"/>
  <c r="K190" i="17" s="1"/>
  <c r="L189" i="17"/>
  <c r="M189" i="17"/>
  <c r="N189" i="17" s="1"/>
  <c r="I189" i="17"/>
  <c r="J189" i="17"/>
  <c r="K189" i="17" s="1"/>
  <c r="L188" i="17"/>
  <c r="M188" i="17"/>
  <c r="N188" i="17" s="1"/>
  <c r="I188" i="17"/>
  <c r="J188" i="17"/>
  <c r="K188" i="17" s="1"/>
  <c r="L187" i="17"/>
  <c r="M187" i="17"/>
  <c r="N187" i="17" s="1"/>
  <c r="I187" i="17"/>
  <c r="J187" i="17"/>
  <c r="K187" i="17" s="1"/>
  <c r="L186" i="17"/>
  <c r="M186" i="17"/>
  <c r="N186" i="17" s="1"/>
  <c r="I186" i="17"/>
  <c r="J186" i="17"/>
  <c r="K186" i="17" s="1"/>
  <c r="L185" i="17"/>
  <c r="M185" i="17"/>
  <c r="N185" i="17" s="1"/>
  <c r="I185" i="17"/>
  <c r="J185" i="17"/>
  <c r="K185" i="17" s="1"/>
  <c r="L184" i="17"/>
  <c r="M184" i="17"/>
  <c r="N184" i="17" s="1"/>
  <c r="I184" i="17"/>
  <c r="J184" i="17"/>
  <c r="K184" i="17" s="1"/>
  <c r="L183" i="17"/>
  <c r="M183" i="17"/>
  <c r="N183" i="17" s="1"/>
  <c r="I183" i="17"/>
  <c r="J183" i="17"/>
  <c r="K183" i="17" s="1"/>
  <c r="L182" i="17"/>
  <c r="M182" i="17"/>
  <c r="N182" i="17" s="1"/>
  <c r="I182" i="17"/>
  <c r="J182" i="17"/>
  <c r="K182" i="17" s="1"/>
  <c r="L181" i="17"/>
  <c r="M181" i="17"/>
  <c r="N181" i="17" s="1"/>
  <c r="I181" i="17"/>
  <c r="J181" i="17"/>
  <c r="K181" i="17" s="1"/>
  <c r="L180" i="17"/>
  <c r="M180" i="17"/>
  <c r="N180" i="17" s="1"/>
  <c r="I180" i="17"/>
  <c r="J180" i="17"/>
  <c r="K180" i="17" s="1"/>
  <c r="L179" i="17"/>
  <c r="M179" i="17"/>
  <c r="N179" i="17" s="1"/>
  <c r="I179" i="17"/>
  <c r="J179" i="17"/>
  <c r="K179" i="17" s="1"/>
  <c r="L178" i="17"/>
  <c r="M178" i="17"/>
  <c r="N178" i="17" s="1"/>
  <c r="I178" i="17"/>
  <c r="J178" i="17"/>
  <c r="K178" i="17" s="1"/>
  <c r="L177" i="17"/>
  <c r="M177" i="17"/>
  <c r="N177" i="17" s="1"/>
  <c r="I177" i="17"/>
  <c r="J177" i="17"/>
  <c r="K177" i="17" s="1"/>
  <c r="L176" i="17"/>
  <c r="M176" i="17"/>
  <c r="N176" i="17" s="1"/>
  <c r="I176" i="17"/>
  <c r="J176" i="17"/>
  <c r="K176" i="17" s="1"/>
  <c r="L175" i="17"/>
  <c r="M175" i="17"/>
  <c r="N175" i="17" s="1"/>
  <c r="I175" i="17"/>
  <c r="J175" i="17"/>
  <c r="K175" i="17" s="1"/>
  <c r="L174" i="17"/>
  <c r="M174" i="17"/>
  <c r="N174" i="17" s="1"/>
  <c r="I174" i="17"/>
  <c r="J174" i="17"/>
  <c r="K174" i="17" s="1"/>
  <c r="L173" i="17"/>
  <c r="M173" i="17"/>
  <c r="N173" i="17" s="1"/>
  <c r="I173" i="17"/>
  <c r="J173" i="17"/>
  <c r="K173" i="17" s="1"/>
  <c r="L172" i="17"/>
  <c r="M172" i="17"/>
  <c r="N172" i="17" s="1"/>
  <c r="I172" i="17"/>
  <c r="J172" i="17"/>
  <c r="K172" i="17" s="1"/>
  <c r="L171" i="17"/>
  <c r="M171" i="17"/>
  <c r="N171" i="17" s="1"/>
  <c r="I171" i="17"/>
  <c r="J171" i="17"/>
  <c r="K171" i="17" s="1"/>
  <c r="L170" i="17"/>
  <c r="M170" i="17"/>
  <c r="N170" i="17" s="1"/>
  <c r="I170" i="17"/>
  <c r="J170" i="17"/>
  <c r="K170" i="17" s="1"/>
  <c r="L169" i="17"/>
  <c r="M169" i="17"/>
  <c r="N169" i="17" s="1"/>
  <c r="I169" i="17"/>
  <c r="J169" i="17"/>
  <c r="K169" i="17" s="1"/>
  <c r="L168" i="17"/>
  <c r="M168" i="17"/>
  <c r="N168" i="17" s="1"/>
  <c r="I168" i="17"/>
  <c r="J168" i="17"/>
  <c r="K168" i="17" s="1"/>
  <c r="L167" i="17"/>
  <c r="M167" i="17"/>
  <c r="N167" i="17" s="1"/>
  <c r="I167" i="17"/>
  <c r="J167" i="17"/>
  <c r="K167" i="17" s="1"/>
  <c r="L166" i="17"/>
  <c r="M166" i="17"/>
  <c r="N166" i="17"/>
  <c r="I166" i="17"/>
  <c r="J166" i="17"/>
  <c r="K166" i="17"/>
  <c r="L165" i="17"/>
  <c r="M165" i="17"/>
  <c r="N165" i="17"/>
  <c r="I165" i="17"/>
  <c r="J165" i="17"/>
  <c r="K165" i="17"/>
  <c r="L164" i="17"/>
  <c r="M164" i="17"/>
  <c r="N164" i="17" s="1"/>
  <c r="I164" i="17"/>
  <c r="J164" i="17"/>
  <c r="K164" i="17" s="1"/>
  <c r="L163" i="17"/>
  <c r="M163" i="17"/>
  <c r="N163" i="17" s="1"/>
  <c r="I163" i="17"/>
  <c r="J163" i="17"/>
  <c r="K163" i="17" s="1"/>
  <c r="L162" i="17"/>
  <c r="M162" i="17"/>
  <c r="N162" i="17" s="1"/>
  <c r="I162" i="17"/>
  <c r="J162" i="17"/>
  <c r="K162" i="17" s="1"/>
  <c r="L161" i="17"/>
  <c r="M161" i="17"/>
  <c r="N161" i="17" s="1"/>
  <c r="I161" i="17"/>
  <c r="J161" i="17"/>
  <c r="K161" i="17" s="1"/>
  <c r="L160" i="17"/>
  <c r="M160" i="17"/>
  <c r="N160" i="17" s="1"/>
  <c r="I160" i="17"/>
  <c r="J160" i="17"/>
  <c r="K160" i="17" s="1"/>
  <c r="L159" i="17"/>
  <c r="M159" i="17"/>
  <c r="N159" i="17" s="1"/>
  <c r="I159" i="17"/>
  <c r="J159" i="17"/>
  <c r="K159" i="17" s="1"/>
  <c r="L158" i="17"/>
  <c r="M158" i="17"/>
  <c r="N158" i="17" s="1"/>
  <c r="I158" i="17"/>
  <c r="J158" i="17"/>
  <c r="K158" i="17" s="1"/>
  <c r="L157" i="17"/>
  <c r="M157" i="17"/>
  <c r="N157" i="17" s="1"/>
  <c r="I157" i="17"/>
  <c r="J157" i="17"/>
  <c r="K157" i="17" s="1"/>
  <c r="L156" i="17"/>
  <c r="M156" i="17"/>
  <c r="N156" i="17" s="1"/>
  <c r="I156" i="17"/>
  <c r="J156" i="17"/>
  <c r="K156" i="17" s="1"/>
  <c r="L155" i="17"/>
  <c r="M155" i="17"/>
  <c r="N155" i="17" s="1"/>
  <c r="I155" i="17"/>
  <c r="J155" i="17"/>
  <c r="K155" i="17" s="1"/>
  <c r="L154" i="17"/>
  <c r="M154" i="17"/>
  <c r="N154" i="17" s="1"/>
  <c r="I154" i="17"/>
  <c r="J154" i="17"/>
  <c r="K154" i="17" s="1"/>
  <c r="L153" i="17"/>
  <c r="M153" i="17"/>
  <c r="N153" i="17" s="1"/>
  <c r="I153" i="17"/>
  <c r="J153" i="17"/>
  <c r="K153" i="17" s="1"/>
  <c r="L152" i="17"/>
  <c r="M152" i="17"/>
  <c r="N152" i="17" s="1"/>
  <c r="I152" i="17"/>
  <c r="J152" i="17"/>
  <c r="K152" i="17" s="1"/>
  <c r="L151" i="17"/>
  <c r="M151" i="17"/>
  <c r="N151" i="17" s="1"/>
  <c r="I151" i="17"/>
  <c r="J151" i="17"/>
  <c r="K151" i="17" s="1"/>
  <c r="L150" i="17"/>
  <c r="M150" i="17"/>
  <c r="N150" i="17" s="1"/>
  <c r="I150" i="17"/>
  <c r="J150" i="17"/>
  <c r="K150" i="17" s="1"/>
  <c r="L149" i="17"/>
  <c r="M149" i="17"/>
  <c r="N149" i="17" s="1"/>
  <c r="I149" i="17"/>
  <c r="J149" i="17"/>
  <c r="K149" i="17" s="1"/>
  <c r="L148" i="17"/>
  <c r="M148" i="17"/>
  <c r="N148" i="17" s="1"/>
  <c r="I148" i="17"/>
  <c r="J148" i="17"/>
  <c r="K148" i="17" s="1"/>
  <c r="L147" i="17"/>
  <c r="M147" i="17"/>
  <c r="N147" i="17" s="1"/>
  <c r="I147" i="17"/>
  <c r="J147" i="17"/>
  <c r="K147" i="17" s="1"/>
  <c r="L146" i="17"/>
  <c r="M146" i="17"/>
  <c r="N146" i="17" s="1"/>
  <c r="I146" i="17"/>
  <c r="J146" i="17"/>
  <c r="K146" i="17" s="1"/>
  <c r="L145" i="17"/>
  <c r="M145" i="17"/>
  <c r="N145" i="17" s="1"/>
  <c r="I145" i="17"/>
  <c r="J145" i="17"/>
  <c r="K145" i="17" s="1"/>
  <c r="L144" i="17"/>
  <c r="M144" i="17"/>
  <c r="N144" i="17" s="1"/>
  <c r="I144" i="17"/>
  <c r="J144" i="17"/>
  <c r="K144" i="17" s="1"/>
  <c r="L143" i="17"/>
  <c r="M143" i="17"/>
  <c r="N143" i="17" s="1"/>
  <c r="I143" i="17"/>
  <c r="J143" i="17"/>
  <c r="K143" i="17" s="1"/>
  <c r="L142" i="17"/>
  <c r="M142" i="17"/>
  <c r="N142" i="17" s="1"/>
  <c r="I142" i="17"/>
  <c r="J142" i="17"/>
  <c r="K142" i="17" s="1"/>
  <c r="L141" i="17"/>
  <c r="M141" i="17"/>
  <c r="N141" i="17" s="1"/>
  <c r="I141" i="17"/>
  <c r="J141" i="17"/>
  <c r="K141" i="17" s="1"/>
  <c r="L140" i="17"/>
  <c r="M140" i="17"/>
  <c r="N140" i="17" s="1"/>
  <c r="I140" i="17"/>
  <c r="J140" i="17"/>
  <c r="K140" i="17" s="1"/>
  <c r="L139" i="17"/>
  <c r="M139" i="17"/>
  <c r="N139" i="17" s="1"/>
  <c r="I139" i="17"/>
  <c r="J139" i="17"/>
  <c r="K139" i="17" s="1"/>
  <c r="L138" i="17"/>
  <c r="M138" i="17"/>
  <c r="N138" i="17" s="1"/>
  <c r="I138" i="17"/>
  <c r="J138" i="17"/>
  <c r="K138" i="17" s="1"/>
  <c r="L137" i="17"/>
  <c r="M137" i="17"/>
  <c r="N137" i="17" s="1"/>
  <c r="I137" i="17"/>
  <c r="J137" i="17"/>
  <c r="K137" i="17" s="1"/>
  <c r="L136" i="17"/>
  <c r="M136" i="17"/>
  <c r="N136" i="17" s="1"/>
  <c r="I136" i="17"/>
  <c r="J136" i="17"/>
  <c r="K136" i="17" s="1"/>
  <c r="L135" i="17"/>
  <c r="M135" i="17"/>
  <c r="N135" i="17" s="1"/>
  <c r="I135" i="17"/>
  <c r="J135" i="17"/>
  <c r="K135" i="17" s="1"/>
  <c r="L134" i="17"/>
  <c r="M134" i="17"/>
  <c r="N134" i="17" s="1"/>
  <c r="I134" i="17"/>
  <c r="J134" i="17"/>
  <c r="K134" i="17" s="1"/>
  <c r="L133" i="17"/>
  <c r="M133" i="17"/>
  <c r="N133" i="17" s="1"/>
  <c r="I133" i="17"/>
  <c r="J133" i="17"/>
  <c r="K133" i="17" s="1"/>
  <c r="L132" i="17"/>
  <c r="M132" i="17"/>
  <c r="N132" i="17" s="1"/>
  <c r="I132" i="17"/>
  <c r="J132" i="17"/>
  <c r="K132" i="17" s="1"/>
  <c r="O132" i="17" s="1"/>
  <c r="P132" i="17" s="1"/>
  <c r="L131" i="17"/>
  <c r="M131" i="17"/>
  <c r="N131" i="17" s="1"/>
  <c r="I131" i="17"/>
  <c r="J131" i="17"/>
  <c r="K131" i="17" s="1"/>
  <c r="L130" i="17"/>
  <c r="M130" i="17"/>
  <c r="N130" i="17" s="1"/>
  <c r="I130" i="17"/>
  <c r="J130" i="17"/>
  <c r="K130" i="17" s="1"/>
  <c r="L129" i="17"/>
  <c r="M129" i="17"/>
  <c r="N129" i="17" s="1"/>
  <c r="I129" i="17"/>
  <c r="J129" i="17"/>
  <c r="K129" i="17" s="1"/>
  <c r="L128" i="17"/>
  <c r="M128" i="17"/>
  <c r="N128" i="17"/>
  <c r="I128" i="17"/>
  <c r="J128" i="17"/>
  <c r="K128" i="17"/>
  <c r="L127" i="17"/>
  <c r="M127" i="17"/>
  <c r="N127" i="17"/>
  <c r="I127" i="17"/>
  <c r="J127" i="17"/>
  <c r="K127" i="17"/>
  <c r="L126" i="17"/>
  <c r="M126" i="17"/>
  <c r="N126" i="17"/>
  <c r="I126" i="17"/>
  <c r="J126" i="17"/>
  <c r="K126" i="17"/>
  <c r="L125" i="17"/>
  <c r="M125" i="17"/>
  <c r="N125" i="17" s="1"/>
  <c r="I125" i="17"/>
  <c r="J125" i="17"/>
  <c r="K125" i="17" s="1"/>
  <c r="L124" i="17"/>
  <c r="M124" i="17"/>
  <c r="N124" i="17" s="1"/>
  <c r="I124" i="17"/>
  <c r="J124" i="17"/>
  <c r="K124" i="17" s="1"/>
  <c r="L123" i="17"/>
  <c r="M123" i="17"/>
  <c r="N123" i="17" s="1"/>
  <c r="I123" i="17"/>
  <c r="J123" i="17"/>
  <c r="K123" i="17" s="1"/>
  <c r="L122" i="17"/>
  <c r="M122" i="17"/>
  <c r="N122" i="17" s="1"/>
  <c r="I122" i="17"/>
  <c r="J122" i="17"/>
  <c r="K122" i="17" s="1"/>
  <c r="L121" i="17"/>
  <c r="M121" i="17"/>
  <c r="N121" i="17" s="1"/>
  <c r="I121" i="17"/>
  <c r="J121" i="17"/>
  <c r="K121" i="17" s="1"/>
  <c r="L120" i="17"/>
  <c r="M120" i="17"/>
  <c r="N120" i="17" s="1"/>
  <c r="I120" i="17"/>
  <c r="J120" i="17"/>
  <c r="K120" i="17" s="1"/>
  <c r="L119" i="17"/>
  <c r="M119" i="17"/>
  <c r="N119" i="17" s="1"/>
  <c r="I119" i="17"/>
  <c r="J119" i="17"/>
  <c r="K119" i="17" s="1"/>
  <c r="L118" i="17"/>
  <c r="M118" i="17"/>
  <c r="N118" i="17" s="1"/>
  <c r="I118" i="17"/>
  <c r="J118" i="17"/>
  <c r="K118" i="17" s="1"/>
  <c r="L117" i="17"/>
  <c r="M117" i="17"/>
  <c r="N117" i="17" s="1"/>
  <c r="I117" i="17"/>
  <c r="J117" i="17"/>
  <c r="K117" i="17" s="1"/>
  <c r="L116" i="17"/>
  <c r="M116" i="17"/>
  <c r="N116" i="17" s="1"/>
  <c r="I116" i="17"/>
  <c r="J116" i="17"/>
  <c r="K116" i="17" s="1"/>
  <c r="L115" i="17"/>
  <c r="M115" i="17"/>
  <c r="N115" i="17" s="1"/>
  <c r="I115" i="17"/>
  <c r="J115" i="17"/>
  <c r="K115" i="17" s="1"/>
  <c r="L114" i="17"/>
  <c r="M114" i="17"/>
  <c r="N114" i="17" s="1"/>
  <c r="I114" i="17"/>
  <c r="J114" i="17"/>
  <c r="K114" i="17" s="1"/>
  <c r="L113" i="17"/>
  <c r="M113" i="17"/>
  <c r="N113" i="17" s="1"/>
  <c r="I113" i="17"/>
  <c r="J113" i="17"/>
  <c r="K113" i="17" s="1"/>
  <c r="L112" i="17"/>
  <c r="M112" i="17"/>
  <c r="N112" i="17" s="1"/>
  <c r="I112" i="17"/>
  <c r="J112" i="17"/>
  <c r="K112" i="17" s="1"/>
  <c r="L111" i="17"/>
  <c r="M111" i="17"/>
  <c r="N111" i="17" s="1"/>
  <c r="I111" i="17"/>
  <c r="J111" i="17"/>
  <c r="K111" i="17" s="1"/>
  <c r="L110" i="17"/>
  <c r="M110" i="17"/>
  <c r="N110" i="17" s="1"/>
  <c r="I110" i="17"/>
  <c r="J110" i="17"/>
  <c r="K110" i="17" s="1"/>
  <c r="L109" i="17"/>
  <c r="M109" i="17"/>
  <c r="N109" i="17" s="1"/>
  <c r="I109" i="17"/>
  <c r="J109" i="17"/>
  <c r="K109" i="17" s="1"/>
  <c r="L108" i="17"/>
  <c r="M108" i="17"/>
  <c r="N108" i="17" s="1"/>
  <c r="I108" i="17"/>
  <c r="J108" i="17"/>
  <c r="K108" i="17" s="1"/>
  <c r="L107" i="17"/>
  <c r="M107" i="17"/>
  <c r="N107" i="17" s="1"/>
  <c r="I107" i="17"/>
  <c r="J107" i="17"/>
  <c r="K107" i="17" s="1"/>
  <c r="L106" i="17"/>
  <c r="M106" i="17"/>
  <c r="N106" i="17" s="1"/>
  <c r="I106" i="17"/>
  <c r="J106" i="17"/>
  <c r="K106" i="17" s="1"/>
  <c r="L105" i="17"/>
  <c r="M105" i="17"/>
  <c r="N105" i="17" s="1"/>
  <c r="I105" i="17"/>
  <c r="J105" i="17"/>
  <c r="K105" i="17" s="1"/>
  <c r="L104" i="17"/>
  <c r="M104" i="17"/>
  <c r="N104" i="17" s="1"/>
  <c r="I104" i="17"/>
  <c r="J104" i="17"/>
  <c r="K104" i="17" s="1"/>
  <c r="L103" i="17"/>
  <c r="M103" i="17"/>
  <c r="N103" i="17" s="1"/>
  <c r="I103" i="17"/>
  <c r="J103" i="17"/>
  <c r="K103" i="17" s="1"/>
  <c r="L102" i="17"/>
  <c r="M102" i="17"/>
  <c r="N102" i="17" s="1"/>
  <c r="I102" i="17"/>
  <c r="J102" i="17"/>
  <c r="K102" i="17" s="1"/>
  <c r="L101" i="17"/>
  <c r="M101" i="17"/>
  <c r="N101" i="17" s="1"/>
  <c r="I101" i="17"/>
  <c r="J101" i="17"/>
  <c r="K101" i="17" s="1"/>
  <c r="L100" i="17"/>
  <c r="M100" i="17"/>
  <c r="N100" i="17" s="1"/>
  <c r="I100" i="17"/>
  <c r="J100" i="17"/>
  <c r="K100" i="17" s="1"/>
  <c r="L99" i="17"/>
  <c r="M99" i="17"/>
  <c r="N99" i="17" s="1"/>
  <c r="I99" i="17"/>
  <c r="J99" i="17"/>
  <c r="K99" i="17" s="1"/>
  <c r="L98" i="17"/>
  <c r="M98" i="17"/>
  <c r="N98" i="17" s="1"/>
  <c r="I98" i="17"/>
  <c r="J98" i="17"/>
  <c r="K98" i="17" s="1"/>
  <c r="L97" i="17"/>
  <c r="M97" i="17"/>
  <c r="N97" i="17" s="1"/>
  <c r="I97" i="17"/>
  <c r="J97" i="17"/>
  <c r="K97" i="17" s="1"/>
  <c r="L96" i="17"/>
  <c r="M96" i="17"/>
  <c r="N96" i="17" s="1"/>
  <c r="I96" i="17"/>
  <c r="J96" i="17"/>
  <c r="K96" i="17" s="1"/>
  <c r="L95" i="17"/>
  <c r="M95" i="17"/>
  <c r="N95" i="17" s="1"/>
  <c r="I95" i="17"/>
  <c r="J95" i="17"/>
  <c r="K95" i="17" s="1"/>
  <c r="L94" i="17"/>
  <c r="M94" i="17"/>
  <c r="N94" i="17" s="1"/>
  <c r="I94" i="17"/>
  <c r="J94" i="17"/>
  <c r="K94" i="17" s="1"/>
  <c r="L93" i="17"/>
  <c r="M93" i="17"/>
  <c r="N93" i="17" s="1"/>
  <c r="I93" i="17"/>
  <c r="J93" i="17"/>
  <c r="K93" i="17" s="1"/>
  <c r="L92" i="17"/>
  <c r="M92" i="17"/>
  <c r="N92" i="17" s="1"/>
  <c r="I92" i="17"/>
  <c r="J92" i="17"/>
  <c r="K92" i="17" s="1"/>
  <c r="L91" i="17"/>
  <c r="M91" i="17"/>
  <c r="N91" i="17" s="1"/>
  <c r="I91" i="17"/>
  <c r="J91" i="17"/>
  <c r="K91" i="17" s="1"/>
  <c r="L90" i="17"/>
  <c r="M90" i="17"/>
  <c r="N90" i="17" s="1"/>
  <c r="I90" i="17"/>
  <c r="J90" i="17"/>
  <c r="K90" i="17" s="1"/>
  <c r="L89" i="17"/>
  <c r="M89" i="17"/>
  <c r="N89" i="17" s="1"/>
  <c r="I89" i="17"/>
  <c r="J89" i="17"/>
  <c r="K89" i="17" s="1"/>
  <c r="L88" i="17"/>
  <c r="M88" i="17"/>
  <c r="N88" i="17" s="1"/>
  <c r="I88" i="17"/>
  <c r="J88" i="17"/>
  <c r="K88" i="17" s="1"/>
  <c r="L87" i="17"/>
  <c r="M87" i="17"/>
  <c r="N87" i="17" s="1"/>
  <c r="I87" i="17"/>
  <c r="J87" i="17"/>
  <c r="K87" i="17" s="1"/>
  <c r="L86" i="17"/>
  <c r="M86" i="17"/>
  <c r="N86" i="17" s="1"/>
  <c r="I86" i="17"/>
  <c r="J86" i="17"/>
  <c r="K86" i="17" s="1"/>
  <c r="L85" i="17"/>
  <c r="M85" i="17"/>
  <c r="N85" i="17"/>
  <c r="I85" i="17"/>
  <c r="J85" i="17"/>
  <c r="K85" i="17"/>
  <c r="L84" i="17"/>
  <c r="M84" i="17"/>
  <c r="N84" i="17"/>
  <c r="I84" i="17"/>
  <c r="J84" i="17"/>
  <c r="K84" i="17"/>
  <c r="L83" i="17"/>
  <c r="M83" i="17"/>
  <c r="N83" i="17"/>
  <c r="I83" i="17"/>
  <c r="J83" i="17"/>
  <c r="K83" i="17"/>
  <c r="L82" i="17"/>
  <c r="M82" i="17"/>
  <c r="N82" i="17" s="1"/>
  <c r="I82" i="17"/>
  <c r="J82" i="17"/>
  <c r="K82" i="17" s="1"/>
  <c r="L81" i="17"/>
  <c r="M81" i="17"/>
  <c r="N81" i="17" s="1"/>
  <c r="I81" i="17"/>
  <c r="J81" i="17"/>
  <c r="K81" i="17" s="1"/>
  <c r="L80" i="17"/>
  <c r="M80" i="17"/>
  <c r="N80" i="17" s="1"/>
  <c r="I80" i="17"/>
  <c r="J80" i="17"/>
  <c r="K80" i="17" s="1"/>
  <c r="L79" i="17"/>
  <c r="M79" i="17"/>
  <c r="N79" i="17" s="1"/>
  <c r="I79" i="17"/>
  <c r="J79" i="17"/>
  <c r="K79" i="17" s="1"/>
  <c r="L78" i="17"/>
  <c r="M78" i="17"/>
  <c r="N78" i="17" s="1"/>
  <c r="I78" i="17"/>
  <c r="J78" i="17"/>
  <c r="K78" i="17" s="1"/>
  <c r="L77" i="17"/>
  <c r="M77" i="17"/>
  <c r="N77" i="17" s="1"/>
  <c r="I77" i="17"/>
  <c r="J77" i="17"/>
  <c r="K77" i="17" s="1"/>
  <c r="L76" i="17"/>
  <c r="M76" i="17"/>
  <c r="N76" i="17" s="1"/>
  <c r="I76" i="17"/>
  <c r="J76" i="17"/>
  <c r="K76" i="17" s="1"/>
  <c r="L75" i="17"/>
  <c r="M75" i="17"/>
  <c r="N75" i="17"/>
  <c r="I75" i="17"/>
  <c r="J75" i="17"/>
  <c r="K75" i="17" s="1"/>
  <c r="L74" i="17"/>
  <c r="M74" i="17"/>
  <c r="N74" i="17" s="1"/>
  <c r="I74" i="17"/>
  <c r="J74" i="17"/>
  <c r="K74" i="17" s="1"/>
  <c r="L73" i="17"/>
  <c r="M73" i="17"/>
  <c r="N73" i="17" s="1"/>
  <c r="I73" i="17"/>
  <c r="J73" i="17"/>
  <c r="K73" i="17" s="1"/>
  <c r="L72" i="17"/>
  <c r="M72" i="17"/>
  <c r="N72" i="17" s="1"/>
  <c r="I72" i="17"/>
  <c r="J72" i="17"/>
  <c r="K72" i="17" s="1"/>
  <c r="L71" i="17"/>
  <c r="M71" i="17"/>
  <c r="N71" i="17" s="1"/>
  <c r="I71" i="17"/>
  <c r="J71" i="17"/>
  <c r="K71" i="17" s="1"/>
  <c r="L70" i="17"/>
  <c r="M70" i="17"/>
  <c r="N70" i="17" s="1"/>
  <c r="I70" i="17"/>
  <c r="J70" i="17"/>
  <c r="K70" i="17" s="1"/>
  <c r="L69" i="17"/>
  <c r="M69" i="17"/>
  <c r="N69" i="17" s="1"/>
  <c r="I69" i="17"/>
  <c r="J69" i="17"/>
  <c r="K69" i="17" s="1"/>
  <c r="L68" i="17"/>
  <c r="M68" i="17"/>
  <c r="N68" i="17" s="1"/>
  <c r="I68" i="17"/>
  <c r="J68" i="17"/>
  <c r="K68" i="17" s="1"/>
  <c r="L67" i="17"/>
  <c r="M67" i="17"/>
  <c r="N67" i="17" s="1"/>
  <c r="I67" i="17"/>
  <c r="J67" i="17"/>
  <c r="K67" i="17" s="1"/>
  <c r="L66" i="17"/>
  <c r="M66" i="17"/>
  <c r="N66" i="17" s="1"/>
  <c r="I66" i="17"/>
  <c r="J66" i="17"/>
  <c r="K66" i="17" s="1"/>
  <c r="L65" i="17"/>
  <c r="M65" i="17"/>
  <c r="N65" i="17" s="1"/>
  <c r="I65" i="17"/>
  <c r="J65" i="17"/>
  <c r="K65" i="17" s="1"/>
  <c r="L64" i="17"/>
  <c r="M64" i="17"/>
  <c r="N64" i="17" s="1"/>
  <c r="I64" i="17"/>
  <c r="J64" i="17"/>
  <c r="K64" i="17" s="1"/>
  <c r="L63" i="17"/>
  <c r="M63" i="17"/>
  <c r="N63" i="17" s="1"/>
  <c r="I63" i="17"/>
  <c r="J63" i="17"/>
  <c r="K63" i="17" s="1"/>
  <c r="L62" i="17"/>
  <c r="M62" i="17"/>
  <c r="N62" i="17" s="1"/>
  <c r="I62" i="17"/>
  <c r="J62" i="17"/>
  <c r="K62" i="17" s="1"/>
  <c r="L61" i="17"/>
  <c r="M61" i="17"/>
  <c r="N61" i="17" s="1"/>
  <c r="I61" i="17"/>
  <c r="J61" i="17"/>
  <c r="K61" i="17" s="1"/>
  <c r="L60" i="17"/>
  <c r="M60" i="17"/>
  <c r="N60" i="17"/>
  <c r="I60" i="17"/>
  <c r="J60" i="17"/>
  <c r="K60" i="17"/>
  <c r="L59" i="17"/>
  <c r="M59" i="17"/>
  <c r="N59" i="17"/>
  <c r="I59" i="17"/>
  <c r="J59" i="17"/>
  <c r="K59" i="17"/>
  <c r="L58" i="17"/>
  <c r="M58" i="17"/>
  <c r="N58" i="17" s="1"/>
  <c r="I58" i="17"/>
  <c r="J58" i="17"/>
  <c r="K58" i="17" s="1"/>
  <c r="L57" i="17"/>
  <c r="M57" i="17"/>
  <c r="N57" i="17" s="1"/>
  <c r="I57" i="17"/>
  <c r="J57" i="17"/>
  <c r="K57" i="17" s="1"/>
  <c r="L56" i="17"/>
  <c r="M56" i="17"/>
  <c r="N56" i="17" s="1"/>
  <c r="I56" i="17"/>
  <c r="J56" i="17"/>
  <c r="K56" i="17" s="1"/>
  <c r="L55" i="17"/>
  <c r="M55" i="17"/>
  <c r="N55" i="17" s="1"/>
  <c r="I55" i="17"/>
  <c r="J55" i="17"/>
  <c r="K55" i="17" s="1"/>
  <c r="L54" i="17"/>
  <c r="M54" i="17"/>
  <c r="N54" i="17" s="1"/>
  <c r="I54" i="17"/>
  <c r="J54" i="17"/>
  <c r="K54" i="17" s="1"/>
  <c r="L53" i="17"/>
  <c r="M53" i="17"/>
  <c r="N53" i="17" s="1"/>
  <c r="I53" i="17"/>
  <c r="J53" i="17"/>
  <c r="K53" i="17" s="1"/>
  <c r="L52" i="17"/>
  <c r="M52" i="17"/>
  <c r="N52" i="17" s="1"/>
  <c r="I52" i="17"/>
  <c r="J52" i="17"/>
  <c r="K52" i="17" s="1"/>
  <c r="L51" i="17"/>
  <c r="M51" i="17"/>
  <c r="N51" i="17" s="1"/>
  <c r="I51" i="17"/>
  <c r="J51" i="17"/>
  <c r="K51" i="17" s="1"/>
  <c r="L50" i="17"/>
  <c r="M50" i="17"/>
  <c r="N50" i="17" s="1"/>
  <c r="I50" i="17"/>
  <c r="J50" i="17"/>
  <c r="K50" i="17" s="1"/>
  <c r="L49" i="17"/>
  <c r="M49" i="17"/>
  <c r="N49" i="17" s="1"/>
  <c r="I49" i="17"/>
  <c r="J49" i="17"/>
  <c r="K49" i="17" s="1"/>
  <c r="L48" i="17"/>
  <c r="M48" i="17"/>
  <c r="N48" i="17" s="1"/>
  <c r="I48" i="17"/>
  <c r="J48" i="17"/>
  <c r="K48" i="17" s="1"/>
  <c r="L47" i="17"/>
  <c r="M47" i="17"/>
  <c r="N47" i="17" s="1"/>
  <c r="I47" i="17"/>
  <c r="J47" i="17"/>
  <c r="K47" i="17" s="1"/>
  <c r="L46" i="17"/>
  <c r="M46" i="17"/>
  <c r="N46" i="17" s="1"/>
  <c r="I46" i="17"/>
  <c r="J46" i="17"/>
  <c r="K46" i="17" s="1"/>
  <c r="L45" i="17"/>
  <c r="M45" i="17"/>
  <c r="N45" i="17" s="1"/>
  <c r="I45" i="17"/>
  <c r="J45" i="17"/>
  <c r="K45" i="17" s="1"/>
  <c r="L44" i="17"/>
  <c r="M44" i="17"/>
  <c r="N44" i="17" s="1"/>
  <c r="I44" i="17"/>
  <c r="J44" i="17"/>
  <c r="K44" i="17" s="1"/>
  <c r="L43" i="17"/>
  <c r="M43" i="17"/>
  <c r="N43" i="17" s="1"/>
  <c r="I43" i="17"/>
  <c r="J43" i="17"/>
  <c r="K43" i="17" s="1"/>
  <c r="L42" i="17"/>
  <c r="M42" i="17"/>
  <c r="N42" i="17" s="1"/>
  <c r="I42" i="17"/>
  <c r="J42" i="17"/>
  <c r="K42" i="17" s="1"/>
  <c r="L41" i="17"/>
  <c r="M41" i="17"/>
  <c r="N41" i="17" s="1"/>
  <c r="I41" i="17"/>
  <c r="J41" i="17"/>
  <c r="K41" i="17" s="1"/>
  <c r="L40" i="17"/>
  <c r="M40" i="17"/>
  <c r="N40" i="17" s="1"/>
  <c r="I40" i="17"/>
  <c r="J40" i="17"/>
  <c r="K40" i="17" s="1"/>
  <c r="L39" i="17"/>
  <c r="M39" i="17"/>
  <c r="N39" i="17" s="1"/>
  <c r="I39" i="17"/>
  <c r="J39" i="17"/>
  <c r="K39" i="17" s="1"/>
  <c r="L38" i="17"/>
  <c r="M38" i="17"/>
  <c r="N38" i="17" s="1"/>
  <c r="I38" i="17"/>
  <c r="J38" i="17"/>
  <c r="K38" i="17" s="1"/>
  <c r="L37" i="17"/>
  <c r="M37" i="17"/>
  <c r="N37" i="17" s="1"/>
  <c r="I37" i="17"/>
  <c r="J37" i="17"/>
  <c r="K37" i="17" s="1"/>
  <c r="L36" i="17"/>
  <c r="M36" i="17"/>
  <c r="N36" i="17" s="1"/>
  <c r="I36" i="17"/>
  <c r="J36" i="17"/>
  <c r="K36" i="17" s="1"/>
  <c r="L35" i="17"/>
  <c r="M35" i="17"/>
  <c r="N35" i="17" s="1"/>
  <c r="I35" i="17"/>
  <c r="J35" i="17"/>
  <c r="K35" i="17" s="1"/>
  <c r="L34" i="17"/>
  <c r="M34" i="17"/>
  <c r="N34" i="17" s="1"/>
  <c r="I34" i="17"/>
  <c r="J34" i="17"/>
  <c r="K34" i="17" s="1"/>
  <c r="L33" i="17"/>
  <c r="M33" i="17"/>
  <c r="N33" i="17" s="1"/>
  <c r="I33" i="17"/>
  <c r="J33" i="17"/>
  <c r="K33" i="17" s="1"/>
  <c r="L32" i="17"/>
  <c r="M32" i="17"/>
  <c r="N32" i="17" s="1"/>
  <c r="I32" i="17"/>
  <c r="J32" i="17"/>
  <c r="K32" i="17" s="1"/>
  <c r="L31" i="17"/>
  <c r="M31" i="17"/>
  <c r="N31" i="17" s="1"/>
  <c r="I31" i="17"/>
  <c r="J31" i="17"/>
  <c r="K31" i="17" s="1"/>
  <c r="L30" i="17"/>
  <c r="M30" i="17"/>
  <c r="N30" i="17" s="1"/>
  <c r="I30" i="17"/>
  <c r="J30" i="17"/>
  <c r="K30" i="17" s="1"/>
  <c r="L29" i="17"/>
  <c r="M29" i="17"/>
  <c r="N29" i="17" s="1"/>
  <c r="I29" i="17"/>
  <c r="J29" i="17"/>
  <c r="K29" i="17" s="1"/>
  <c r="L28" i="17"/>
  <c r="M28" i="17"/>
  <c r="N28" i="17" s="1"/>
  <c r="I28" i="17"/>
  <c r="J28" i="17"/>
  <c r="K28" i="17" s="1"/>
  <c r="L27" i="17"/>
  <c r="M27" i="17"/>
  <c r="N27" i="17" s="1"/>
  <c r="I27" i="17"/>
  <c r="J27" i="17"/>
  <c r="K27" i="17" s="1"/>
  <c r="L26" i="17"/>
  <c r="M26" i="17"/>
  <c r="N26" i="17" s="1"/>
  <c r="I26" i="17"/>
  <c r="J26" i="17"/>
  <c r="K26" i="17" s="1"/>
  <c r="L25" i="17"/>
  <c r="M25" i="17"/>
  <c r="N25" i="17" s="1"/>
  <c r="I25" i="17"/>
  <c r="J25" i="17"/>
  <c r="K25" i="17" s="1"/>
  <c r="L24" i="17"/>
  <c r="M24" i="17"/>
  <c r="N24" i="17"/>
  <c r="I24" i="17"/>
  <c r="J24" i="17"/>
  <c r="K24" i="17"/>
  <c r="L23" i="17"/>
  <c r="M23" i="17"/>
  <c r="N23" i="17" s="1"/>
  <c r="I23" i="17"/>
  <c r="J23" i="17"/>
  <c r="K23" i="17" s="1"/>
  <c r="L22" i="17"/>
  <c r="M22" i="17"/>
  <c r="N22" i="17" s="1"/>
  <c r="I22" i="17"/>
  <c r="J22" i="17"/>
  <c r="K22" i="17" s="1"/>
  <c r="L21" i="17"/>
  <c r="M21" i="17"/>
  <c r="N21" i="17" s="1"/>
  <c r="I21" i="17"/>
  <c r="J21" i="17"/>
  <c r="K21" i="17" s="1"/>
  <c r="L20" i="17"/>
  <c r="M20" i="17"/>
  <c r="N20" i="17" s="1"/>
  <c r="I20" i="17"/>
  <c r="J20" i="17"/>
  <c r="K20" i="17" s="1"/>
  <c r="L19" i="17"/>
  <c r="M19" i="17"/>
  <c r="N19" i="17" s="1"/>
  <c r="I19" i="17"/>
  <c r="J19" i="17"/>
  <c r="K19" i="17" s="1"/>
  <c r="L18" i="17"/>
  <c r="M18" i="17"/>
  <c r="N18" i="17" s="1"/>
  <c r="I18" i="17"/>
  <c r="J18" i="17"/>
  <c r="K18" i="17" s="1"/>
  <c r="L17" i="17"/>
  <c r="M17" i="17"/>
  <c r="N17" i="17" s="1"/>
  <c r="I17" i="17"/>
  <c r="J17" i="17"/>
  <c r="K17" i="17" s="1"/>
  <c r="L16" i="17"/>
  <c r="M16" i="17"/>
  <c r="N16" i="17" s="1"/>
  <c r="I16" i="17"/>
  <c r="J16" i="17"/>
  <c r="K16" i="17" s="1"/>
  <c r="L15" i="17"/>
  <c r="M15" i="17"/>
  <c r="N15" i="17" s="1"/>
  <c r="I15" i="17"/>
  <c r="J15" i="17"/>
  <c r="K15" i="17" s="1"/>
  <c r="L14" i="17"/>
  <c r="M14" i="17"/>
  <c r="N14" i="17" s="1"/>
  <c r="I14" i="17"/>
  <c r="J14" i="17"/>
  <c r="K14" i="17" s="1"/>
  <c r="L13" i="17"/>
  <c r="M13" i="17"/>
  <c r="N13" i="17" s="1"/>
  <c r="I13" i="17"/>
  <c r="J13" i="17"/>
  <c r="K13" i="17" s="1"/>
  <c r="L12" i="17"/>
  <c r="M12" i="17"/>
  <c r="N12" i="17" s="1"/>
  <c r="I12" i="17"/>
  <c r="J12" i="17"/>
  <c r="K12" i="17" s="1"/>
  <c r="L11" i="17"/>
  <c r="M11" i="17"/>
  <c r="N11" i="17" s="1"/>
  <c r="I11" i="17"/>
  <c r="J11" i="17"/>
  <c r="K11" i="17" s="1"/>
  <c r="L10" i="17"/>
  <c r="M10" i="17"/>
  <c r="N10" i="17" s="1"/>
  <c r="I10" i="17"/>
  <c r="J10" i="17"/>
  <c r="K10" i="17" s="1"/>
  <c r="L9" i="17"/>
  <c r="M9" i="17"/>
  <c r="N9" i="17" s="1"/>
  <c r="I9" i="17"/>
  <c r="J9" i="17"/>
  <c r="K9" i="17" s="1"/>
  <c r="L8" i="17"/>
  <c r="M8" i="17"/>
  <c r="N8" i="17" s="1"/>
  <c r="I8" i="17"/>
  <c r="J8" i="17"/>
  <c r="K8" i="17" s="1"/>
  <c r="L7" i="17"/>
  <c r="M7" i="17"/>
  <c r="N7" i="17" s="1"/>
  <c r="I7" i="17"/>
  <c r="J7" i="17"/>
  <c r="K7" i="17" s="1"/>
  <c r="L6" i="17"/>
  <c r="M6" i="17"/>
  <c r="N6" i="17" s="1"/>
  <c r="I6" i="17"/>
  <c r="J6" i="17"/>
  <c r="K6" i="17" s="1"/>
  <c r="I139" i="18"/>
  <c r="J139" i="18"/>
  <c r="K139" i="18" s="1"/>
  <c r="L139" i="18"/>
  <c r="M139" i="18"/>
  <c r="N139" i="18"/>
  <c r="I140" i="18"/>
  <c r="J140" i="18"/>
  <c r="K140" i="18" s="1"/>
  <c r="L140" i="18"/>
  <c r="M140" i="18"/>
  <c r="N140" i="18"/>
  <c r="I141" i="18"/>
  <c r="J141" i="18"/>
  <c r="K141" i="18" s="1"/>
  <c r="L141" i="18"/>
  <c r="M141" i="18"/>
  <c r="N141" i="18"/>
  <c r="I142" i="18"/>
  <c r="J142" i="18"/>
  <c r="K142" i="18" s="1"/>
  <c r="L142" i="18"/>
  <c r="M142" i="18"/>
  <c r="N142" i="18"/>
  <c r="I143" i="18"/>
  <c r="J143" i="18"/>
  <c r="K143" i="18" s="1"/>
  <c r="L143" i="18"/>
  <c r="M143" i="18"/>
  <c r="N143" i="18"/>
  <c r="I144" i="18"/>
  <c r="J144" i="18"/>
  <c r="K144" i="18" s="1"/>
  <c r="L144" i="18"/>
  <c r="M144" i="18"/>
  <c r="N144" i="18"/>
  <c r="I145" i="18"/>
  <c r="J145" i="18"/>
  <c r="K145" i="18" s="1"/>
  <c r="L145" i="18"/>
  <c r="M145" i="18"/>
  <c r="N145" i="18"/>
  <c r="I146" i="18"/>
  <c r="J146" i="18"/>
  <c r="K146" i="18" s="1"/>
  <c r="L146" i="18"/>
  <c r="M146" i="18"/>
  <c r="N146" i="18"/>
  <c r="I147" i="18"/>
  <c r="J147" i="18"/>
  <c r="K147" i="18" s="1"/>
  <c r="L147" i="18"/>
  <c r="M147" i="18"/>
  <c r="N147" i="18"/>
  <c r="I148" i="18"/>
  <c r="J148" i="18"/>
  <c r="K148" i="18" s="1"/>
  <c r="L148" i="18"/>
  <c r="M148" i="18"/>
  <c r="N148" i="18"/>
  <c r="I149" i="18"/>
  <c r="J149" i="18"/>
  <c r="K149" i="18" s="1"/>
  <c r="L149" i="18"/>
  <c r="M149" i="18"/>
  <c r="N149" i="18"/>
  <c r="I150" i="18"/>
  <c r="J150" i="18"/>
  <c r="K150" i="18" s="1"/>
  <c r="L150" i="18"/>
  <c r="M150" i="18"/>
  <c r="N150" i="18"/>
  <c r="I151" i="18"/>
  <c r="J151" i="18"/>
  <c r="K151" i="18" s="1"/>
  <c r="L151" i="18"/>
  <c r="M151" i="18"/>
  <c r="N151" i="18"/>
  <c r="I152" i="18"/>
  <c r="J152" i="18"/>
  <c r="K152" i="18" s="1"/>
  <c r="L152" i="18"/>
  <c r="M152" i="18"/>
  <c r="N152" i="18"/>
  <c r="I153" i="18"/>
  <c r="J153" i="18"/>
  <c r="K153" i="18" s="1"/>
  <c r="L153" i="18"/>
  <c r="M153" i="18"/>
  <c r="N153" i="18"/>
  <c r="I154" i="18"/>
  <c r="J154" i="18"/>
  <c r="K154" i="18" s="1"/>
  <c r="L154" i="18"/>
  <c r="M154" i="18"/>
  <c r="N154" i="18"/>
  <c r="I155" i="18"/>
  <c r="J155" i="18"/>
  <c r="K155" i="18" s="1"/>
  <c r="L155" i="18"/>
  <c r="M155" i="18"/>
  <c r="N155" i="18"/>
  <c r="I156" i="18"/>
  <c r="J156" i="18"/>
  <c r="K156" i="18" s="1"/>
  <c r="L156" i="18"/>
  <c r="M156" i="18"/>
  <c r="N156" i="18"/>
  <c r="I157" i="18"/>
  <c r="J157" i="18"/>
  <c r="K157" i="18" s="1"/>
  <c r="L157" i="18"/>
  <c r="M157" i="18"/>
  <c r="N157" i="18"/>
  <c r="I158" i="18"/>
  <c r="J158" i="18"/>
  <c r="K158" i="18" s="1"/>
  <c r="L158" i="18"/>
  <c r="M158" i="18"/>
  <c r="N158" i="18"/>
  <c r="I159" i="18"/>
  <c r="J159" i="18"/>
  <c r="K159" i="18" s="1"/>
  <c r="L159" i="18"/>
  <c r="M159" i="18"/>
  <c r="N159" i="18"/>
  <c r="I160" i="18"/>
  <c r="J160" i="18"/>
  <c r="K160" i="18" s="1"/>
  <c r="L160" i="18"/>
  <c r="M160" i="18"/>
  <c r="N160" i="18"/>
  <c r="I161" i="18"/>
  <c r="J161" i="18"/>
  <c r="K161" i="18" s="1"/>
  <c r="L161" i="18"/>
  <c r="M161" i="18"/>
  <c r="N161" i="18"/>
  <c r="I162" i="18"/>
  <c r="J162" i="18"/>
  <c r="K162" i="18" s="1"/>
  <c r="L162" i="18"/>
  <c r="M162" i="18"/>
  <c r="N162" i="18"/>
  <c r="I163" i="18"/>
  <c r="J163" i="18"/>
  <c r="K163" i="18" s="1"/>
  <c r="L163" i="18"/>
  <c r="M163" i="18"/>
  <c r="N163" i="18"/>
  <c r="I164" i="18"/>
  <c r="J164" i="18"/>
  <c r="K164" i="18" s="1"/>
  <c r="L164" i="18"/>
  <c r="M164" i="18"/>
  <c r="N164" i="18"/>
  <c r="I165" i="18"/>
  <c r="J165" i="18"/>
  <c r="K165" i="18" s="1"/>
  <c r="L165" i="18"/>
  <c r="M165" i="18"/>
  <c r="N165" i="18"/>
  <c r="I166" i="18"/>
  <c r="J166" i="18"/>
  <c r="K166" i="18" s="1"/>
  <c r="L166" i="18"/>
  <c r="M166" i="18"/>
  <c r="N166" i="18"/>
  <c r="I167" i="18"/>
  <c r="J167" i="18"/>
  <c r="K167" i="18" s="1"/>
  <c r="L167" i="18"/>
  <c r="M167" i="18"/>
  <c r="N167" i="18"/>
  <c r="I168" i="18"/>
  <c r="J168" i="18"/>
  <c r="K168" i="18" s="1"/>
  <c r="L168" i="18"/>
  <c r="M168" i="18"/>
  <c r="N168" i="18"/>
  <c r="I169" i="18"/>
  <c r="J169" i="18"/>
  <c r="K169" i="18" s="1"/>
  <c r="L169" i="18"/>
  <c r="M169" i="18"/>
  <c r="N169" i="18"/>
  <c r="I170" i="18"/>
  <c r="J170" i="18"/>
  <c r="K170" i="18" s="1"/>
  <c r="L170" i="18"/>
  <c r="M170" i="18"/>
  <c r="N170" i="18"/>
  <c r="I171" i="18"/>
  <c r="J171" i="18"/>
  <c r="K171" i="18" s="1"/>
  <c r="L171" i="18"/>
  <c r="M171" i="18"/>
  <c r="N171" i="18"/>
  <c r="I172" i="18"/>
  <c r="J172" i="18"/>
  <c r="K172" i="18" s="1"/>
  <c r="L172" i="18"/>
  <c r="M172" i="18"/>
  <c r="N172" i="18"/>
  <c r="I173" i="18"/>
  <c r="J173" i="18"/>
  <c r="K173" i="18" s="1"/>
  <c r="L173" i="18"/>
  <c r="M173" i="18"/>
  <c r="N173" i="18"/>
  <c r="I174" i="18"/>
  <c r="J174" i="18"/>
  <c r="K174" i="18" s="1"/>
  <c r="L174" i="18"/>
  <c r="M174" i="18"/>
  <c r="N174" i="18"/>
  <c r="I175" i="18"/>
  <c r="J175" i="18"/>
  <c r="K175" i="18" s="1"/>
  <c r="L175" i="18"/>
  <c r="M175" i="18"/>
  <c r="N175" i="18"/>
  <c r="I176" i="18"/>
  <c r="J176" i="18"/>
  <c r="K176" i="18" s="1"/>
  <c r="L176" i="18"/>
  <c r="M176" i="18"/>
  <c r="N176" i="18"/>
  <c r="I177" i="18"/>
  <c r="J177" i="18"/>
  <c r="K177" i="18" s="1"/>
  <c r="L177" i="18"/>
  <c r="M177" i="18"/>
  <c r="N177" i="18"/>
  <c r="I178" i="18"/>
  <c r="J178" i="18"/>
  <c r="K178" i="18" s="1"/>
  <c r="L178" i="18"/>
  <c r="M178" i="18"/>
  <c r="N178" i="18"/>
  <c r="I179" i="18"/>
  <c r="J179" i="18"/>
  <c r="K179" i="18" s="1"/>
  <c r="L179" i="18"/>
  <c r="M179" i="18"/>
  <c r="N179" i="18"/>
  <c r="I180" i="18"/>
  <c r="J180" i="18"/>
  <c r="K180" i="18" s="1"/>
  <c r="L180" i="18"/>
  <c r="M180" i="18"/>
  <c r="N180" i="18"/>
  <c r="I181" i="18"/>
  <c r="J181" i="18"/>
  <c r="K181" i="18" s="1"/>
  <c r="L181" i="18"/>
  <c r="M181" i="18"/>
  <c r="N181" i="18"/>
  <c r="I182" i="18"/>
  <c r="J182" i="18"/>
  <c r="K182" i="18" s="1"/>
  <c r="L182" i="18"/>
  <c r="M182" i="18"/>
  <c r="N182" i="18"/>
  <c r="I183" i="18"/>
  <c r="J183" i="18"/>
  <c r="K183" i="18" s="1"/>
  <c r="L183" i="18"/>
  <c r="M183" i="18"/>
  <c r="N183" i="18"/>
  <c r="I184" i="18"/>
  <c r="J184" i="18"/>
  <c r="K184" i="18" s="1"/>
  <c r="L184" i="18"/>
  <c r="M184" i="18"/>
  <c r="N184" i="18"/>
  <c r="I185" i="18"/>
  <c r="J185" i="18"/>
  <c r="K185" i="18" s="1"/>
  <c r="L185" i="18"/>
  <c r="M185" i="18"/>
  <c r="N185" i="18"/>
  <c r="I186" i="18"/>
  <c r="J186" i="18"/>
  <c r="K186" i="18" s="1"/>
  <c r="L186" i="18"/>
  <c r="M186" i="18"/>
  <c r="N186" i="18"/>
  <c r="I187" i="18"/>
  <c r="J187" i="18"/>
  <c r="K187" i="18" s="1"/>
  <c r="L187" i="18"/>
  <c r="M187" i="18"/>
  <c r="N187" i="18"/>
  <c r="I188" i="18"/>
  <c r="J188" i="18"/>
  <c r="K188" i="18" s="1"/>
  <c r="L188" i="18"/>
  <c r="M188" i="18"/>
  <c r="N188" i="18"/>
  <c r="I189" i="18"/>
  <c r="J189" i="18"/>
  <c r="K189" i="18" s="1"/>
  <c r="L189" i="18"/>
  <c r="M189" i="18"/>
  <c r="N189" i="18"/>
  <c r="I190" i="18"/>
  <c r="J190" i="18"/>
  <c r="K190" i="18" s="1"/>
  <c r="L190" i="18"/>
  <c r="M190" i="18"/>
  <c r="N190" i="18"/>
  <c r="I191" i="18"/>
  <c r="J191" i="18"/>
  <c r="K191" i="18" s="1"/>
  <c r="L191" i="18"/>
  <c r="M191" i="18"/>
  <c r="N191" i="18"/>
  <c r="I192" i="18"/>
  <c r="J192" i="18"/>
  <c r="K192" i="18" s="1"/>
  <c r="L192" i="18"/>
  <c r="M192" i="18"/>
  <c r="N192" i="18"/>
  <c r="I193" i="18"/>
  <c r="J193" i="18"/>
  <c r="K193" i="18" s="1"/>
  <c r="L193" i="18"/>
  <c r="M193" i="18"/>
  <c r="N193" i="18"/>
  <c r="I194" i="18"/>
  <c r="J194" i="18"/>
  <c r="K194" i="18" s="1"/>
  <c r="L194" i="18"/>
  <c r="M194" i="18"/>
  <c r="N194" i="18"/>
  <c r="I195" i="18"/>
  <c r="J195" i="18"/>
  <c r="K195" i="18" s="1"/>
  <c r="L195" i="18"/>
  <c r="M195" i="18"/>
  <c r="N195" i="18"/>
  <c r="I196" i="18"/>
  <c r="J196" i="18"/>
  <c r="K196" i="18" s="1"/>
  <c r="L196" i="18"/>
  <c r="M196" i="18"/>
  <c r="N196" i="18"/>
  <c r="I197" i="18"/>
  <c r="J197" i="18"/>
  <c r="K197" i="18" s="1"/>
  <c r="L197" i="18"/>
  <c r="M197" i="18"/>
  <c r="N197" i="18"/>
  <c r="I198" i="18"/>
  <c r="J198" i="18"/>
  <c r="K198" i="18" s="1"/>
  <c r="L198" i="18"/>
  <c r="M198" i="18"/>
  <c r="N198" i="18"/>
  <c r="I199" i="18"/>
  <c r="J199" i="18"/>
  <c r="K199" i="18" s="1"/>
  <c r="L199" i="18"/>
  <c r="M199" i="18"/>
  <c r="N199" i="18"/>
  <c r="I200" i="18"/>
  <c r="J200" i="18"/>
  <c r="K200" i="18" s="1"/>
  <c r="L200" i="18"/>
  <c r="M200" i="18"/>
  <c r="N200" i="18"/>
  <c r="I201" i="18"/>
  <c r="J201" i="18"/>
  <c r="K201" i="18" s="1"/>
  <c r="L201" i="18"/>
  <c r="M201" i="18"/>
  <c r="N201" i="18"/>
  <c r="I202" i="18"/>
  <c r="J202" i="18"/>
  <c r="K202" i="18" s="1"/>
  <c r="L202" i="18"/>
  <c r="M202" i="18"/>
  <c r="N202" i="18"/>
  <c r="I203" i="18"/>
  <c r="J203" i="18"/>
  <c r="K203" i="18" s="1"/>
  <c r="L203" i="18"/>
  <c r="M203" i="18"/>
  <c r="N203" i="18"/>
  <c r="I204" i="18"/>
  <c r="J204" i="18"/>
  <c r="K204" i="18" s="1"/>
  <c r="L204" i="18"/>
  <c r="M204" i="18"/>
  <c r="N204" i="18"/>
  <c r="I205" i="18"/>
  <c r="J205" i="18"/>
  <c r="K205" i="18" s="1"/>
  <c r="L205" i="18"/>
  <c r="M205" i="18"/>
  <c r="N205" i="18"/>
  <c r="I206" i="18"/>
  <c r="J206" i="18"/>
  <c r="K206" i="18" s="1"/>
  <c r="L206" i="18"/>
  <c r="M206" i="18"/>
  <c r="N206" i="18"/>
  <c r="I207" i="18"/>
  <c r="J207" i="18"/>
  <c r="K207" i="18" s="1"/>
  <c r="L207" i="18"/>
  <c r="M207" i="18"/>
  <c r="N207" i="18"/>
  <c r="I208" i="18"/>
  <c r="J208" i="18"/>
  <c r="K208" i="18" s="1"/>
  <c r="L208" i="18"/>
  <c r="M208" i="18"/>
  <c r="N208" i="18"/>
  <c r="I209" i="18"/>
  <c r="J209" i="18"/>
  <c r="K209" i="18" s="1"/>
  <c r="L209" i="18"/>
  <c r="M209" i="18"/>
  <c r="N209" i="18"/>
  <c r="I210" i="18"/>
  <c r="J210" i="18"/>
  <c r="K210" i="18" s="1"/>
  <c r="L210" i="18"/>
  <c r="M210" i="18"/>
  <c r="N210" i="18"/>
  <c r="I211" i="18"/>
  <c r="J211" i="18"/>
  <c r="K211" i="18" s="1"/>
  <c r="L211" i="18"/>
  <c r="M211" i="18"/>
  <c r="N211" i="18"/>
  <c r="I212" i="18"/>
  <c r="J212" i="18"/>
  <c r="K212" i="18" s="1"/>
  <c r="L212" i="18"/>
  <c r="M212" i="18"/>
  <c r="N212" i="18"/>
  <c r="I213" i="18"/>
  <c r="J213" i="18"/>
  <c r="K213" i="18" s="1"/>
  <c r="L213" i="18"/>
  <c r="M213" i="18"/>
  <c r="N213" i="18"/>
  <c r="I214" i="18"/>
  <c r="J214" i="18"/>
  <c r="K214" i="18" s="1"/>
  <c r="L214" i="18"/>
  <c r="M214" i="18"/>
  <c r="N214" i="18"/>
  <c r="I215" i="18"/>
  <c r="J215" i="18"/>
  <c r="K215" i="18" s="1"/>
  <c r="L215" i="18"/>
  <c r="M215" i="18"/>
  <c r="N215" i="18"/>
  <c r="I216" i="18"/>
  <c r="J216" i="18"/>
  <c r="K216" i="18" s="1"/>
  <c r="L216" i="18"/>
  <c r="M216" i="18"/>
  <c r="N216" i="18"/>
  <c r="I217" i="18"/>
  <c r="J217" i="18"/>
  <c r="K217" i="18" s="1"/>
  <c r="L217" i="18"/>
  <c r="M217" i="18"/>
  <c r="N217" i="18"/>
  <c r="I218" i="18"/>
  <c r="J218" i="18"/>
  <c r="K218" i="18" s="1"/>
  <c r="L218" i="18"/>
  <c r="M218" i="18"/>
  <c r="N218" i="18"/>
  <c r="I219" i="18"/>
  <c r="J219" i="18"/>
  <c r="K219" i="18" s="1"/>
  <c r="L219" i="18"/>
  <c r="M219" i="18"/>
  <c r="N219" i="18"/>
  <c r="I220" i="18"/>
  <c r="J220" i="18"/>
  <c r="K220" i="18" s="1"/>
  <c r="L220" i="18"/>
  <c r="M220" i="18"/>
  <c r="N220" i="18"/>
  <c r="I221" i="18"/>
  <c r="J221" i="18"/>
  <c r="K221" i="18"/>
  <c r="L221" i="18"/>
  <c r="M221" i="18"/>
  <c r="N221" i="18"/>
  <c r="I222" i="18"/>
  <c r="J222" i="18"/>
  <c r="K222" i="18"/>
  <c r="L222" i="18"/>
  <c r="M222" i="18"/>
  <c r="N222" i="18"/>
  <c r="I223" i="18"/>
  <c r="J223" i="18"/>
  <c r="K223" i="18"/>
  <c r="L223" i="18"/>
  <c r="M223" i="18"/>
  <c r="N223" i="18"/>
  <c r="I224" i="18"/>
  <c r="J224" i="18"/>
  <c r="K224" i="18"/>
  <c r="L224" i="18"/>
  <c r="M224" i="18"/>
  <c r="N224" i="18"/>
  <c r="I225" i="18"/>
  <c r="J225" i="18"/>
  <c r="K225" i="18"/>
  <c r="L225" i="18"/>
  <c r="M225" i="18"/>
  <c r="N225" i="18"/>
  <c r="I226" i="18"/>
  <c r="J226" i="18"/>
  <c r="K226" i="18"/>
  <c r="L226" i="18"/>
  <c r="M226" i="18"/>
  <c r="N226" i="18"/>
  <c r="I227" i="18"/>
  <c r="J227" i="18"/>
  <c r="K227" i="18"/>
  <c r="L227" i="18"/>
  <c r="M227" i="18"/>
  <c r="N227" i="18"/>
  <c r="I228" i="18"/>
  <c r="J228" i="18"/>
  <c r="K228" i="18"/>
  <c r="L228" i="18"/>
  <c r="M228" i="18"/>
  <c r="N228" i="18"/>
  <c r="I229" i="18"/>
  <c r="J229" i="18"/>
  <c r="K229" i="18"/>
  <c r="L229" i="18"/>
  <c r="M229" i="18"/>
  <c r="N229" i="18"/>
  <c r="I230" i="18"/>
  <c r="J230" i="18"/>
  <c r="K230" i="18"/>
  <c r="L230" i="18"/>
  <c r="M230" i="18"/>
  <c r="N230" i="18"/>
  <c r="I231" i="18"/>
  <c r="J231" i="18"/>
  <c r="K231" i="18"/>
  <c r="L231" i="18"/>
  <c r="M231" i="18"/>
  <c r="N231" i="18"/>
  <c r="I232" i="18"/>
  <c r="J232" i="18"/>
  <c r="K232" i="18"/>
  <c r="L232" i="18"/>
  <c r="M232" i="18"/>
  <c r="N232" i="18"/>
  <c r="I233" i="18"/>
  <c r="J233" i="18"/>
  <c r="K233" i="18"/>
  <c r="L233" i="18"/>
  <c r="M233" i="18"/>
  <c r="N233" i="18"/>
  <c r="I234" i="18"/>
  <c r="J234" i="18"/>
  <c r="K234" i="18"/>
  <c r="L234" i="18"/>
  <c r="M234" i="18"/>
  <c r="N234" i="18"/>
  <c r="I235" i="18"/>
  <c r="J235" i="18"/>
  <c r="K235" i="18"/>
  <c r="L235" i="18"/>
  <c r="M235" i="18"/>
  <c r="N235" i="18"/>
  <c r="I236" i="18"/>
  <c r="J236" i="18"/>
  <c r="K236" i="18"/>
  <c r="L236" i="18"/>
  <c r="M236" i="18"/>
  <c r="N236" i="18"/>
  <c r="I237" i="18"/>
  <c r="J237" i="18"/>
  <c r="K237" i="18"/>
  <c r="L237" i="18"/>
  <c r="M237" i="18"/>
  <c r="N237" i="18"/>
  <c r="I238" i="18"/>
  <c r="J238" i="18"/>
  <c r="K238" i="18"/>
  <c r="L238" i="18"/>
  <c r="M238" i="18"/>
  <c r="N238" i="18"/>
  <c r="I239" i="18"/>
  <c r="J239" i="18"/>
  <c r="K239" i="18"/>
  <c r="L239" i="18"/>
  <c r="M239" i="18"/>
  <c r="N239" i="18"/>
  <c r="I240" i="18"/>
  <c r="J240" i="18"/>
  <c r="K240" i="18"/>
  <c r="L240" i="18"/>
  <c r="M240" i="18"/>
  <c r="N240" i="18"/>
  <c r="I241" i="18"/>
  <c r="J241" i="18"/>
  <c r="K241" i="18"/>
  <c r="L241" i="18"/>
  <c r="M241" i="18"/>
  <c r="N241" i="18"/>
  <c r="I242" i="18"/>
  <c r="J242" i="18"/>
  <c r="K242" i="18"/>
  <c r="L242" i="18"/>
  <c r="M242" i="18"/>
  <c r="N242" i="18"/>
  <c r="I243" i="18"/>
  <c r="J243" i="18"/>
  <c r="K243" i="18"/>
  <c r="L243" i="18"/>
  <c r="M243" i="18"/>
  <c r="N243" i="18"/>
  <c r="I244" i="18"/>
  <c r="J244" i="18"/>
  <c r="K244" i="18"/>
  <c r="L244" i="18"/>
  <c r="M244" i="18"/>
  <c r="N244" i="18"/>
  <c r="I245" i="18"/>
  <c r="J245" i="18"/>
  <c r="K245" i="18"/>
  <c r="L245" i="18"/>
  <c r="M245" i="18"/>
  <c r="N245" i="18"/>
  <c r="I246" i="18"/>
  <c r="J246" i="18"/>
  <c r="K246" i="18"/>
  <c r="L246" i="18"/>
  <c r="M246" i="18"/>
  <c r="N246" i="18"/>
  <c r="I247" i="18"/>
  <c r="J247" i="18"/>
  <c r="K247" i="18"/>
  <c r="L247" i="18"/>
  <c r="M247" i="18"/>
  <c r="N247" i="18"/>
  <c r="I248" i="18"/>
  <c r="J248" i="18"/>
  <c r="K248" i="18"/>
  <c r="L248" i="18"/>
  <c r="M248" i="18"/>
  <c r="N248" i="18"/>
  <c r="I249" i="18"/>
  <c r="J249" i="18"/>
  <c r="K249" i="18"/>
  <c r="L249" i="18"/>
  <c r="M249" i="18"/>
  <c r="N249" i="18"/>
  <c r="I250" i="18"/>
  <c r="J250" i="18"/>
  <c r="K250" i="18"/>
  <c r="L250" i="18"/>
  <c r="M250" i="18"/>
  <c r="N250" i="18"/>
  <c r="I251" i="18"/>
  <c r="J251" i="18"/>
  <c r="K251" i="18"/>
  <c r="L251" i="18"/>
  <c r="M251" i="18"/>
  <c r="N251" i="18"/>
  <c r="I252" i="18"/>
  <c r="J252" i="18"/>
  <c r="K252" i="18"/>
  <c r="L252" i="18"/>
  <c r="M252" i="18"/>
  <c r="N252" i="18"/>
  <c r="I253" i="18"/>
  <c r="J253" i="18"/>
  <c r="K253" i="18"/>
  <c r="L253" i="18"/>
  <c r="M253" i="18"/>
  <c r="N253" i="18"/>
  <c r="I254" i="18"/>
  <c r="J254" i="18"/>
  <c r="K254" i="18"/>
  <c r="L254" i="18"/>
  <c r="M254" i="18"/>
  <c r="N254" i="18"/>
  <c r="I255" i="18"/>
  <c r="J255" i="18"/>
  <c r="K255" i="18"/>
  <c r="L255" i="18"/>
  <c r="M255" i="18"/>
  <c r="N255" i="18"/>
  <c r="I256" i="18"/>
  <c r="J256" i="18"/>
  <c r="K256" i="18"/>
  <c r="L256" i="18"/>
  <c r="M256" i="18"/>
  <c r="N256" i="18"/>
  <c r="I257" i="18"/>
  <c r="J257" i="18"/>
  <c r="K257" i="18"/>
  <c r="L257" i="18"/>
  <c r="M257" i="18"/>
  <c r="N257" i="18"/>
  <c r="I258" i="18"/>
  <c r="J258" i="18"/>
  <c r="K258" i="18"/>
  <c r="L258" i="18"/>
  <c r="M258" i="18"/>
  <c r="N258" i="18"/>
  <c r="I259" i="18"/>
  <c r="J259" i="18"/>
  <c r="K259" i="18"/>
  <c r="L259" i="18"/>
  <c r="M259" i="18"/>
  <c r="N259" i="18"/>
  <c r="I260" i="18"/>
  <c r="J260" i="18"/>
  <c r="K260" i="18"/>
  <c r="L260" i="18"/>
  <c r="M260" i="18"/>
  <c r="N260" i="18"/>
  <c r="I261" i="18"/>
  <c r="J261" i="18"/>
  <c r="K261" i="18"/>
  <c r="L261" i="18"/>
  <c r="M261" i="18"/>
  <c r="N261" i="18"/>
  <c r="I262" i="18"/>
  <c r="J262" i="18"/>
  <c r="K262" i="18"/>
  <c r="L262" i="18"/>
  <c r="M262" i="18"/>
  <c r="N262" i="18"/>
  <c r="I263" i="18"/>
  <c r="J263" i="18"/>
  <c r="K263" i="18"/>
  <c r="L263" i="18"/>
  <c r="M263" i="18"/>
  <c r="N263" i="18"/>
  <c r="I264" i="18"/>
  <c r="J264" i="18"/>
  <c r="K264" i="18"/>
  <c r="L264" i="18"/>
  <c r="M264" i="18"/>
  <c r="N264" i="18"/>
  <c r="I265" i="18"/>
  <c r="J265" i="18"/>
  <c r="K265" i="18"/>
  <c r="L265" i="18"/>
  <c r="M265" i="18"/>
  <c r="N265" i="18"/>
  <c r="I266" i="18"/>
  <c r="J266" i="18"/>
  <c r="K266" i="18"/>
  <c r="L266" i="18"/>
  <c r="M266" i="18"/>
  <c r="N266" i="18"/>
  <c r="I267" i="18"/>
  <c r="J267" i="18"/>
  <c r="K267" i="18"/>
  <c r="L267" i="18"/>
  <c r="M267" i="18"/>
  <c r="N267" i="18"/>
  <c r="I268" i="18"/>
  <c r="J268" i="18"/>
  <c r="K268" i="18"/>
  <c r="L268" i="18"/>
  <c r="M268" i="18"/>
  <c r="N268" i="18"/>
  <c r="I269" i="18"/>
  <c r="J269" i="18"/>
  <c r="K269" i="18"/>
  <c r="L269" i="18"/>
  <c r="M269" i="18"/>
  <c r="N269" i="18"/>
  <c r="I270" i="18"/>
  <c r="J270" i="18"/>
  <c r="K270" i="18"/>
  <c r="L270" i="18"/>
  <c r="M270" i="18"/>
  <c r="N270" i="18"/>
  <c r="I271" i="18"/>
  <c r="J271" i="18"/>
  <c r="K271" i="18"/>
  <c r="L271" i="18"/>
  <c r="M271" i="18"/>
  <c r="N271" i="18"/>
  <c r="I272" i="18"/>
  <c r="J272" i="18"/>
  <c r="K272" i="18"/>
  <c r="L272" i="18"/>
  <c r="M272" i="18"/>
  <c r="N272" i="18"/>
  <c r="I273" i="18"/>
  <c r="J273" i="18"/>
  <c r="K273" i="18"/>
  <c r="L273" i="18"/>
  <c r="M273" i="18"/>
  <c r="N273" i="18"/>
  <c r="I274" i="18"/>
  <c r="J274" i="18"/>
  <c r="K274" i="18"/>
  <c r="L274" i="18"/>
  <c r="M274" i="18"/>
  <c r="N274" i="18"/>
  <c r="I275" i="18"/>
  <c r="J275" i="18"/>
  <c r="K275" i="18"/>
  <c r="L275" i="18"/>
  <c r="M275" i="18"/>
  <c r="N275" i="18"/>
  <c r="I276" i="18"/>
  <c r="J276" i="18"/>
  <c r="K276" i="18"/>
  <c r="L276" i="18"/>
  <c r="M276" i="18"/>
  <c r="N276" i="18"/>
  <c r="I277" i="18"/>
  <c r="J277" i="18"/>
  <c r="K277" i="18"/>
  <c r="L277" i="18"/>
  <c r="M277" i="18"/>
  <c r="N277" i="18"/>
  <c r="I278" i="18"/>
  <c r="J278" i="18"/>
  <c r="K278" i="18"/>
  <c r="L278" i="18"/>
  <c r="M278" i="18"/>
  <c r="N278" i="18"/>
  <c r="I279" i="18"/>
  <c r="J279" i="18"/>
  <c r="K279" i="18"/>
  <c r="L279" i="18"/>
  <c r="M279" i="18"/>
  <c r="N279" i="18"/>
  <c r="I280" i="18"/>
  <c r="J280" i="18"/>
  <c r="K280" i="18"/>
  <c r="L280" i="18"/>
  <c r="M280" i="18"/>
  <c r="N280" i="18"/>
  <c r="I281" i="18"/>
  <c r="J281" i="18"/>
  <c r="K281" i="18"/>
  <c r="L281" i="18"/>
  <c r="M281" i="18"/>
  <c r="N281" i="18"/>
  <c r="I282" i="18"/>
  <c r="J282" i="18"/>
  <c r="K282" i="18"/>
  <c r="L282" i="18"/>
  <c r="M282" i="18"/>
  <c r="N282" i="18"/>
  <c r="I283" i="18"/>
  <c r="J283" i="18"/>
  <c r="K283" i="18"/>
  <c r="L283" i="18"/>
  <c r="M283" i="18"/>
  <c r="N283" i="18"/>
  <c r="I284" i="18"/>
  <c r="J284" i="18"/>
  <c r="K284" i="18"/>
  <c r="L284" i="18"/>
  <c r="M284" i="18"/>
  <c r="N284" i="18"/>
  <c r="I285" i="18"/>
  <c r="J285" i="18"/>
  <c r="K285" i="18"/>
  <c r="L285" i="18"/>
  <c r="M285" i="18"/>
  <c r="N285" i="18"/>
  <c r="I286" i="18"/>
  <c r="J286" i="18"/>
  <c r="K286" i="18"/>
  <c r="L286" i="18"/>
  <c r="M286" i="18"/>
  <c r="N286" i="18"/>
  <c r="I287" i="18"/>
  <c r="J287" i="18"/>
  <c r="K287" i="18"/>
  <c r="L287" i="18"/>
  <c r="M287" i="18"/>
  <c r="N287" i="18"/>
  <c r="I288" i="18"/>
  <c r="J288" i="18"/>
  <c r="K288" i="18"/>
  <c r="L288" i="18"/>
  <c r="M288" i="18"/>
  <c r="N288" i="18"/>
  <c r="I289" i="18"/>
  <c r="J289" i="18"/>
  <c r="K289" i="18"/>
  <c r="L289" i="18"/>
  <c r="M289" i="18"/>
  <c r="N289" i="18"/>
  <c r="I290" i="18"/>
  <c r="J290" i="18"/>
  <c r="K290" i="18"/>
  <c r="L290" i="18"/>
  <c r="M290" i="18"/>
  <c r="N290" i="18"/>
  <c r="I291" i="18"/>
  <c r="J291" i="18"/>
  <c r="K291" i="18"/>
  <c r="L291" i="18"/>
  <c r="M291" i="18"/>
  <c r="N291" i="18"/>
  <c r="I292" i="18"/>
  <c r="J292" i="18"/>
  <c r="K292" i="18"/>
  <c r="L292" i="18"/>
  <c r="M292" i="18"/>
  <c r="N292" i="18"/>
  <c r="I293" i="18"/>
  <c r="J293" i="18"/>
  <c r="K293" i="18"/>
  <c r="L293" i="18"/>
  <c r="M293" i="18"/>
  <c r="N293" i="18"/>
  <c r="I294" i="18"/>
  <c r="J294" i="18"/>
  <c r="K294" i="18"/>
  <c r="L294" i="18"/>
  <c r="M294" i="18"/>
  <c r="N294" i="18"/>
  <c r="I295" i="18"/>
  <c r="J295" i="18"/>
  <c r="K295" i="18"/>
  <c r="L295" i="18"/>
  <c r="M295" i="18"/>
  <c r="N295" i="18"/>
  <c r="I296" i="18"/>
  <c r="J296" i="18"/>
  <c r="K296" i="18"/>
  <c r="L296" i="18"/>
  <c r="M296" i="18"/>
  <c r="N296" i="18"/>
  <c r="I297" i="18"/>
  <c r="J297" i="18"/>
  <c r="K297" i="18"/>
  <c r="L297" i="18"/>
  <c r="M297" i="18"/>
  <c r="N297" i="18"/>
  <c r="I298" i="18"/>
  <c r="J298" i="18"/>
  <c r="K298" i="18"/>
  <c r="L298" i="18"/>
  <c r="M298" i="18"/>
  <c r="N298" i="18"/>
  <c r="I299" i="18"/>
  <c r="J299" i="18"/>
  <c r="K299" i="18"/>
  <c r="L299" i="18"/>
  <c r="M299" i="18"/>
  <c r="N299" i="18"/>
  <c r="I300" i="18"/>
  <c r="J300" i="18"/>
  <c r="K300" i="18"/>
  <c r="L300" i="18"/>
  <c r="M300" i="18"/>
  <c r="N300" i="18"/>
  <c r="I301" i="18"/>
  <c r="J301" i="18"/>
  <c r="K301" i="18"/>
  <c r="L301" i="18"/>
  <c r="M301" i="18"/>
  <c r="N301" i="18"/>
  <c r="I302" i="18"/>
  <c r="J302" i="18"/>
  <c r="K302" i="18"/>
  <c r="L302" i="18"/>
  <c r="M302" i="18"/>
  <c r="N302" i="18"/>
  <c r="I303" i="18"/>
  <c r="J303" i="18"/>
  <c r="K303" i="18"/>
  <c r="L303" i="18"/>
  <c r="M303" i="18"/>
  <c r="N303" i="18"/>
  <c r="I304" i="18"/>
  <c r="J304" i="18"/>
  <c r="K304" i="18"/>
  <c r="L304" i="18"/>
  <c r="M304" i="18"/>
  <c r="N304" i="18"/>
  <c r="I305" i="18"/>
  <c r="J305" i="18"/>
  <c r="K305" i="18"/>
  <c r="L305" i="18"/>
  <c r="M305" i="18"/>
  <c r="N305" i="18"/>
  <c r="I306" i="18"/>
  <c r="J306" i="18"/>
  <c r="K306" i="18"/>
  <c r="L306" i="18"/>
  <c r="M306" i="18"/>
  <c r="N306" i="18"/>
  <c r="I307" i="18"/>
  <c r="J307" i="18"/>
  <c r="K307" i="18"/>
  <c r="L307" i="18"/>
  <c r="M307" i="18"/>
  <c r="N307" i="18"/>
  <c r="I308" i="18"/>
  <c r="J308" i="18"/>
  <c r="K308" i="18"/>
  <c r="L308" i="18"/>
  <c r="M308" i="18"/>
  <c r="N308" i="18"/>
  <c r="I309" i="18"/>
  <c r="J309" i="18"/>
  <c r="K309" i="18"/>
  <c r="L309" i="18"/>
  <c r="M309" i="18"/>
  <c r="N309" i="18"/>
  <c r="I310" i="18"/>
  <c r="J310" i="18"/>
  <c r="K310" i="18"/>
  <c r="L310" i="18"/>
  <c r="M310" i="18"/>
  <c r="N310" i="18"/>
  <c r="I311" i="18"/>
  <c r="J311" i="18"/>
  <c r="K311" i="18"/>
  <c r="L311" i="18"/>
  <c r="M311" i="18"/>
  <c r="N311" i="18"/>
  <c r="I312" i="18"/>
  <c r="J312" i="18"/>
  <c r="K312" i="18"/>
  <c r="L312" i="18"/>
  <c r="M312" i="18"/>
  <c r="N312" i="18"/>
  <c r="I313" i="18"/>
  <c r="J313" i="18"/>
  <c r="K313" i="18"/>
  <c r="L313" i="18"/>
  <c r="M313" i="18"/>
  <c r="N313" i="18"/>
  <c r="I314" i="18"/>
  <c r="J314" i="18"/>
  <c r="K314" i="18"/>
  <c r="L314" i="18"/>
  <c r="M314" i="18"/>
  <c r="N314" i="18"/>
  <c r="I315" i="18"/>
  <c r="J315" i="18"/>
  <c r="K315" i="18"/>
  <c r="L315" i="18"/>
  <c r="M315" i="18"/>
  <c r="N315" i="18"/>
  <c r="I316" i="18"/>
  <c r="J316" i="18"/>
  <c r="K316" i="18"/>
  <c r="L316" i="18"/>
  <c r="M316" i="18"/>
  <c r="N316" i="18"/>
  <c r="I317" i="18"/>
  <c r="J317" i="18"/>
  <c r="K317" i="18"/>
  <c r="L317" i="18"/>
  <c r="M317" i="18"/>
  <c r="N317" i="18"/>
  <c r="I318" i="18"/>
  <c r="J318" i="18"/>
  <c r="K318" i="18"/>
  <c r="L318" i="18"/>
  <c r="M318" i="18"/>
  <c r="N318" i="18"/>
  <c r="I319" i="18"/>
  <c r="J319" i="18"/>
  <c r="K319" i="18"/>
  <c r="L319" i="18"/>
  <c r="M319" i="18"/>
  <c r="N319" i="18"/>
  <c r="I320" i="18"/>
  <c r="J320" i="18"/>
  <c r="K320" i="18"/>
  <c r="L320" i="18"/>
  <c r="M320" i="18"/>
  <c r="N320" i="18"/>
  <c r="I321" i="18"/>
  <c r="J321" i="18"/>
  <c r="K321" i="18"/>
  <c r="L321" i="18"/>
  <c r="M321" i="18"/>
  <c r="N321" i="18"/>
  <c r="I322" i="18"/>
  <c r="J322" i="18"/>
  <c r="K322" i="18"/>
  <c r="L322" i="18"/>
  <c r="M322" i="18"/>
  <c r="N322" i="18"/>
  <c r="I323" i="18"/>
  <c r="J323" i="18"/>
  <c r="K323" i="18"/>
  <c r="L323" i="18"/>
  <c r="M323" i="18"/>
  <c r="N323" i="18"/>
  <c r="I324" i="18"/>
  <c r="J324" i="18"/>
  <c r="K324" i="18"/>
  <c r="L324" i="18"/>
  <c r="M324" i="18"/>
  <c r="N324" i="18"/>
  <c r="I325" i="18"/>
  <c r="J325" i="18"/>
  <c r="K325" i="18"/>
  <c r="L325" i="18"/>
  <c r="M325" i="18"/>
  <c r="N325" i="18"/>
  <c r="I326" i="18"/>
  <c r="J326" i="18"/>
  <c r="K326" i="18"/>
  <c r="L326" i="18"/>
  <c r="M326" i="18"/>
  <c r="N326" i="18"/>
  <c r="I327" i="18"/>
  <c r="J327" i="18"/>
  <c r="K327" i="18"/>
  <c r="L327" i="18"/>
  <c r="M327" i="18"/>
  <c r="N327" i="18"/>
  <c r="I328" i="18"/>
  <c r="J328" i="18"/>
  <c r="K328" i="18"/>
  <c r="L328" i="18"/>
  <c r="M328" i="18"/>
  <c r="N328" i="18"/>
  <c r="I329" i="18"/>
  <c r="J329" i="18"/>
  <c r="K329" i="18"/>
  <c r="L329" i="18"/>
  <c r="M329" i="18"/>
  <c r="N329" i="18"/>
  <c r="I330" i="18"/>
  <c r="J330" i="18"/>
  <c r="K330" i="18"/>
  <c r="L330" i="18"/>
  <c r="M330" i="18"/>
  <c r="N330" i="18"/>
  <c r="I331" i="18"/>
  <c r="J331" i="18"/>
  <c r="K331" i="18"/>
  <c r="L331" i="18"/>
  <c r="M331" i="18"/>
  <c r="N331" i="18"/>
  <c r="I332" i="18"/>
  <c r="J332" i="18"/>
  <c r="K332" i="18"/>
  <c r="L332" i="18"/>
  <c r="M332" i="18"/>
  <c r="N332" i="18"/>
  <c r="I333" i="18"/>
  <c r="J333" i="18"/>
  <c r="K333" i="18"/>
  <c r="L333" i="18"/>
  <c r="M333" i="18"/>
  <c r="N333" i="18"/>
  <c r="I334" i="18"/>
  <c r="J334" i="18"/>
  <c r="K334" i="18"/>
  <c r="L334" i="18"/>
  <c r="M334" i="18"/>
  <c r="N334" i="18"/>
  <c r="I335" i="18"/>
  <c r="J335" i="18"/>
  <c r="K335" i="18"/>
  <c r="L335" i="18"/>
  <c r="M335" i="18"/>
  <c r="N335" i="18"/>
  <c r="I336" i="18"/>
  <c r="J336" i="18"/>
  <c r="K336" i="18"/>
  <c r="L336" i="18"/>
  <c r="M336" i="18"/>
  <c r="N336" i="18"/>
  <c r="I337" i="18"/>
  <c r="J337" i="18"/>
  <c r="K337" i="18"/>
  <c r="L337" i="18"/>
  <c r="M337" i="18"/>
  <c r="N337" i="18"/>
  <c r="I338" i="18"/>
  <c r="J338" i="18"/>
  <c r="K338" i="18"/>
  <c r="L338" i="18"/>
  <c r="M338" i="18"/>
  <c r="N338" i="18"/>
  <c r="I339" i="18"/>
  <c r="J339" i="18"/>
  <c r="K339" i="18"/>
  <c r="L339" i="18"/>
  <c r="M339" i="18"/>
  <c r="N339" i="18"/>
  <c r="I340" i="18"/>
  <c r="J340" i="18"/>
  <c r="K340" i="18"/>
  <c r="L340" i="18"/>
  <c r="M340" i="18"/>
  <c r="N340" i="18"/>
  <c r="I341" i="18"/>
  <c r="J341" i="18"/>
  <c r="K341" i="18"/>
  <c r="L341" i="18"/>
  <c r="M341" i="18"/>
  <c r="N341" i="18"/>
  <c r="I342" i="18"/>
  <c r="J342" i="18"/>
  <c r="K342" i="18"/>
  <c r="L342" i="18"/>
  <c r="M342" i="18"/>
  <c r="N342" i="18"/>
  <c r="I343" i="18"/>
  <c r="J343" i="18"/>
  <c r="K343" i="18"/>
  <c r="L343" i="18"/>
  <c r="M343" i="18"/>
  <c r="N343" i="18"/>
  <c r="I344" i="18"/>
  <c r="J344" i="18"/>
  <c r="K344" i="18"/>
  <c r="L344" i="18"/>
  <c r="M344" i="18"/>
  <c r="N344" i="18"/>
  <c r="I345" i="18"/>
  <c r="J345" i="18"/>
  <c r="K345" i="18"/>
  <c r="L345" i="18"/>
  <c r="M345" i="18"/>
  <c r="N345" i="18"/>
  <c r="I346" i="18"/>
  <c r="J346" i="18"/>
  <c r="K346" i="18"/>
  <c r="L346" i="18"/>
  <c r="M346" i="18"/>
  <c r="N346" i="18"/>
  <c r="I347" i="18"/>
  <c r="J347" i="18"/>
  <c r="K347" i="18"/>
  <c r="L347" i="18"/>
  <c r="M347" i="18"/>
  <c r="N347" i="18"/>
  <c r="I348" i="18"/>
  <c r="J348" i="18"/>
  <c r="K348" i="18"/>
  <c r="L348" i="18"/>
  <c r="M348" i="18"/>
  <c r="N348" i="18"/>
  <c r="I349" i="18"/>
  <c r="J349" i="18"/>
  <c r="K349" i="18"/>
  <c r="L349" i="18"/>
  <c r="M349" i="18"/>
  <c r="N349" i="18"/>
  <c r="I350" i="18"/>
  <c r="J350" i="18"/>
  <c r="K350" i="18"/>
  <c r="L350" i="18"/>
  <c r="M350" i="18"/>
  <c r="N350" i="18"/>
  <c r="I351" i="18"/>
  <c r="J351" i="18"/>
  <c r="K351" i="18"/>
  <c r="L351" i="18"/>
  <c r="M351" i="18"/>
  <c r="N351" i="18"/>
  <c r="I352" i="18"/>
  <c r="J352" i="18"/>
  <c r="K352" i="18"/>
  <c r="L352" i="18"/>
  <c r="M352" i="18"/>
  <c r="N352" i="18"/>
  <c r="I353" i="18"/>
  <c r="J353" i="18"/>
  <c r="K353" i="18"/>
  <c r="L353" i="18"/>
  <c r="M353" i="18"/>
  <c r="N353" i="18"/>
  <c r="I354" i="18"/>
  <c r="J354" i="18"/>
  <c r="K354" i="18"/>
  <c r="L354" i="18"/>
  <c r="M354" i="18"/>
  <c r="N354" i="18"/>
  <c r="I355" i="18"/>
  <c r="J355" i="18"/>
  <c r="K355" i="18"/>
  <c r="L355" i="18"/>
  <c r="M355" i="18"/>
  <c r="N355" i="18"/>
  <c r="I356" i="18"/>
  <c r="J356" i="18"/>
  <c r="K356" i="18"/>
  <c r="L356" i="18"/>
  <c r="M356" i="18"/>
  <c r="N356" i="18"/>
  <c r="I357" i="18"/>
  <c r="J357" i="18"/>
  <c r="K357" i="18"/>
  <c r="L357" i="18"/>
  <c r="M357" i="18"/>
  <c r="N357" i="18"/>
  <c r="I358" i="18"/>
  <c r="J358" i="18"/>
  <c r="K358" i="18"/>
  <c r="L358" i="18"/>
  <c r="M358" i="18"/>
  <c r="N358" i="18"/>
  <c r="I359" i="18"/>
  <c r="J359" i="18"/>
  <c r="K359" i="18"/>
  <c r="L359" i="18"/>
  <c r="M359" i="18"/>
  <c r="N359" i="18"/>
  <c r="I360" i="18"/>
  <c r="J360" i="18"/>
  <c r="K360" i="18"/>
  <c r="L360" i="18"/>
  <c r="M360" i="18"/>
  <c r="N360" i="18"/>
  <c r="I361" i="18"/>
  <c r="J361" i="18"/>
  <c r="K361" i="18"/>
  <c r="L361" i="18"/>
  <c r="M361" i="18"/>
  <c r="N361" i="18"/>
  <c r="I362" i="18"/>
  <c r="J362" i="18"/>
  <c r="K362" i="18"/>
  <c r="L362" i="18"/>
  <c r="M362" i="18"/>
  <c r="N362" i="18"/>
  <c r="I363" i="18"/>
  <c r="J363" i="18"/>
  <c r="K363" i="18"/>
  <c r="L363" i="18"/>
  <c r="M363" i="18"/>
  <c r="N363" i="18"/>
  <c r="I364" i="18"/>
  <c r="J364" i="18"/>
  <c r="K364" i="18"/>
  <c r="L364" i="18"/>
  <c r="M364" i="18"/>
  <c r="N364" i="18"/>
  <c r="I365" i="18"/>
  <c r="J365" i="18"/>
  <c r="K365" i="18"/>
  <c r="L365" i="18"/>
  <c r="M365" i="18"/>
  <c r="N365" i="18"/>
  <c r="I366" i="18"/>
  <c r="J366" i="18"/>
  <c r="K366" i="18"/>
  <c r="L366" i="18"/>
  <c r="M366" i="18"/>
  <c r="N366" i="18"/>
  <c r="I367" i="18"/>
  <c r="J367" i="18"/>
  <c r="K367" i="18"/>
  <c r="L367" i="18"/>
  <c r="M367" i="18"/>
  <c r="N367" i="18"/>
  <c r="I368" i="18"/>
  <c r="J368" i="18"/>
  <c r="K368" i="18"/>
  <c r="L368" i="18"/>
  <c r="M368" i="18"/>
  <c r="N368" i="18"/>
  <c r="I369" i="18"/>
  <c r="J369" i="18"/>
  <c r="K369" i="18"/>
  <c r="L369" i="18"/>
  <c r="M369" i="18"/>
  <c r="N369" i="18"/>
  <c r="I370" i="18"/>
  <c r="J370" i="18"/>
  <c r="K370" i="18"/>
  <c r="L370" i="18"/>
  <c r="M370" i="18"/>
  <c r="N370" i="18"/>
  <c r="I371" i="18"/>
  <c r="J371" i="18"/>
  <c r="K371" i="18"/>
  <c r="L371" i="18"/>
  <c r="M371" i="18"/>
  <c r="N371" i="18"/>
  <c r="I372" i="18"/>
  <c r="J372" i="18"/>
  <c r="K372" i="18"/>
  <c r="L372" i="18"/>
  <c r="M372" i="18"/>
  <c r="N372" i="18"/>
  <c r="I373" i="18"/>
  <c r="J373" i="18"/>
  <c r="K373" i="18"/>
  <c r="L373" i="18"/>
  <c r="M373" i="18"/>
  <c r="N373" i="18"/>
  <c r="I374" i="18"/>
  <c r="J374" i="18"/>
  <c r="K374" i="18"/>
  <c r="L374" i="18"/>
  <c r="M374" i="18"/>
  <c r="N374" i="18"/>
  <c r="I375" i="18"/>
  <c r="J375" i="18"/>
  <c r="K375" i="18"/>
  <c r="L375" i="18"/>
  <c r="M375" i="18"/>
  <c r="N375" i="18"/>
  <c r="I376" i="18"/>
  <c r="J376" i="18"/>
  <c r="K376" i="18"/>
  <c r="L376" i="18"/>
  <c r="M376" i="18"/>
  <c r="N376" i="18"/>
  <c r="I377" i="18"/>
  <c r="J377" i="18"/>
  <c r="K377" i="18"/>
  <c r="L377" i="18"/>
  <c r="M377" i="18"/>
  <c r="N377" i="18"/>
  <c r="I378" i="18"/>
  <c r="J378" i="18"/>
  <c r="K378" i="18"/>
  <c r="L378" i="18"/>
  <c r="M378" i="18"/>
  <c r="N378" i="18"/>
  <c r="I379" i="18"/>
  <c r="J379" i="18"/>
  <c r="K379" i="18"/>
  <c r="L379" i="18"/>
  <c r="M379" i="18"/>
  <c r="N379" i="18"/>
  <c r="I380" i="18"/>
  <c r="J380" i="18"/>
  <c r="K380" i="18"/>
  <c r="L380" i="18"/>
  <c r="M380" i="18"/>
  <c r="N380" i="18"/>
  <c r="I381" i="18"/>
  <c r="J381" i="18"/>
  <c r="K381" i="18"/>
  <c r="L381" i="18"/>
  <c r="M381" i="18"/>
  <c r="N381" i="18"/>
  <c r="I382" i="18"/>
  <c r="J382" i="18"/>
  <c r="K382" i="18"/>
  <c r="L382" i="18"/>
  <c r="M382" i="18"/>
  <c r="N382" i="18"/>
  <c r="I383" i="18"/>
  <c r="J383" i="18"/>
  <c r="K383" i="18"/>
  <c r="L383" i="18"/>
  <c r="M383" i="18"/>
  <c r="N383" i="18"/>
  <c r="I384" i="18"/>
  <c r="J384" i="18"/>
  <c r="K384" i="18"/>
  <c r="L384" i="18"/>
  <c r="M384" i="18"/>
  <c r="N384" i="18"/>
  <c r="I385" i="18"/>
  <c r="J385" i="18"/>
  <c r="K385" i="18"/>
  <c r="L385" i="18"/>
  <c r="M385" i="18"/>
  <c r="N385" i="18"/>
  <c r="I386" i="18"/>
  <c r="J386" i="18"/>
  <c r="K386" i="18"/>
  <c r="L386" i="18"/>
  <c r="M386" i="18"/>
  <c r="N386" i="18"/>
  <c r="I387" i="18"/>
  <c r="J387" i="18"/>
  <c r="K387" i="18"/>
  <c r="L387" i="18"/>
  <c r="M387" i="18"/>
  <c r="N387" i="18"/>
  <c r="I388" i="18"/>
  <c r="J388" i="18"/>
  <c r="K388" i="18"/>
  <c r="L388" i="18"/>
  <c r="M388" i="18"/>
  <c r="N388" i="18"/>
  <c r="I389" i="18"/>
  <c r="J389" i="18"/>
  <c r="K389" i="18"/>
  <c r="L389" i="18"/>
  <c r="M389" i="18"/>
  <c r="N389" i="18"/>
  <c r="I390" i="18"/>
  <c r="J390" i="18"/>
  <c r="K390" i="18"/>
  <c r="L390" i="18"/>
  <c r="M390" i="18"/>
  <c r="N390" i="18"/>
  <c r="I391" i="18"/>
  <c r="J391" i="18"/>
  <c r="K391" i="18"/>
  <c r="L391" i="18"/>
  <c r="M391" i="18"/>
  <c r="N391" i="18"/>
  <c r="I392" i="18"/>
  <c r="J392" i="18"/>
  <c r="K392" i="18"/>
  <c r="L392" i="18"/>
  <c r="M392" i="18"/>
  <c r="N392" i="18"/>
  <c r="I393" i="18"/>
  <c r="J393" i="18"/>
  <c r="K393" i="18"/>
  <c r="L393" i="18"/>
  <c r="M393" i="18"/>
  <c r="N393" i="18"/>
  <c r="I394" i="18"/>
  <c r="J394" i="18"/>
  <c r="K394" i="18"/>
  <c r="L394" i="18"/>
  <c r="M394" i="18"/>
  <c r="N394" i="18"/>
  <c r="I395" i="18"/>
  <c r="J395" i="18"/>
  <c r="K395" i="18"/>
  <c r="L395" i="18"/>
  <c r="M395" i="18"/>
  <c r="N395" i="18"/>
  <c r="I396" i="18"/>
  <c r="J396" i="18"/>
  <c r="K396" i="18"/>
  <c r="L396" i="18"/>
  <c r="M396" i="18"/>
  <c r="N396" i="18"/>
  <c r="I397" i="18"/>
  <c r="J397" i="18"/>
  <c r="K397" i="18"/>
  <c r="L397" i="18"/>
  <c r="M397" i="18"/>
  <c r="N397" i="18"/>
  <c r="I398" i="18"/>
  <c r="J398" i="18"/>
  <c r="K398" i="18"/>
  <c r="L398" i="18"/>
  <c r="M398" i="18"/>
  <c r="N398" i="18"/>
  <c r="I399" i="18"/>
  <c r="J399" i="18"/>
  <c r="K399" i="18"/>
  <c r="L399" i="18"/>
  <c r="M399" i="18"/>
  <c r="N399" i="18"/>
  <c r="I400" i="18"/>
  <c r="J400" i="18"/>
  <c r="K400" i="18"/>
  <c r="L400" i="18"/>
  <c r="M400" i="18"/>
  <c r="N400" i="18"/>
  <c r="I17" i="18"/>
  <c r="J17" i="18"/>
  <c r="K17" i="18" s="1"/>
  <c r="L17" i="18"/>
  <c r="M17" i="18"/>
  <c r="N17" i="18"/>
  <c r="I18" i="18"/>
  <c r="J18" i="18"/>
  <c r="K18" i="18" s="1"/>
  <c r="L18" i="18"/>
  <c r="M18" i="18"/>
  <c r="N18" i="18"/>
  <c r="I19" i="18"/>
  <c r="J19" i="18"/>
  <c r="K19" i="18" s="1"/>
  <c r="L19" i="18"/>
  <c r="M19" i="18"/>
  <c r="N19" i="18"/>
  <c r="I20" i="18"/>
  <c r="J20" i="18"/>
  <c r="K20" i="18" s="1"/>
  <c r="L20" i="18"/>
  <c r="M20" i="18"/>
  <c r="N20" i="18"/>
  <c r="I21" i="18"/>
  <c r="J21" i="18"/>
  <c r="K21" i="18" s="1"/>
  <c r="L21" i="18"/>
  <c r="M21" i="18"/>
  <c r="N21" i="18"/>
  <c r="I22" i="18"/>
  <c r="J22" i="18"/>
  <c r="K22" i="18" s="1"/>
  <c r="L22" i="18"/>
  <c r="M22" i="18"/>
  <c r="N22" i="18"/>
  <c r="I23" i="18"/>
  <c r="J23" i="18"/>
  <c r="K23" i="18" s="1"/>
  <c r="L23" i="18"/>
  <c r="M23" i="18"/>
  <c r="N23" i="18"/>
  <c r="I24" i="18"/>
  <c r="J24" i="18"/>
  <c r="K24" i="18" s="1"/>
  <c r="L24" i="18"/>
  <c r="M24" i="18"/>
  <c r="N24" i="18"/>
  <c r="I25" i="18"/>
  <c r="J25" i="18"/>
  <c r="K25" i="18" s="1"/>
  <c r="L25" i="18"/>
  <c r="M25" i="18"/>
  <c r="N25" i="18"/>
  <c r="I26" i="18"/>
  <c r="J26" i="18"/>
  <c r="K26" i="18" s="1"/>
  <c r="L26" i="18"/>
  <c r="M26" i="18"/>
  <c r="N26" i="18"/>
  <c r="I27" i="18"/>
  <c r="J27" i="18"/>
  <c r="K27" i="18" s="1"/>
  <c r="L27" i="18"/>
  <c r="M27" i="18"/>
  <c r="N27" i="18"/>
  <c r="I28" i="18"/>
  <c r="J28" i="18"/>
  <c r="K28" i="18" s="1"/>
  <c r="L28" i="18"/>
  <c r="M28" i="18"/>
  <c r="N28" i="18"/>
  <c r="I29" i="18"/>
  <c r="J29" i="18"/>
  <c r="K29" i="18" s="1"/>
  <c r="L29" i="18"/>
  <c r="M29" i="18"/>
  <c r="N29" i="18"/>
  <c r="I30" i="18"/>
  <c r="J30" i="18"/>
  <c r="K30" i="18" s="1"/>
  <c r="L30" i="18"/>
  <c r="M30" i="18"/>
  <c r="N30" i="18"/>
  <c r="I31" i="18"/>
  <c r="J31" i="18"/>
  <c r="K31" i="18" s="1"/>
  <c r="L31" i="18"/>
  <c r="M31" i="18"/>
  <c r="N31" i="18"/>
  <c r="I32" i="18"/>
  <c r="J32" i="18"/>
  <c r="K32" i="18" s="1"/>
  <c r="L32" i="18"/>
  <c r="M32" i="18"/>
  <c r="N32" i="18"/>
  <c r="I33" i="18"/>
  <c r="J33" i="18"/>
  <c r="K33" i="18" s="1"/>
  <c r="L33" i="18"/>
  <c r="M33" i="18"/>
  <c r="N33" i="18"/>
  <c r="I34" i="18"/>
  <c r="J34" i="18"/>
  <c r="K34" i="18" s="1"/>
  <c r="L34" i="18"/>
  <c r="M34" i="18"/>
  <c r="N34" i="18"/>
  <c r="I35" i="18"/>
  <c r="J35" i="18"/>
  <c r="K35" i="18" s="1"/>
  <c r="L35" i="18"/>
  <c r="M35" i="18"/>
  <c r="N35" i="18"/>
  <c r="I36" i="18"/>
  <c r="J36" i="18"/>
  <c r="K36" i="18" s="1"/>
  <c r="L36" i="18"/>
  <c r="M36" i="18"/>
  <c r="N36" i="18"/>
  <c r="I37" i="18"/>
  <c r="J37" i="18"/>
  <c r="K37" i="18" s="1"/>
  <c r="L37" i="18"/>
  <c r="M37" i="18"/>
  <c r="N37" i="18"/>
  <c r="I38" i="18"/>
  <c r="J38" i="18"/>
  <c r="K38" i="18" s="1"/>
  <c r="L38" i="18"/>
  <c r="M38" i="18"/>
  <c r="N38" i="18"/>
  <c r="I39" i="18"/>
  <c r="J39" i="18"/>
  <c r="K39" i="18" s="1"/>
  <c r="L39" i="18"/>
  <c r="M39" i="18"/>
  <c r="N39" i="18"/>
  <c r="I40" i="18"/>
  <c r="J40" i="18"/>
  <c r="K40" i="18" s="1"/>
  <c r="L40" i="18"/>
  <c r="M40" i="18"/>
  <c r="N40" i="18"/>
  <c r="I41" i="18"/>
  <c r="J41" i="18"/>
  <c r="K41" i="18" s="1"/>
  <c r="L41" i="18"/>
  <c r="M41" i="18"/>
  <c r="N41" i="18"/>
  <c r="I42" i="18"/>
  <c r="J42" i="18"/>
  <c r="K42" i="18" s="1"/>
  <c r="L42" i="18"/>
  <c r="M42" i="18"/>
  <c r="N42" i="18"/>
  <c r="I43" i="18"/>
  <c r="J43" i="18"/>
  <c r="K43" i="18" s="1"/>
  <c r="L43" i="18"/>
  <c r="M43" i="18"/>
  <c r="N43" i="18"/>
  <c r="I44" i="18"/>
  <c r="J44" i="18"/>
  <c r="K44" i="18" s="1"/>
  <c r="L44" i="18"/>
  <c r="M44" i="18"/>
  <c r="N44" i="18"/>
  <c r="I45" i="18"/>
  <c r="J45" i="18"/>
  <c r="K45" i="18" s="1"/>
  <c r="L45" i="18"/>
  <c r="M45" i="18"/>
  <c r="N45" i="18"/>
  <c r="I46" i="18"/>
  <c r="J46" i="18"/>
  <c r="K46" i="18" s="1"/>
  <c r="L46" i="18"/>
  <c r="M46" i="18"/>
  <c r="N46" i="18"/>
  <c r="I47" i="18"/>
  <c r="J47" i="18"/>
  <c r="K47" i="18" s="1"/>
  <c r="L47" i="18"/>
  <c r="M47" i="18"/>
  <c r="N47" i="18"/>
  <c r="I48" i="18"/>
  <c r="J48" i="18"/>
  <c r="K48" i="18" s="1"/>
  <c r="L48" i="18"/>
  <c r="M48" i="18"/>
  <c r="N48" i="18"/>
  <c r="I49" i="18"/>
  <c r="J49" i="18"/>
  <c r="K49" i="18" s="1"/>
  <c r="L49" i="18"/>
  <c r="M49" i="18"/>
  <c r="N49" i="18"/>
  <c r="I50" i="18"/>
  <c r="J50" i="18"/>
  <c r="K50" i="18" s="1"/>
  <c r="L50" i="18"/>
  <c r="M50" i="18"/>
  <c r="N50" i="18"/>
  <c r="I51" i="18"/>
  <c r="J51" i="18"/>
  <c r="K51" i="18" s="1"/>
  <c r="L51" i="18"/>
  <c r="M51" i="18"/>
  <c r="N51" i="18"/>
  <c r="I52" i="18"/>
  <c r="J52" i="18"/>
  <c r="K52" i="18" s="1"/>
  <c r="L52" i="18"/>
  <c r="M52" i="18"/>
  <c r="N52" i="18"/>
  <c r="I53" i="18"/>
  <c r="J53" i="18"/>
  <c r="K53" i="18" s="1"/>
  <c r="L53" i="18"/>
  <c r="M53" i="18"/>
  <c r="N53" i="18"/>
  <c r="I54" i="18"/>
  <c r="J54" i="18"/>
  <c r="K54" i="18" s="1"/>
  <c r="L54" i="18"/>
  <c r="M54" i="18"/>
  <c r="N54" i="18"/>
  <c r="I55" i="18"/>
  <c r="J55" i="18"/>
  <c r="K55" i="18" s="1"/>
  <c r="L55" i="18"/>
  <c r="M55" i="18"/>
  <c r="N55" i="18"/>
  <c r="I56" i="18"/>
  <c r="J56" i="18"/>
  <c r="K56" i="18" s="1"/>
  <c r="L56" i="18"/>
  <c r="M56" i="18"/>
  <c r="N56" i="18"/>
  <c r="I57" i="18"/>
  <c r="J57" i="18"/>
  <c r="K57" i="18" s="1"/>
  <c r="L57" i="18"/>
  <c r="M57" i="18"/>
  <c r="N57" i="18"/>
  <c r="I58" i="18"/>
  <c r="J58" i="18"/>
  <c r="K58" i="18" s="1"/>
  <c r="L58" i="18"/>
  <c r="M58" i="18"/>
  <c r="N58" i="18"/>
  <c r="I59" i="18"/>
  <c r="J59" i="18"/>
  <c r="K59" i="18" s="1"/>
  <c r="L59" i="18"/>
  <c r="M59" i="18"/>
  <c r="N59" i="18"/>
  <c r="I60" i="18"/>
  <c r="J60" i="18"/>
  <c r="K60" i="18" s="1"/>
  <c r="L60" i="18"/>
  <c r="M60" i="18"/>
  <c r="N60" i="18"/>
  <c r="I61" i="18"/>
  <c r="J61" i="18"/>
  <c r="K61" i="18" s="1"/>
  <c r="L61" i="18"/>
  <c r="M61" i="18"/>
  <c r="N61" i="18"/>
  <c r="I62" i="18"/>
  <c r="J62" i="18"/>
  <c r="K62" i="18" s="1"/>
  <c r="L62" i="18"/>
  <c r="M62" i="18"/>
  <c r="N62" i="18"/>
  <c r="I63" i="18"/>
  <c r="J63" i="18"/>
  <c r="K63" i="18" s="1"/>
  <c r="L63" i="18"/>
  <c r="M63" i="18"/>
  <c r="N63" i="18"/>
  <c r="I64" i="18"/>
  <c r="J64" i="18"/>
  <c r="K64" i="18" s="1"/>
  <c r="L64" i="18"/>
  <c r="M64" i="18"/>
  <c r="N64" i="18"/>
  <c r="I65" i="18"/>
  <c r="J65" i="18"/>
  <c r="K65" i="18" s="1"/>
  <c r="L65" i="18"/>
  <c r="M65" i="18"/>
  <c r="N65" i="18"/>
  <c r="I66" i="18"/>
  <c r="J66" i="18"/>
  <c r="K66" i="18" s="1"/>
  <c r="L66" i="18"/>
  <c r="M66" i="18"/>
  <c r="N66" i="18"/>
  <c r="I67" i="18"/>
  <c r="J67" i="18"/>
  <c r="K67" i="18" s="1"/>
  <c r="L67" i="18"/>
  <c r="M67" i="18"/>
  <c r="N67" i="18"/>
  <c r="I68" i="18"/>
  <c r="J68" i="18"/>
  <c r="K68" i="18" s="1"/>
  <c r="L68" i="18"/>
  <c r="M68" i="18"/>
  <c r="N68" i="18"/>
  <c r="I69" i="18"/>
  <c r="J69" i="18"/>
  <c r="K69" i="18" s="1"/>
  <c r="L69" i="18"/>
  <c r="M69" i="18"/>
  <c r="N69" i="18"/>
  <c r="I70" i="18"/>
  <c r="J70" i="18"/>
  <c r="K70" i="18" s="1"/>
  <c r="L70" i="18"/>
  <c r="M70" i="18"/>
  <c r="N70" i="18"/>
  <c r="I71" i="18"/>
  <c r="J71" i="18"/>
  <c r="K71" i="18" s="1"/>
  <c r="L71" i="18"/>
  <c r="M71" i="18"/>
  <c r="N71" i="18"/>
  <c r="I72" i="18"/>
  <c r="J72" i="18"/>
  <c r="K72" i="18" s="1"/>
  <c r="L72" i="18"/>
  <c r="M72" i="18"/>
  <c r="N72" i="18"/>
  <c r="I73" i="18"/>
  <c r="J73" i="18"/>
  <c r="K73" i="18" s="1"/>
  <c r="L73" i="18"/>
  <c r="M73" i="18"/>
  <c r="N73" i="18"/>
  <c r="I74" i="18"/>
  <c r="J74" i="18"/>
  <c r="K74" i="18" s="1"/>
  <c r="L74" i="18"/>
  <c r="M74" i="18"/>
  <c r="N74" i="18"/>
  <c r="I75" i="18"/>
  <c r="J75" i="18"/>
  <c r="K75" i="18" s="1"/>
  <c r="L75" i="18"/>
  <c r="M75" i="18"/>
  <c r="N75" i="18"/>
  <c r="I76" i="18"/>
  <c r="J76" i="18"/>
  <c r="K76" i="18" s="1"/>
  <c r="L76" i="18"/>
  <c r="M76" i="18"/>
  <c r="N76" i="18"/>
  <c r="I77" i="18"/>
  <c r="J77" i="18"/>
  <c r="K77" i="18" s="1"/>
  <c r="L77" i="18"/>
  <c r="M77" i="18"/>
  <c r="N77" i="18"/>
  <c r="I78" i="18"/>
  <c r="J78" i="18"/>
  <c r="K78" i="18" s="1"/>
  <c r="L78" i="18"/>
  <c r="M78" i="18"/>
  <c r="N78" i="18"/>
  <c r="I79" i="18"/>
  <c r="J79" i="18"/>
  <c r="K79" i="18" s="1"/>
  <c r="L79" i="18"/>
  <c r="M79" i="18"/>
  <c r="N79" i="18"/>
  <c r="I80" i="18"/>
  <c r="J80" i="18"/>
  <c r="K80" i="18" s="1"/>
  <c r="L80" i="18"/>
  <c r="M80" i="18"/>
  <c r="N80" i="18"/>
  <c r="I81" i="18"/>
  <c r="J81" i="18"/>
  <c r="K81" i="18" s="1"/>
  <c r="L81" i="18"/>
  <c r="M81" i="18"/>
  <c r="N81" i="18"/>
  <c r="I82" i="18"/>
  <c r="J82" i="18"/>
  <c r="K82" i="18" s="1"/>
  <c r="L82" i="18"/>
  <c r="M82" i="18"/>
  <c r="N82" i="18"/>
  <c r="I83" i="18"/>
  <c r="J83" i="18"/>
  <c r="K83" i="18" s="1"/>
  <c r="L83" i="18"/>
  <c r="M83" i="18"/>
  <c r="N83" i="18"/>
  <c r="I84" i="18"/>
  <c r="J84" i="18"/>
  <c r="K84" i="18" s="1"/>
  <c r="L84" i="18"/>
  <c r="M84" i="18"/>
  <c r="N84" i="18"/>
  <c r="I85" i="18"/>
  <c r="J85" i="18"/>
  <c r="K85" i="18" s="1"/>
  <c r="L85" i="18"/>
  <c r="M85" i="18"/>
  <c r="N85" i="18"/>
  <c r="I86" i="18"/>
  <c r="J86" i="18"/>
  <c r="K86" i="18" s="1"/>
  <c r="L86" i="18"/>
  <c r="M86" i="18"/>
  <c r="N86" i="18"/>
  <c r="I87" i="18"/>
  <c r="J87" i="18"/>
  <c r="K87" i="18" s="1"/>
  <c r="L87" i="18"/>
  <c r="M87" i="18"/>
  <c r="N87" i="18"/>
  <c r="I88" i="18"/>
  <c r="J88" i="18"/>
  <c r="K88" i="18" s="1"/>
  <c r="L88" i="18"/>
  <c r="M88" i="18"/>
  <c r="N88" i="18"/>
  <c r="I89" i="18"/>
  <c r="J89" i="18"/>
  <c r="K89" i="18" s="1"/>
  <c r="L89" i="18"/>
  <c r="M89" i="18"/>
  <c r="N89" i="18"/>
  <c r="I90" i="18"/>
  <c r="J90" i="18"/>
  <c r="K90" i="18" s="1"/>
  <c r="L90" i="18"/>
  <c r="M90" i="18"/>
  <c r="N90" i="18"/>
  <c r="J91" i="18"/>
  <c r="K91" i="18" s="1"/>
  <c r="L91" i="18"/>
  <c r="M91" i="18"/>
  <c r="N91" i="18"/>
  <c r="J92" i="18"/>
  <c r="K92" i="18" s="1"/>
  <c r="L92" i="18"/>
  <c r="M92" i="18"/>
  <c r="N92" i="18"/>
  <c r="J93" i="18"/>
  <c r="K93" i="18" s="1"/>
  <c r="L93" i="18"/>
  <c r="M93" i="18"/>
  <c r="N93" i="18"/>
  <c r="J94" i="18"/>
  <c r="K94" i="18" s="1"/>
  <c r="L94" i="18"/>
  <c r="M94" i="18"/>
  <c r="N94" i="18"/>
  <c r="J95" i="18"/>
  <c r="K95" i="18" s="1"/>
  <c r="L95" i="18"/>
  <c r="M95" i="18"/>
  <c r="N95" i="18"/>
  <c r="J96" i="18"/>
  <c r="K96" i="18" s="1"/>
  <c r="L96" i="18"/>
  <c r="M96" i="18"/>
  <c r="N96" i="18"/>
  <c r="J97" i="18"/>
  <c r="K97" i="18" s="1"/>
  <c r="L97" i="18"/>
  <c r="M97" i="18"/>
  <c r="N97" i="18"/>
  <c r="J98" i="18"/>
  <c r="K98" i="18" s="1"/>
  <c r="L98" i="18"/>
  <c r="M98" i="18"/>
  <c r="N98" i="18"/>
  <c r="J99" i="18"/>
  <c r="K99" i="18" s="1"/>
  <c r="L99" i="18"/>
  <c r="M99" i="18"/>
  <c r="N99" i="18"/>
  <c r="J100" i="18"/>
  <c r="K100" i="18" s="1"/>
  <c r="L100" i="18"/>
  <c r="M100" i="18"/>
  <c r="N100" i="18"/>
  <c r="J101" i="18"/>
  <c r="K101" i="18" s="1"/>
  <c r="L101" i="18"/>
  <c r="M101" i="18"/>
  <c r="N101" i="18"/>
  <c r="J102" i="18"/>
  <c r="K102" i="18" s="1"/>
  <c r="L102" i="18"/>
  <c r="M102" i="18"/>
  <c r="N102" i="18"/>
  <c r="J103" i="18"/>
  <c r="K103" i="18" s="1"/>
  <c r="L103" i="18"/>
  <c r="M103" i="18"/>
  <c r="N103" i="18"/>
  <c r="J104" i="18"/>
  <c r="K104" i="18" s="1"/>
  <c r="L104" i="18"/>
  <c r="M104" i="18"/>
  <c r="N104" i="18"/>
  <c r="J105" i="18"/>
  <c r="K105" i="18" s="1"/>
  <c r="L105" i="18"/>
  <c r="M105" i="18"/>
  <c r="N105" i="18"/>
  <c r="J106" i="18"/>
  <c r="K106" i="18" s="1"/>
  <c r="L106" i="18"/>
  <c r="M106" i="18"/>
  <c r="N106" i="18"/>
  <c r="J107" i="18"/>
  <c r="K107" i="18" s="1"/>
  <c r="L107" i="18"/>
  <c r="M107" i="18"/>
  <c r="N107" i="18"/>
  <c r="J108" i="18"/>
  <c r="K108" i="18" s="1"/>
  <c r="L108" i="18"/>
  <c r="M108" i="18"/>
  <c r="N108" i="18"/>
  <c r="J109" i="18"/>
  <c r="K109" i="18" s="1"/>
  <c r="L109" i="18"/>
  <c r="M109" i="18"/>
  <c r="N109" i="18"/>
  <c r="J110" i="18"/>
  <c r="K110" i="18" s="1"/>
  <c r="L110" i="18"/>
  <c r="M110" i="18"/>
  <c r="N110" i="18"/>
  <c r="J111" i="18"/>
  <c r="K111" i="18" s="1"/>
  <c r="L111" i="18"/>
  <c r="M111" i="18"/>
  <c r="N111" i="18"/>
  <c r="J112" i="18"/>
  <c r="K112" i="18" s="1"/>
  <c r="L112" i="18"/>
  <c r="M112" i="18"/>
  <c r="N112" i="18"/>
  <c r="J113" i="18"/>
  <c r="K113" i="18" s="1"/>
  <c r="L113" i="18"/>
  <c r="M113" i="18"/>
  <c r="N113" i="18"/>
  <c r="J114" i="18"/>
  <c r="K114" i="18" s="1"/>
  <c r="L114" i="18"/>
  <c r="M114" i="18"/>
  <c r="N114" i="18"/>
  <c r="J115" i="18"/>
  <c r="K115" i="18" s="1"/>
  <c r="L115" i="18"/>
  <c r="M115" i="18"/>
  <c r="N115" i="18"/>
  <c r="J116" i="18"/>
  <c r="K116" i="18" s="1"/>
  <c r="L116" i="18"/>
  <c r="M116" i="18"/>
  <c r="N116" i="18"/>
  <c r="J117" i="18"/>
  <c r="K117" i="18" s="1"/>
  <c r="L117" i="18"/>
  <c r="M117" i="18"/>
  <c r="N117" i="18"/>
  <c r="J118" i="18"/>
  <c r="K118" i="18" s="1"/>
  <c r="L118" i="18"/>
  <c r="M118" i="18"/>
  <c r="N118" i="18"/>
  <c r="J119" i="18"/>
  <c r="K119" i="18" s="1"/>
  <c r="L119" i="18"/>
  <c r="M119" i="18"/>
  <c r="N119" i="18"/>
  <c r="J120" i="18"/>
  <c r="K120" i="18" s="1"/>
  <c r="L120" i="18"/>
  <c r="M120" i="18"/>
  <c r="N120" i="18"/>
  <c r="J121" i="18"/>
  <c r="K121" i="18" s="1"/>
  <c r="L121" i="18"/>
  <c r="M121" i="18"/>
  <c r="N121" i="18"/>
  <c r="J122" i="18"/>
  <c r="K122" i="18" s="1"/>
  <c r="L122" i="18"/>
  <c r="M122" i="18"/>
  <c r="N122" i="18"/>
  <c r="J123" i="18"/>
  <c r="K123" i="18" s="1"/>
  <c r="L123" i="18"/>
  <c r="M123" i="18"/>
  <c r="N123" i="18"/>
  <c r="J124" i="18"/>
  <c r="K124" i="18" s="1"/>
  <c r="L124" i="18"/>
  <c r="M124" i="18"/>
  <c r="N124" i="18"/>
  <c r="I125" i="18"/>
  <c r="J125" i="18"/>
  <c r="K125" i="18" s="1"/>
  <c r="L125" i="18"/>
  <c r="M125" i="18"/>
  <c r="N125" i="18"/>
  <c r="I126" i="18"/>
  <c r="J126" i="18"/>
  <c r="K126" i="18" s="1"/>
  <c r="L126" i="18"/>
  <c r="M126" i="18"/>
  <c r="N126" i="18"/>
  <c r="I127" i="18"/>
  <c r="J127" i="18"/>
  <c r="K127" i="18" s="1"/>
  <c r="L127" i="18"/>
  <c r="M127" i="18"/>
  <c r="N127" i="18"/>
  <c r="I128" i="18"/>
  <c r="J128" i="18"/>
  <c r="K128" i="18" s="1"/>
  <c r="L128" i="18"/>
  <c r="M128" i="18"/>
  <c r="N128" i="18"/>
  <c r="I129" i="18"/>
  <c r="J129" i="18"/>
  <c r="K129" i="18" s="1"/>
  <c r="L129" i="18"/>
  <c r="M129" i="18"/>
  <c r="N129" i="18"/>
  <c r="I130" i="18"/>
  <c r="J130" i="18"/>
  <c r="K130" i="18" s="1"/>
  <c r="L130" i="18"/>
  <c r="M130" i="18"/>
  <c r="N130" i="18"/>
  <c r="I131" i="18"/>
  <c r="J131" i="18"/>
  <c r="K131" i="18" s="1"/>
  <c r="L131" i="18"/>
  <c r="M131" i="18"/>
  <c r="N131" i="18"/>
  <c r="I132" i="18"/>
  <c r="J132" i="18"/>
  <c r="K132" i="18" s="1"/>
  <c r="L132" i="18"/>
  <c r="M132" i="18"/>
  <c r="N132" i="18"/>
  <c r="I133" i="18"/>
  <c r="J133" i="18"/>
  <c r="K133" i="18" s="1"/>
  <c r="L133" i="18"/>
  <c r="M133" i="18"/>
  <c r="N133" i="18"/>
  <c r="I134" i="18"/>
  <c r="J134" i="18"/>
  <c r="K134" i="18" s="1"/>
  <c r="L134" i="18"/>
  <c r="M134" i="18"/>
  <c r="N134" i="18"/>
  <c r="I135" i="18"/>
  <c r="J135" i="18"/>
  <c r="K135" i="18" s="1"/>
  <c r="L135" i="18"/>
  <c r="M135" i="18"/>
  <c r="N135" i="18"/>
  <c r="I136" i="18"/>
  <c r="J136" i="18"/>
  <c r="K136" i="18" s="1"/>
  <c r="L136" i="18"/>
  <c r="M136" i="18"/>
  <c r="N136" i="18"/>
  <c r="I137" i="18"/>
  <c r="J137" i="18"/>
  <c r="K137" i="18" s="1"/>
  <c r="L137" i="18"/>
  <c r="M137" i="18"/>
  <c r="N137" i="18"/>
  <c r="I138" i="18"/>
  <c r="J138" i="18"/>
  <c r="K138" i="18" s="1"/>
  <c r="L138" i="18"/>
  <c r="M138" i="18"/>
  <c r="N138" i="18"/>
  <c r="I7" i="18"/>
  <c r="J7" i="18"/>
  <c r="K7" i="18" s="1"/>
  <c r="L7" i="18"/>
  <c r="M7" i="18"/>
  <c r="N7" i="18"/>
  <c r="I8" i="18"/>
  <c r="J8" i="18"/>
  <c r="K8" i="18" s="1"/>
  <c r="L8" i="18"/>
  <c r="M8" i="18"/>
  <c r="N8" i="18"/>
  <c r="I9" i="18"/>
  <c r="J9" i="18"/>
  <c r="K9" i="18" s="1"/>
  <c r="L9" i="18"/>
  <c r="M9" i="18"/>
  <c r="N9" i="18"/>
  <c r="I10" i="18"/>
  <c r="J10" i="18"/>
  <c r="K10" i="18" s="1"/>
  <c r="L10" i="18"/>
  <c r="M10" i="18"/>
  <c r="N10" i="18"/>
  <c r="I11" i="18"/>
  <c r="J11" i="18"/>
  <c r="K11" i="18" s="1"/>
  <c r="L11" i="18"/>
  <c r="M11" i="18"/>
  <c r="N11" i="18"/>
  <c r="I12" i="18"/>
  <c r="J12" i="18"/>
  <c r="K12" i="18" s="1"/>
  <c r="L12" i="18"/>
  <c r="M12" i="18"/>
  <c r="N12" i="18"/>
  <c r="I13" i="18"/>
  <c r="J13" i="18"/>
  <c r="K13" i="18" s="1"/>
  <c r="L13" i="18"/>
  <c r="M13" i="18"/>
  <c r="N13" i="18"/>
  <c r="I14" i="18"/>
  <c r="J14" i="18"/>
  <c r="K14" i="18" s="1"/>
  <c r="L14" i="18"/>
  <c r="M14" i="18"/>
  <c r="N14" i="18"/>
  <c r="I15" i="18"/>
  <c r="J15" i="18"/>
  <c r="K15" i="18" s="1"/>
  <c r="L15" i="18"/>
  <c r="M15" i="18"/>
  <c r="N15" i="18"/>
  <c r="I16" i="18"/>
  <c r="J16" i="18"/>
  <c r="K16" i="18" s="1"/>
  <c r="L16" i="18"/>
  <c r="M16" i="18"/>
  <c r="N16" i="18"/>
  <c r="K26" i="16"/>
  <c r="J26" i="16"/>
  <c r="J10" i="16"/>
  <c r="K10" i="16" s="1"/>
  <c r="K14" i="16"/>
  <c r="J14" i="16"/>
  <c r="J25" i="16"/>
  <c r="K25" i="16" s="1"/>
  <c r="J27" i="16"/>
  <c r="K27" i="16" s="1"/>
  <c r="J13" i="16"/>
  <c r="K13" i="16" s="1"/>
  <c r="J29" i="16"/>
  <c r="K29" i="16" s="1"/>
  <c r="J31" i="16"/>
  <c r="K31" i="16" s="1"/>
  <c r="O106" i="16"/>
  <c r="P106" i="16"/>
  <c r="B3" i="22" a="1"/>
  <c r="B3" i="22" s="1"/>
  <c r="B2" i="22" a="1"/>
  <c r="B2" i="22" s="1"/>
  <c r="B1" i="22" a="1"/>
  <c r="B1" i="22" s="1"/>
  <c r="L6" i="18"/>
  <c r="M6" i="18"/>
  <c r="I6" i="18"/>
  <c r="J6" i="18"/>
  <c r="K6" i="18" s="1"/>
  <c r="N6" i="18"/>
  <c r="C57" i="12"/>
  <c r="C59" i="12"/>
  <c r="P33" i="6"/>
  <c r="R33" i="6"/>
  <c r="R21" i="5"/>
  <c r="R11" i="5"/>
  <c r="R17" i="5"/>
  <c r="R7" i="5"/>
  <c r="R23" i="9"/>
  <c r="C59" i="10"/>
  <c r="C59" i="9"/>
  <c r="C59" i="6"/>
  <c r="C59" i="8"/>
  <c r="C59" i="13"/>
  <c r="C59" i="14"/>
  <c r="C59" i="5"/>
  <c r="C55" i="10"/>
  <c r="C55" i="9"/>
  <c r="C55" i="6"/>
  <c r="C55" i="8"/>
  <c r="C55" i="13"/>
  <c r="C55" i="14"/>
  <c r="C55" i="12"/>
  <c r="C55" i="7"/>
  <c r="C55" i="1"/>
  <c r="C55" i="5"/>
  <c r="C51" i="10"/>
  <c r="C51" i="9"/>
  <c r="C51" i="6"/>
  <c r="C51" i="8"/>
  <c r="C51" i="13"/>
  <c r="C51" i="14"/>
  <c r="C51" i="12"/>
  <c r="C51" i="7"/>
  <c r="C51" i="1"/>
  <c r="C51" i="5"/>
  <c r="C57" i="10"/>
  <c r="C57" i="9"/>
  <c r="C57" i="6"/>
  <c r="C57" i="8"/>
  <c r="C57" i="13"/>
  <c r="C57" i="14"/>
  <c r="C57" i="5"/>
  <c r="C53" i="10"/>
  <c r="C53" i="9"/>
  <c r="C53" i="6"/>
  <c r="C53" i="8"/>
  <c r="C53" i="13"/>
  <c r="C53" i="14"/>
  <c r="C53" i="12"/>
  <c r="C53" i="7"/>
  <c r="C53" i="1"/>
  <c r="C53" i="5"/>
  <c r="C49" i="10"/>
  <c r="C49" i="9"/>
  <c r="C49" i="6"/>
  <c r="C49" i="8"/>
  <c r="C49" i="13"/>
  <c r="C49" i="14"/>
  <c r="C49" i="12"/>
  <c r="C49" i="7"/>
  <c r="C49" i="1"/>
  <c r="C49" i="5"/>
  <c r="R37" i="10"/>
  <c r="R41" i="9"/>
  <c r="R41" i="5"/>
  <c r="R37" i="9"/>
  <c r="R37" i="6"/>
  <c r="R37" i="8"/>
  <c r="R37" i="13"/>
  <c r="R37" i="14"/>
  <c r="R37" i="12"/>
  <c r="R37" i="7"/>
  <c r="R37" i="1"/>
  <c r="R37" i="5"/>
  <c r="R33" i="10"/>
  <c r="R33" i="9"/>
  <c r="R33" i="8"/>
  <c r="R33" i="13"/>
  <c r="R33" i="14"/>
  <c r="R33" i="12"/>
  <c r="R33" i="7"/>
  <c r="R33" i="1"/>
  <c r="R33" i="5"/>
  <c r="R23" i="10"/>
  <c r="R23" i="6"/>
  <c r="R41" i="6"/>
  <c r="R23" i="8"/>
  <c r="R23" i="13"/>
  <c r="R23" i="14"/>
  <c r="R23" i="12"/>
  <c r="R23" i="7"/>
  <c r="R23" i="1"/>
  <c r="R23" i="5"/>
  <c r="R13" i="10"/>
  <c r="R13" i="9"/>
  <c r="R13" i="6"/>
  <c r="R13" i="8"/>
  <c r="R13" i="13"/>
  <c r="R13" i="14"/>
  <c r="R13" i="12"/>
  <c r="R13" i="7"/>
  <c r="R13" i="1"/>
  <c r="R13" i="5"/>
  <c r="S31" i="14"/>
  <c r="S27" i="14"/>
  <c r="S21" i="14"/>
  <c r="S17" i="14"/>
  <c r="R41" i="12"/>
  <c r="R41" i="13"/>
  <c r="R41" i="7"/>
  <c r="R41" i="1"/>
  <c r="R41" i="14"/>
  <c r="R41" i="8"/>
  <c r="R41" i="10"/>
  <c r="Q14" i="15"/>
  <c r="P14" i="15"/>
  <c r="O14" i="15"/>
  <c r="I14" i="15"/>
  <c r="H14" i="15"/>
  <c r="G14" i="15"/>
  <c r="M10" i="15"/>
  <c r="L10" i="15"/>
  <c r="K10" i="15"/>
  <c r="P33" i="9"/>
  <c r="P35" i="9"/>
  <c r="O33" i="9"/>
  <c r="O35" i="9"/>
  <c r="N33" i="9"/>
  <c r="N35" i="9"/>
  <c r="M33" i="9"/>
  <c r="M35" i="9"/>
  <c r="L33" i="9"/>
  <c r="L35" i="9"/>
  <c r="K33" i="9"/>
  <c r="J33" i="9"/>
  <c r="I33" i="9"/>
  <c r="H33" i="9"/>
  <c r="H35" i="9"/>
  <c r="G33" i="9"/>
  <c r="G35" i="9"/>
  <c r="F33" i="9"/>
  <c r="E33" i="9"/>
  <c r="P30" i="9"/>
  <c r="O30" i="9"/>
  <c r="N30" i="9"/>
  <c r="M30" i="9"/>
  <c r="L30" i="9"/>
  <c r="K30" i="9"/>
  <c r="J30" i="9"/>
  <c r="I30" i="9"/>
  <c r="H30" i="9"/>
  <c r="G30" i="9"/>
  <c r="F30" i="9"/>
  <c r="E30" i="9"/>
  <c r="P29" i="9"/>
  <c r="O29" i="9"/>
  <c r="N29" i="9"/>
  <c r="M29" i="9"/>
  <c r="L29" i="9"/>
  <c r="K29" i="9"/>
  <c r="J29" i="9"/>
  <c r="I29" i="9"/>
  <c r="H29" i="9"/>
  <c r="G29" i="9"/>
  <c r="F29" i="9"/>
  <c r="E29" i="9"/>
  <c r="P23" i="9"/>
  <c r="P25" i="9"/>
  <c r="O23" i="9"/>
  <c r="N23" i="9"/>
  <c r="M23" i="9"/>
  <c r="L23" i="9"/>
  <c r="L25" i="9"/>
  <c r="K23" i="9"/>
  <c r="K25" i="9"/>
  <c r="J23" i="9"/>
  <c r="J25" i="9"/>
  <c r="I23" i="9"/>
  <c r="H23" i="9"/>
  <c r="G23" i="9"/>
  <c r="F23" i="9"/>
  <c r="F25" i="9"/>
  <c r="E23" i="9"/>
  <c r="P20" i="9"/>
  <c r="O20" i="9"/>
  <c r="N20" i="9"/>
  <c r="M20" i="9"/>
  <c r="L20" i="9"/>
  <c r="K20" i="9"/>
  <c r="J20" i="9"/>
  <c r="I20" i="9"/>
  <c r="H20" i="9"/>
  <c r="G20" i="9"/>
  <c r="F20" i="9"/>
  <c r="E20" i="9"/>
  <c r="P19" i="9"/>
  <c r="O19" i="9"/>
  <c r="N19" i="9"/>
  <c r="M19" i="9"/>
  <c r="L19" i="9"/>
  <c r="K19" i="9"/>
  <c r="J19" i="9"/>
  <c r="I19" i="9"/>
  <c r="H19" i="9"/>
  <c r="G19" i="9"/>
  <c r="F19" i="9"/>
  <c r="E19" i="9"/>
  <c r="P13" i="9"/>
  <c r="P15" i="9"/>
  <c r="O13" i="9"/>
  <c r="O15" i="9"/>
  <c r="N13" i="9"/>
  <c r="N15" i="9"/>
  <c r="M13" i="9"/>
  <c r="M15" i="9"/>
  <c r="L13" i="9"/>
  <c r="L15" i="9"/>
  <c r="K13" i="9"/>
  <c r="J13" i="9"/>
  <c r="J15" i="9"/>
  <c r="I13" i="9"/>
  <c r="I15" i="9"/>
  <c r="H13" i="9"/>
  <c r="H15" i="9"/>
  <c r="G13" i="9"/>
  <c r="G15" i="9"/>
  <c r="F13" i="9"/>
  <c r="F15" i="9"/>
  <c r="E13" i="9"/>
  <c r="P10" i="9"/>
  <c r="O10" i="9"/>
  <c r="N10" i="9"/>
  <c r="M10" i="9"/>
  <c r="L10" i="9"/>
  <c r="K10" i="9"/>
  <c r="J10" i="9"/>
  <c r="I10" i="9"/>
  <c r="H10" i="9"/>
  <c r="G10" i="9"/>
  <c r="F10" i="9"/>
  <c r="E10" i="9"/>
  <c r="P9" i="9"/>
  <c r="O9" i="9"/>
  <c r="N9" i="9"/>
  <c r="M9" i="9"/>
  <c r="L9" i="9"/>
  <c r="K9" i="9"/>
  <c r="J9" i="9"/>
  <c r="I9" i="9"/>
  <c r="H9" i="9"/>
  <c r="G9" i="9"/>
  <c r="F9" i="9"/>
  <c r="E9" i="9"/>
  <c r="G25" i="9"/>
  <c r="J10" i="15"/>
  <c r="N10" i="15"/>
  <c r="F14" i="15"/>
  <c r="N14" i="15"/>
  <c r="J14" i="15"/>
  <c r="H25" i="9"/>
  <c r="H10" i="15"/>
  <c r="P10" i="15"/>
  <c r="L14" i="15"/>
  <c r="H16" i="9"/>
  <c r="P26" i="9"/>
  <c r="M25" i="9"/>
  <c r="I35" i="9"/>
  <c r="R44" i="15"/>
  <c r="O47" i="15"/>
  <c r="N25" i="9"/>
  <c r="J35" i="9"/>
  <c r="R9" i="15"/>
  <c r="L47" i="15"/>
  <c r="O25" i="9"/>
  <c r="K35" i="9"/>
  <c r="R7" i="15"/>
  <c r="O10" i="15"/>
  <c r="K14" i="15"/>
  <c r="K15" i="9"/>
  <c r="J47" i="15"/>
  <c r="L26" i="9"/>
  <c r="E25" i="9"/>
  <c r="P36" i="9"/>
  <c r="F36" i="9"/>
  <c r="I10" i="15"/>
  <c r="Q10" i="15"/>
  <c r="M14" i="15"/>
  <c r="N36" i="9"/>
  <c r="R5" i="15"/>
  <c r="R8" i="15"/>
  <c r="F10" i="15"/>
  <c r="G10" i="15"/>
  <c r="R11" i="15"/>
  <c r="R14" i="15"/>
  <c r="F6" i="15"/>
  <c r="J26" i="9"/>
  <c r="E15" i="9"/>
  <c r="I16" i="9"/>
  <c r="I25" i="9"/>
  <c r="E26" i="9"/>
  <c r="M26" i="9"/>
  <c r="E35" i="9"/>
  <c r="I36" i="9"/>
  <c r="J16" i="9"/>
  <c r="F26" i="9"/>
  <c r="N26" i="9"/>
  <c r="F35" i="9"/>
  <c r="J36" i="9"/>
  <c r="G36" i="9"/>
  <c r="N16" i="9"/>
  <c r="O16" i="9"/>
  <c r="P16" i="9"/>
  <c r="K16" i="9"/>
  <c r="G26" i="9"/>
  <c r="O26" i="9"/>
  <c r="K36" i="9"/>
  <c r="L16" i="9"/>
  <c r="H26" i="9"/>
  <c r="L36" i="9"/>
  <c r="M16" i="9"/>
  <c r="I26" i="9"/>
  <c r="E36" i="9"/>
  <c r="M36" i="9"/>
  <c r="O36" i="9"/>
  <c r="E16" i="9"/>
  <c r="F16" i="9"/>
  <c r="G16" i="9"/>
  <c r="K26" i="9"/>
  <c r="H36" i="9"/>
  <c r="G47" i="15"/>
  <c r="Q47" i="15"/>
  <c r="R10" i="15"/>
  <c r="P47" i="15"/>
  <c r="I47" i="15"/>
  <c r="M47" i="15"/>
  <c r="R47" i="15"/>
  <c r="H47" i="15"/>
  <c r="K47" i="15"/>
  <c r="N47" i="15"/>
  <c r="F47" i="15"/>
  <c r="E34" i="5"/>
  <c r="K36" i="5"/>
  <c r="P33" i="5"/>
  <c r="O33" i="5"/>
  <c r="N33" i="5"/>
  <c r="M33" i="5"/>
  <c r="L33" i="5"/>
  <c r="K33" i="5"/>
  <c r="J33" i="5"/>
  <c r="I33" i="5"/>
  <c r="H33" i="5"/>
  <c r="G33" i="5"/>
  <c r="F33" i="5"/>
  <c r="E33" i="5"/>
  <c r="P30" i="5"/>
  <c r="O30" i="5"/>
  <c r="N30" i="5"/>
  <c r="M30" i="5"/>
  <c r="L30" i="5"/>
  <c r="K30" i="5"/>
  <c r="J30" i="5"/>
  <c r="I30" i="5"/>
  <c r="H30" i="5"/>
  <c r="G30" i="5"/>
  <c r="F30" i="5"/>
  <c r="E30" i="5"/>
  <c r="P29" i="5"/>
  <c r="O29" i="5"/>
  <c r="N29" i="5"/>
  <c r="M29" i="5"/>
  <c r="L29" i="5"/>
  <c r="K29" i="5"/>
  <c r="J29" i="5"/>
  <c r="I29" i="5"/>
  <c r="H29" i="5"/>
  <c r="G29" i="5"/>
  <c r="F29" i="5"/>
  <c r="E29" i="5"/>
  <c r="E23" i="5"/>
  <c r="E22" i="5"/>
  <c r="P21" i="5"/>
  <c r="O21" i="5"/>
  <c r="N21" i="5"/>
  <c r="M21" i="5"/>
  <c r="L21" i="5"/>
  <c r="J21" i="5"/>
  <c r="I21" i="5"/>
  <c r="H21" i="5"/>
  <c r="G21" i="5"/>
  <c r="F21" i="5"/>
  <c r="E18" i="5"/>
  <c r="P17" i="5"/>
  <c r="P19" i="5"/>
  <c r="O17" i="5"/>
  <c r="O19" i="5"/>
  <c r="N17" i="5"/>
  <c r="M17" i="5"/>
  <c r="L17" i="5"/>
  <c r="K17" i="5"/>
  <c r="J17" i="5"/>
  <c r="I17" i="5"/>
  <c r="H17" i="5"/>
  <c r="H19" i="5"/>
  <c r="G17" i="5"/>
  <c r="G19" i="5"/>
  <c r="F17" i="5"/>
  <c r="F19" i="5"/>
  <c r="E13" i="5"/>
  <c r="E12" i="5"/>
  <c r="P11" i="5"/>
  <c r="O11" i="5"/>
  <c r="N11" i="5"/>
  <c r="M11" i="5"/>
  <c r="L11" i="5"/>
  <c r="K11" i="5"/>
  <c r="J11" i="5"/>
  <c r="I11" i="5"/>
  <c r="H11" i="5"/>
  <c r="G11" i="5"/>
  <c r="F11" i="5"/>
  <c r="I9" i="5"/>
  <c r="E8" i="5"/>
  <c r="E10" i="5"/>
  <c r="P7" i="5"/>
  <c r="O7" i="5"/>
  <c r="N7" i="5"/>
  <c r="N13" i="5"/>
  <c r="M7" i="5"/>
  <c r="L7" i="5"/>
  <c r="L9" i="5"/>
  <c r="K7" i="5"/>
  <c r="J7" i="5"/>
  <c r="I7" i="5"/>
  <c r="H7" i="5"/>
  <c r="G7" i="5"/>
  <c r="F7" i="5"/>
  <c r="I23" i="5"/>
  <c r="I25" i="5"/>
  <c r="K35" i="5"/>
  <c r="N19" i="5"/>
  <c r="K9" i="5"/>
  <c r="N15" i="5"/>
  <c r="M9" i="5"/>
  <c r="M13" i="5"/>
  <c r="L23" i="5"/>
  <c r="H9" i="5"/>
  <c r="P9" i="5"/>
  <c r="M23" i="5"/>
  <c r="N6" i="15"/>
  <c r="L19" i="5"/>
  <c r="G35" i="5"/>
  <c r="F10" i="5"/>
  <c r="I13" i="5"/>
  <c r="F23" i="5"/>
  <c r="G6" i="15"/>
  <c r="M19" i="5"/>
  <c r="H35" i="5"/>
  <c r="P36" i="5"/>
  <c r="N9" i="5"/>
  <c r="O6" i="15"/>
  <c r="K19" i="5"/>
  <c r="L6" i="15"/>
  <c r="G23" i="5"/>
  <c r="H6" i="15"/>
  <c r="J9" i="5"/>
  <c r="H23" i="5"/>
  <c r="P23" i="5"/>
  <c r="E36" i="5"/>
  <c r="F39" i="15"/>
  <c r="M35" i="5"/>
  <c r="J35" i="5"/>
  <c r="O23" i="5"/>
  <c r="P6" i="15"/>
  <c r="I35" i="5"/>
  <c r="L13" i="5"/>
  <c r="I19" i="5"/>
  <c r="F35" i="5"/>
  <c r="N35" i="5"/>
  <c r="J19" i="5"/>
  <c r="K6" i="15"/>
  <c r="O35" i="5"/>
  <c r="F13" i="5"/>
  <c r="P35" i="5"/>
  <c r="G13" i="5"/>
  <c r="G9" i="5"/>
  <c r="O9" i="5"/>
  <c r="O13" i="5"/>
  <c r="L10" i="5"/>
  <c r="M10" i="5"/>
  <c r="E19" i="5"/>
  <c r="O20" i="5"/>
  <c r="G20" i="5"/>
  <c r="N20" i="5"/>
  <c r="F20" i="5"/>
  <c r="M20" i="5"/>
  <c r="E20" i="5"/>
  <c r="L20" i="5"/>
  <c r="K20" i="5"/>
  <c r="J20" i="5"/>
  <c r="I20" i="5"/>
  <c r="E24" i="5"/>
  <c r="J13" i="5"/>
  <c r="N10" i="5"/>
  <c r="H20" i="5"/>
  <c r="K13" i="5"/>
  <c r="P20" i="5"/>
  <c r="L35" i="5"/>
  <c r="O36" i="5"/>
  <c r="N36" i="5"/>
  <c r="M36" i="5"/>
  <c r="L36" i="5"/>
  <c r="F9" i="5"/>
  <c r="G10" i="5"/>
  <c r="O10" i="5"/>
  <c r="N23" i="5"/>
  <c r="J23" i="5"/>
  <c r="H10" i="5"/>
  <c r="P13" i="5"/>
  <c r="I36" i="5"/>
  <c r="K23" i="5"/>
  <c r="P10" i="5"/>
  <c r="H13" i="5"/>
  <c r="F36" i="5"/>
  <c r="E9" i="5"/>
  <c r="I10" i="5"/>
  <c r="E14" i="5"/>
  <c r="G36" i="5"/>
  <c r="J10" i="5"/>
  <c r="K10" i="5"/>
  <c r="E35" i="5"/>
  <c r="J36" i="5"/>
  <c r="H36" i="5"/>
  <c r="I6" i="15"/>
  <c r="M6" i="15"/>
  <c r="O25" i="5"/>
  <c r="O15" i="5"/>
  <c r="R38" i="15"/>
  <c r="P25" i="5"/>
  <c r="L25" i="5"/>
  <c r="P15" i="5"/>
  <c r="J15" i="5"/>
  <c r="M15" i="5"/>
  <c r="H25" i="5"/>
  <c r="R4" i="15"/>
  <c r="M25" i="5"/>
  <c r="G15" i="5"/>
  <c r="F25" i="5"/>
  <c r="Q6" i="15"/>
  <c r="K25" i="5"/>
  <c r="J25" i="5"/>
  <c r="N25" i="5"/>
  <c r="O39" i="15"/>
  <c r="L15" i="5"/>
  <c r="J6" i="15"/>
  <c r="H15" i="5"/>
  <c r="I15" i="5"/>
  <c r="J39" i="15"/>
  <c r="K15" i="5"/>
  <c r="F15" i="5"/>
  <c r="G25" i="5"/>
  <c r="R3" i="15"/>
  <c r="E16" i="5"/>
  <c r="K16" i="5"/>
  <c r="J16" i="5"/>
  <c r="I16" i="5"/>
  <c r="E15" i="5"/>
  <c r="P16" i="5"/>
  <c r="H16" i="5"/>
  <c r="O16" i="5"/>
  <c r="G16" i="5"/>
  <c r="N16" i="5"/>
  <c r="F16" i="5"/>
  <c r="M16" i="5"/>
  <c r="L16" i="5"/>
  <c r="E25" i="5"/>
  <c r="O26" i="5"/>
  <c r="G26" i="5"/>
  <c r="N26" i="5"/>
  <c r="F26" i="5"/>
  <c r="M26" i="5"/>
  <c r="E26" i="5"/>
  <c r="L26" i="5"/>
  <c r="K26" i="5"/>
  <c r="J26" i="5"/>
  <c r="I26" i="5"/>
  <c r="P26" i="5"/>
  <c r="H26" i="5"/>
  <c r="I39" i="15"/>
  <c r="L39" i="15"/>
  <c r="R6" i="15"/>
  <c r="N39" i="15"/>
  <c r="H39" i="15"/>
  <c r="K39" i="15"/>
  <c r="R37" i="15"/>
  <c r="G39" i="15"/>
  <c r="R36" i="15"/>
  <c r="P39" i="15"/>
  <c r="Q39" i="15"/>
  <c r="M39" i="15"/>
  <c r="Q29" i="2"/>
  <c r="P29" i="2"/>
  <c r="O29" i="2"/>
  <c r="N29" i="2"/>
  <c r="M29" i="2"/>
  <c r="L29" i="2"/>
  <c r="K29" i="2"/>
  <c r="J29" i="2"/>
  <c r="I29" i="2"/>
  <c r="H29" i="2"/>
  <c r="G29" i="2"/>
  <c r="F29" i="2"/>
  <c r="Q25" i="2"/>
  <c r="P25" i="2"/>
  <c r="O25" i="2"/>
  <c r="N25" i="2"/>
  <c r="M25" i="2"/>
  <c r="L25" i="2"/>
  <c r="K25" i="2"/>
  <c r="J25" i="2"/>
  <c r="I25" i="2"/>
  <c r="H25" i="2"/>
  <c r="G25" i="2"/>
  <c r="Q24" i="2"/>
  <c r="P24" i="2"/>
  <c r="O24" i="2"/>
  <c r="N24" i="2"/>
  <c r="M24" i="2"/>
  <c r="L24" i="2"/>
  <c r="K24" i="2"/>
  <c r="J24" i="2"/>
  <c r="I24" i="2"/>
  <c r="H24" i="2"/>
  <c r="G24" i="2"/>
  <c r="Q23" i="2"/>
  <c r="P23" i="2"/>
  <c r="O23" i="2"/>
  <c r="N23" i="2"/>
  <c r="M23" i="2"/>
  <c r="L23" i="2"/>
  <c r="K23" i="2"/>
  <c r="J23" i="2"/>
  <c r="I23" i="2"/>
  <c r="H23" i="2"/>
  <c r="G23" i="2"/>
  <c r="F25" i="2"/>
  <c r="F24" i="2"/>
  <c r="F23" i="2"/>
  <c r="P37" i="14"/>
  <c r="O37" i="14"/>
  <c r="N37" i="14"/>
  <c r="M37" i="14"/>
  <c r="L37" i="14"/>
  <c r="K37" i="14"/>
  <c r="J37" i="14"/>
  <c r="I37" i="14"/>
  <c r="H37" i="14"/>
  <c r="G37" i="14"/>
  <c r="F37" i="14"/>
  <c r="E37" i="14"/>
  <c r="Q34" i="14"/>
  <c r="S34" i="14"/>
  <c r="P35" i="14"/>
  <c r="O35" i="14"/>
  <c r="N35" i="14"/>
  <c r="L35" i="14"/>
  <c r="K35" i="14"/>
  <c r="J35" i="14"/>
  <c r="I35" i="14"/>
  <c r="H35" i="14"/>
  <c r="G35" i="14"/>
  <c r="Q32" i="14"/>
  <c r="S32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P29" i="14"/>
  <c r="O29" i="14"/>
  <c r="N29" i="14"/>
  <c r="M29" i="14"/>
  <c r="L29" i="14"/>
  <c r="K29" i="14"/>
  <c r="J29" i="14"/>
  <c r="I29" i="14"/>
  <c r="H29" i="14"/>
  <c r="G29" i="14"/>
  <c r="F29" i="14"/>
  <c r="E29" i="14"/>
  <c r="Q28" i="14"/>
  <c r="S28" i="14"/>
  <c r="Q24" i="14"/>
  <c r="S24" i="14"/>
  <c r="P25" i="14"/>
  <c r="O25" i="14"/>
  <c r="N25" i="14"/>
  <c r="M25" i="14"/>
  <c r="L25" i="14"/>
  <c r="K25" i="14"/>
  <c r="J25" i="14"/>
  <c r="F25" i="14"/>
  <c r="E25" i="14"/>
  <c r="Q22" i="14"/>
  <c r="S22" i="14"/>
  <c r="P20" i="14"/>
  <c r="O20" i="14"/>
  <c r="N20" i="14"/>
  <c r="M20" i="14"/>
  <c r="L20" i="14"/>
  <c r="K20" i="14"/>
  <c r="J20" i="14"/>
  <c r="I20" i="14"/>
  <c r="H20" i="14"/>
  <c r="G20" i="14"/>
  <c r="F20" i="14"/>
  <c r="E20" i="14"/>
  <c r="P19" i="14"/>
  <c r="O19" i="14"/>
  <c r="N19" i="14"/>
  <c r="M19" i="14"/>
  <c r="L19" i="14"/>
  <c r="K19" i="14"/>
  <c r="J19" i="14"/>
  <c r="I19" i="14"/>
  <c r="H19" i="14"/>
  <c r="G19" i="14"/>
  <c r="F19" i="14"/>
  <c r="E19" i="14"/>
  <c r="Q18" i="14"/>
  <c r="S18" i="14"/>
  <c r="P13" i="14"/>
  <c r="Q62" i="2"/>
  <c r="O13" i="14"/>
  <c r="N13" i="14"/>
  <c r="O62" i="2"/>
  <c r="M13" i="14"/>
  <c r="L13" i="14"/>
  <c r="K13" i="14"/>
  <c r="J13" i="14"/>
  <c r="I13" i="14"/>
  <c r="H13" i="14"/>
  <c r="G13" i="14"/>
  <c r="F13" i="14"/>
  <c r="G62" i="2"/>
  <c r="E13" i="14"/>
  <c r="Q11" i="14"/>
  <c r="S11" i="14"/>
  <c r="Q7" i="14"/>
  <c r="S7" i="14"/>
  <c r="P37" i="13"/>
  <c r="O37" i="13"/>
  <c r="N37" i="13"/>
  <c r="M37" i="13"/>
  <c r="L37" i="13"/>
  <c r="K37" i="13"/>
  <c r="J37" i="13"/>
  <c r="I37" i="13"/>
  <c r="H37" i="13"/>
  <c r="G37" i="13"/>
  <c r="F37" i="13"/>
  <c r="E37" i="13"/>
  <c r="P33" i="13"/>
  <c r="O33" i="13"/>
  <c r="N33" i="13"/>
  <c r="M33" i="13"/>
  <c r="L33" i="13"/>
  <c r="K33" i="13"/>
  <c r="J33" i="13"/>
  <c r="K58" i="2"/>
  <c r="I33" i="13"/>
  <c r="H33" i="13"/>
  <c r="G33" i="13"/>
  <c r="F33" i="13"/>
  <c r="E33" i="13"/>
  <c r="Q31" i="13"/>
  <c r="S31" i="13"/>
  <c r="Q27" i="13"/>
  <c r="S27" i="13"/>
  <c r="P23" i="13"/>
  <c r="Q57" i="2"/>
  <c r="O23" i="13"/>
  <c r="P57" i="2"/>
  <c r="N23" i="13"/>
  <c r="M23" i="13"/>
  <c r="L23" i="13"/>
  <c r="K23" i="13"/>
  <c r="L57" i="2"/>
  <c r="J23" i="13"/>
  <c r="K57" i="2"/>
  <c r="I23" i="13"/>
  <c r="H23" i="13"/>
  <c r="G23" i="13"/>
  <c r="H57" i="2"/>
  <c r="F23" i="13"/>
  <c r="E23" i="13"/>
  <c r="Q21" i="13"/>
  <c r="S21" i="13"/>
  <c r="Q17" i="13"/>
  <c r="S17" i="13"/>
  <c r="P13" i="13"/>
  <c r="O13" i="13"/>
  <c r="N13" i="13"/>
  <c r="O56" i="2"/>
  <c r="M13" i="13"/>
  <c r="N56" i="2"/>
  <c r="L13" i="13"/>
  <c r="M56" i="2"/>
  <c r="K13" i="13"/>
  <c r="L56" i="2"/>
  <c r="J13" i="13"/>
  <c r="K56" i="2"/>
  <c r="I13" i="13"/>
  <c r="H13" i="13"/>
  <c r="G13" i="13"/>
  <c r="F13" i="13"/>
  <c r="G56" i="2"/>
  <c r="E13" i="13"/>
  <c r="Q11" i="13"/>
  <c r="S11" i="13"/>
  <c r="Q7" i="13"/>
  <c r="S7" i="13"/>
  <c r="J36" i="14"/>
  <c r="M41" i="13"/>
  <c r="Q29" i="14"/>
  <c r="Q19" i="14"/>
  <c r="F26" i="14"/>
  <c r="R39" i="15"/>
  <c r="F35" i="14"/>
  <c r="I62" i="2"/>
  <c r="P41" i="13"/>
  <c r="I36" i="14"/>
  <c r="M36" i="14"/>
  <c r="F56" i="2"/>
  <c r="I57" i="2"/>
  <c r="N58" i="2"/>
  <c r="J62" i="2"/>
  <c r="F57" i="2"/>
  <c r="J57" i="2"/>
  <c r="G58" i="2"/>
  <c r="O58" i="2"/>
  <c r="K62" i="2"/>
  <c r="J41" i="13"/>
  <c r="L41" i="14"/>
  <c r="K36" i="14"/>
  <c r="F58" i="2"/>
  <c r="H58" i="2"/>
  <c r="P58" i="2"/>
  <c r="L62" i="2"/>
  <c r="N41" i="13"/>
  <c r="Q37" i="14"/>
  <c r="S37" i="14"/>
  <c r="K41" i="13"/>
  <c r="H41" i="13"/>
  <c r="M41" i="14"/>
  <c r="O26" i="14"/>
  <c r="L36" i="14"/>
  <c r="I58" i="2"/>
  <c r="Q58" i="2"/>
  <c r="M62" i="2"/>
  <c r="I41" i="14"/>
  <c r="M58" i="2"/>
  <c r="Q37" i="13"/>
  <c r="S37" i="13"/>
  <c r="I41" i="13"/>
  <c r="F41" i="14"/>
  <c r="N41" i="14"/>
  <c r="E26" i="14"/>
  <c r="H56" i="2"/>
  <c r="P56" i="2"/>
  <c r="M57" i="2"/>
  <c r="J58" i="2"/>
  <c r="F62" i="2"/>
  <c r="N62" i="2"/>
  <c r="O41" i="14"/>
  <c r="P26" i="14"/>
  <c r="I56" i="2"/>
  <c r="Q56" i="2"/>
  <c r="N57" i="2"/>
  <c r="L41" i="13"/>
  <c r="P41" i="14"/>
  <c r="H41" i="14"/>
  <c r="J56" i="2"/>
  <c r="G57" i="2"/>
  <c r="O57" i="2"/>
  <c r="L58" i="2"/>
  <c r="H62" i="2"/>
  <c r="P62" i="2"/>
  <c r="M35" i="14"/>
  <c r="Q23" i="13"/>
  <c r="S23" i="13"/>
  <c r="O41" i="13"/>
  <c r="H25" i="14"/>
  <c r="G26" i="14"/>
  <c r="J41" i="14"/>
  <c r="Q13" i="14"/>
  <c r="S13" i="14"/>
  <c r="I25" i="14"/>
  <c r="H26" i="14"/>
  <c r="Q33" i="14"/>
  <c r="S33" i="14"/>
  <c r="N36" i="14"/>
  <c r="K41" i="14"/>
  <c r="O36" i="14"/>
  <c r="G41" i="14"/>
  <c r="G25" i="14"/>
  <c r="E41" i="13"/>
  <c r="F41" i="13"/>
  <c r="J26" i="14"/>
  <c r="E35" i="14"/>
  <c r="P36" i="14"/>
  <c r="I26" i="14"/>
  <c r="Q13" i="13"/>
  <c r="S13" i="13"/>
  <c r="G41" i="13"/>
  <c r="K26" i="14"/>
  <c r="E36" i="14"/>
  <c r="F36" i="14"/>
  <c r="G36" i="14"/>
  <c r="L26" i="14"/>
  <c r="M26" i="14"/>
  <c r="Q23" i="14"/>
  <c r="S23" i="14"/>
  <c r="N26" i="14"/>
  <c r="H36" i="14"/>
  <c r="E41" i="14"/>
  <c r="Q33" i="13"/>
  <c r="S33" i="13"/>
  <c r="Q25" i="14"/>
  <c r="Q35" i="14"/>
  <c r="Q41" i="13"/>
  <c r="S41" i="13"/>
  <c r="Q41" i="14"/>
  <c r="S41" i="14"/>
  <c r="Q44" i="2"/>
  <c r="P44" i="2"/>
  <c r="O44" i="2"/>
  <c r="N44" i="2"/>
  <c r="M44" i="2"/>
  <c r="L44" i="2"/>
  <c r="K44" i="2"/>
  <c r="J44" i="2"/>
  <c r="I44" i="2"/>
  <c r="H44" i="2"/>
  <c r="G44" i="2"/>
  <c r="F44" i="2"/>
  <c r="Q38" i="2"/>
  <c r="P38" i="2"/>
  <c r="O38" i="2"/>
  <c r="N38" i="2"/>
  <c r="M38" i="2"/>
  <c r="L38" i="2"/>
  <c r="K38" i="2"/>
  <c r="J38" i="2"/>
  <c r="I38" i="2"/>
  <c r="H38" i="2"/>
  <c r="G38" i="2"/>
  <c r="Q37" i="2"/>
  <c r="P37" i="2"/>
  <c r="O37" i="2"/>
  <c r="N37" i="2"/>
  <c r="M37" i="2"/>
  <c r="L37" i="2"/>
  <c r="K37" i="2"/>
  <c r="J37" i="2"/>
  <c r="I37" i="2"/>
  <c r="H37" i="2"/>
  <c r="G37" i="2"/>
  <c r="Q36" i="2"/>
  <c r="P36" i="2"/>
  <c r="O36" i="2"/>
  <c r="N36" i="2"/>
  <c r="M36" i="2"/>
  <c r="L36" i="2"/>
  <c r="K36" i="2"/>
  <c r="J36" i="2"/>
  <c r="I36" i="2"/>
  <c r="H36" i="2"/>
  <c r="G36" i="2"/>
  <c r="F38" i="2"/>
  <c r="F37" i="2"/>
  <c r="F36" i="2"/>
  <c r="Q59" i="2"/>
  <c r="P71" i="4"/>
  <c r="P59" i="2"/>
  <c r="O71" i="4"/>
  <c r="O59" i="2"/>
  <c r="N71" i="4"/>
  <c r="N59" i="2"/>
  <c r="M71" i="4"/>
  <c r="M59" i="2"/>
  <c r="L71" i="4"/>
  <c r="L59" i="2"/>
  <c r="K71" i="4"/>
  <c r="K59" i="2"/>
  <c r="J71" i="4"/>
  <c r="J59" i="2"/>
  <c r="I71" i="4"/>
  <c r="I59" i="2"/>
  <c r="H71" i="4"/>
  <c r="H59" i="2"/>
  <c r="G71" i="4"/>
  <c r="G59" i="2"/>
  <c r="F71" i="4"/>
  <c r="F59" i="2"/>
  <c r="E71" i="4"/>
  <c r="R58" i="2"/>
  <c r="R57" i="2"/>
  <c r="R56" i="2"/>
  <c r="Q68" i="12"/>
  <c r="Q67" i="12"/>
  <c r="Q66" i="12"/>
  <c r="Q65" i="12"/>
  <c r="Q32" i="2"/>
  <c r="P32" i="2"/>
  <c r="O32" i="2"/>
  <c r="N32" i="2"/>
  <c r="M32" i="2"/>
  <c r="L32" i="2"/>
  <c r="K32" i="2"/>
  <c r="J32" i="2"/>
  <c r="I32" i="2"/>
  <c r="H32" i="2"/>
  <c r="G32" i="2"/>
  <c r="Q31" i="2"/>
  <c r="P31" i="2"/>
  <c r="O31" i="2"/>
  <c r="N31" i="2"/>
  <c r="M31" i="2"/>
  <c r="L31" i="2"/>
  <c r="K31" i="2"/>
  <c r="J31" i="2"/>
  <c r="I31" i="2"/>
  <c r="H31" i="2"/>
  <c r="G31" i="2"/>
  <c r="F32" i="2"/>
  <c r="Q71" i="4"/>
  <c r="N33" i="2"/>
  <c r="K27" i="2"/>
  <c r="O27" i="2"/>
  <c r="N28" i="2"/>
  <c r="Q27" i="2"/>
  <c r="P33" i="2"/>
  <c r="P34" i="2"/>
  <c r="O31" i="4"/>
  <c r="H28" i="2"/>
  <c r="H33" i="2"/>
  <c r="H34" i="2"/>
  <c r="G31" i="4"/>
  <c r="P28" i="2"/>
  <c r="J33" i="2"/>
  <c r="J34" i="2"/>
  <c r="I31" i="4"/>
  <c r="G27" i="2"/>
  <c r="L33" i="2"/>
  <c r="L34" i="2"/>
  <c r="K31" i="4"/>
  <c r="I27" i="2"/>
  <c r="K33" i="2"/>
  <c r="J27" i="2"/>
  <c r="G28" i="2"/>
  <c r="O28" i="2"/>
  <c r="O30" i="2"/>
  <c r="N27" i="4"/>
  <c r="M33" i="2"/>
  <c r="M34" i="2"/>
  <c r="L31" i="4"/>
  <c r="L27" i="2"/>
  <c r="I28" i="2"/>
  <c r="I30" i="2"/>
  <c r="H27" i="4"/>
  <c r="Q28" i="2"/>
  <c r="Q30" i="2"/>
  <c r="P27" i="4"/>
  <c r="H39" i="2"/>
  <c r="F27" i="2"/>
  <c r="M27" i="2"/>
  <c r="J28" i="2"/>
  <c r="K39" i="2"/>
  <c r="J51" i="4"/>
  <c r="R33" i="15"/>
  <c r="F33" i="2"/>
  <c r="G33" i="2"/>
  <c r="G34" i="2"/>
  <c r="F31" i="4"/>
  <c r="O33" i="2"/>
  <c r="O34" i="2"/>
  <c r="N31" i="4"/>
  <c r="F28" i="2"/>
  <c r="N27" i="2"/>
  <c r="N30" i="2"/>
  <c r="M27" i="4"/>
  <c r="K28" i="2"/>
  <c r="K30" i="2"/>
  <c r="J27" i="4"/>
  <c r="L28" i="2"/>
  <c r="L30" i="2"/>
  <c r="K27" i="4"/>
  <c r="I33" i="2"/>
  <c r="I34" i="2"/>
  <c r="H31" i="4"/>
  <c r="Q33" i="2"/>
  <c r="Q34" i="2"/>
  <c r="P31" i="4"/>
  <c r="H27" i="2"/>
  <c r="P27" i="2"/>
  <c r="M28" i="2"/>
  <c r="M30" i="2"/>
  <c r="L27" i="4"/>
  <c r="M39" i="2"/>
  <c r="L51" i="4"/>
  <c r="R59" i="2"/>
  <c r="I39" i="2"/>
  <c r="H51" i="4"/>
  <c r="L39" i="2"/>
  <c r="K51" i="4"/>
  <c r="O39" i="2"/>
  <c r="N51" i="4"/>
  <c r="P39" i="2"/>
  <c r="O51" i="4"/>
  <c r="Q39" i="2"/>
  <c r="P51" i="4"/>
  <c r="N39" i="2"/>
  <c r="M51" i="4"/>
  <c r="R36" i="2"/>
  <c r="J39" i="2"/>
  <c r="I51" i="4"/>
  <c r="R62" i="2"/>
  <c r="R37" i="2"/>
  <c r="R38" i="2"/>
  <c r="G39" i="2"/>
  <c r="R44" i="2"/>
  <c r="F39" i="2"/>
  <c r="F31" i="2"/>
  <c r="R31" i="2"/>
  <c r="P37" i="12"/>
  <c r="O37" i="12"/>
  <c r="N37" i="12"/>
  <c r="M37" i="12"/>
  <c r="L37" i="12"/>
  <c r="K37" i="12"/>
  <c r="J37" i="12"/>
  <c r="I37" i="12"/>
  <c r="H37" i="12"/>
  <c r="G37" i="12"/>
  <c r="F37" i="12"/>
  <c r="E37" i="12"/>
  <c r="Q34" i="12"/>
  <c r="S34" i="12"/>
  <c r="P35" i="12"/>
  <c r="O35" i="12"/>
  <c r="N35" i="12"/>
  <c r="M35" i="12"/>
  <c r="L35" i="12"/>
  <c r="K35" i="12"/>
  <c r="J35" i="12"/>
  <c r="I35" i="12"/>
  <c r="H35" i="12"/>
  <c r="G35" i="12"/>
  <c r="F35" i="12"/>
  <c r="Q32" i="12"/>
  <c r="S32" i="12"/>
  <c r="Q31" i="12"/>
  <c r="S31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P29" i="12"/>
  <c r="O29" i="12"/>
  <c r="N29" i="12"/>
  <c r="M29" i="12"/>
  <c r="L29" i="12"/>
  <c r="K29" i="12"/>
  <c r="J29" i="12"/>
  <c r="I29" i="12"/>
  <c r="H29" i="12"/>
  <c r="G29" i="12"/>
  <c r="F29" i="12"/>
  <c r="E29" i="12"/>
  <c r="Q28" i="12"/>
  <c r="S28" i="12"/>
  <c r="Q27" i="12"/>
  <c r="S27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Q21" i="12"/>
  <c r="S21" i="12"/>
  <c r="Q17" i="12"/>
  <c r="S17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Q11" i="12"/>
  <c r="S11" i="12"/>
  <c r="Q7" i="12"/>
  <c r="S7" i="12"/>
  <c r="Q21" i="2"/>
  <c r="P21" i="2"/>
  <c r="O21" i="2"/>
  <c r="N21" i="2"/>
  <c r="M21" i="2"/>
  <c r="L21" i="2"/>
  <c r="K21" i="2"/>
  <c r="J21" i="2"/>
  <c r="I21" i="2"/>
  <c r="H21" i="2"/>
  <c r="G21" i="2"/>
  <c r="Q20" i="2"/>
  <c r="P20" i="2"/>
  <c r="O20" i="2"/>
  <c r="N20" i="2"/>
  <c r="M20" i="2"/>
  <c r="L20" i="2"/>
  <c r="K20" i="2"/>
  <c r="J20" i="2"/>
  <c r="I20" i="2"/>
  <c r="H20" i="2"/>
  <c r="G20" i="2"/>
  <c r="Q19" i="2"/>
  <c r="P19" i="2"/>
  <c r="O19" i="2"/>
  <c r="N19" i="2"/>
  <c r="M19" i="2"/>
  <c r="L19" i="2"/>
  <c r="K19" i="2"/>
  <c r="J19" i="2"/>
  <c r="I19" i="2"/>
  <c r="H19" i="2"/>
  <c r="G19" i="2"/>
  <c r="F21" i="2"/>
  <c r="F20" i="2"/>
  <c r="F19" i="2"/>
  <c r="Q17" i="2"/>
  <c r="P17" i="2"/>
  <c r="O17" i="2"/>
  <c r="N17" i="2"/>
  <c r="M17" i="2"/>
  <c r="L17" i="2"/>
  <c r="K17" i="2"/>
  <c r="J17" i="2"/>
  <c r="I17" i="2"/>
  <c r="H17" i="2"/>
  <c r="G17" i="2"/>
  <c r="Q16" i="2"/>
  <c r="P16" i="2"/>
  <c r="O16" i="2"/>
  <c r="N16" i="2"/>
  <c r="M16" i="2"/>
  <c r="L16" i="2"/>
  <c r="K16" i="2"/>
  <c r="J16" i="2"/>
  <c r="I16" i="2"/>
  <c r="H16" i="2"/>
  <c r="G16" i="2"/>
  <c r="Q15" i="2"/>
  <c r="P15" i="2"/>
  <c r="O15" i="2"/>
  <c r="N15" i="2"/>
  <c r="M15" i="2"/>
  <c r="L15" i="2"/>
  <c r="K15" i="2"/>
  <c r="J15" i="2"/>
  <c r="I15" i="2"/>
  <c r="H15" i="2"/>
  <c r="G15" i="2"/>
  <c r="F17" i="2"/>
  <c r="F16" i="2"/>
  <c r="F15" i="2"/>
  <c r="F18" i="2"/>
  <c r="E15" i="4"/>
  <c r="Q11" i="2"/>
  <c r="P11" i="2"/>
  <c r="O11" i="2"/>
  <c r="N11" i="2"/>
  <c r="M11" i="2"/>
  <c r="L11" i="2"/>
  <c r="K11" i="2"/>
  <c r="J11" i="2"/>
  <c r="I11" i="2"/>
  <c r="H11" i="2"/>
  <c r="G11" i="2"/>
  <c r="N34" i="2"/>
  <c r="M31" i="4"/>
  <c r="Q26" i="2"/>
  <c r="P23" i="4"/>
  <c r="P26" i="2"/>
  <c r="O23" i="4"/>
  <c r="O26" i="2"/>
  <c r="N23" i="4"/>
  <c r="N26" i="2"/>
  <c r="M23" i="4"/>
  <c r="M26" i="2"/>
  <c r="L23" i="4"/>
  <c r="L26" i="2"/>
  <c r="K23" i="4"/>
  <c r="K26" i="2"/>
  <c r="J23" i="4"/>
  <c r="J26" i="2"/>
  <c r="I23" i="4"/>
  <c r="I26" i="2"/>
  <c r="H23" i="4"/>
  <c r="H26" i="2"/>
  <c r="G23" i="4"/>
  <c r="G26" i="2"/>
  <c r="F23" i="4"/>
  <c r="F26" i="2"/>
  <c r="E23" i="4"/>
  <c r="F11" i="2"/>
  <c r="R32" i="2"/>
  <c r="R29" i="2"/>
  <c r="R25" i="2"/>
  <c r="R24" i="2"/>
  <c r="R23" i="2"/>
  <c r="Q9" i="2"/>
  <c r="P9" i="2"/>
  <c r="O9" i="2"/>
  <c r="N9" i="2"/>
  <c r="M9" i="2"/>
  <c r="L9" i="2"/>
  <c r="K9" i="2"/>
  <c r="J9" i="2"/>
  <c r="I9" i="2"/>
  <c r="H9" i="2"/>
  <c r="G9" i="2"/>
  <c r="Q8" i="2"/>
  <c r="P8" i="2"/>
  <c r="O8" i="2"/>
  <c r="N8" i="2"/>
  <c r="M8" i="2"/>
  <c r="L8" i="2"/>
  <c r="K8" i="2"/>
  <c r="J8" i="2"/>
  <c r="I8" i="2"/>
  <c r="H8" i="2"/>
  <c r="G8" i="2"/>
  <c r="Q7" i="2"/>
  <c r="P7" i="2"/>
  <c r="O7" i="2"/>
  <c r="N7" i="2"/>
  <c r="M7" i="2"/>
  <c r="L7" i="2"/>
  <c r="K7" i="2"/>
  <c r="J7" i="2"/>
  <c r="I7" i="2"/>
  <c r="H7" i="2"/>
  <c r="G7" i="2"/>
  <c r="F9" i="2"/>
  <c r="F8" i="2"/>
  <c r="F7" i="2"/>
  <c r="Q5" i="2"/>
  <c r="P5" i="2"/>
  <c r="O5" i="2"/>
  <c r="N5" i="2"/>
  <c r="M5" i="2"/>
  <c r="L5" i="2"/>
  <c r="K5" i="2"/>
  <c r="J5" i="2"/>
  <c r="I5" i="2"/>
  <c r="H5" i="2"/>
  <c r="G5" i="2"/>
  <c r="Q4" i="2"/>
  <c r="P4" i="2"/>
  <c r="O4" i="2"/>
  <c r="N4" i="2"/>
  <c r="M4" i="2"/>
  <c r="L4" i="2"/>
  <c r="K4" i="2"/>
  <c r="J4" i="2"/>
  <c r="I4" i="2"/>
  <c r="H4" i="2"/>
  <c r="G4" i="2"/>
  <c r="F5" i="2"/>
  <c r="F4" i="2"/>
  <c r="Q3" i="2"/>
  <c r="P3" i="2"/>
  <c r="O3" i="2"/>
  <c r="N3" i="2"/>
  <c r="M3" i="2"/>
  <c r="L3" i="2"/>
  <c r="K3" i="2"/>
  <c r="J3" i="2"/>
  <c r="I3" i="2"/>
  <c r="H3" i="2"/>
  <c r="G3" i="2"/>
  <c r="F3" i="2"/>
  <c r="P42" i="10"/>
  <c r="O42" i="10"/>
  <c r="N42" i="10"/>
  <c r="M42" i="10"/>
  <c r="L42" i="10"/>
  <c r="K42" i="10"/>
  <c r="J42" i="10"/>
  <c r="I42" i="10"/>
  <c r="H42" i="10"/>
  <c r="G42" i="10"/>
  <c r="F42" i="10"/>
  <c r="P38" i="10"/>
  <c r="O38" i="10"/>
  <c r="N38" i="10"/>
  <c r="M38" i="10"/>
  <c r="L38" i="10"/>
  <c r="K38" i="10"/>
  <c r="J38" i="10"/>
  <c r="I38" i="10"/>
  <c r="H38" i="10"/>
  <c r="G38" i="10"/>
  <c r="F38" i="10"/>
  <c r="E38" i="10"/>
  <c r="P37" i="10"/>
  <c r="O37" i="10"/>
  <c r="N37" i="10"/>
  <c r="M37" i="10"/>
  <c r="L37" i="10"/>
  <c r="K37" i="10"/>
  <c r="J37" i="10"/>
  <c r="I37" i="10"/>
  <c r="H37" i="10"/>
  <c r="G37" i="10"/>
  <c r="F37" i="10"/>
  <c r="E37" i="10"/>
  <c r="E34" i="10"/>
  <c r="P33" i="10"/>
  <c r="O33" i="10"/>
  <c r="N33" i="10"/>
  <c r="M33" i="10"/>
  <c r="L33" i="10"/>
  <c r="K33" i="10"/>
  <c r="J33" i="10"/>
  <c r="I33" i="10"/>
  <c r="H33" i="10"/>
  <c r="G33" i="10"/>
  <c r="G35" i="10"/>
  <c r="F33" i="10"/>
  <c r="F35" i="10"/>
  <c r="E33" i="10"/>
  <c r="Q31" i="10"/>
  <c r="S31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P29" i="10"/>
  <c r="O29" i="10"/>
  <c r="N29" i="10"/>
  <c r="M29" i="10"/>
  <c r="L29" i="10"/>
  <c r="K29" i="10"/>
  <c r="J29" i="10"/>
  <c r="I29" i="10"/>
  <c r="H29" i="10"/>
  <c r="G29" i="10"/>
  <c r="F29" i="10"/>
  <c r="E29" i="10"/>
  <c r="Q28" i="10"/>
  <c r="S28" i="10"/>
  <c r="Q27" i="10"/>
  <c r="S27" i="10"/>
  <c r="E24" i="10"/>
  <c r="E22" i="10"/>
  <c r="Q22" i="10"/>
  <c r="S22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Q21" i="10"/>
  <c r="S21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P19" i="10"/>
  <c r="O19" i="10"/>
  <c r="N19" i="10"/>
  <c r="M19" i="10"/>
  <c r="L19" i="10"/>
  <c r="K19" i="10"/>
  <c r="J19" i="10"/>
  <c r="I19" i="10"/>
  <c r="H19" i="10"/>
  <c r="G19" i="10"/>
  <c r="F19" i="10"/>
  <c r="E19" i="10"/>
  <c r="Q18" i="10"/>
  <c r="S18" i="10"/>
  <c r="Q17" i="10"/>
  <c r="S17" i="10"/>
  <c r="E14" i="10"/>
  <c r="P13" i="10"/>
  <c r="P15" i="10"/>
  <c r="O13" i="10"/>
  <c r="O15" i="10"/>
  <c r="N13" i="10"/>
  <c r="N15" i="10"/>
  <c r="M13" i="10"/>
  <c r="L13" i="10"/>
  <c r="K13" i="10"/>
  <c r="J13" i="10"/>
  <c r="I13" i="10"/>
  <c r="H13" i="10"/>
  <c r="G13" i="10"/>
  <c r="F13" i="10"/>
  <c r="E13" i="10"/>
  <c r="Q11" i="10"/>
  <c r="S11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P9" i="10"/>
  <c r="O9" i="10"/>
  <c r="N9" i="10"/>
  <c r="M9" i="10"/>
  <c r="L9" i="10"/>
  <c r="K9" i="10"/>
  <c r="J9" i="10"/>
  <c r="I9" i="10"/>
  <c r="H9" i="10"/>
  <c r="G9" i="10"/>
  <c r="F9" i="10"/>
  <c r="E9" i="10"/>
  <c r="Q8" i="10"/>
  <c r="S8" i="10"/>
  <c r="Q7" i="10"/>
  <c r="S7" i="10"/>
  <c r="J22" i="2"/>
  <c r="I19" i="4"/>
  <c r="Q23" i="4"/>
  <c r="G39" i="10"/>
  <c r="Q51" i="4"/>
  <c r="H30" i="2"/>
  <c r="G27" i="4"/>
  <c r="K18" i="2"/>
  <c r="J15" i="4"/>
  <c r="O22" i="2"/>
  <c r="N19" i="4"/>
  <c r="J30" i="2"/>
  <c r="I27" i="4"/>
  <c r="P39" i="10"/>
  <c r="L10" i="2"/>
  <c r="K7" i="4"/>
  <c r="E26" i="10"/>
  <c r="P30" i="2"/>
  <c r="O27" i="4"/>
  <c r="F30" i="2"/>
  <c r="E27" i="4"/>
  <c r="G30" i="2"/>
  <c r="F27" i="4"/>
  <c r="J39" i="10"/>
  <c r="F40" i="10"/>
  <c r="M39" i="10"/>
  <c r="I22" i="2"/>
  <c r="H19" i="4"/>
  <c r="F26" i="10"/>
  <c r="R33" i="2"/>
  <c r="R34" i="2"/>
  <c r="H36" i="10"/>
  <c r="O39" i="10"/>
  <c r="F6" i="2"/>
  <c r="N6" i="2"/>
  <c r="M3" i="4"/>
  <c r="M35" i="4"/>
  <c r="K22" i="2"/>
  <c r="J19" i="4"/>
  <c r="H22" i="2"/>
  <c r="G19" i="4"/>
  <c r="P60" i="2"/>
  <c r="Q9" i="10"/>
  <c r="K41" i="10"/>
  <c r="K43" i="10"/>
  <c r="L40" i="2"/>
  <c r="O26" i="10"/>
  <c r="H41" i="2"/>
  <c r="O25" i="10"/>
  <c r="P41" i="2"/>
  <c r="I42" i="2"/>
  <c r="P35" i="10"/>
  <c r="Q42" i="2"/>
  <c r="H39" i="10"/>
  <c r="M10" i="2"/>
  <c r="L7" i="4"/>
  <c r="R27" i="2"/>
  <c r="I60" i="2"/>
  <c r="Q60" i="2"/>
  <c r="G61" i="2"/>
  <c r="O61" i="2"/>
  <c r="N61" i="2"/>
  <c r="Q41" i="2"/>
  <c r="Q37" i="10"/>
  <c r="S37" i="10"/>
  <c r="J36" i="10"/>
  <c r="J42" i="2"/>
  <c r="P36" i="10"/>
  <c r="I39" i="10"/>
  <c r="Q38" i="10"/>
  <c r="S38" i="10"/>
  <c r="R28" i="2"/>
  <c r="K34" i="2"/>
  <c r="J31" i="4"/>
  <c r="J60" i="2"/>
  <c r="H61" i="2"/>
  <c r="P61" i="2"/>
  <c r="G41" i="2"/>
  <c r="O35" i="10"/>
  <c r="P42" i="2"/>
  <c r="L41" i="10"/>
  <c r="L43" i="10"/>
  <c r="M40" i="2"/>
  <c r="H25" i="10"/>
  <c r="I41" i="2"/>
  <c r="Q13" i="10"/>
  <c r="S13" i="10"/>
  <c r="F40" i="2"/>
  <c r="M41" i="10"/>
  <c r="M43" i="10"/>
  <c r="N40" i="2"/>
  <c r="I25" i="10"/>
  <c r="J41" i="2"/>
  <c r="N26" i="10"/>
  <c r="Q29" i="10"/>
  <c r="J35" i="10"/>
  <c r="K42" i="2"/>
  <c r="K60" i="2"/>
  <c r="I61" i="2"/>
  <c r="Q61" i="2"/>
  <c r="H60" i="2"/>
  <c r="F61" i="2"/>
  <c r="F15" i="10"/>
  <c r="G40" i="2"/>
  <c r="O40" i="2"/>
  <c r="Q19" i="10"/>
  <c r="J25" i="10"/>
  <c r="K41" i="2"/>
  <c r="Q24" i="10"/>
  <c r="S24" i="10"/>
  <c r="K35" i="10"/>
  <c r="L42" i="2"/>
  <c r="K39" i="10"/>
  <c r="L6" i="2"/>
  <c r="K3" i="4"/>
  <c r="P10" i="2"/>
  <c r="O7" i="4"/>
  <c r="L60" i="2"/>
  <c r="J61" i="2"/>
  <c r="G41" i="10"/>
  <c r="G43" i="10"/>
  <c r="H40" i="2"/>
  <c r="P40" i="2"/>
  <c r="K25" i="10"/>
  <c r="L41" i="2"/>
  <c r="E25" i="10"/>
  <c r="E32" i="10"/>
  <c r="Q32" i="10"/>
  <c r="S32" i="10"/>
  <c r="L35" i="10"/>
  <c r="M42" i="2"/>
  <c r="H35" i="10"/>
  <c r="L39" i="10"/>
  <c r="N41" i="10"/>
  <c r="N43" i="10"/>
  <c r="M6" i="2"/>
  <c r="L3" i="4"/>
  <c r="L35" i="4"/>
  <c r="Q10" i="2"/>
  <c r="P7" i="4"/>
  <c r="O18" i="2"/>
  <c r="N15" i="4"/>
  <c r="N40" i="4"/>
  <c r="M60" i="2"/>
  <c r="K61" i="2"/>
  <c r="H42" i="2"/>
  <c r="G36" i="10"/>
  <c r="Q40" i="2"/>
  <c r="L25" i="10"/>
  <c r="M41" i="2"/>
  <c r="M35" i="10"/>
  <c r="N42" i="2"/>
  <c r="O41" i="10"/>
  <c r="O43" i="10"/>
  <c r="N60" i="2"/>
  <c r="J41" i="10"/>
  <c r="J43" i="10"/>
  <c r="K40" i="2"/>
  <c r="N25" i="10"/>
  <c r="O41" i="2"/>
  <c r="H41" i="10"/>
  <c r="H43" i="10"/>
  <c r="I43" i="15"/>
  <c r="I40" i="2"/>
  <c r="F25" i="10"/>
  <c r="M36" i="10"/>
  <c r="F42" i="2"/>
  <c r="E36" i="10"/>
  <c r="F22" i="2"/>
  <c r="E19" i="4"/>
  <c r="F60" i="2"/>
  <c r="L61" i="2"/>
  <c r="I41" i="10"/>
  <c r="I43" i="10"/>
  <c r="J40" i="2"/>
  <c r="E15" i="10"/>
  <c r="Q23" i="10"/>
  <c r="S23" i="10"/>
  <c r="F41" i="2"/>
  <c r="M25" i="10"/>
  <c r="N41" i="2"/>
  <c r="P25" i="10"/>
  <c r="G42" i="2"/>
  <c r="N35" i="10"/>
  <c r="O42" i="2"/>
  <c r="F36" i="10"/>
  <c r="F39" i="10"/>
  <c r="N39" i="10"/>
  <c r="P41" i="10"/>
  <c r="P43" i="10"/>
  <c r="G60" i="2"/>
  <c r="O60" i="2"/>
  <c r="M61" i="2"/>
  <c r="Q29" i="12"/>
  <c r="K14" i="2"/>
  <c r="O6" i="2"/>
  <c r="N3" i="4"/>
  <c r="N35" i="4"/>
  <c r="H6" i="2"/>
  <c r="P6" i="2"/>
  <c r="O3" i="4"/>
  <c r="O35" i="4"/>
  <c r="I6" i="2"/>
  <c r="H3" i="4"/>
  <c r="G6" i="2"/>
  <c r="Q6" i="2"/>
  <c r="P3" i="4"/>
  <c r="P35" i="4"/>
  <c r="J14" i="2"/>
  <c r="J18" i="2"/>
  <c r="I15" i="4"/>
  <c r="R39" i="2"/>
  <c r="Q14" i="2"/>
  <c r="I18" i="2"/>
  <c r="H15" i="4"/>
  <c r="H40" i="4"/>
  <c r="J6" i="2"/>
  <c r="I3" i="4"/>
  <c r="I35" i="4"/>
  <c r="K6" i="2"/>
  <c r="J3" i="4"/>
  <c r="K10" i="2"/>
  <c r="J7" i="4"/>
  <c r="G14" i="2"/>
  <c r="H14" i="2"/>
  <c r="N10" i="2"/>
  <c r="M7" i="4"/>
  <c r="F14" i="2"/>
  <c r="I14" i="2"/>
  <c r="O10" i="2"/>
  <c r="N7" i="4"/>
  <c r="I10" i="2"/>
  <c r="H7" i="4"/>
  <c r="J10" i="2"/>
  <c r="I7" i="4"/>
  <c r="L18" i="2"/>
  <c r="K15" i="4"/>
  <c r="L22" i="2"/>
  <c r="K19" i="4"/>
  <c r="R26" i="2"/>
  <c r="M18" i="2"/>
  <c r="L15" i="4"/>
  <c r="L14" i="2"/>
  <c r="M22" i="2"/>
  <c r="L19" i="4"/>
  <c r="G10" i="2"/>
  <c r="F7" i="4"/>
  <c r="F35" i="4"/>
  <c r="N18" i="2"/>
  <c r="M15" i="4"/>
  <c r="N22" i="2"/>
  <c r="M19" i="4"/>
  <c r="H10" i="2"/>
  <c r="G7" i="4"/>
  <c r="G35" i="4"/>
  <c r="M14" i="2"/>
  <c r="O14" i="2"/>
  <c r="P14" i="2"/>
  <c r="P18" i="2"/>
  <c r="O15" i="4"/>
  <c r="Q18" i="2"/>
  <c r="P15" i="4"/>
  <c r="R17" i="2"/>
  <c r="R21" i="2"/>
  <c r="R16" i="2"/>
  <c r="R3" i="2"/>
  <c r="R4" i="2"/>
  <c r="R7" i="2"/>
  <c r="G18" i="2"/>
  <c r="F15" i="4"/>
  <c r="F40" i="4"/>
  <c r="R19" i="2"/>
  <c r="R5" i="2"/>
  <c r="N14" i="2"/>
  <c r="P22" i="2"/>
  <c r="O19" i="4"/>
  <c r="Q22" i="2"/>
  <c r="P19" i="4"/>
  <c r="F10" i="2"/>
  <c r="E7" i="4"/>
  <c r="R8" i="2"/>
  <c r="H18" i="2"/>
  <c r="G15" i="4"/>
  <c r="R9" i="2"/>
  <c r="G22" i="2"/>
  <c r="F19" i="4"/>
  <c r="K36" i="12"/>
  <c r="P41" i="12"/>
  <c r="G41" i="12"/>
  <c r="H41" i="12"/>
  <c r="M41" i="12"/>
  <c r="L41" i="12"/>
  <c r="F34" i="2"/>
  <c r="E31" i="4"/>
  <c r="Q31" i="4"/>
  <c r="O41" i="12"/>
  <c r="Q37" i="12"/>
  <c r="S37" i="12"/>
  <c r="L36" i="12"/>
  <c r="M36" i="12"/>
  <c r="N36" i="12"/>
  <c r="O36" i="12"/>
  <c r="I41" i="12"/>
  <c r="J36" i="12"/>
  <c r="I36" i="12"/>
  <c r="H36" i="12"/>
  <c r="G36" i="12"/>
  <c r="F36" i="12"/>
  <c r="E36" i="12"/>
  <c r="P36" i="12"/>
  <c r="E35" i="12"/>
  <c r="Q33" i="12"/>
  <c r="S33" i="12"/>
  <c r="J41" i="12"/>
  <c r="F41" i="12"/>
  <c r="K41" i="12"/>
  <c r="N41" i="12"/>
  <c r="Q23" i="12"/>
  <c r="S23" i="12"/>
  <c r="E41" i="12"/>
  <c r="Q13" i="12"/>
  <c r="S13" i="12"/>
  <c r="R20" i="2"/>
  <c r="R15" i="2"/>
  <c r="R11" i="2"/>
  <c r="Q14" i="10"/>
  <c r="S14" i="10"/>
  <c r="G25" i="10"/>
  <c r="I35" i="10"/>
  <c r="E41" i="10"/>
  <c r="E16" i="10"/>
  <c r="F41" i="10"/>
  <c r="F43" i="10"/>
  <c r="G15" i="10"/>
  <c r="H15" i="10"/>
  <c r="I26" i="10"/>
  <c r="H16" i="10"/>
  <c r="K15" i="10"/>
  <c r="J16" i="10"/>
  <c r="L26" i="10"/>
  <c r="N36" i="10"/>
  <c r="K40" i="10"/>
  <c r="P26" i="10"/>
  <c r="O40" i="10"/>
  <c r="E42" i="10"/>
  <c r="G40" i="10"/>
  <c r="Q33" i="10"/>
  <c r="S33" i="10"/>
  <c r="J40" i="10"/>
  <c r="E12" i="10"/>
  <c r="Q12" i="10"/>
  <c r="S12" i="10"/>
  <c r="L15" i="10"/>
  <c r="K16" i="10"/>
  <c r="M26" i="10"/>
  <c r="Q34" i="10"/>
  <c r="S34" i="10"/>
  <c r="O36" i="10"/>
  <c r="L40" i="10"/>
  <c r="E39" i="10"/>
  <c r="P40" i="10"/>
  <c r="P16" i="10"/>
  <c r="G26" i="10"/>
  <c r="F16" i="10"/>
  <c r="H26" i="10"/>
  <c r="G16" i="10"/>
  <c r="K36" i="10"/>
  <c r="H40" i="10"/>
  <c r="I15" i="10"/>
  <c r="J26" i="10"/>
  <c r="L36" i="10"/>
  <c r="I40" i="10"/>
  <c r="J15" i="10"/>
  <c r="I16" i="10"/>
  <c r="K26" i="10"/>
  <c r="M15" i="10"/>
  <c r="L16" i="10"/>
  <c r="E35" i="10"/>
  <c r="M40" i="10"/>
  <c r="N16" i="10"/>
  <c r="M16" i="10"/>
  <c r="N40" i="10"/>
  <c r="O16" i="10"/>
  <c r="E40" i="10"/>
  <c r="I36" i="10"/>
  <c r="R30" i="2"/>
  <c r="Q27" i="4"/>
  <c r="V5" i="2"/>
  <c r="V4" i="2"/>
  <c r="I40" i="4"/>
  <c r="I45" i="4"/>
  <c r="G40" i="4"/>
  <c r="G45" i="4"/>
  <c r="L40" i="4"/>
  <c r="L45" i="4"/>
  <c r="O40" i="4"/>
  <c r="O45" i="4"/>
  <c r="K40" i="4"/>
  <c r="J40" i="4"/>
  <c r="M40" i="4"/>
  <c r="M45" i="4"/>
  <c r="Q19" i="4"/>
  <c r="P40" i="4"/>
  <c r="P45" i="4"/>
  <c r="E40" i="4"/>
  <c r="V3" i="2"/>
  <c r="N45" i="4"/>
  <c r="F45" i="4"/>
  <c r="Q15" i="4"/>
  <c r="Q43" i="2"/>
  <c r="P55" i="4"/>
  <c r="P83" i="4"/>
  <c r="J35" i="4"/>
  <c r="K35" i="4"/>
  <c r="E35" i="4"/>
  <c r="E9" i="4"/>
  <c r="E10" i="4"/>
  <c r="Q7" i="4"/>
  <c r="H35" i="4"/>
  <c r="Q3" i="4"/>
  <c r="T3" i="2"/>
  <c r="G63" i="2"/>
  <c r="F75" i="4"/>
  <c r="O63" i="2"/>
  <c r="N75" i="4"/>
  <c r="Q39" i="10"/>
  <c r="L63" i="2"/>
  <c r="K75" i="4"/>
  <c r="K43" i="15"/>
  <c r="K63" i="2"/>
  <c r="J75" i="4"/>
  <c r="Q35" i="12"/>
  <c r="Q25" i="10"/>
  <c r="H63" i="2"/>
  <c r="G75" i="4"/>
  <c r="Q41" i="10"/>
  <c r="S41" i="10"/>
  <c r="R22" i="2"/>
  <c r="Q43" i="15"/>
  <c r="I43" i="2"/>
  <c r="H55" i="4"/>
  <c r="H83" i="4"/>
  <c r="P43" i="15"/>
  <c r="H43" i="2"/>
  <c r="G55" i="4"/>
  <c r="G83" i="4"/>
  <c r="G43" i="2"/>
  <c r="F55" i="4"/>
  <c r="F83" i="4"/>
  <c r="N63" i="2"/>
  <c r="M75" i="4"/>
  <c r="M43" i="15"/>
  <c r="O43" i="2"/>
  <c r="N55" i="4"/>
  <c r="N83" i="4"/>
  <c r="R42" i="2"/>
  <c r="R61" i="2"/>
  <c r="F43" i="2"/>
  <c r="E55" i="4"/>
  <c r="R40" i="2"/>
  <c r="L43" i="2"/>
  <c r="K55" i="4"/>
  <c r="K83" i="4"/>
  <c r="R41" i="2"/>
  <c r="R42" i="15"/>
  <c r="M63" i="2"/>
  <c r="L75" i="4"/>
  <c r="F43" i="15"/>
  <c r="R40" i="15"/>
  <c r="L43" i="15"/>
  <c r="K43" i="2"/>
  <c r="J55" i="4"/>
  <c r="J83" i="4"/>
  <c r="R60" i="2"/>
  <c r="F63" i="2"/>
  <c r="E75" i="4"/>
  <c r="P43" i="2"/>
  <c r="O55" i="4"/>
  <c r="O83" i="4"/>
  <c r="Q63" i="2"/>
  <c r="P75" i="4"/>
  <c r="R10" i="2"/>
  <c r="O43" i="15"/>
  <c r="J63" i="2"/>
  <c r="I75" i="4"/>
  <c r="P63" i="2"/>
  <c r="O75" i="4"/>
  <c r="N43" i="2"/>
  <c r="M55" i="4"/>
  <c r="M83" i="4"/>
  <c r="J43" i="2"/>
  <c r="I55" i="4"/>
  <c r="I83" i="4"/>
  <c r="J43" i="15"/>
  <c r="H43" i="15"/>
  <c r="G43" i="15"/>
  <c r="N43" i="15"/>
  <c r="M43" i="2"/>
  <c r="L55" i="4"/>
  <c r="L83" i="4"/>
  <c r="I63" i="2"/>
  <c r="H75" i="4"/>
  <c r="R41" i="15"/>
  <c r="R18" i="2"/>
  <c r="R6" i="2"/>
  <c r="Q41" i="12"/>
  <c r="S41" i="12"/>
  <c r="R14" i="2"/>
  <c r="E44" i="10"/>
  <c r="L44" i="10"/>
  <c r="K44" i="10"/>
  <c r="J44" i="10"/>
  <c r="F44" i="10"/>
  <c r="P44" i="10"/>
  <c r="O44" i="10"/>
  <c r="N44" i="10"/>
  <c r="I44" i="10"/>
  <c r="G44" i="10"/>
  <c r="E43" i="10"/>
  <c r="M44" i="10"/>
  <c r="H44" i="10"/>
  <c r="Q35" i="10"/>
  <c r="Q42" i="10"/>
  <c r="S42" i="10"/>
  <c r="Q15" i="10"/>
  <c r="V6" i="2"/>
  <c r="X3" i="2"/>
  <c r="K45" i="4"/>
  <c r="Q40" i="4"/>
  <c r="Q75" i="4"/>
  <c r="J45" i="4"/>
  <c r="V8" i="2"/>
  <c r="T6" i="4"/>
  <c r="X6" i="4"/>
  <c r="E83" i="4"/>
  <c r="E57" i="4"/>
  <c r="E58" i="4"/>
  <c r="Q55" i="4"/>
  <c r="G39" i="4"/>
  <c r="E38" i="4"/>
  <c r="E39" i="4"/>
  <c r="E45" i="4"/>
  <c r="F39" i="4"/>
  <c r="V9" i="2"/>
  <c r="T7" i="4"/>
  <c r="T5" i="4"/>
  <c r="V5" i="4"/>
  <c r="J39" i="4"/>
  <c r="Q35" i="4"/>
  <c r="P39" i="4"/>
  <c r="K39" i="4"/>
  <c r="O39" i="4"/>
  <c r="M39" i="4"/>
  <c r="L39" i="4"/>
  <c r="N39" i="4"/>
  <c r="I39" i="4"/>
  <c r="H39" i="4"/>
  <c r="H45" i="4"/>
  <c r="Q43" i="10"/>
  <c r="R63" i="2"/>
  <c r="R43" i="2"/>
  <c r="R43" i="15"/>
  <c r="S3" i="2"/>
  <c r="S6" i="2"/>
  <c r="P42" i="9"/>
  <c r="O42" i="9"/>
  <c r="N42" i="9"/>
  <c r="M42" i="9"/>
  <c r="L42" i="9"/>
  <c r="K42" i="9"/>
  <c r="J42" i="9"/>
  <c r="I42" i="9"/>
  <c r="H42" i="9"/>
  <c r="G42" i="9"/>
  <c r="F42" i="9"/>
  <c r="E42" i="9"/>
  <c r="P38" i="9"/>
  <c r="O38" i="9"/>
  <c r="N38" i="9"/>
  <c r="M38" i="9"/>
  <c r="L38" i="9"/>
  <c r="K38" i="9"/>
  <c r="J38" i="9"/>
  <c r="I38" i="9"/>
  <c r="H38" i="9"/>
  <c r="G38" i="9"/>
  <c r="F38" i="9"/>
  <c r="E38" i="9"/>
  <c r="P37" i="9"/>
  <c r="O37" i="9"/>
  <c r="N37" i="9"/>
  <c r="M37" i="9"/>
  <c r="L37" i="9"/>
  <c r="K37" i="9"/>
  <c r="J37" i="9"/>
  <c r="I37" i="9"/>
  <c r="H37" i="9"/>
  <c r="G37" i="9"/>
  <c r="F37" i="9"/>
  <c r="E37" i="9"/>
  <c r="Q34" i="9"/>
  <c r="S34" i="9"/>
  <c r="Q46" i="2"/>
  <c r="P46" i="2"/>
  <c r="O46" i="2"/>
  <c r="N46" i="2"/>
  <c r="Q32" i="9"/>
  <c r="S32" i="9"/>
  <c r="Q31" i="9"/>
  <c r="S31" i="9"/>
  <c r="Q28" i="9"/>
  <c r="S28" i="9"/>
  <c r="Q27" i="9"/>
  <c r="S27" i="9"/>
  <c r="Q24" i="9"/>
  <c r="S24" i="9"/>
  <c r="M45" i="2"/>
  <c r="L45" i="2"/>
  <c r="K45" i="2"/>
  <c r="J45" i="2"/>
  <c r="Q22" i="9"/>
  <c r="S22" i="9"/>
  <c r="Q21" i="9"/>
  <c r="S21" i="9"/>
  <c r="Q18" i="9"/>
  <c r="S18" i="9"/>
  <c r="Q17" i="9"/>
  <c r="S17" i="9"/>
  <c r="Q14" i="9"/>
  <c r="S14" i="9"/>
  <c r="J41" i="9"/>
  <c r="I41" i="9"/>
  <c r="H41" i="9"/>
  <c r="Q12" i="9"/>
  <c r="S12" i="9"/>
  <c r="Q11" i="9"/>
  <c r="S11" i="9"/>
  <c r="Q8" i="9"/>
  <c r="S8" i="9"/>
  <c r="Q7" i="9"/>
  <c r="S7" i="9"/>
  <c r="X4" i="2"/>
  <c r="X5" i="2"/>
  <c r="V10" i="2"/>
  <c r="X8" i="2"/>
  <c r="Q45" i="4"/>
  <c r="T10" i="4"/>
  <c r="E86" i="4"/>
  <c r="E87" i="4"/>
  <c r="F87" i="4"/>
  <c r="G87" i="4"/>
  <c r="H87" i="4"/>
  <c r="O87" i="4"/>
  <c r="J87" i="4"/>
  <c r="I87" i="4"/>
  <c r="M87" i="4"/>
  <c r="Q83" i="4"/>
  <c r="L87" i="4"/>
  <c r="N87" i="4"/>
  <c r="P87" i="4"/>
  <c r="K87" i="4"/>
  <c r="X7" i="4"/>
  <c r="X5" i="4"/>
  <c r="J39" i="9"/>
  <c r="I43" i="9"/>
  <c r="Q37" i="9"/>
  <c r="S37" i="9"/>
  <c r="K39" i="9"/>
  <c r="Q9" i="9"/>
  <c r="Q19" i="9"/>
  <c r="L39" i="9"/>
  <c r="I46" i="2"/>
  <c r="H46" i="2"/>
  <c r="J46" i="2"/>
  <c r="J47" i="2"/>
  <c r="Q29" i="9"/>
  <c r="K46" i="2"/>
  <c r="K47" i="2"/>
  <c r="M39" i="9"/>
  <c r="L46" i="2"/>
  <c r="L47" i="2"/>
  <c r="M46" i="2"/>
  <c r="M47" i="2"/>
  <c r="F46" i="2"/>
  <c r="H39" i="9"/>
  <c r="P39" i="9"/>
  <c r="G46" i="2"/>
  <c r="K41" i="9"/>
  <c r="K43" i="9"/>
  <c r="L40" i="9"/>
  <c r="K40" i="9"/>
  <c r="F45" i="2"/>
  <c r="F41" i="9"/>
  <c r="G45" i="2"/>
  <c r="N41" i="9"/>
  <c r="N43" i="9"/>
  <c r="O45" i="2"/>
  <c r="O47" i="2"/>
  <c r="I39" i="9"/>
  <c r="G39" i="9"/>
  <c r="O39" i="9"/>
  <c r="N45" i="2"/>
  <c r="N47" i="2"/>
  <c r="F43" i="9"/>
  <c r="H45" i="2"/>
  <c r="H47" i="2"/>
  <c r="O41" i="9"/>
  <c r="O43" i="9"/>
  <c r="P45" i="2"/>
  <c r="P47" i="2"/>
  <c r="H43" i="9"/>
  <c r="Q45" i="2"/>
  <c r="Q47" i="2"/>
  <c r="I45" i="2"/>
  <c r="J40" i="9"/>
  <c r="F39" i="9"/>
  <c r="N39" i="9"/>
  <c r="L41" i="9"/>
  <c r="L43" i="9"/>
  <c r="J43" i="9"/>
  <c r="M40" i="9"/>
  <c r="N40" i="9"/>
  <c r="Q23" i="9"/>
  <c r="S23" i="9"/>
  <c r="O40" i="9"/>
  <c r="E39" i="9"/>
  <c r="P40" i="9"/>
  <c r="P41" i="9"/>
  <c r="P43" i="9"/>
  <c r="E40" i="9"/>
  <c r="E41" i="9"/>
  <c r="F44" i="9"/>
  <c r="F40" i="9"/>
  <c r="Q42" i="9"/>
  <c r="S42" i="9"/>
  <c r="Q13" i="9"/>
  <c r="S13" i="9"/>
  <c r="G40" i="9"/>
  <c r="G41" i="9"/>
  <c r="G43" i="9"/>
  <c r="H40" i="9"/>
  <c r="Q33" i="9"/>
  <c r="S33" i="9"/>
  <c r="M41" i="9"/>
  <c r="M43" i="9"/>
  <c r="Q38" i="9"/>
  <c r="S38" i="9"/>
  <c r="I40" i="9"/>
  <c r="X9" i="2"/>
  <c r="V10" i="4"/>
  <c r="X10" i="4"/>
  <c r="I47" i="2"/>
  <c r="Q25" i="9"/>
  <c r="Q39" i="9"/>
  <c r="Q35" i="9"/>
  <c r="G47" i="2"/>
  <c r="E44" i="9"/>
  <c r="R46" i="2"/>
  <c r="O44" i="9"/>
  <c r="E43" i="9"/>
  <c r="M44" i="9"/>
  <c r="K44" i="9"/>
  <c r="F47" i="2"/>
  <c r="R45" i="2"/>
  <c r="Q15" i="9"/>
  <c r="Q41" i="9"/>
  <c r="S41" i="9"/>
  <c r="P44" i="9"/>
  <c r="L44" i="9"/>
  <c r="N44" i="9"/>
  <c r="G44" i="9"/>
  <c r="I44" i="9"/>
  <c r="H44" i="9"/>
  <c r="J44" i="9"/>
  <c r="Q43" i="9"/>
  <c r="R47" i="2"/>
  <c r="P37" i="8"/>
  <c r="O37" i="8"/>
  <c r="N37" i="8"/>
  <c r="M37" i="8"/>
  <c r="L37" i="8"/>
  <c r="K37" i="8"/>
  <c r="J37" i="8"/>
  <c r="I37" i="8"/>
  <c r="H37" i="8"/>
  <c r="G37" i="8"/>
  <c r="F37" i="8"/>
  <c r="E37" i="8"/>
  <c r="P33" i="8"/>
  <c r="O33" i="8"/>
  <c r="N33" i="8"/>
  <c r="M33" i="8"/>
  <c r="L33" i="8"/>
  <c r="K33" i="8"/>
  <c r="J33" i="8"/>
  <c r="I33" i="8"/>
  <c r="G33" i="8"/>
  <c r="F33" i="8"/>
  <c r="E33" i="8"/>
  <c r="Q31" i="8"/>
  <c r="S31" i="8"/>
  <c r="Q27" i="8"/>
  <c r="S27" i="8"/>
  <c r="P23" i="8"/>
  <c r="O23" i="8"/>
  <c r="N23" i="8"/>
  <c r="M23" i="8"/>
  <c r="L23" i="8"/>
  <c r="K23" i="8"/>
  <c r="J23" i="8"/>
  <c r="I23" i="8"/>
  <c r="H23" i="8"/>
  <c r="G23" i="8"/>
  <c r="F23" i="8"/>
  <c r="E23" i="8"/>
  <c r="Q21" i="8"/>
  <c r="S21" i="8"/>
  <c r="Q17" i="8"/>
  <c r="S17" i="8"/>
  <c r="P13" i="8"/>
  <c r="O13" i="8"/>
  <c r="N13" i="8"/>
  <c r="M13" i="8"/>
  <c r="L13" i="8"/>
  <c r="K13" i="8"/>
  <c r="J13" i="8"/>
  <c r="I13" i="8"/>
  <c r="H13" i="8"/>
  <c r="G13" i="8"/>
  <c r="F13" i="8"/>
  <c r="E13" i="8"/>
  <c r="Q11" i="8"/>
  <c r="S11" i="8"/>
  <c r="Q7" i="8"/>
  <c r="S7" i="8"/>
  <c r="J41" i="8"/>
  <c r="K52" i="2"/>
  <c r="L53" i="2"/>
  <c r="M54" i="2"/>
  <c r="L52" i="2"/>
  <c r="M53" i="2"/>
  <c r="F54" i="2"/>
  <c r="N54" i="2"/>
  <c r="M41" i="8"/>
  <c r="N53" i="2"/>
  <c r="G54" i="2"/>
  <c r="F52" i="2"/>
  <c r="N52" i="2"/>
  <c r="G53" i="2"/>
  <c r="N41" i="8"/>
  <c r="O53" i="2"/>
  <c r="H54" i="2"/>
  <c r="P54" i="2"/>
  <c r="F53" i="2"/>
  <c r="O54" i="2"/>
  <c r="G52" i="2"/>
  <c r="O52" i="2"/>
  <c r="H53" i="2"/>
  <c r="O41" i="8"/>
  <c r="P53" i="2"/>
  <c r="I54" i="2"/>
  <c r="Q54" i="2"/>
  <c r="M52" i="2"/>
  <c r="H52" i="2"/>
  <c r="P52" i="2"/>
  <c r="I53" i="2"/>
  <c r="Q53" i="2"/>
  <c r="J54" i="2"/>
  <c r="Q33" i="8"/>
  <c r="S33" i="8"/>
  <c r="H41" i="8"/>
  <c r="I52" i="2"/>
  <c r="Q52" i="2"/>
  <c r="J53" i="2"/>
  <c r="K54" i="2"/>
  <c r="K41" i="8"/>
  <c r="Q37" i="8"/>
  <c r="S37" i="8"/>
  <c r="I41" i="8"/>
  <c r="J52" i="2"/>
  <c r="K53" i="2"/>
  <c r="L54" i="2"/>
  <c r="L41" i="8"/>
  <c r="Q23" i="8"/>
  <c r="S23" i="8"/>
  <c r="P41" i="8"/>
  <c r="F41" i="8"/>
  <c r="G41" i="8"/>
  <c r="Q13" i="8"/>
  <c r="S13" i="8"/>
  <c r="E41" i="8"/>
  <c r="J55" i="2"/>
  <c r="I67" i="4"/>
  <c r="I55" i="2"/>
  <c r="H67" i="4"/>
  <c r="G55" i="2"/>
  <c r="F67" i="4"/>
  <c r="R53" i="2"/>
  <c r="H55" i="2"/>
  <c r="G67" i="4"/>
  <c r="L55" i="2"/>
  <c r="K67" i="4"/>
  <c r="F55" i="2"/>
  <c r="E67" i="4"/>
  <c r="R52" i="2"/>
  <c r="Q55" i="2"/>
  <c r="P67" i="4"/>
  <c r="M55" i="2"/>
  <c r="L67" i="4"/>
  <c r="K55" i="2"/>
  <c r="J67" i="4"/>
  <c r="P55" i="2"/>
  <c r="O67" i="4"/>
  <c r="R54" i="2"/>
  <c r="O55" i="2"/>
  <c r="N67" i="4"/>
  <c r="N55" i="2"/>
  <c r="M67" i="4"/>
  <c r="Q41" i="8"/>
  <c r="S41" i="8"/>
  <c r="Q67" i="4"/>
  <c r="R55" i="2"/>
  <c r="P37" i="7"/>
  <c r="O37" i="7"/>
  <c r="N37" i="7"/>
  <c r="M37" i="7"/>
  <c r="L37" i="7"/>
  <c r="K37" i="7"/>
  <c r="J37" i="7"/>
  <c r="I37" i="7"/>
  <c r="H37" i="7"/>
  <c r="G37" i="7"/>
  <c r="F37" i="7"/>
  <c r="E37" i="7"/>
  <c r="Q34" i="7"/>
  <c r="S34" i="7"/>
  <c r="Q32" i="7"/>
  <c r="S32" i="7"/>
  <c r="Q31" i="7"/>
  <c r="S31" i="7"/>
  <c r="Q28" i="7"/>
  <c r="S28" i="7"/>
  <c r="Q27" i="7"/>
  <c r="S27" i="7"/>
  <c r="P23" i="7"/>
  <c r="O23" i="7"/>
  <c r="N23" i="7"/>
  <c r="M23" i="7"/>
  <c r="L23" i="7"/>
  <c r="K23" i="7"/>
  <c r="J23" i="7"/>
  <c r="I23" i="7"/>
  <c r="H23" i="7"/>
  <c r="G23" i="7"/>
  <c r="F23" i="7"/>
  <c r="E23" i="7"/>
  <c r="Q21" i="7"/>
  <c r="S21" i="7"/>
  <c r="Q17" i="7"/>
  <c r="S17" i="7"/>
  <c r="P13" i="7"/>
  <c r="O13" i="7"/>
  <c r="N13" i="7"/>
  <c r="M13" i="7"/>
  <c r="L13" i="7"/>
  <c r="K13" i="7"/>
  <c r="J13" i="7"/>
  <c r="I13" i="7"/>
  <c r="H13" i="7"/>
  <c r="G13" i="7"/>
  <c r="F13" i="7"/>
  <c r="E13" i="7"/>
  <c r="Q11" i="7"/>
  <c r="S11" i="7"/>
  <c r="Q7" i="7"/>
  <c r="S7" i="7"/>
  <c r="P37" i="6"/>
  <c r="O37" i="6"/>
  <c r="N37" i="6"/>
  <c r="M37" i="6"/>
  <c r="L37" i="6"/>
  <c r="K37" i="6"/>
  <c r="J37" i="6"/>
  <c r="I37" i="6"/>
  <c r="H37" i="6"/>
  <c r="G37" i="6"/>
  <c r="F37" i="6"/>
  <c r="E37" i="6"/>
  <c r="O33" i="6"/>
  <c r="N33" i="6"/>
  <c r="M33" i="6"/>
  <c r="L33" i="6"/>
  <c r="K33" i="6"/>
  <c r="J33" i="6"/>
  <c r="I33" i="6"/>
  <c r="H33" i="6"/>
  <c r="G33" i="6"/>
  <c r="F33" i="6"/>
  <c r="E33" i="6"/>
  <c r="Q31" i="6"/>
  <c r="S31" i="6"/>
  <c r="Q27" i="6"/>
  <c r="S27" i="6"/>
  <c r="P23" i="6"/>
  <c r="O23" i="6"/>
  <c r="N23" i="6"/>
  <c r="M23" i="6"/>
  <c r="L23" i="6"/>
  <c r="K23" i="6"/>
  <c r="J23" i="6"/>
  <c r="I23" i="6"/>
  <c r="H23" i="6"/>
  <c r="G23" i="6"/>
  <c r="F23" i="6"/>
  <c r="E23" i="6"/>
  <c r="Q21" i="6"/>
  <c r="S21" i="6"/>
  <c r="Q17" i="6"/>
  <c r="S17" i="6"/>
  <c r="P13" i="6"/>
  <c r="O13" i="6"/>
  <c r="N13" i="6"/>
  <c r="M13" i="6"/>
  <c r="L13" i="6"/>
  <c r="K13" i="6"/>
  <c r="J13" i="6"/>
  <c r="I13" i="6"/>
  <c r="H13" i="6"/>
  <c r="G13" i="6"/>
  <c r="F13" i="6"/>
  <c r="E13" i="6"/>
  <c r="Q11" i="6"/>
  <c r="S11" i="6"/>
  <c r="Q7" i="6"/>
  <c r="S7" i="6"/>
  <c r="Q33" i="6"/>
  <c r="I41" i="6"/>
  <c r="J41" i="6"/>
  <c r="L64" i="2"/>
  <c r="F65" i="2"/>
  <c r="N65" i="2"/>
  <c r="M48" i="2"/>
  <c r="L41" i="6"/>
  <c r="M49" i="2"/>
  <c r="K50" i="2"/>
  <c r="M64" i="2"/>
  <c r="G65" i="2"/>
  <c r="N41" i="7"/>
  <c r="O65" i="2"/>
  <c r="F48" i="2"/>
  <c r="N48" i="2"/>
  <c r="F49" i="2"/>
  <c r="N49" i="2"/>
  <c r="L50" i="2"/>
  <c r="F64" i="2"/>
  <c r="N64" i="2"/>
  <c r="H65" i="2"/>
  <c r="P65" i="2"/>
  <c r="L48" i="2"/>
  <c r="G48" i="2"/>
  <c r="O48" i="2"/>
  <c r="F41" i="6"/>
  <c r="G49" i="2"/>
  <c r="N41" i="6"/>
  <c r="O49" i="2"/>
  <c r="M50" i="2"/>
  <c r="G64" i="2"/>
  <c r="O64" i="2"/>
  <c r="I65" i="2"/>
  <c r="Q65" i="2"/>
  <c r="P48" i="2"/>
  <c r="H49" i="2"/>
  <c r="P49" i="2"/>
  <c r="F50" i="2"/>
  <c r="N50" i="2"/>
  <c r="H64" i="2"/>
  <c r="P64" i="2"/>
  <c r="J65" i="2"/>
  <c r="L49" i="2"/>
  <c r="J50" i="2"/>
  <c r="H48" i="2"/>
  <c r="H41" i="6"/>
  <c r="I48" i="2"/>
  <c r="Q48" i="2"/>
  <c r="I49" i="2"/>
  <c r="Q49" i="2"/>
  <c r="G50" i="2"/>
  <c r="O50" i="2"/>
  <c r="K41" i="6"/>
  <c r="I64" i="2"/>
  <c r="Q64" i="2"/>
  <c r="K65" i="2"/>
  <c r="Q37" i="6"/>
  <c r="S37" i="6"/>
  <c r="J48" i="2"/>
  <c r="J49" i="2"/>
  <c r="H50" i="2"/>
  <c r="P50" i="2"/>
  <c r="M41" i="6"/>
  <c r="J64" i="2"/>
  <c r="L65" i="2"/>
  <c r="K48" i="2"/>
  <c r="K49" i="2"/>
  <c r="I50" i="2"/>
  <c r="Q50" i="2"/>
  <c r="K64" i="2"/>
  <c r="M65" i="2"/>
  <c r="J41" i="7"/>
  <c r="K41" i="7"/>
  <c r="F41" i="7"/>
  <c r="H41" i="7"/>
  <c r="Q37" i="7"/>
  <c r="S37" i="7"/>
  <c r="O41" i="7"/>
  <c r="Q29" i="7"/>
  <c r="Q33" i="7"/>
  <c r="S33" i="7"/>
  <c r="E41" i="7"/>
  <c r="Q13" i="7"/>
  <c r="S13" i="7"/>
  <c r="L41" i="7"/>
  <c r="M41" i="7"/>
  <c r="G41" i="7"/>
  <c r="I41" i="7"/>
  <c r="P41" i="7"/>
  <c r="Q23" i="7"/>
  <c r="S23" i="7"/>
  <c r="G41" i="6"/>
  <c r="O41" i="6"/>
  <c r="P41" i="6"/>
  <c r="S33" i="6"/>
  <c r="Q23" i="6"/>
  <c r="S23" i="6"/>
  <c r="E41" i="6"/>
  <c r="Q13" i="6"/>
  <c r="S13" i="6"/>
  <c r="Q51" i="2"/>
  <c r="P63" i="4"/>
  <c r="Q35" i="7"/>
  <c r="I51" i="2"/>
  <c r="H63" i="4"/>
  <c r="G51" i="2"/>
  <c r="F63" i="4"/>
  <c r="R65" i="2"/>
  <c r="N51" i="2"/>
  <c r="M63" i="4"/>
  <c r="R50" i="2"/>
  <c r="L51" i="2"/>
  <c r="K63" i="4"/>
  <c r="P51" i="2"/>
  <c r="O63" i="4"/>
  <c r="M51" i="2"/>
  <c r="L63" i="4"/>
  <c r="K51" i="2"/>
  <c r="J63" i="4"/>
  <c r="J51" i="2"/>
  <c r="I63" i="4"/>
  <c r="O51" i="2"/>
  <c r="N63" i="4"/>
  <c r="F51" i="2"/>
  <c r="E63" i="4"/>
  <c r="R48" i="2"/>
  <c r="H51" i="2"/>
  <c r="G63" i="4"/>
  <c r="R64" i="2"/>
  <c r="R49" i="2"/>
  <c r="Q41" i="7"/>
  <c r="S41" i="7"/>
  <c r="Q41" i="6"/>
  <c r="S41" i="6"/>
  <c r="Q63" i="4"/>
  <c r="R51" i="2"/>
  <c r="S36" i="2"/>
  <c r="P42" i="5"/>
  <c r="O42" i="5"/>
  <c r="N42" i="5"/>
  <c r="M42" i="5"/>
  <c r="L42" i="5"/>
  <c r="K42" i="5"/>
  <c r="J42" i="5"/>
  <c r="I42" i="5"/>
  <c r="H42" i="5"/>
  <c r="G42" i="5"/>
  <c r="F42" i="5"/>
  <c r="L41" i="5"/>
  <c r="P38" i="5"/>
  <c r="O38" i="5"/>
  <c r="N38" i="5"/>
  <c r="M38" i="5"/>
  <c r="L38" i="5"/>
  <c r="K38" i="5"/>
  <c r="J38" i="5"/>
  <c r="I38" i="5"/>
  <c r="H38" i="5"/>
  <c r="G38" i="5"/>
  <c r="G39" i="5"/>
  <c r="F38" i="5"/>
  <c r="E38" i="5"/>
  <c r="P37" i="5"/>
  <c r="O37" i="5"/>
  <c r="N37" i="5"/>
  <c r="M37" i="5"/>
  <c r="L37" i="5"/>
  <c r="K37" i="5"/>
  <c r="J37" i="5"/>
  <c r="I37" i="5"/>
  <c r="H37" i="5"/>
  <c r="G37" i="5"/>
  <c r="F37" i="5"/>
  <c r="E37" i="5"/>
  <c r="Q34" i="5"/>
  <c r="S34" i="5"/>
  <c r="Q33" i="5"/>
  <c r="S33" i="5"/>
  <c r="Q32" i="5"/>
  <c r="S32" i="5"/>
  <c r="Q31" i="5"/>
  <c r="S31" i="5"/>
  <c r="Q28" i="5"/>
  <c r="S28" i="5"/>
  <c r="Q27" i="5"/>
  <c r="S27" i="5"/>
  <c r="Q22" i="5"/>
  <c r="S22" i="5"/>
  <c r="Q21" i="5"/>
  <c r="S21" i="5"/>
  <c r="Q18" i="5"/>
  <c r="S18" i="5"/>
  <c r="Q17" i="5"/>
  <c r="S17" i="5"/>
  <c r="N41" i="5"/>
  <c r="M41" i="5"/>
  <c r="K41" i="5"/>
  <c r="J41" i="5"/>
  <c r="I41" i="5"/>
  <c r="Q12" i="5"/>
  <c r="S12" i="5"/>
  <c r="Q11" i="5"/>
  <c r="S11" i="5"/>
  <c r="Q8" i="5"/>
  <c r="S8" i="5"/>
  <c r="Q7" i="5"/>
  <c r="S7" i="5"/>
  <c r="O39" i="5"/>
  <c r="M39" i="5"/>
  <c r="L43" i="5"/>
  <c r="Q29" i="5"/>
  <c r="Q37" i="5"/>
  <c r="S37" i="5"/>
  <c r="I43" i="5"/>
  <c r="K39" i="5"/>
  <c r="M40" i="5"/>
  <c r="J40" i="5"/>
  <c r="N43" i="5"/>
  <c r="M43" i="5"/>
  <c r="F39" i="5"/>
  <c r="N40" i="5"/>
  <c r="L39" i="5"/>
  <c r="H39" i="5"/>
  <c r="P39" i="5"/>
  <c r="Q38" i="5"/>
  <c r="S38" i="5"/>
  <c r="I39" i="5"/>
  <c r="J43" i="5"/>
  <c r="Q19" i="5"/>
  <c r="J39" i="5"/>
  <c r="L40" i="5"/>
  <c r="K43" i="5"/>
  <c r="Q35" i="5"/>
  <c r="Q9" i="5"/>
  <c r="Q23" i="5"/>
  <c r="S23" i="5"/>
  <c r="Q24" i="5"/>
  <c r="S24" i="5"/>
  <c r="O41" i="5"/>
  <c r="O43" i="5"/>
  <c r="P41" i="5"/>
  <c r="P43" i="5"/>
  <c r="E41" i="5"/>
  <c r="Q14" i="5"/>
  <c r="S14" i="5"/>
  <c r="F41" i="5"/>
  <c r="F43" i="5"/>
  <c r="E42" i="5"/>
  <c r="K40" i="5"/>
  <c r="N39" i="5"/>
  <c r="O40" i="5"/>
  <c r="Q13" i="5"/>
  <c r="S13" i="5"/>
  <c r="E39" i="5"/>
  <c r="P40" i="5"/>
  <c r="E40" i="5"/>
  <c r="F40" i="5"/>
  <c r="G40" i="5"/>
  <c r="G41" i="5"/>
  <c r="G43" i="5"/>
  <c r="H40" i="5"/>
  <c r="H41" i="5"/>
  <c r="H43" i="5"/>
  <c r="I40" i="5"/>
  <c r="Q39" i="5"/>
  <c r="Q25" i="5"/>
  <c r="G44" i="5"/>
  <c r="F44" i="5"/>
  <c r="O44" i="5"/>
  <c r="M44" i="5"/>
  <c r="K44" i="5"/>
  <c r="J44" i="5"/>
  <c r="I44" i="5"/>
  <c r="H44" i="5"/>
  <c r="E44" i="5"/>
  <c r="P44" i="5"/>
  <c r="E43" i="5"/>
  <c r="N44" i="5"/>
  <c r="L44" i="5"/>
  <c r="Q15" i="5"/>
  <c r="Q42" i="5"/>
  <c r="S42" i="5"/>
  <c r="Q41" i="5"/>
  <c r="S41" i="5"/>
  <c r="Q43" i="5"/>
  <c r="P37" i="1"/>
  <c r="O37" i="1"/>
  <c r="N37" i="1"/>
  <c r="M37" i="1"/>
  <c r="L37" i="1"/>
  <c r="K37" i="1"/>
  <c r="J37" i="1"/>
  <c r="I37" i="1"/>
  <c r="H37" i="1"/>
  <c r="G37" i="1"/>
  <c r="F37" i="1"/>
  <c r="E37" i="1"/>
  <c r="Q34" i="1"/>
  <c r="S34" i="1"/>
  <c r="P33" i="1"/>
  <c r="Q32" i="1"/>
  <c r="S32" i="1"/>
  <c r="P30" i="1"/>
  <c r="O30" i="1"/>
  <c r="N30" i="1"/>
  <c r="M30" i="1"/>
  <c r="L30" i="1"/>
  <c r="K30" i="1"/>
  <c r="J30" i="1"/>
  <c r="I30" i="1"/>
  <c r="H30" i="1"/>
  <c r="G30" i="1"/>
  <c r="F30" i="1"/>
  <c r="E30" i="1"/>
  <c r="P29" i="1"/>
  <c r="O29" i="1"/>
  <c r="N29" i="1"/>
  <c r="M29" i="1"/>
  <c r="L29" i="1"/>
  <c r="K29" i="1"/>
  <c r="J29" i="1"/>
  <c r="I29" i="1"/>
  <c r="H29" i="1"/>
  <c r="G29" i="1"/>
  <c r="F29" i="1"/>
  <c r="E29" i="1"/>
  <c r="Q28" i="1"/>
  <c r="S28" i="1"/>
  <c r="Q27" i="1"/>
  <c r="S27" i="1"/>
  <c r="P23" i="1"/>
  <c r="L23" i="1"/>
  <c r="K23" i="1"/>
  <c r="Q17" i="1"/>
  <c r="S17" i="1"/>
  <c r="Q11" i="1"/>
  <c r="S11" i="1"/>
  <c r="Q7" i="1"/>
  <c r="S7" i="1"/>
  <c r="P13" i="1"/>
  <c r="O13" i="1"/>
  <c r="N13" i="1"/>
  <c r="M13" i="1"/>
  <c r="L13" i="1"/>
  <c r="K13" i="1"/>
  <c r="J13" i="1"/>
  <c r="I13" i="1"/>
  <c r="H13" i="1"/>
  <c r="G13" i="1"/>
  <c r="F13" i="1"/>
  <c r="E13" i="1"/>
  <c r="H23" i="1"/>
  <c r="J23" i="1"/>
  <c r="P35" i="1"/>
  <c r="Q66" i="2"/>
  <c r="Q67" i="2"/>
  <c r="P79" i="4"/>
  <c r="P88" i="4"/>
  <c r="P93" i="4"/>
  <c r="P41" i="1"/>
  <c r="Q37" i="1"/>
  <c r="S37" i="1"/>
  <c r="Q29" i="1"/>
  <c r="Q13" i="1"/>
  <c r="S13" i="1"/>
  <c r="F33" i="1"/>
  <c r="F23" i="1"/>
  <c r="Q21" i="1"/>
  <c r="S21" i="1"/>
  <c r="E23" i="1"/>
  <c r="I33" i="1"/>
  <c r="I23" i="1"/>
  <c r="N33" i="1"/>
  <c r="N23" i="1"/>
  <c r="M33" i="1"/>
  <c r="M23" i="1"/>
  <c r="G33" i="1"/>
  <c r="G23" i="1"/>
  <c r="O33" i="1"/>
  <c r="O23" i="1"/>
  <c r="G35" i="1"/>
  <c r="H66" i="2"/>
  <c r="H67" i="2"/>
  <c r="G79" i="4"/>
  <c r="G88" i="4"/>
  <c r="G93" i="4"/>
  <c r="N41" i="1"/>
  <c r="M35" i="1"/>
  <c r="N66" i="2"/>
  <c r="N67" i="2"/>
  <c r="M79" i="4"/>
  <c r="M88" i="4"/>
  <c r="M93" i="4"/>
  <c r="I41" i="1"/>
  <c r="Q23" i="1"/>
  <c r="M41" i="1"/>
  <c r="N35" i="1"/>
  <c r="O66" i="2"/>
  <c r="O67" i="2"/>
  <c r="N79" i="4"/>
  <c r="N88" i="4"/>
  <c r="N93" i="4"/>
  <c r="I35" i="1"/>
  <c r="J66" i="2"/>
  <c r="J67" i="2"/>
  <c r="I79" i="4"/>
  <c r="I88" i="4"/>
  <c r="I93" i="4"/>
  <c r="O41" i="1"/>
  <c r="E33" i="1"/>
  <c r="E41" i="1"/>
  <c r="P66" i="2"/>
  <c r="P67" i="2"/>
  <c r="O79" i="4"/>
  <c r="O88" i="4"/>
  <c r="O93" i="4"/>
  <c r="O35" i="1"/>
  <c r="F41" i="1"/>
  <c r="G41" i="1"/>
  <c r="F35" i="1"/>
  <c r="G66" i="2"/>
  <c r="G67" i="2"/>
  <c r="F79" i="4"/>
  <c r="F88" i="4"/>
  <c r="F93" i="4"/>
  <c r="H41" i="1"/>
  <c r="K35" i="1"/>
  <c r="S23" i="1"/>
  <c r="F66" i="2"/>
  <c r="G36" i="1"/>
  <c r="E35" i="1"/>
  <c r="F36" i="1"/>
  <c r="E36" i="1"/>
  <c r="L66" i="2"/>
  <c r="L67" i="2"/>
  <c r="K79" i="4"/>
  <c r="K88" i="4"/>
  <c r="K93" i="4"/>
  <c r="H36" i="1"/>
  <c r="I66" i="2"/>
  <c r="I67" i="2"/>
  <c r="H79" i="4"/>
  <c r="H88" i="4"/>
  <c r="H93" i="4"/>
  <c r="H35" i="1"/>
  <c r="L35" i="1"/>
  <c r="M66" i="2"/>
  <c r="M67" i="2"/>
  <c r="L79" i="4"/>
  <c r="L88" i="4"/>
  <c r="L93" i="4"/>
  <c r="J33" i="1"/>
  <c r="J41" i="1"/>
  <c r="Q31" i="1"/>
  <c r="S31" i="1"/>
  <c r="R66" i="15"/>
  <c r="F67" i="2"/>
  <c r="E79" i="4"/>
  <c r="L36" i="1"/>
  <c r="K66" i="2"/>
  <c r="K67" i="2"/>
  <c r="J79" i="4"/>
  <c r="J88" i="4"/>
  <c r="J93" i="4"/>
  <c r="R66" i="2"/>
  <c r="R67" i="2"/>
  <c r="T36" i="2"/>
  <c r="S39" i="2"/>
  <c r="J35" i="1"/>
  <c r="M36" i="1"/>
  <c r="N36" i="1"/>
  <c r="K36" i="1"/>
  <c r="P36" i="1"/>
  <c r="O36" i="1"/>
  <c r="J36" i="1"/>
  <c r="Q33" i="1"/>
  <c r="E88" i="4"/>
  <c r="K33" i="1"/>
  <c r="K41" i="1"/>
  <c r="H33" i="1"/>
  <c r="I36" i="1"/>
  <c r="L33" i="1"/>
  <c r="L41" i="1"/>
  <c r="Q79" i="4"/>
  <c r="T12" i="4"/>
  <c r="X12" i="4"/>
  <c r="Q41" i="1"/>
  <c r="Q35" i="1"/>
  <c r="S33" i="1"/>
  <c r="Q88" i="4"/>
  <c r="E93" i="4"/>
  <c r="Q93" i="4"/>
  <c r="T11" i="4"/>
  <c r="X11" i="4"/>
  <c r="S41" i="1"/>
  <c r="O149" i="23"/>
  <c r="P149" i="23" s="1"/>
  <c r="O207" i="23"/>
  <c r="P207" i="23" s="1"/>
  <c r="O211" i="23"/>
  <c r="P211" i="23" s="1"/>
  <c r="O235" i="23"/>
  <c r="P235" i="23" s="1"/>
  <c r="O237" i="23"/>
  <c r="P237" i="23" s="1"/>
  <c r="O253" i="23"/>
  <c r="P253" i="23" s="1"/>
  <c r="O309" i="23"/>
  <c r="P309" i="23" s="1"/>
  <c r="O333" i="23"/>
  <c r="P333" i="23" s="1"/>
  <c r="O343" i="23"/>
  <c r="P343" i="23" s="1"/>
  <c r="O347" i="23"/>
  <c r="P347" i="23" s="1"/>
  <c r="O397" i="23"/>
  <c r="P397" i="23" s="1"/>
  <c r="O8" i="24"/>
  <c r="P8" i="24" s="1"/>
  <c r="O10" i="24"/>
  <c r="P10" i="24" s="1"/>
  <c r="O14" i="24"/>
  <c r="P14" i="24" s="1"/>
  <c r="O44" i="24"/>
  <c r="P44" i="24" s="1"/>
  <c r="O48" i="24"/>
  <c r="P48" i="24" s="1"/>
  <c r="O54" i="24"/>
  <c r="P54" i="24" s="1"/>
  <c r="O191" i="23"/>
  <c r="P191" i="23" s="1"/>
  <c r="O197" i="23"/>
  <c r="P197" i="23" s="1"/>
  <c r="O201" i="23"/>
  <c r="P201" i="23" s="1"/>
  <c r="O209" i="23"/>
  <c r="P209" i="23" s="1"/>
  <c r="O223" i="23"/>
  <c r="P223" i="23" s="1"/>
  <c r="O287" i="23"/>
  <c r="P287" i="23" s="1"/>
  <c r="O291" i="23"/>
  <c r="P291" i="23" s="1"/>
  <c r="O297" i="23"/>
  <c r="P297" i="23" s="1"/>
  <c r="O303" i="23"/>
  <c r="P303" i="23" s="1"/>
  <c r="O353" i="23"/>
  <c r="P353" i="23" s="1"/>
  <c r="O375" i="23"/>
  <c r="P375" i="23" s="1"/>
  <c r="O395" i="23"/>
  <c r="P395" i="23" s="1"/>
  <c r="O399" i="23"/>
  <c r="P399" i="23" s="1"/>
  <c r="O6" i="24"/>
  <c r="P6" i="24" s="1"/>
  <c r="O42" i="24"/>
  <c r="P42" i="24" s="1"/>
  <c r="O62" i="24"/>
  <c r="P62" i="24" s="1"/>
  <c r="O68" i="24"/>
  <c r="P68" i="24" s="1"/>
  <c r="O110" i="24"/>
  <c r="P110" i="24" s="1"/>
  <c r="O86" i="24"/>
  <c r="P86" i="24" s="1"/>
  <c r="O88" i="24"/>
  <c r="P88" i="24" s="1"/>
  <c r="O120" i="24"/>
  <c r="P120" i="24" s="1"/>
  <c r="O124" i="24"/>
  <c r="P124" i="24" s="1"/>
  <c r="O126" i="24"/>
  <c r="P126" i="24" s="1"/>
  <c r="O128" i="24"/>
  <c r="P128" i="24" s="1"/>
  <c r="O130" i="24"/>
  <c r="P130" i="24" s="1"/>
  <c r="O136" i="24"/>
  <c r="P136" i="24" s="1"/>
  <c r="O160" i="24"/>
  <c r="P160" i="24" s="1"/>
  <c r="O162" i="24"/>
  <c r="P162" i="24" s="1"/>
  <c r="O164" i="24"/>
  <c r="O170" i="24"/>
  <c r="P170" i="24" s="1"/>
  <c r="O180" i="24"/>
  <c r="P180" i="24" s="1"/>
  <c r="O198" i="24"/>
  <c r="P198" i="24" s="1"/>
  <c r="O204" i="24"/>
  <c r="P204" i="24" s="1"/>
  <c r="O206" i="24"/>
  <c r="P206" i="24" s="1"/>
  <c r="O208" i="24"/>
  <c r="P208" i="24" s="1"/>
  <c r="O210" i="24"/>
  <c r="P210" i="24" s="1"/>
  <c r="O212" i="24"/>
  <c r="P212" i="24" s="1"/>
  <c r="O214" i="24"/>
  <c r="P214" i="24" s="1"/>
  <c r="O238" i="24"/>
  <c r="P238" i="24" s="1"/>
  <c r="O242" i="24"/>
  <c r="P242" i="24" s="1"/>
  <c r="O248" i="24"/>
  <c r="P248" i="24" s="1"/>
  <c r="O250" i="24"/>
  <c r="P250" i="24" s="1"/>
  <c r="O266" i="24"/>
  <c r="P266" i="24" s="1"/>
  <c r="O278" i="24"/>
  <c r="P278" i="24" s="1"/>
  <c r="O300" i="24"/>
  <c r="P300" i="24" s="1"/>
  <c r="O302" i="24"/>
  <c r="P302" i="24" s="1"/>
  <c r="O336" i="24"/>
  <c r="P336" i="24" s="1"/>
  <c r="O338" i="24"/>
  <c r="P338" i="24" s="1"/>
  <c r="O340" i="24"/>
  <c r="O358" i="24"/>
  <c r="P358" i="24" s="1"/>
  <c r="O183" i="23"/>
  <c r="P183" i="23" s="1"/>
  <c r="O363" i="17" l="1"/>
  <c r="P363" i="17" s="1"/>
  <c r="O83" i="23"/>
  <c r="P83" i="23" s="1"/>
  <c r="O175" i="23"/>
  <c r="P175" i="23" s="1"/>
  <c r="O241" i="23"/>
  <c r="P241" i="23" s="1"/>
  <c r="O245" i="23"/>
  <c r="P245" i="23" s="1"/>
  <c r="O275" i="23"/>
  <c r="P275" i="23" s="1"/>
  <c r="O283" i="23"/>
  <c r="P283" i="23" s="1"/>
  <c r="O293" i="23"/>
  <c r="P293" i="23" s="1"/>
  <c r="O313" i="23"/>
  <c r="P313" i="23" s="1"/>
  <c r="O317" i="23"/>
  <c r="P317" i="23" s="1"/>
  <c r="O329" i="23"/>
  <c r="P329" i="23" s="1"/>
  <c r="O357" i="23"/>
  <c r="P357" i="23" s="1"/>
  <c r="O371" i="23"/>
  <c r="P371" i="23" s="1"/>
  <c r="O80" i="24"/>
  <c r="P80" i="24" s="1"/>
  <c r="O90" i="24"/>
  <c r="P90" i="24" s="1"/>
  <c r="O118" i="24"/>
  <c r="P118" i="24" s="1"/>
  <c r="O172" i="24"/>
  <c r="P172" i="24" s="1"/>
  <c r="O174" i="24"/>
  <c r="P174" i="24" s="1"/>
  <c r="O244" i="24"/>
  <c r="P244" i="24" s="1"/>
  <c r="O246" i="24"/>
  <c r="P246" i="24" s="1"/>
  <c r="O212" i="17"/>
  <c r="P212" i="17" s="1"/>
  <c r="O269" i="17"/>
  <c r="P269" i="17" s="1"/>
  <c r="O273" i="17"/>
  <c r="P273" i="17" s="1"/>
  <c r="O294" i="17"/>
  <c r="P294" i="17" s="1"/>
  <c r="O297" i="17"/>
  <c r="O337" i="23"/>
  <c r="P337" i="23" s="1"/>
  <c r="O341" i="23"/>
  <c r="P341" i="23" s="1"/>
  <c r="O345" i="23"/>
  <c r="P345" i="23" s="1"/>
  <c r="O349" i="23"/>
  <c r="P349" i="23" s="1"/>
  <c r="O351" i="23"/>
  <c r="P351" i="23" s="1"/>
  <c r="O365" i="23"/>
  <c r="P365" i="23" s="1"/>
  <c r="O381" i="23"/>
  <c r="P381" i="23" s="1"/>
  <c r="O389" i="23"/>
  <c r="P389" i="23" s="1"/>
  <c r="O393" i="23"/>
  <c r="P393" i="23" s="1"/>
  <c r="O12" i="24"/>
  <c r="P12" i="24" s="1"/>
  <c r="O24" i="24"/>
  <c r="P24" i="24" s="1"/>
  <c r="O28" i="24"/>
  <c r="P28" i="24" s="1"/>
  <c r="O34" i="24"/>
  <c r="P34" i="24" s="1"/>
  <c r="O38" i="24"/>
  <c r="P38" i="24" s="1"/>
  <c r="O58" i="24"/>
  <c r="P58" i="24" s="1"/>
  <c r="O60" i="24"/>
  <c r="P60" i="24" s="1"/>
  <c r="O64" i="24"/>
  <c r="P64" i="24" s="1"/>
  <c r="O66" i="24"/>
  <c r="P66" i="24" s="1"/>
  <c r="O76" i="24"/>
  <c r="P76" i="24" s="1"/>
  <c r="O92" i="24"/>
  <c r="P92" i="24" s="1"/>
  <c r="O94" i="24"/>
  <c r="P94" i="24" s="1"/>
  <c r="O96" i="24"/>
  <c r="P96" i="24" s="1"/>
  <c r="O114" i="24"/>
  <c r="P114" i="24" s="1"/>
  <c r="O116" i="24"/>
  <c r="P116" i="24" s="1"/>
  <c r="O146" i="24"/>
  <c r="P146" i="24" s="1"/>
  <c r="O148" i="24"/>
  <c r="P148" i="24" s="1"/>
  <c r="O150" i="24"/>
  <c r="P150" i="24" s="1"/>
  <c r="O152" i="24"/>
  <c r="P152" i="24" s="1"/>
  <c r="O158" i="24"/>
  <c r="P158" i="24" s="1"/>
  <c r="O182" i="24"/>
  <c r="P182" i="24" s="1"/>
  <c r="O184" i="24"/>
  <c r="P184" i="24" s="1"/>
  <c r="O186" i="24"/>
  <c r="P186" i="24" s="1"/>
  <c r="O188" i="24"/>
  <c r="P188" i="24" s="1"/>
  <c r="O190" i="24"/>
  <c r="P190" i="24" s="1"/>
  <c r="O216" i="24"/>
  <c r="P216" i="24" s="1"/>
  <c r="O218" i="24"/>
  <c r="P218" i="24" s="1"/>
  <c r="O232" i="24"/>
  <c r="P232" i="24" s="1"/>
  <c r="O234" i="24"/>
  <c r="P234" i="24" s="1"/>
  <c r="O236" i="24"/>
  <c r="P236" i="24" s="1"/>
  <c r="O268" i="24"/>
  <c r="P268" i="24" s="1"/>
  <c r="O270" i="24"/>
  <c r="P270" i="24" s="1"/>
  <c r="O272" i="24"/>
  <c r="P272" i="24" s="1"/>
  <c r="O274" i="24"/>
  <c r="P274" i="24" s="1"/>
  <c r="O276" i="24"/>
  <c r="P276" i="24" s="1"/>
  <c r="O370" i="24"/>
  <c r="P370" i="24" s="1"/>
  <c r="O382" i="24"/>
  <c r="P382" i="24" s="1"/>
  <c r="O394" i="24"/>
  <c r="P394" i="24" s="1"/>
  <c r="O322" i="17"/>
  <c r="P322" i="17" s="1"/>
  <c r="O47" i="17"/>
  <c r="P47" i="17" s="1"/>
  <c r="O101" i="17"/>
  <c r="P101" i="17" s="1"/>
  <c r="O107" i="17"/>
  <c r="P107" i="17" s="1"/>
  <c r="O167" i="17"/>
  <c r="P167" i="17" s="1"/>
  <c r="O185" i="17"/>
  <c r="P185" i="17" s="1"/>
  <c r="O191" i="17"/>
  <c r="P191" i="17" s="1"/>
  <c r="O99" i="23"/>
  <c r="P99" i="23" s="1"/>
  <c r="O165" i="23"/>
  <c r="P165" i="23" s="1"/>
  <c r="O187" i="23"/>
  <c r="P187" i="23" s="1"/>
  <c r="O195" i="23"/>
  <c r="P195" i="23" s="1"/>
  <c r="O199" i="23"/>
  <c r="P199" i="23" s="1"/>
  <c r="O203" i="23"/>
  <c r="P203" i="23" s="1"/>
  <c r="O233" i="23"/>
  <c r="P233" i="23" s="1"/>
  <c r="O239" i="23"/>
  <c r="P239" i="23" s="1"/>
  <c r="O243" i="23"/>
  <c r="P243" i="23" s="1"/>
  <c r="O259" i="23"/>
  <c r="P259" i="23" s="1"/>
  <c r="O261" i="23"/>
  <c r="P261" i="23" s="1"/>
  <c r="O263" i="23"/>
  <c r="P263" i="23" s="1"/>
  <c r="O273" i="23"/>
  <c r="P273" i="23" s="1"/>
  <c r="O277" i="23"/>
  <c r="P277" i="23" s="1"/>
  <c r="O281" i="23"/>
  <c r="P281" i="23" s="1"/>
  <c r="O305" i="23"/>
  <c r="P305" i="23" s="1"/>
  <c r="O331" i="23"/>
  <c r="P331" i="23" s="1"/>
  <c r="O41" i="17"/>
  <c r="P41" i="17" s="1"/>
  <c r="O44" i="17"/>
  <c r="P44" i="17" s="1"/>
  <c r="O50" i="17"/>
  <c r="P50" i="17" s="1"/>
  <c r="O104" i="17"/>
  <c r="O165" i="17"/>
  <c r="P165" i="17" s="1"/>
  <c r="O182" i="17"/>
  <c r="P182" i="17" s="1"/>
  <c r="O188" i="17"/>
  <c r="P188" i="17" s="1"/>
  <c r="O14" i="16"/>
  <c r="P14" i="16" s="1"/>
  <c r="O12" i="16"/>
  <c r="P12" i="16" s="1"/>
  <c r="O42" i="16"/>
  <c r="P42" i="16" s="1"/>
  <c r="O59" i="16"/>
  <c r="P59" i="16" s="1"/>
  <c r="O66" i="16"/>
  <c r="P66" i="16" s="1"/>
  <c r="O81" i="16"/>
  <c r="P81" i="16" s="1"/>
  <c r="O135" i="16"/>
  <c r="P135" i="16" s="1"/>
  <c r="O190" i="23"/>
  <c r="P190" i="23" s="1"/>
  <c r="O192" i="23"/>
  <c r="P192" i="23" s="1"/>
  <c r="O194" i="23"/>
  <c r="P194" i="23" s="1"/>
  <c r="O196" i="23"/>
  <c r="P196" i="23" s="1"/>
  <c r="O206" i="23"/>
  <c r="P206" i="23" s="1"/>
  <c r="O210" i="23"/>
  <c r="O212" i="23"/>
  <c r="P212" i="23" s="1"/>
  <c r="O214" i="23"/>
  <c r="P214" i="23" s="1"/>
  <c r="O222" i="23"/>
  <c r="P222" i="23" s="1"/>
  <c r="O224" i="23"/>
  <c r="O232" i="23"/>
  <c r="P232" i="23" s="1"/>
  <c r="O234" i="23"/>
  <c r="P234" i="23" s="1"/>
  <c r="O238" i="23"/>
  <c r="O240" i="23"/>
  <c r="P240" i="23" s="1"/>
  <c r="O248" i="23"/>
  <c r="P248" i="23" s="1"/>
  <c r="O250" i="23"/>
  <c r="P250" i="23" s="1"/>
  <c r="O254" i="23"/>
  <c r="P254" i="23" s="1"/>
  <c r="O258" i="23"/>
  <c r="P258" i="23" s="1"/>
  <c r="O262" i="23"/>
  <c r="O264" i="23"/>
  <c r="P264" i="23" s="1"/>
  <c r="O266" i="23"/>
  <c r="O268" i="23"/>
  <c r="P268" i="23" s="1"/>
  <c r="O270" i="23"/>
  <c r="P270" i="23" s="1"/>
  <c r="O272" i="23"/>
  <c r="P272" i="23" s="1"/>
  <c r="O276" i="23"/>
  <c r="P276" i="23" s="1"/>
  <c r="O280" i="23"/>
  <c r="P280" i="23" s="1"/>
  <c r="O282" i="23"/>
  <c r="P282" i="23" s="1"/>
  <c r="O284" i="23"/>
  <c r="P284" i="23" s="1"/>
  <c r="O286" i="23"/>
  <c r="P286" i="23" s="1"/>
  <c r="O290" i="23"/>
  <c r="P290" i="23" s="1"/>
  <c r="O292" i="23"/>
  <c r="P292" i="23" s="1"/>
  <c r="O294" i="23"/>
  <c r="P294" i="23" s="1"/>
  <c r="O296" i="23"/>
  <c r="O298" i="23"/>
  <c r="P298" i="23" s="1"/>
  <c r="O300" i="23"/>
  <c r="P300" i="23" s="1"/>
  <c r="O302" i="23"/>
  <c r="P302" i="23" s="1"/>
  <c r="O304" i="23"/>
  <c r="P304" i="23" s="1"/>
  <c r="O306" i="23"/>
  <c r="O310" i="23"/>
  <c r="P310" i="23" s="1"/>
  <c r="O312" i="23"/>
  <c r="P312" i="23" s="1"/>
  <c r="O314" i="23"/>
  <c r="O316" i="23"/>
  <c r="P316" i="23" s="1"/>
  <c r="O318" i="23"/>
  <c r="O322" i="23"/>
  <c r="P322" i="23" s="1"/>
  <c r="O324" i="23"/>
  <c r="O328" i="23"/>
  <c r="P328" i="23" s="1"/>
  <c r="O330" i="23"/>
  <c r="P330" i="23" s="1"/>
  <c r="O332" i="23"/>
  <c r="O334" i="23"/>
  <c r="O340" i="23"/>
  <c r="P340" i="23" s="1"/>
  <c r="O346" i="23"/>
  <c r="P346" i="23" s="1"/>
  <c r="O348" i="23"/>
  <c r="P348" i="23" s="1"/>
  <c r="O350" i="23"/>
  <c r="P350" i="23" s="1"/>
  <c r="O354" i="23"/>
  <c r="P354" i="23" s="1"/>
  <c r="O356" i="23"/>
  <c r="O358" i="23"/>
  <c r="P358" i="23" s="1"/>
  <c r="O360" i="23"/>
  <c r="P360" i="23" s="1"/>
  <c r="O362" i="23"/>
  <c r="O366" i="23"/>
  <c r="P366" i="23" s="1"/>
  <c r="O370" i="23"/>
  <c r="P370" i="23" s="1"/>
  <c r="O372" i="23"/>
  <c r="P372" i="23" s="1"/>
  <c r="O374" i="23"/>
  <c r="O376" i="23"/>
  <c r="P376" i="23" s="1"/>
  <c r="O380" i="23"/>
  <c r="P380" i="23" s="1"/>
  <c r="O386" i="23"/>
  <c r="P386" i="23" s="1"/>
  <c r="O388" i="23"/>
  <c r="O392" i="23"/>
  <c r="P392" i="23" s="1"/>
  <c r="O394" i="23"/>
  <c r="P394" i="23" s="1"/>
  <c r="O396" i="23"/>
  <c r="P396" i="23" s="1"/>
  <c r="O7" i="24"/>
  <c r="P7" i="24" s="1"/>
  <c r="O13" i="24"/>
  <c r="P13" i="24" s="1"/>
  <c r="O17" i="24"/>
  <c r="O21" i="24"/>
  <c r="P21" i="24" s="1"/>
  <c r="O23" i="24"/>
  <c r="P23" i="24" s="1"/>
  <c r="O25" i="24"/>
  <c r="P25" i="24" s="1"/>
  <c r="O29" i="24"/>
  <c r="O33" i="24"/>
  <c r="P33" i="24" s="1"/>
  <c r="O35" i="24"/>
  <c r="P35" i="24" s="1"/>
  <c r="O37" i="24"/>
  <c r="P37" i="24" s="1"/>
  <c r="O39" i="24"/>
  <c r="P39" i="24" s="1"/>
  <c r="O45" i="24"/>
  <c r="P45" i="24" s="1"/>
  <c r="O47" i="24"/>
  <c r="O49" i="24"/>
  <c r="O55" i="24"/>
  <c r="O57" i="24"/>
  <c r="P57" i="24" s="1"/>
  <c r="O59" i="24"/>
  <c r="P59" i="24" s="1"/>
  <c r="O61" i="24"/>
  <c r="P61" i="24" s="1"/>
  <c r="O63" i="24"/>
  <c r="P63" i="24" s="1"/>
  <c r="O69" i="24"/>
  <c r="P69" i="24" s="1"/>
  <c r="O71" i="24"/>
  <c r="P71" i="24" s="1"/>
  <c r="O73" i="24"/>
  <c r="P73" i="24" s="1"/>
  <c r="O75" i="24"/>
  <c r="P75" i="24" s="1"/>
  <c r="O77" i="24"/>
  <c r="O79" i="24"/>
  <c r="P79" i="24" s="1"/>
  <c r="O81" i="24"/>
  <c r="O83" i="24"/>
  <c r="P83" i="24" s="1"/>
  <c r="O85" i="24"/>
  <c r="P85" i="24" s="1"/>
  <c r="O89" i="24"/>
  <c r="P89" i="24" s="1"/>
  <c r="O91" i="24"/>
  <c r="P91" i="24" s="1"/>
  <c r="O95" i="24"/>
  <c r="P95" i="24" s="1"/>
  <c r="O97" i="24"/>
  <c r="P97" i="24" s="1"/>
  <c r="O99" i="24"/>
  <c r="P99" i="24" s="1"/>
  <c r="O105" i="24"/>
  <c r="P105" i="24" s="1"/>
  <c r="O109" i="24"/>
  <c r="P109" i="24" s="1"/>
  <c r="O111" i="24"/>
  <c r="O113" i="24"/>
  <c r="P113" i="24" s="1"/>
  <c r="O115" i="24"/>
  <c r="P115" i="24" s="1"/>
  <c r="O117" i="24"/>
  <c r="O121" i="24"/>
  <c r="P121" i="24" s="1"/>
  <c r="O123" i="24"/>
  <c r="O129" i="24"/>
  <c r="P129" i="24" s="1"/>
  <c r="O133" i="24"/>
  <c r="P133" i="24" s="1"/>
  <c r="O135" i="24"/>
  <c r="O137" i="24"/>
  <c r="P137" i="24" s="1"/>
  <c r="O145" i="24"/>
  <c r="P145" i="24" s="1"/>
  <c r="O147" i="24"/>
  <c r="P147" i="24" s="1"/>
  <c r="O151" i="24"/>
  <c r="P151" i="24" s="1"/>
  <c r="O153" i="24"/>
  <c r="O155" i="24"/>
  <c r="O157" i="24"/>
  <c r="P157" i="24" s="1"/>
  <c r="O163" i="24"/>
  <c r="P163" i="24" s="1"/>
  <c r="O165" i="24"/>
  <c r="O167" i="24"/>
  <c r="P167" i="24" s="1"/>
  <c r="O171" i="24"/>
  <c r="P171" i="24" s="1"/>
  <c r="O175" i="24"/>
  <c r="O177" i="24"/>
  <c r="P177" i="24" s="1"/>
  <c r="O179" i="24"/>
  <c r="P179" i="24" s="1"/>
  <c r="O181" i="24"/>
  <c r="O183" i="24"/>
  <c r="O185" i="24"/>
  <c r="P185" i="24" s="1"/>
  <c r="O187" i="24"/>
  <c r="O189" i="24"/>
  <c r="P189" i="24" s="1"/>
  <c r="O191" i="24"/>
  <c r="P191" i="24" s="1"/>
  <c r="O199" i="24"/>
  <c r="P199" i="24" s="1"/>
  <c r="O205" i="24"/>
  <c r="O207" i="24"/>
  <c r="P207" i="24" s="1"/>
  <c r="O215" i="24"/>
  <c r="P215" i="24" s="1"/>
  <c r="O221" i="24"/>
  <c r="P221" i="24" s="1"/>
  <c r="O223" i="24"/>
  <c r="P223" i="24" s="1"/>
  <c r="O227" i="24"/>
  <c r="P227" i="24" s="1"/>
  <c r="O229" i="24"/>
  <c r="P229" i="24" s="1"/>
  <c r="O231" i="24"/>
  <c r="O233" i="24"/>
  <c r="O235" i="24"/>
  <c r="P235" i="24" s="1"/>
  <c r="O237" i="24"/>
  <c r="O241" i="24"/>
  <c r="P241" i="24" s="1"/>
  <c r="O243" i="24"/>
  <c r="P243" i="24" s="1"/>
  <c r="O247" i="24"/>
  <c r="P247" i="24" s="1"/>
  <c r="O249" i="24"/>
  <c r="P249" i="24" s="1"/>
  <c r="O251" i="24"/>
  <c r="P251" i="24" s="1"/>
  <c r="O255" i="24"/>
  <c r="P255" i="24" s="1"/>
  <c r="O257" i="24"/>
  <c r="P257" i="24" s="1"/>
  <c r="O261" i="24"/>
  <c r="P261" i="24" s="1"/>
  <c r="O263" i="24"/>
  <c r="O269" i="24"/>
  <c r="P269" i="24" s="1"/>
  <c r="O271" i="24"/>
  <c r="P271" i="24" s="1"/>
  <c r="O273" i="24"/>
  <c r="P273" i="24" s="1"/>
  <c r="O277" i="24"/>
  <c r="P277" i="24" s="1"/>
  <c r="O279" i="24"/>
  <c r="P279" i="24" s="1"/>
  <c r="O281" i="24"/>
  <c r="O321" i="24"/>
  <c r="P321" i="24" s="1"/>
  <c r="O357" i="24"/>
  <c r="P357" i="24" s="1"/>
  <c r="O369" i="17"/>
  <c r="P369" i="17" s="1"/>
  <c r="O397" i="17"/>
  <c r="P397" i="17" s="1"/>
  <c r="O399" i="17"/>
  <c r="P399" i="17" s="1"/>
  <c r="O401" i="17"/>
  <c r="P401" i="17" s="1"/>
  <c r="O403" i="17"/>
  <c r="P403" i="17" s="1"/>
  <c r="O46" i="16"/>
  <c r="P46" i="16" s="1"/>
  <c r="O48" i="16"/>
  <c r="P48" i="16" s="1"/>
  <c r="O85" i="16"/>
  <c r="P85" i="16" s="1"/>
  <c r="O227" i="16"/>
  <c r="P227" i="16" s="1"/>
  <c r="O273" i="16"/>
  <c r="P273" i="16" s="1"/>
  <c r="O343" i="16"/>
  <c r="P343" i="16" s="1"/>
  <c r="O32" i="20"/>
  <c r="P32" i="20" s="1"/>
  <c r="O34" i="20"/>
  <c r="P34" i="20" s="1"/>
  <c r="O36" i="20"/>
  <c r="P36" i="20" s="1"/>
  <c r="O38" i="20"/>
  <c r="P38" i="20" s="1"/>
  <c r="O40" i="20"/>
  <c r="P40" i="20" s="1"/>
  <c r="O351" i="16"/>
  <c r="P351" i="16" s="1"/>
  <c r="O83" i="19"/>
  <c r="P83" i="19" s="1"/>
  <c r="O311" i="19"/>
  <c r="P311" i="19" s="1"/>
  <c r="O315" i="19"/>
  <c r="P315" i="19" s="1"/>
  <c r="O337" i="19"/>
  <c r="P337" i="19" s="1"/>
  <c r="O361" i="19"/>
  <c r="P361" i="19" s="1"/>
  <c r="O363" i="19"/>
  <c r="P363" i="19" s="1"/>
  <c r="O371" i="19"/>
  <c r="P371" i="19" s="1"/>
  <c r="O99" i="20"/>
  <c r="P99" i="20" s="1"/>
  <c r="O101" i="20"/>
  <c r="P101" i="20" s="1"/>
  <c r="O105" i="20"/>
  <c r="P105" i="20" s="1"/>
  <c r="O111" i="20"/>
  <c r="P111" i="20" s="1"/>
  <c r="O115" i="20"/>
  <c r="O117" i="20"/>
  <c r="P117" i="20" s="1"/>
  <c r="O119" i="20"/>
  <c r="P119" i="20" s="1"/>
  <c r="O129" i="20"/>
  <c r="P129" i="20" s="1"/>
  <c r="O173" i="20"/>
  <c r="P173" i="20" s="1"/>
  <c r="O181" i="20"/>
  <c r="P181" i="20" s="1"/>
  <c r="O183" i="20"/>
  <c r="P183" i="20" s="1"/>
  <c r="O191" i="20"/>
  <c r="P191" i="20" s="1"/>
  <c r="O197" i="20"/>
  <c r="O201" i="20"/>
  <c r="P201" i="20" s="1"/>
  <c r="O209" i="20"/>
  <c r="P209" i="20" s="1"/>
  <c r="O213" i="20"/>
  <c r="O217" i="20"/>
  <c r="P217" i="20" s="1"/>
  <c r="O223" i="20"/>
  <c r="P223" i="20" s="1"/>
  <c r="O231" i="20"/>
  <c r="P231" i="20" s="1"/>
  <c r="O273" i="20"/>
  <c r="P273" i="20" s="1"/>
  <c r="O275" i="20"/>
  <c r="P275" i="20" s="1"/>
  <c r="O277" i="20"/>
  <c r="O287" i="20"/>
  <c r="P287" i="20" s="1"/>
  <c r="O289" i="20"/>
  <c r="P289" i="20" s="1"/>
  <c r="O303" i="20"/>
  <c r="P303" i="20" s="1"/>
  <c r="O307" i="20"/>
  <c r="P307" i="20" s="1"/>
  <c r="O309" i="20"/>
  <c r="P309" i="20" s="1"/>
  <c r="O311" i="20"/>
  <c r="P311" i="20" s="1"/>
  <c r="O313" i="20"/>
  <c r="P313" i="20" s="1"/>
  <c r="O315" i="20"/>
  <c r="P315" i="20" s="1"/>
  <c r="O317" i="20"/>
  <c r="P317" i="20" s="1"/>
  <c r="O319" i="20"/>
  <c r="P319" i="20" s="1"/>
  <c r="O321" i="20"/>
  <c r="P321" i="20" s="1"/>
  <c r="O323" i="20"/>
  <c r="P323" i="20" s="1"/>
  <c r="O325" i="20"/>
  <c r="P325" i="20" s="1"/>
  <c r="O327" i="20"/>
  <c r="P327" i="20" s="1"/>
  <c r="O329" i="20"/>
  <c r="P329" i="20" s="1"/>
  <c r="O331" i="20"/>
  <c r="P331" i="20" s="1"/>
  <c r="O333" i="20"/>
  <c r="P333" i="20" s="1"/>
  <c r="O335" i="20"/>
  <c r="P335" i="20" s="1"/>
  <c r="O337" i="20"/>
  <c r="P337" i="20" s="1"/>
  <c r="O339" i="20"/>
  <c r="P339" i="20" s="1"/>
  <c r="O341" i="20"/>
  <c r="P341" i="20" s="1"/>
  <c r="O343" i="20"/>
  <c r="P343" i="20" s="1"/>
  <c r="O345" i="20"/>
  <c r="P345" i="20" s="1"/>
  <c r="O347" i="20"/>
  <c r="P347" i="20" s="1"/>
  <c r="O349" i="20"/>
  <c r="P349" i="20" s="1"/>
  <c r="O351" i="20"/>
  <c r="P351" i="20" s="1"/>
  <c r="O353" i="20"/>
  <c r="P353" i="20" s="1"/>
  <c r="O355" i="20"/>
  <c r="P355" i="20" s="1"/>
  <c r="O357" i="20"/>
  <c r="P357" i="20" s="1"/>
  <c r="O359" i="20"/>
  <c r="P359" i="20" s="1"/>
  <c r="O361" i="20"/>
  <c r="P361" i="20" s="1"/>
  <c r="O363" i="20"/>
  <c r="P363" i="20" s="1"/>
  <c r="O365" i="20"/>
  <c r="P365" i="20" s="1"/>
  <c r="O367" i="20"/>
  <c r="P367" i="20" s="1"/>
  <c r="O369" i="20"/>
  <c r="P369" i="20" s="1"/>
  <c r="O371" i="20"/>
  <c r="P371" i="20" s="1"/>
  <c r="O373" i="20"/>
  <c r="P373" i="20" s="1"/>
  <c r="O375" i="20"/>
  <c r="P375" i="20" s="1"/>
  <c r="O377" i="20"/>
  <c r="P377" i="20" s="1"/>
  <c r="O379" i="20"/>
  <c r="P379" i="20" s="1"/>
  <c r="O381" i="20"/>
  <c r="P381" i="20" s="1"/>
  <c r="O383" i="20"/>
  <c r="P383" i="20" s="1"/>
  <c r="O385" i="20"/>
  <c r="P385" i="20" s="1"/>
  <c r="O387" i="20"/>
  <c r="P387" i="20" s="1"/>
  <c r="O389" i="20"/>
  <c r="P389" i="20" s="1"/>
  <c r="O391" i="20"/>
  <c r="P391" i="20" s="1"/>
  <c r="O393" i="20"/>
  <c r="P393" i="20" s="1"/>
  <c r="O395" i="20"/>
  <c r="P395" i="20" s="1"/>
  <c r="O397" i="20"/>
  <c r="P397" i="20" s="1"/>
  <c r="O399" i="20"/>
  <c r="P399" i="20" s="1"/>
  <c r="O401" i="20"/>
  <c r="P401" i="20" s="1"/>
  <c r="O403" i="20"/>
  <c r="P403" i="20" s="1"/>
  <c r="O405" i="20"/>
  <c r="P405" i="20" s="1"/>
  <c r="O407" i="20"/>
  <c r="P407" i="20" s="1"/>
  <c r="O109" i="16"/>
  <c r="P109" i="16" s="1"/>
  <c r="O343" i="17"/>
  <c r="P343" i="17" s="1"/>
  <c r="O341" i="17"/>
  <c r="P341" i="17" s="1"/>
  <c r="O313" i="17"/>
  <c r="P313" i="17" s="1"/>
  <c r="O323" i="17"/>
  <c r="P323" i="17" s="1"/>
  <c r="O37" i="17"/>
  <c r="P37" i="17" s="1"/>
  <c r="O45" i="17"/>
  <c r="P45" i="17" s="1"/>
  <c r="O108" i="17"/>
  <c r="P108" i="17" s="1"/>
  <c r="O154" i="17"/>
  <c r="P154" i="17" s="1"/>
  <c r="O219" i="17"/>
  <c r="P219" i="17" s="1"/>
  <c r="O221" i="17"/>
  <c r="P221" i="17" s="1"/>
  <c r="O11" i="23"/>
  <c r="P11" i="23" s="1"/>
  <c r="O45" i="23"/>
  <c r="P45" i="23" s="1"/>
  <c r="O129" i="23"/>
  <c r="P129" i="23" s="1"/>
  <c r="O171" i="23"/>
  <c r="P171" i="23" s="1"/>
  <c r="O193" i="23"/>
  <c r="P193" i="23" s="1"/>
  <c r="O213" i="23"/>
  <c r="P213" i="23" s="1"/>
  <c r="O215" i="23"/>
  <c r="P215" i="23" s="1"/>
  <c r="O217" i="23"/>
  <c r="P217" i="23" s="1"/>
  <c r="O219" i="23"/>
  <c r="P219" i="23" s="1"/>
  <c r="O221" i="23"/>
  <c r="P221" i="23" s="1"/>
  <c r="O225" i="23"/>
  <c r="P225" i="23" s="1"/>
  <c r="O227" i="23"/>
  <c r="P227" i="23" s="1"/>
  <c r="O229" i="23"/>
  <c r="P229" i="23" s="1"/>
  <c r="O231" i="23"/>
  <c r="P231" i="23" s="1"/>
  <c r="O247" i="23"/>
  <c r="P247" i="23" s="1"/>
  <c r="O251" i="23"/>
  <c r="P251" i="23" s="1"/>
  <c r="O257" i="23"/>
  <c r="P257" i="23" s="1"/>
  <c r="O265" i="23"/>
  <c r="P265" i="23" s="1"/>
  <c r="O267" i="23"/>
  <c r="P267" i="23" s="1"/>
  <c r="O269" i="23"/>
  <c r="P269" i="23" s="1"/>
  <c r="O271" i="23"/>
  <c r="P271" i="23" s="1"/>
  <c r="O279" i="23"/>
  <c r="P279" i="23" s="1"/>
  <c r="O285" i="23"/>
  <c r="P285" i="23" s="1"/>
  <c r="O289" i="23"/>
  <c r="P289" i="23" s="1"/>
  <c r="O295" i="23"/>
  <c r="P295" i="23" s="1"/>
  <c r="O299" i="23"/>
  <c r="P299" i="23" s="1"/>
  <c r="O307" i="23"/>
  <c r="P307" i="23" s="1"/>
  <c r="O311" i="23"/>
  <c r="P311" i="23" s="1"/>
  <c r="O315" i="23"/>
  <c r="P315" i="23" s="1"/>
  <c r="O319" i="23"/>
  <c r="P319" i="23" s="1"/>
  <c r="O321" i="23"/>
  <c r="P321" i="23" s="1"/>
  <c r="O323" i="23"/>
  <c r="P323" i="23" s="1"/>
  <c r="O325" i="23"/>
  <c r="P325" i="23" s="1"/>
  <c r="O327" i="23"/>
  <c r="P327" i="23" s="1"/>
  <c r="O335" i="23"/>
  <c r="P335" i="23" s="1"/>
  <c r="O355" i="23"/>
  <c r="P355" i="23" s="1"/>
  <c r="O359" i="23"/>
  <c r="P359" i="23" s="1"/>
  <c r="O361" i="23"/>
  <c r="P361" i="23" s="1"/>
  <c r="O363" i="23"/>
  <c r="P363" i="23" s="1"/>
  <c r="O367" i="23"/>
  <c r="P367" i="23" s="1"/>
  <c r="O369" i="23"/>
  <c r="P369" i="23" s="1"/>
  <c r="O373" i="23"/>
  <c r="P373" i="23" s="1"/>
  <c r="O379" i="23"/>
  <c r="P379" i="23" s="1"/>
  <c r="O383" i="23"/>
  <c r="P383" i="23" s="1"/>
  <c r="O385" i="23"/>
  <c r="P385" i="23" s="1"/>
  <c r="O387" i="23"/>
  <c r="P387" i="23" s="1"/>
  <c r="O391" i="23"/>
  <c r="P391" i="23" s="1"/>
  <c r="O18" i="24"/>
  <c r="P18" i="24" s="1"/>
  <c r="O20" i="24"/>
  <c r="P20" i="24" s="1"/>
  <c r="O22" i="24"/>
  <c r="P22" i="24" s="1"/>
  <c r="O26" i="24"/>
  <c r="P26" i="24" s="1"/>
  <c r="O30" i="24"/>
  <c r="P30" i="24" s="1"/>
  <c r="O32" i="24"/>
  <c r="P32" i="24" s="1"/>
  <c r="O36" i="24"/>
  <c r="P36" i="24" s="1"/>
  <c r="O40" i="24"/>
  <c r="P40" i="24" s="1"/>
  <c r="O46" i="24"/>
  <c r="P46" i="24" s="1"/>
  <c r="O50" i="24"/>
  <c r="P50" i="24" s="1"/>
  <c r="O56" i="24"/>
  <c r="P56" i="24" s="1"/>
  <c r="O70" i="24"/>
  <c r="P70" i="24" s="1"/>
  <c r="O72" i="24"/>
  <c r="P72" i="24" s="1"/>
  <c r="O74" i="24"/>
  <c r="P74" i="24" s="1"/>
  <c r="O82" i="24"/>
  <c r="P82" i="24" s="1"/>
  <c r="O84" i="24"/>
  <c r="P84" i="24" s="1"/>
  <c r="O98" i="24"/>
  <c r="P98" i="24" s="1"/>
  <c r="O102" i="24"/>
  <c r="P102" i="24" s="1"/>
  <c r="O104" i="24"/>
  <c r="P104" i="24" s="1"/>
  <c r="O106" i="24"/>
  <c r="P106" i="24" s="1"/>
  <c r="O108" i="24"/>
  <c r="P108" i="24" s="1"/>
  <c r="O112" i="24"/>
  <c r="P112" i="24" s="1"/>
  <c r="O132" i="24"/>
  <c r="P132" i="24" s="1"/>
  <c r="O134" i="24"/>
  <c r="P134" i="24" s="1"/>
  <c r="O138" i="24"/>
  <c r="P138" i="24" s="1"/>
  <c r="O140" i="24"/>
  <c r="P140" i="24" s="1"/>
  <c r="O144" i="24"/>
  <c r="P144" i="24" s="1"/>
  <c r="O154" i="24"/>
  <c r="P154" i="24" s="1"/>
  <c r="O156" i="24"/>
  <c r="P156" i="24" s="1"/>
  <c r="O166" i="24"/>
  <c r="P166" i="24" s="1"/>
  <c r="O168" i="24"/>
  <c r="P168" i="24" s="1"/>
  <c r="O176" i="24"/>
  <c r="P176" i="24" s="1"/>
  <c r="O178" i="24"/>
  <c r="P178" i="24" s="1"/>
  <c r="O192" i="24"/>
  <c r="P192" i="24" s="1"/>
  <c r="O194" i="24"/>
  <c r="P194" i="24" s="1"/>
  <c r="O196" i="24"/>
  <c r="P196" i="24" s="1"/>
  <c r="O200" i="24"/>
  <c r="P200" i="24" s="1"/>
  <c r="O202" i="24"/>
  <c r="P202" i="24" s="1"/>
  <c r="O220" i="24"/>
  <c r="P220" i="24" s="1"/>
  <c r="O224" i="24"/>
  <c r="P224" i="24" s="1"/>
  <c r="O226" i="24"/>
  <c r="P226" i="24" s="1"/>
  <c r="O228" i="24"/>
  <c r="P228" i="24" s="1"/>
  <c r="O230" i="24"/>
  <c r="P230" i="24" s="1"/>
  <c r="O252" i="24"/>
  <c r="P252" i="24" s="1"/>
  <c r="O254" i="24"/>
  <c r="P254" i="24" s="1"/>
  <c r="O256" i="24"/>
  <c r="P256" i="24" s="1"/>
  <c r="O258" i="24"/>
  <c r="P258" i="24" s="1"/>
  <c r="O264" i="24"/>
  <c r="P264" i="24" s="1"/>
  <c r="O280" i="24"/>
  <c r="P280" i="24" s="1"/>
  <c r="O282" i="24"/>
  <c r="P282" i="24" s="1"/>
  <c r="O284" i="24"/>
  <c r="P284" i="24" s="1"/>
  <c r="O286" i="24"/>
  <c r="P286" i="24" s="1"/>
  <c r="O288" i="24"/>
  <c r="P288" i="24" s="1"/>
  <c r="O290" i="24"/>
  <c r="P290" i="24" s="1"/>
  <c r="O292" i="24"/>
  <c r="P292" i="24" s="1"/>
  <c r="O294" i="24"/>
  <c r="P294" i="24" s="1"/>
  <c r="O296" i="24"/>
  <c r="P296" i="24" s="1"/>
  <c r="O298" i="24"/>
  <c r="P298" i="24" s="1"/>
  <c r="O304" i="24"/>
  <c r="P304" i="24" s="1"/>
  <c r="O306" i="24"/>
  <c r="P306" i="24" s="1"/>
  <c r="O308" i="24"/>
  <c r="P308" i="24" s="1"/>
  <c r="O310" i="24"/>
  <c r="O312" i="24"/>
  <c r="P312" i="24" s="1"/>
  <c r="O314" i="24"/>
  <c r="P314" i="24" s="1"/>
  <c r="O318" i="24"/>
  <c r="P318" i="24" s="1"/>
  <c r="O320" i="24"/>
  <c r="P320" i="24" s="1"/>
  <c r="O322" i="24"/>
  <c r="P322" i="24" s="1"/>
  <c r="O324" i="24"/>
  <c r="P324" i="24" s="1"/>
  <c r="O326" i="24"/>
  <c r="P326" i="24" s="1"/>
  <c r="O334" i="24"/>
  <c r="P334" i="24" s="1"/>
  <c r="O341" i="18"/>
  <c r="P341" i="18" s="1"/>
  <c r="O335" i="18"/>
  <c r="P335" i="18" s="1"/>
  <c r="O255" i="18"/>
  <c r="P255" i="18" s="1"/>
  <c r="O239" i="18"/>
  <c r="P239" i="18" s="1"/>
  <c r="O202" i="18"/>
  <c r="P202" i="18" s="1"/>
  <c r="O190" i="18"/>
  <c r="P190" i="18" s="1"/>
  <c r="O251" i="17"/>
  <c r="P251" i="17" s="1"/>
  <c r="O305" i="17"/>
  <c r="O29" i="16"/>
  <c r="P29" i="16" s="1"/>
  <c r="O207" i="17"/>
  <c r="P207" i="17" s="1"/>
  <c r="O87" i="18"/>
  <c r="P87" i="18" s="1"/>
  <c r="O77" i="16"/>
  <c r="P77" i="16" s="1"/>
  <c r="O133" i="18"/>
  <c r="P133" i="18" s="1"/>
  <c r="O249" i="18"/>
  <c r="O241" i="18"/>
  <c r="O82" i="18"/>
  <c r="P82" i="18" s="1"/>
  <c r="O280" i="18"/>
  <c r="P280" i="18" s="1"/>
  <c r="O16" i="18"/>
  <c r="P16" i="18" s="1"/>
  <c r="O124" i="18"/>
  <c r="P124" i="18" s="1"/>
  <c r="O115" i="18"/>
  <c r="P115" i="18" s="1"/>
  <c r="O106" i="18"/>
  <c r="P106" i="18" s="1"/>
  <c r="O307" i="17"/>
  <c r="P307" i="17" s="1"/>
  <c r="O309" i="17"/>
  <c r="P309" i="17" s="1"/>
  <c r="O311" i="17"/>
  <c r="P311" i="17" s="1"/>
  <c r="O315" i="17"/>
  <c r="P315" i="17" s="1"/>
  <c r="O319" i="17"/>
  <c r="P319" i="17" s="1"/>
  <c r="O327" i="17"/>
  <c r="P327" i="17" s="1"/>
  <c r="O337" i="17"/>
  <c r="P337" i="17" s="1"/>
  <c r="O371" i="17"/>
  <c r="P371" i="17" s="1"/>
  <c r="O387" i="17"/>
  <c r="P387" i="17" s="1"/>
  <c r="P164" i="24"/>
  <c r="O350" i="18"/>
  <c r="P350" i="18" s="1"/>
  <c r="O306" i="18"/>
  <c r="P306" i="18" s="1"/>
  <c r="O294" i="18"/>
  <c r="P294" i="18" s="1"/>
  <c r="O276" i="18"/>
  <c r="P276" i="18" s="1"/>
  <c r="O266" i="18"/>
  <c r="P266" i="18" s="1"/>
  <c r="O232" i="18"/>
  <c r="P232" i="18" s="1"/>
  <c r="O228" i="18"/>
  <c r="P228" i="18" s="1"/>
  <c r="O10" i="18"/>
  <c r="P10" i="18" s="1"/>
  <c r="O54" i="18"/>
  <c r="P54" i="18" s="1"/>
  <c r="O215" i="18"/>
  <c r="P215" i="18" s="1"/>
  <c r="O191" i="18"/>
  <c r="P191" i="18" s="1"/>
  <c r="O179" i="18"/>
  <c r="P179" i="18" s="1"/>
  <c r="O167" i="18"/>
  <c r="P167" i="18" s="1"/>
  <c r="O155" i="18"/>
  <c r="P155" i="18" s="1"/>
  <c r="O61" i="18"/>
  <c r="P61" i="18" s="1"/>
  <c r="O238" i="17"/>
  <c r="P238" i="17" s="1"/>
  <c r="O157" i="17"/>
  <c r="P157" i="17" s="1"/>
  <c r="O160" i="17"/>
  <c r="P160" i="17" s="1"/>
  <c r="O183" i="17"/>
  <c r="P183" i="17" s="1"/>
  <c r="O264" i="18"/>
  <c r="P264" i="18" s="1"/>
  <c r="O160" i="16"/>
  <c r="P160" i="16" s="1"/>
  <c r="O62" i="17"/>
  <c r="P62" i="17" s="1"/>
  <c r="O140" i="17"/>
  <c r="P140" i="17" s="1"/>
  <c r="O282" i="17"/>
  <c r="P282" i="17" s="1"/>
  <c r="O37" i="16"/>
  <c r="P37" i="16" s="1"/>
  <c r="O54" i="16"/>
  <c r="P54" i="16" s="1"/>
  <c r="O68" i="18"/>
  <c r="P68" i="18" s="1"/>
  <c r="O73" i="17"/>
  <c r="P73" i="17" s="1"/>
  <c r="O113" i="17"/>
  <c r="P113" i="17" s="1"/>
  <c r="O127" i="17"/>
  <c r="P127" i="17" s="1"/>
  <c r="O276" i="17"/>
  <c r="P276" i="17" s="1"/>
  <c r="O31" i="16"/>
  <c r="P31" i="16" s="1"/>
  <c r="O197" i="18"/>
  <c r="P197" i="18" s="1"/>
  <c r="O10" i="17"/>
  <c r="P10" i="17" s="1"/>
  <c r="O76" i="17"/>
  <c r="P76" i="17" s="1"/>
  <c r="O119" i="17"/>
  <c r="P119" i="17" s="1"/>
  <c r="O156" i="18"/>
  <c r="P156" i="18" s="1"/>
  <c r="O22" i="17"/>
  <c r="P22" i="17" s="1"/>
  <c r="O286" i="17"/>
  <c r="P286" i="17" s="1"/>
  <c r="O6" i="23"/>
  <c r="P6" i="23" s="1"/>
  <c r="O328" i="24"/>
  <c r="P328" i="24" s="1"/>
  <c r="O330" i="24"/>
  <c r="O332" i="24"/>
  <c r="P332" i="24" s="1"/>
  <c r="O342" i="24"/>
  <c r="P342" i="24" s="1"/>
  <c r="O344" i="24"/>
  <c r="P344" i="24" s="1"/>
  <c r="O346" i="24"/>
  <c r="P346" i="24" s="1"/>
  <c r="O348" i="24"/>
  <c r="P348" i="24" s="1"/>
  <c r="O350" i="24"/>
  <c r="P350" i="24" s="1"/>
  <c r="O352" i="24"/>
  <c r="P352" i="24" s="1"/>
  <c r="O354" i="24"/>
  <c r="P354" i="24" s="1"/>
  <c r="O356" i="24"/>
  <c r="P356" i="24" s="1"/>
  <c r="O360" i="24"/>
  <c r="P360" i="24" s="1"/>
  <c r="O362" i="24"/>
  <c r="P362" i="24" s="1"/>
  <c r="O364" i="24"/>
  <c r="P364" i="24" s="1"/>
  <c r="O366" i="24"/>
  <c r="P366" i="24" s="1"/>
  <c r="O368" i="24"/>
  <c r="P368" i="24" s="1"/>
  <c r="O372" i="24"/>
  <c r="P372" i="24" s="1"/>
  <c r="O374" i="24"/>
  <c r="P374" i="24" s="1"/>
  <c r="O376" i="24"/>
  <c r="P376" i="24" s="1"/>
  <c r="O378" i="24"/>
  <c r="P378" i="24" s="1"/>
  <c r="O380" i="24"/>
  <c r="P380" i="24" s="1"/>
  <c r="O384" i="24"/>
  <c r="P384" i="24" s="1"/>
  <c r="O386" i="24"/>
  <c r="P386" i="24" s="1"/>
  <c r="O388" i="24"/>
  <c r="P388" i="24" s="1"/>
  <c r="O392" i="24"/>
  <c r="P392" i="24" s="1"/>
  <c r="O396" i="24"/>
  <c r="P396" i="24" s="1"/>
  <c r="O398" i="24"/>
  <c r="P398" i="24" s="1"/>
  <c r="O71" i="18"/>
  <c r="P71" i="18" s="1"/>
  <c r="O88" i="17"/>
  <c r="P88" i="17" s="1"/>
  <c r="O131" i="17"/>
  <c r="P131" i="17" s="1"/>
  <c r="O208" i="17"/>
  <c r="P208" i="17" s="1"/>
  <c r="O80" i="18"/>
  <c r="P80" i="18" s="1"/>
  <c r="O64" i="18"/>
  <c r="P64" i="18" s="1"/>
  <c r="O366" i="18"/>
  <c r="P366" i="18" s="1"/>
  <c r="O340" i="18"/>
  <c r="P340" i="18" s="1"/>
  <c r="O160" i="18"/>
  <c r="P160" i="18" s="1"/>
  <c r="O34" i="17"/>
  <c r="P34" i="17" s="1"/>
  <c r="O55" i="17"/>
  <c r="P55" i="17" s="1"/>
  <c r="O72" i="17"/>
  <c r="P72" i="17" s="1"/>
  <c r="O194" i="18"/>
  <c r="P194" i="18" s="1"/>
  <c r="O158" i="18"/>
  <c r="P158" i="18" s="1"/>
  <c r="O139" i="18"/>
  <c r="P139" i="18" s="1"/>
  <c r="O78" i="17"/>
  <c r="P78" i="17" s="1"/>
  <c r="O164" i="16"/>
  <c r="P164" i="16" s="1"/>
  <c r="O170" i="16"/>
  <c r="P170" i="16" s="1"/>
  <c r="O188" i="16"/>
  <c r="P188" i="16" s="1"/>
  <c r="O208" i="16"/>
  <c r="P208" i="16" s="1"/>
  <c r="O338" i="17"/>
  <c r="P338" i="17" s="1"/>
  <c r="O398" i="17"/>
  <c r="P398" i="17" s="1"/>
  <c r="O404" i="17"/>
  <c r="P404" i="17" s="1"/>
  <c r="O26" i="16"/>
  <c r="P26" i="16" s="1"/>
  <c r="O33" i="16"/>
  <c r="P33" i="16" s="1"/>
  <c r="O216" i="16"/>
  <c r="P216" i="16" s="1"/>
  <c r="O226" i="16"/>
  <c r="P226" i="16" s="1"/>
  <c r="O240" i="16"/>
  <c r="P240" i="16" s="1"/>
  <c r="O244" i="16"/>
  <c r="P244" i="16" s="1"/>
  <c r="O260" i="16"/>
  <c r="P260" i="16" s="1"/>
  <c r="O262" i="16"/>
  <c r="P262" i="16" s="1"/>
  <c r="O264" i="16"/>
  <c r="P264" i="16" s="1"/>
  <c r="O266" i="16"/>
  <c r="P266" i="16" s="1"/>
  <c r="O270" i="16"/>
  <c r="P270" i="16" s="1"/>
  <c r="O274" i="16"/>
  <c r="P274" i="16" s="1"/>
  <c r="O280" i="16"/>
  <c r="P280" i="16" s="1"/>
  <c r="O284" i="16"/>
  <c r="P284" i="16" s="1"/>
  <c r="O290" i="16"/>
  <c r="P290" i="16" s="1"/>
  <c r="O292" i="16"/>
  <c r="P292" i="16" s="1"/>
  <c r="O304" i="16"/>
  <c r="P304" i="16" s="1"/>
  <c r="O312" i="16"/>
  <c r="P312" i="16" s="1"/>
  <c r="O314" i="16"/>
  <c r="P314" i="16" s="1"/>
  <c r="O318" i="16"/>
  <c r="P318" i="16" s="1"/>
  <c r="O322" i="16"/>
  <c r="P322" i="16" s="1"/>
  <c r="O324" i="16"/>
  <c r="P324" i="16" s="1"/>
  <c r="O328" i="16"/>
  <c r="P328" i="16" s="1"/>
  <c r="O330" i="16"/>
  <c r="P330" i="16" s="1"/>
  <c r="O332" i="16"/>
  <c r="P332" i="16" s="1"/>
  <c r="O338" i="16"/>
  <c r="P338" i="16" s="1"/>
  <c r="O352" i="16"/>
  <c r="P352" i="16" s="1"/>
  <c r="O358" i="16"/>
  <c r="P358" i="16" s="1"/>
  <c r="O364" i="16"/>
  <c r="P364" i="16" s="1"/>
  <c r="O378" i="16"/>
  <c r="P378" i="16" s="1"/>
  <c r="O384" i="16"/>
  <c r="P384" i="16" s="1"/>
  <c r="O388" i="16"/>
  <c r="P388" i="16" s="1"/>
  <c r="O390" i="16"/>
  <c r="P390" i="16" s="1"/>
  <c r="O396" i="16"/>
  <c r="P396" i="16" s="1"/>
  <c r="O8" i="19"/>
  <c r="P8" i="19" s="1"/>
  <c r="O10" i="19"/>
  <c r="P10" i="19" s="1"/>
  <c r="O14" i="19"/>
  <c r="P14" i="19" s="1"/>
  <c r="O18" i="19"/>
  <c r="P18" i="19" s="1"/>
  <c r="O22" i="19"/>
  <c r="P22" i="19" s="1"/>
  <c r="O26" i="19"/>
  <c r="P26" i="19" s="1"/>
  <c r="O30" i="19"/>
  <c r="P30" i="19" s="1"/>
  <c r="O36" i="19"/>
  <c r="P36" i="19" s="1"/>
  <c r="O38" i="19"/>
  <c r="P38" i="19" s="1"/>
  <c r="O54" i="19"/>
  <c r="P54" i="19" s="1"/>
  <c r="O60" i="19"/>
  <c r="P60" i="19" s="1"/>
  <c r="O72" i="19"/>
  <c r="P72" i="19" s="1"/>
  <c r="O74" i="19"/>
  <c r="P74" i="19" s="1"/>
  <c r="O76" i="19"/>
  <c r="P76" i="19" s="1"/>
  <c r="O80" i="19"/>
  <c r="P80" i="19" s="1"/>
  <c r="O84" i="19"/>
  <c r="P84" i="19" s="1"/>
  <c r="O86" i="19"/>
  <c r="P86" i="19" s="1"/>
  <c r="O88" i="19"/>
  <c r="P88" i="19" s="1"/>
  <c r="O96" i="19"/>
  <c r="P96" i="19" s="1"/>
  <c r="O98" i="19"/>
  <c r="P98" i="19" s="1"/>
  <c r="O106" i="19"/>
  <c r="P106" i="19" s="1"/>
  <c r="O134" i="19"/>
  <c r="P134" i="19" s="1"/>
  <c r="O136" i="19"/>
  <c r="P136" i="19" s="1"/>
  <c r="O140" i="19"/>
  <c r="P140" i="19" s="1"/>
  <c r="O144" i="19"/>
  <c r="P144" i="19" s="1"/>
  <c r="O146" i="19"/>
  <c r="P146" i="19" s="1"/>
  <c r="O148" i="19"/>
  <c r="P148" i="19" s="1"/>
  <c r="O152" i="19"/>
  <c r="P152" i="19" s="1"/>
  <c r="O158" i="19"/>
  <c r="P158" i="19" s="1"/>
  <c r="O162" i="19"/>
  <c r="P162" i="19" s="1"/>
  <c r="O180" i="19"/>
  <c r="P180" i="19" s="1"/>
  <c r="O182" i="19"/>
  <c r="P182" i="19" s="1"/>
  <c r="O186" i="19"/>
  <c r="P186" i="19" s="1"/>
  <c r="O198" i="19"/>
  <c r="P198" i="19" s="1"/>
  <c r="O202" i="19"/>
  <c r="P202" i="19" s="1"/>
  <c r="O208" i="19"/>
  <c r="P208" i="19" s="1"/>
  <c r="O228" i="19"/>
  <c r="P228" i="19" s="1"/>
  <c r="O232" i="19"/>
  <c r="P232" i="19" s="1"/>
  <c r="O242" i="19"/>
  <c r="P242" i="19" s="1"/>
  <c r="O244" i="19"/>
  <c r="P244" i="19" s="1"/>
  <c r="O252" i="19"/>
  <c r="P252" i="19" s="1"/>
  <c r="O264" i="19"/>
  <c r="P264" i="19" s="1"/>
  <c r="O270" i="19"/>
  <c r="P270" i="19" s="1"/>
  <c r="O272" i="19"/>
  <c r="P272" i="19" s="1"/>
  <c r="O282" i="19"/>
  <c r="P282" i="19" s="1"/>
  <c r="O284" i="19"/>
  <c r="P284" i="19" s="1"/>
  <c r="O294" i="19"/>
  <c r="P294" i="19" s="1"/>
  <c r="O304" i="19"/>
  <c r="P304" i="19" s="1"/>
  <c r="O306" i="19"/>
  <c r="P306" i="19" s="1"/>
  <c r="O310" i="19"/>
  <c r="P310" i="19" s="1"/>
  <c r="O314" i="19"/>
  <c r="P314" i="19" s="1"/>
  <c r="O316" i="19"/>
  <c r="P316" i="19" s="1"/>
  <c r="O162" i="20"/>
  <c r="P162" i="20" s="1"/>
  <c r="O91" i="18"/>
  <c r="P91" i="18" s="1"/>
  <c r="O86" i="18"/>
  <c r="P86" i="18" s="1"/>
  <c r="O67" i="18"/>
  <c r="P67" i="18" s="1"/>
  <c r="O255" i="17"/>
  <c r="P255" i="17" s="1"/>
  <c r="O267" i="17"/>
  <c r="P267" i="17" s="1"/>
  <c r="O280" i="17"/>
  <c r="P280" i="17" s="1"/>
  <c r="O30" i="18"/>
  <c r="P30" i="18" s="1"/>
  <c r="O398" i="18"/>
  <c r="P398" i="18" s="1"/>
  <c r="O390" i="18"/>
  <c r="P390" i="18" s="1"/>
  <c r="O380" i="18"/>
  <c r="P380" i="18" s="1"/>
  <c r="O374" i="18"/>
  <c r="P374" i="18" s="1"/>
  <c r="O356" i="18"/>
  <c r="P356" i="18" s="1"/>
  <c r="O352" i="18"/>
  <c r="P352" i="18" s="1"/>
  <c r="O328" i="18"/>
  <c r="P328" i="18" s="1"/>
  <c r="O324" i="18"/>
  <c r="P324" i="18" s="1"/>
  <c r="O322" i="18"/>
  <c r="P322" i="18" s="1"/>
  <c r="O320" i="18"/>
  <c r="P320" i="18" s="1"/>
  <c r="O318" i="18"/>
  <c r="P318" i="18" s="1"/>
  <c r="O298" i="18"/>
  <c r="P298" i="18" s="1"/>
  <c r="O274" i="18"/>
  <c r="P274" i="18" s="1"/>
  <c r="O272" i="18"/>
  <c r="P272" i="18" s="1"/>
  <c r="O256" i="18"/>
  <c r="P256" i="18" s="1"/>
  <c r="O252" i="18"/>
  <c r="P252" i="18" s="1"/>
  <c r="O248" i="18"/>
  <c r="P248" i="18" s="1"/>
  <c r="O246" i="18"/>
  <c r="P246" i="18" s="1"/>
  <c r="O230" i="18"/>
  <c r="P230" i="18" s="1"/>
  <c r="O226" i="18"/>
  <c r="P226" i="18" s="1"/>
  <c r="O220" i="18"/>
  <c r="P220" i="18" s="1"/>
  <c r="O208" i="18"/>
  <c r="P208" i="18" s="1"/>
  <c r="O84" i="17"/>
  <c r="P84" i="17" s="1"/>
  <c r="O92" i="17"/>
  <c r="P92" i="17" s="1"/>
  <c r="O143" i="17"/>
  <c r="P143" i="17" s="1"/>
  <c r="O146" i="17"/>
  <c r="P146" i="17" s="1"/>
  <c r="O152" i="17"/>
  <c r="P152" i="17" s="1"/>
  <c r="O169" i="17"/>
  <c r="P169" i="17" s="1"/>
  <c r="O326" i="19"/>
  <c r="P326" i="19" s="1"/>
  <c r="O360" i="19"/>
  <c r="P360" i="19" s="1"/>
  <c r="O370" i="19"/>
  <c r="P370" i="19" s="1"/>
  <c r="O376" i="19"/>
  <c r="P376" i="19" s="1"/>
  <c r="O384" i="19"/>
  <c r="P384" i="19" s="1"/>
  <c r="O396" i="19"/>
  <c r="P396" i="19" s="1"/>
  <c r="O13" i="20"/>
  <c r="P13" i="20" s="1"/>
  <c r="O21" i="20"/>
  <c r="P21" i="20" s="1"/>
  <c r="O25" i="20"/>
  <c r="P25" i="20" s="1"/>
  <c r="O29" i="20"/>
  <c r="P29" i="20" s="1"/>
  <c r="O44" i="20"/>
  <c r="P44" i="20" s="1"/>
  <c r="O48" i="20"/>
  <c r="P48" i="20" s="1"/>
  <c r="O60" i="20"/>
  <c r="P60" i="20" s="1"/>
  <c r="O64" i="20"/>
  <c r="P64" i="20" s="1"/>
  <c r="O68" i="20"/>
  <c r="P68" i="20" s="1"/>
  <c r="O74" i="20"/>
  <c r="P74" i="20" s="1"/>
  <c r="O82" i="20"/>
  <c r="P82" i="20" s="1"/>
  <c r="O90" i="20"/>
  <c r="P90" i="20" s="1"/>
  <c r="O94" i="20"/>
  <c r="P94" i="20" s="1"/>
  <c r="O104" i="20"/>
  <c r="P104" i="20" s="1"/>
  <c r="O108" i="20"/>
  <c r="P108" i="20" s="1"/>
  <c r="O112" i="20"/>
  <c r="P112" i="20" s="1"/>
  <c r="O116" i="20"/>
  <c r="P116" i="20" s="1"/>
  <c r="O120" i="20"/>
  <c r="P120" i="20" s="1"/>
  <c r="O130" i="20"/>
  <c r="P130" i="20" s="1"/>
  <c r="O134" i="20"/>
  <c r="P134" i="20" s="1"/>
  <c r="O138" i="20"/>
  <c r="P138" i="20" s="1"/>
  <c r="O142" i="20"/>
  <c r="P142" i="20" s="1"/>
  <c r="O152" i="20"/>
  <c r="P152" i="20" s="1"/>
  <c r="O156" i="20"/>
  <c r="P156" i="20" s="1"/>
  <c r="O160" i="20"/>
  <c r="P160" i="20" s="1"/>
  <c r="O166" i="20"/>
  <c r="P166" i="20" s="1"/>
  <c r="O260" i="20"/>
  <c r="P260" i="20" s="1"/>
  <c r="O276" i="20"/>
  <c r="P276" i="20" s="1"/>
  <c r="O320" i="20"/>
  <c r="P320" i="20" s="1"/>
  <c r="O330" i="20"/>
  <c r="P330" i="20" s="1"/>
  <c r="O340" i="20"/>
  <c r="P340" i="20" s="1"/>
  <c r="O352" i="20"/>
  <c r="P352" i="20" s="1"/>
  <c r="O356" i="20"/>
  <c r="P356" i="20" s="1"/>
  <c r="O360" i="20"/>
  <c r="P360" i="20" s="1"/>
  <c r="O364" i="20"/>
  <c r="P364" i="20" s="1"/>
  <c r="O380" i="20"/>
  <c r="P380" i="20" s="1"/>
  <c r="O384" i="20"/>
  <c r="P384" i="20" s="1"/>
  <c r="O400" i="20"/>
  <c r="P400" i="20" s="1"/>
  <c r="O8" i="23"/>
  <c r="P8" i="23" s="1"/>
  <c r="O198" i="18"/>
  <c r="P198" i="18" s="1"/>
  <c r="O195" i="18"/>
  <c r="P195" i="18" s="1"/>
  <c r="O186" i="18"/>
  <c r="P186" i="18" s="1"/>
  <c r="O174" i="18"/>
  <c r="P174" i="18" s="1"/>
  <c r="O171" i="18"/>
  <c r="P171" i="18" s="1"/>
  <c r="O162" i="18"/>
  <c r="P162" i="18" s="1"/>
  <c r="O150" i="18"/>
  <c r="P150" i="18" s="1"/>
  <c r="O230" i="17"/>
  <c r="P230" i="17" s="1"/>
  <c r="O262" i="17"/>
  <c r="P262" i="17" s="1"/>
  <c r="O265" i="17"/>
  <c r="P265" i="17" s="1"/>
  <c r="O292" i="17"/>
  <c r="P292" i="17" s="1"/>
  <c r="O295" i="17"/>
  <c r="P295" i="17" s="1"/>
  <c r="O11" i="16"/>
  <c r="P11" i="16" s="1"/>
  <c r="O30" i="16"/>
  <c r="P30" i="16" s="1"/>
  <c r="O43" i="16"/>
  <c r="P43" i="16" s="1"/>
  <c r="O53" i="16"/>
  <c r="P53" i="16" s="1"/>
  <c r="O113" i="16"/>
  <c r="P113" i="16" s="1"/>
  <c r="O128" i="16"/>
  <c r="P128" i="16" s="1"/>
  <c r="O134" i="16"/>
  <c r="P134" i="16" s="1"/>
  <c r="O138" i="16"/>
  <c r="P138" i="16" s="1"/>
  <c r="O140" i="16"/>
  <c r="P140" i="16" s="1"/>
  <c r="O146" i="16"/>
  <c r="P146" i="16" s="1"/>
  <c r="O150" i="16"/>
  <c r="P150" i="16" s="1"/>
  <c r="O330" i="19"/>
  <c r="P330" i="19" s="1"/>
  <c r="O334" i="19"/>
  <c r="P334" i="19" s="1"/>
  <c r="O354" i="19"/>
  <c r="P354" i="19" s="1"/>
  <c r="O368" i="19"/>
  <c r="P368" i="19" s="1"/>
  <c r="O378" i="19"/>
  <c r="P378" i="19" s="1"/>
  <c r="O386" i="19"/>
  <c r="P386" i="19" s="1"/>
  <c r="O15" i="20"/>
  <c r="P15" i="20" s="1"/>
  <c r="O23" i="20"/>
  <c r="P23" i="20" s="1"/>
  <c r="O27" i="20"/>
  <c r="P27" i="20" s="1"/>
  <c r="O42" i="20"/>
  <c r="P42" i="20" s="1"/>
  <c r="O58" i="20"/>
  <c r="P58" i="20" s="1"/>
  <c r="O66" i="20"/>
  <c r="P66" i="20" s="1"/>
  <c r="O76" i="20"/>
  <c r="P76" i="20" s="1"/>
  <c r="O92" i="20"/>
  <c r="P92" i="20" s="1"/>
  <c r="O100" i="20"/>
  <c r="P100" i="20" s="1"/>
  <c r="O106" i="20"/>
  <c r="P106" i="20" s="1"/>
  <c r="O114" i="20"/>
  <c r="P114" i="20" s="1"/>
  <c r="O118" i="20"/>
  <c r="P118" i="20" s="1"/>
  <c r="O124" i="20"/>
  <c r="P124" i="20" s="1"/>
  <c r="O128" i="20"/>
  <c r="P128" i="20" s="1"/>
  <c r="O140" i="20"/>
  <c r="P140" i="20" s="1"/>
  <c r="O144" i="20"/>
  <c r="P144" i="20" s="1"/>
  <c r="O158" i="20"/>
  <c r="P158" i="20" s="1"/>
  <c r="O164" i="20"/>
  <c r="P164" i="20" s="1"/>
  <c r="O168" i="20"/>
  <c r="P168" i="20" s="1"/>
  <c r="O180" i="20"/>
  <c r="P180" i="20" s="1"/>
  <c r="O204" i="20"/>
  <c r="P204" i="20" s="1"/>
  <c r="O264" i="20"/>
  <c r="P264" i="20" s="1"/>
  <c r="O274" i="20"/>
  <c r="P274" i="20" s="1"/>
  <c r="O314" i="20"/>
  <c r="P314" i="20" s="1"/>
  <c r="O318" i="20"/>
  <c r="P318" i="20" s="1"/>
  <c r="O324" i="20"/>
  <c r="P324" i="20" s="1"/>
  <c r="O328" i="20"/>
  <c r="P328" i="20" s="1"/>
  <c r="O336" i="20"/>
  <c r="P336" i="20" s="1"/>
  <c r="O358" i="20"/>
  <c r="P358" i="20" s="1"/>
  <c r="O362" i="20"/>
  <c r="P362" i="20" s="1"/>
  <c r="O374" i="20"/>
  <c r="P374" i="20" s="1"/>
  <c r="O394" i="20"/>
  <c r="P394" i="20" s="1"/>
  <c r="O398" i="20"/>
  <c r="P398" i="20" s="1"/>
  <c r="O402" i="20"/>
  <c r="P402" i="20" s="1"/>
  <c r="O404" i="20"/>
  <c r="P404" i="20" s="1"/>
  <c r="O58" i="18"/>
  <c r="P58" i="18" s="1"/>
  <c r="O143" i="18"/>
  <c r="P143" i="18" s="1"/>
  <c r="O53" i="18"/>
  <c r="P53" i="18" s="1"/>
  <c r="O217" i="18"/>
  <c r="P217" i="18" s="1"/>
  <c r="O205" i="18"/>
  <c r="P205" i="18" s="1"/>
  <c r="O193" i="18"/>
  <c r="P193" i="18" s="1"/>
  <c r="O27" i="17"/>
  <c r="P27" i="17" s="1"/>
  <c r="O36" i="17"/>
  <c r="P36" i="17" s="1"/>
  <c r="O150" i="17"/>
  <c r="P150" i="17" s="1"/>
  <c r="O156" i="17"/>
  <c r="P156" i="17" s="1"/>
  <c r="O162" i="17"/>
  <c r="P162" i="17" s="1"/>
  <c r="O245" i="17"/>
  <c r="P245" i="17" s="1"/>
  <c r="O278" i="17"/>
  <c r="P278" i="17" s="1"/>
  <c r="O281" i="17"/>
  <c r="P281" i="17" s="1"/>
  <c r="O95" i="16"/>
  <c r="P95" i="16" s="1"/>
  <c r="O111" i="16"/>
  <c r="P111" i="16" s="1"/>
  <c r="O50" i="16"/>
  <c r="P50" i="16" s="1"/>
  <c r="O266" i="17"/>
  <c r="P266" i="17" s="1"/>
  <c r="O290" i="17"/>
  <c r="P290" i="17" s="1"/>
  <c r="O8" i="18"/>
  <c r="P8" i="18" s="1"/>
  <c r="O260" i="17"/>
  <c r="P260" i="17" s="1"/>
  <c r="O116" i="18"/>
  <c r="P116" i="18" s="1"/>
  <c r="O218" i="18"/>
  <c r="O77" i="17"/>
  <c r="P77" i="17" s="1"/>
  <c r="O120" i="17"/>
  <c r="P120" i="17" s="1"/>
  <c r="O145" i="17"/>
  <c r="P145" i="17" s="1"/>
  <c r="O151" i="17"/>
  <c r="P151" i="17" s="1"/>
  <c r="O168" i="17"/>
  <c r="P168" i="17" s="1"/>
  <c r="O197" i="17"/>
  <c r="P197" i="17" s="1"/>
  <c r="O201" i="17"/>
  <c r="P201" i="17" s="1"/>
  <c r="O204" i="17"/>
  <c r="P204" i="17" s="1"/>
  <c r="O243" i="17"/>
  <c r="P243" i="17" s="1"/>
  <c r="O279" i="17"/>
  <c r="P279" i="17" s="1"/>
  <c r="O87" i="16"/>
  <c r="P87" i="16" s="1"/>
  <c r="O101" i="18"/>
  <c r="P101" i="18" s="1"/>
  <c r="O189" i="17"/>
  <c r="P189" i="17" s="1"/>
  <c r="O210" i="17"/>
  <c r="P210" i="17" s="1"/>
  <c r="O213" i="17"/>
  <c r="P213" i="17" s="1"/>
  <c r="O205" i="23"/>
  <c r="P205" i="23" s="1"/>
  <c r="O249" i="23"/>
  <c r="P249" i="23" s="1"/>
  <c r="O255" i="23"/>
  <c r="P255" i="23" s="1"/>
  <c r="O301" i="23"/>
  <c r="P301" i="23" s="1"/>
  <c r="O339" i="23"/>
  <c r="P339" i="23" s="1"/>
  <c r="O377" i="23"/>
  <c r="P377" i="23" s="1"/>
  <c r="O16" i="24"/>
  <c r="P16" i="24" s="1"/>
  <c r="O22" i="16"/>
  <c r="P22" i="16" s="1"/>
  <c r="O18" i="16"/>
  <c r="P18" i="16" s="1"/>
  <c r="O312" i="17"/>
  <c r="P312" i="17" s="1"/>
  <c r="O328" i="17"/>
  <c r="P328" i="17" s="1"/>
  <c r="O348" i="17"/>
  <c r="P348" i="17" s="1"/>
  <c r="O368" i="17"/>
  <c r="P368" i="17" s="1"/>
  <c r="O396" i="17"/>
  <c r="P396" i="17" s="1"/>
  <c r="O212" i="18"/>
  <c r="P212" i="18" s="1"/>
  <c r="O20" i="16"/>
  <c r="P20" i="16" s="1"/>
  <c r="O12" i="18"/>
  <c r="P12" i="18" s="1"/>
  <c r="O310" i="17"/>
  <c r="P310" i="17" s="1"/>
  <c r="O324" i="17"/>
  <c r="P324" i="17" s="1"/>
  <c r="O350" i="17"/>
  <c r="P350" i="17" s="1"/>
  <c r="O362" i="17"/>
  <c r="P362" i="17" s="1"/>
  <c r="O370" i="17"/>
  <c r="P370" i="17" s="1"/>
  <c r="O390" i="17"/>
  <c r="P390" i="17" s="1"/>
  <c r="O119" i="16"/>
  <c r="P119" i="16" s="1"/>
  <c r="O38" i="18"/>
  <c r="P38" i="18" s="1"/>
  <c r="O92" i="16"/>
  <c r="P92" i="16" s="1"/>
  <c r="O115" i="16"/>
  <c r="P115" i="16" s="1"/>
  <c r="O117" i="16"/>
  <c r="P117" i="16" s="1"/>
  <c r="O18" i="18"/>
  <c r="P18" i="18" s="1"/>
  <c r="O10" i="16"/>
  <c r="P10" i="16" s="1"/>
  <c r="O99" i="18"/>
  <c r="P99" i="18" s="1"/>
  <c r="O36" i="18"/>
  <c r="P36" i="18" s="1"/>
  <c r="O247" i="17"/>
  <c r="P247" i="17" s="1"/>
  <c r="O303" i="17"/>
  <c r="P303" i="17" s="1"/>
  <c r="O181" i="17"/>
  <c r="P181" i="17" s="1"/>
  <c r="O308" i="17"/>
  <c r="P308" i="17" s="1"/>
  <c r="O336" i="17"/>
  <c r="P336" i="17" s="1"/>
  <c r="O352" i="17"/>
  <c r="P352" i="17" s="1"/>
  <c r="O364" i="17"/>
  <c r="P364" i="17" s="1"/>
  <c r="O374" i="17"/>
  <c r="P374" i="17" s="1"/>
  <c r="O378" i="17"/>
  <c r="P378" i="17" s="1"/>
  <c r="O386" i="17"/>
  <c r="P386" i="17" s="1"/>
  <c r="O392" i="17"/>
  <c r="P392" i="17" s="1"/>
  <c r="O34" i="16"/>
  <c r="P34" i="16" s="1"/>
  <c r="O138" i="17"/>
  <c r="P138" i="17" s="1"/>
  <c r="O217" i="17"/>
  <c r="P217" i="17" s="1"/>
  <c r="O227" i="17"/>
  <c r="P227" i="17" s="1"/>
  <c r="O233" i="17"/>
  <c r="P233" i="17" s="1"/>
  <c r="O65" i="17"/>
  <c r="P65" i="17" s="1"/>
  <c r="O68" i="17"/>
  <c r="P68" i="17" s="1"/>
  <c r="O71" i="17"/>
  <c r="P71" i="17" s="1"/>
  <c r="O74" i="17"/>
  <c r="P74" i="17" s="1"/>
  <c r="O114" i="17"/>
  <c r="P114" i="17" s="1"/>
  <c r="O125" i="17"/>
  <c r="P125" i="17" s="1"/>
  <c r="O130" i="17"/>
  <c r="P130" i="17" s="1"/>
  <c r="O332" i="17"/>
  <c r="P332" i="17" s="1"/>
  <c r="O344" i="17"/>
  <c r="P344" i="17" s="1"/>
  <c r="O356" i="17"/>
  <c r="P356" i="17" s="1"/>
  <c r="O372" i="17"/>
  <c r="P372" i="17" s="1"/>
  <c r="O384" i="17"/>
  <c r="P384" i="17" s="1"/>
  <c r="O394" i="17"/>
  <c r="P394" i="17" s="1"/>
  <c r="O87" i="17"/>
  <c r="P87" i="17" s="1"/>
  <c r="O93" i="17"/>
  <c r="P93" i="17" s="1"/>
  <c r="O96" i="17"/>
  <c r="P96" i="17" s="1"/>
  <c r="O99" i="17"/>
  <c r="P99" i="17" s="1"/>
  <c r="O21" i="17"/>
  <c r="P21" i="17" s="1"/>
  <c r="O74" i="18"/>
  <c r="P74" i="18" s="1"/>
  <c r="O55" i="18"/>
  <c r="P55" i="18" s="1"/>
  <c r="O130" i="18"/>
  <c r="P130" i="18" s="1"/>
  <c r="O43" i="18"/>
  <c r="P43" i="18" s="1"/>
  <c r="O16" i="16"/>
  <c r="P16" i="16" s="1"/>
  <c r="O306" i="17"/>
  <c r="P306" i="17" s="1"/>
  <c r="O314" i="17"/>
  <c r="P314" i="17" s="1"/>
  <c r="O320" i="17"/>
  <c r="P320" i="17" s="1"/>
  <c r="O326" i="17"/>
  <c r="P326" i="17" s="1"/>
  <c r="O334" i="17"/>
  <c r="P334" i="17" s="1"/>
  <c r="O340" i="17"/>
  <c r="P340" i="17" s="1"/>
  <c r="O346" i="17"/>
  <c r="P346" i="17" s="1"/>
  <c r="O354" i="17"/>
  <c r="P354" i="17" s="1"/>
  <c r="O360" i="17"/>
  <c r="P360" i="17" s="1"/>
  <c r="O366" i="17"/>
  <c r="P366" i="17" s="1"/>
  <c r="O376" i="17"/>
  <c r="P376" i="17" s="1"/>
  <c r="O382" i="17"/>
  <c r="P382" i="17" s="1"/>
  <c r="O388" i="17"/>
  <c r="P388" i="17" s="1"/>
  <c r="O68" i="16"/>
  <c r="P68" i="16" s="1"/>
  <c r="O121" i="16"/>
  <c r="P121" i="16" s="1"/>
  <c r="O270" i="18"/>
  <c r="P270" i="18" s="1"/>
  <c r="O153" i="18"/>
  <c r="P153" i="18" s="1"/>
  <c r="O114" i="18"/>
  <c r="P114" i="18" s="1"/>
  <c r="O111" i="18"/>
  <c r="P111" i="18" s="1"/>
  <c r="O105" i="18"/>
  <c r="P105" i="18" s="1"/>
  <c r="O34" i="18"/>
  <c r="P34" i="18" s="1"/>
  <c r="O172" i="18"/>
  <c r="P172" i="18" s="1"/>
  <c r="O9" i="17"/>
  <c r="P9" i="17" s="1"/>
  <c r="O80" i="17"/>
  <c r="P80" i="17" s="1"/>
  <c r="O136" i="18"/>
  <c r="O95" i="18"/>
  <c r="P95" i="18" s="1"/>
  <c r="O40" i="18"/>
  <c r="P40" i="18" s="1"/>
  <c r="O207" i="18"/>
  <c r="P207" i="18" s="1"/>
  <c r="O169" i="18"/>
  <c r="P169" i="18" s="1"/>
  <c r="O35" i="17"/>
  <c r="P35" i="17" s="1"/>
  <c r="O215" i="17"/>
  <c r="P215" i="17" s="1"/>
  <c r="O214" i="18"/>
  <c r="P214" i="18" s="1"/>
  <c r="O183" i="18"/>
  <c r="P183" i="18" s="1"/>
  <c r="O15" i="17"/>
  <c r="P15" i="17" s="1"/>
  <c r="O75" i="17"/>
  <c r="P75" i="17" s="1"/>
  <c r="O97" i="17"/>
  <c r="P97" i="17" s="1"/>
  <c r="O121" i="17"/>
  <c r="P121" i="17" s="1"/>
  <c r="O26" i="18"/>
  <c r="P26" i="18" s="1"/>
  <c r="O19" i="18"/>
  <c r="P19" i="18" s="1"/>
  <c r="O140" i="18"/>
  <c r="P140" i="18" s="1"/>
  <c r="O272" i="17"/>
  <c r="P272" i="17" s="1"/>
  <c r="O70" i="18"/>
  <c r="P70" i="18" s="1"/>
  <c r="O400" i="18"/>
  <c r="P400" i="18" s="1"/>
  <c r="O396" i="18"/>
  <c r="P396" i="18" s="1"/>
  <c r="O394" i="18"/>
  <c r="P394" i="18" s="1"/>
  <c r="O392" i="18"/>
  <c r="P392" i="18" s="1"/>
  <c r="O388" i="18"/>
  <c r="P388" i="18" s="1"/>
  <c r="O386" i="18"/>
  <c r="P386" i="18" s="1"/>
  <c r="O384" i="18"/>
  <c r="P384" i="18" s="1"/>
  <c r="O382" i="18"/>
  <c r="P382" i="18" s="1"/>
  <c r="O378" i="18"/>
  <c r="P378" i="18" s="1"/>
  <c r="O376" i="18"/>
  <c r="P376" i="18" s="1"/>
  <c r="O372" i="18"/>
  <c r="P372" i="18" s="1"/>
  <c r="O370" i="18"/>
  <c r="P370" i="18" s="1"/>
  <c r="O368" i="18"/>
  <c r="P368" i="18" s="1"/>
  <c r="O364" i="18"/>
  <c r="P364" i="18" s="1"/>
  <c r="O362" i="18"/>
  <c r="P362" i="18" s="1"/>
  <c r="O360" i="18"/>
  <c r="P360" i="18" s="1"/>
  <c r="O358" i="18"/>
  <c r="P358" i="18" s="1"/>
  <c r="O348" i="18"/>
  <c r="P348" i="18" s="1"/>
  <c r="O346" i="18"/>
  <c r="P346" i="18" s="1"/>
  <c r="O344" i="18"/>
  <c r="P344" i="18" s="1"/>
  <c r="O342" i="18"/>
  <c r="P342" i="18" s="1"/>
  <c r="O338" i="18"/>
  <c r="P338" i="18" s="1"/>
  <c r="O336" i="18"/>
  <c r="P336" i="18" s="1"/>
  <c r="O334" i="18"/>
  <c r="P334" i="18" s="1"/>
  <c r="O332" i="18"/>
  <c r="P332" i="18" s="1"/>
  <c r="O330" i="18"/>
  <c r="P330" i="18" s="1"/>
  <c r="O326" i="18"/>
  <c r="P326" i="18" s="1"/>
  <c r="O316" i="18"/>
  <c r="P316" i="18" s="1"/>
  <c r="O314" i="18"/>
  <c r="P314" i="18" s="1"/>
  <c r="O312" i="18"/>
  <c r="P312" i="18" s="1"/>
  <c r="O310" i="18"/>
  <c r="P310" i="18" s="1"/>
  <c r="O304" i="18"/>
  <c r="P304" i="18" s="1"/>
  <c r="O302" i="18"/>
  <c r="P302" i="18" s="1"/>
  <c r="O300" i="18"/>
  <c r="P300" i="18" s="1"/>
  <c r="O296" i="18"/>
  <c r="P296" i="18" s="1"/>
  <c r="O290" i="18"/>
  <c r="P290" i="18" s="1"/>
  <c r="O288" i="18"/>
  <c r="P288" i="18" s="1"/>
  <c r="O286" i="18"/>
  <c r="P286" i="18" s="1"/>
  <c r="O284" i="18"/>
  <c r="P284" i="18" s="1"/>
  <c r="O282" i="18"/>
  <c r="P282" i="18" s="1"/>
  <c r="O278" i="18"/>
  <c r="P278" i="18" s="1"/>
  <c r="O268" i="18"/>
  <c r="P268" i="18" s="1"/>
  <c r="O262" i="18"/>
  <c r="P262" i="18" s="1"/>
  <c r="O260" i="18"/>
  <c r="P260" i="18" s="1"/>
  <c r="O254" i="18"/>
  <c r="P254" i="18" s="1"/>
  <c r="O250" i="18"/>
  <c r="P250" i="18" s="1"/>
  <c r="O244" i="18"/>
  <c r="P244" i="18" s="1"/>
  <c r="O242" i="18"/>
  <c r="P242" i="18" s="1"/>
  <c r="O240" i="18"/>
  <c r="P240" i="18" s="1"/>
  <c r="O236" i="18"/>
  <c r="P236" i="18" s="1"/>
  <c r="O234" i="18"/>
  <c r="P234" i="18" s="1"/>
  <c r="O224" i="18"/>
  <c r="P224" i="18" s="1"/>
  <c r="O222" i="18"/>
  <c r="P222" i="18" s="1"/>
  <c r="O175" i="18"/>
  <c r="P175" i="18" s="1"/>
  <c r="O163" i="18"/>
  <c r="P163" i="18" s="1"/>
  <c r="O59" i="17"/>
  <c r="P59" i="17" s="1"/>
  <c r="O174" i="17"/>
  <c r="P174" i="17" s="1"/>
  <c r="O225" i="17"/>
  <c r="P225" i="17" s="1"/>
  <c r="O228" i="17"/>
  <c r="P228" i="17" s="1"/>
  <c r="O186" i="17"/>
  <c r="P186" i="17" s="1"/>
  <c r="O223" i="17"/>
  <c r="P223" i="17" s="1"/>
  <c r="O133" i="16"/>
  <c r="P133" i="16" s="1"/>
  <c r="O137" i="16"/>
  <c r="P137" i="16" s="1"/>
  <c r="O141" i="16"/>
  <c r="P141" i="16" s="1"/>
  <c r="O145" i="16"/>
  <c r="P145" i="16" s="1"/>
  <c r="O153" i="16"/>
  <c r="P153" i="16" s="1"/>
  <c r="O155" i="16"/>
  <c r="P155" i="16" s="1"/>
  <c r="O157" i="16"/>
  <c r="P157" i="16" s="1"/>
  <c r="O159" i="16"/>
  <c r="P159" i="16" s="1"/>
  <c r="O66" i="17"/>
  <c r="P66" i="17" s="1"/>
  <c r="O94" i="17"/>
  <c r="P94" i="17" s="1"/>
  <c r="O42" i="18"/>
  <c r="P42" i="18" s="1"/>
  <c r="O32" i="18"/>
  <c r="P32" i="18" s="1"/>
  <c r="O196" i="18"/>
  <c r="P196" i="18" s="1"/>
  <c r="O189" i="18"/>
  <c r="P189" i="18" s="1"/>
  <c r="O177" i="18"/>
  <c r="P177" i="18" s="1"/>
  <c r="O112" i="18"/>
  <c r="P112" i="18" s="1"/>
  <c r="O109" i="18"/>
  <c r="P109" i="18" s="1"/>
  <c r="O89" i="18"/>
  <c r="P89" i="18" s="1"/>
  <c r="O79" i="18"/>
  <c r="P79" i="18" s="1"/>
  <c r="O187" i="18"/>
  <c r="P187" i="18" s="1"/>
  <c r="O184" i="18"/>
  <c r="P184" i="18" s="1"/>
  <c r="O31" i="17"/>
  <c r="P31" i="17" s="1"/>
  <c r="O202" i="17"/>
  <c r="P202" i="17" s="1"/>
  <c r="O226" i="17"/>
  <c r="P226" i="17" s="1"/>
  <c r="O232" i="17"/>
  <c r="P232" i="17" s="1"/>
  <c r="O287" i="17"/>
  <c r="P287" i="17" s="1"/>
  <c r="O330" i="17"/>
  <c r="P330" i="17" s="1"/>
  <c r="O19" i="16"/>
  <c r="P19" i="16" s="1"/>
  <c r="O28" i="16"/>
  <c r="P28" i="16" s="1"/>
  <c r="O39" i="16"/>
  <c r="P39" i="16" s="1"/>
  <c r="O65" i="16"/>
  <c r="P65" i="16" s="1"/>
  <c r="O75" i="16"/>
  <c r="P75" i="16" s="1"/>
  <c r="O104" i="16"/>
  <c r="P104" i="16" s="1"/>
  <c r="O118" i="16"/>
  <c r="P118" i="16" s="1"/>
  <c r="O166" i="16"/>
  <c r="P166" i="16" s="1"/>
  <c r="O174" i="16"/>
  <c r="P174" i="16" s="1"/>
  <c r="O317" i="17"/>
  <c r="P317" i="17" s="1"/>
  <c r="O321" i="17"/>
  <c r="P321" i="17" s="1"/>
  <c r="O325" i="17"/>
  <c r="P325" i="17" s="1"/>
  <c r="O335" i="17"/>
  <c r="P335" i="17" s="1"/>
  <c r="O339" i="17"/>
  <c r="P339" i="17" s="1"/>
  <c r="O345" i="17"/>
  <c r="P345" i="17" s="1"/>
  <c r="O347" i="17"/>
  <c r="P347" i="17" s="1"/>
  <c r="O349" i="17"/>
  <c r="P349" i="17" s="1"/>
  <c r="O351" i="17"/>
  <c r="P351" i="17" s="1"/>
  <c r="O353" i="17"/>
  <c r="P353" i="17" s="1"/>
  <c r="O355" i="17"/>
  <c r="P355" i="17" s="1"/>
  <c r="O357" i="17"/>
  <c r="P357" i="17" s="1"/>
  <c r="O359" i="17"/>
  <c r="P359" i="17" s="1"/>
  <c r="O365" i="17"/>
  <c r="P365" i="17" s="1"/>
  <c r="O367" i="17"/>
  <c r="P367" i="17" s="1"/>
  <c r="O373" i="17"/>
  <c r="P373" i="17" s="1"/>
  <c r="O375" i="17"/>
  <c r="P375" i="17" s="1"/>
  <c r="O377" i="17"/>
  <c r="P377" i="17" s="1"/>
  <c r="O379" i="17"/>
  <c r="P379" i="17" s="1"/>
  <c r="O381" i="17"/>
  <c r="P381" i="17" s="1"/>
  <c r="O383" i="17"/>
  <c r="P383" i="17" s="1"/>
  <c r="O385" i="17"/>
  <c r="P385" i="17" s="1"/>
  <c r="O389" i="17"/>
  <c r="P389" i="17" s="1"/>
  <c r="O391" i="17"/>
  <c r="P391" i="17" s="1"/>
  <c r="O393" i="17"/>
  <c r="P393" i="17" s="1"/>
  <c r="O395" i="17"/>
  <c r="P395" i="17" s="1"/>
  <c r="O35" i="16"/>
  <c r="P35" i="16" s="1"/>
  <c r="O52" i="16"/>
  <c r="P52" i="16" s="1"/>
  <c r="O61" i="16"/>
  <c r="P61" i="16" s="1"/>
  <c r="O67" i="16"/>
  <c r="P67" i="16" s="1"/>
  <c r="O13" i="23"/>
  <c r="P13" i="23" s="1"/>
  <c r="O15" i="23"/>
  <c r="P15" i="23" s="1"/>
  <c r="O17" i="23"/>
  <c r="P17" i="23" s="1"/>
  <c r="O19" i="23"/>
  <c r="P19" i="23" s="1"/>
  <c r="O23" i="23"/>
  <c r="P23" i="23" s="1"/>
  <c r="O25" i="23"/>
  <c r="P25" i="23" s="1"/>
  <c r="O27" i="23"/>
  <c r="P27" i="23" s="1"/>
  <c r="O29" i="23"/>
  <c r="P29" i="23" s="1"/>
  <c r="O33" i="23"/>
  <c r="P33" i="23" s="1"/>
  <c r="O35" i="23"/>
  <c r="P35" i="23" s="1"/>
  <c r="O37" i="23"/>
  <c r="P37" i="23" s="1"/>
  <c r="O39" i="23"/>
  <c r="P39" i="23" s="1"/>
  <c r="O43" i="23"/>
  <c r="P43" i="23" s="1"/>
  <c r="O47" i="23"/>
  <c r="P47" i="23" s="1"/>
  <c r="O51" i="23"/>
  <c r="P51" i="23" s="1"/>
  <c r="O55" i="23"/>
  <c r="P55" i="23" s="1"/>
  <c r="O59" i="23"/>
  <c r="P59" i="23" s="1"/>
  <c r="O61" i="23"/>
  <c r="P61" i="23" s="1"/>
  <c r="O63" i="23"/>
  <c r="P63" i="23" s="1"/>
  <c r="O67" i="23"/>
  <c r="P67" i="23" s="1"/>
  <c r="O71" i="23"/>
  <c r="P71" i="23" s="1"/>
  <c r="O73" i="23"/>
  <c r="P73" i="23" s="1"/>
  <c r="O77" i="23"/>
  <c r="P77" i="23" s="1"/>
  <c r="O79" i="23"/>
  <c r="P79" i="23" s="1"/>
  <c r="O87" i="23"/>
  <c r="P87" i="23" s="1"/>
  <c r="O89" i="23"/>
  <c r="P89" i="23" s="1"/>
  <c r="O91" i="23"/>
  <c r="P91" i="23" s="1"/>
  <c r="O93" i="23"/>
  <c r="P93" i="23" s="1"/>
  <c r="O95" i="23"/>
  <c r="P95" i="23" s="1"/>
  <c r="O97" i="23"/>
  <c r="P97" i="23" s="1"/>
  <c r="O103" i="23"/>
  <c r="P103" i="23" s="1"/>
  <c r="O105" i="23"/>
  <c r="P105" i="23" s="1"/>
  <c r="O107" i="23"/>
  <c r="P107" i="23" s="1"/>
  <c r="O111" i="23"/>
  <c r="P111" i="23" s="1"/>
  <c r="O113" i="23"/>
  <c r="P113" i="23" s="1"/>
  <c r="O121" i="23"/>
  <c r="P121" i="23" s="1"/>
  <c r="O123" i="23"/>
  <c r="P123" i="23" s="1"/>
  <c r="O127" i="23"/>
  <c r="P127" i="23" s="1"/>
  <c r="O131" i="23"/>
  <c r="P131" i="23" s="1"/>
  <c r="O133" i="23"/>
  <c r="P133" i="23" s="1"/>
  <c r="O135" i="23"/>
  <c r="P135" i="23" s="1"/>
  <c r="O137" i="23"/>
  <c r="P137" i="23" s="1"/>
  <c r="O147" i="23"/>
  <c r="P147" i="23" s="1"/>
  <c r="O151" i="23"/>
  <c r="P151" i="23" s="1"/>
  <c r="O153" i="23"/>
  <c r="P153" i="23" s="1"/>
  <c r="O157" i="23"/>
  <c r="P157" i="23" s="1"/>
  <c r="O159" i="23"/>
  <c r="P159" i="23" s="1"/>
  <c r="O163" i="23"/>
  <c r="P163" i="23" s="1"/>
  <c r="O169" i="23"/>
  <c r="P169" i="23" s="1"/>
  <c r="O173" i="23"/>
  <c r="P173" i="23" s="1"/>
  <c r="O177" i="23"/>
  <c r="P177" i="23" s="1"/>
  <c r="O179" i="23"/>
  <c r="P179" i="23" s="1"/>
  <c r="O181" i="23"/>
  <c r="P181" i="23" s="1"/>
  <c r="O189" i="23"/>
  <c r="P189" i="23" s="1"/>
  <c r="O400" i="24"/>
  <c r="P400" i="24" s="1"/>
  <c r="O44" i="16"/>
  <c r="P44" i="16" s="1"/>
  <c r="O89" i="16"/>
  <c r="P89" i="16" s="1"/>
  <c r="O93" i="16"/>
  <c r="P93" i="16" s="1"/>
  <c r="O18" i="20"/>
  <c r="P18" i="20" s="1"/>
  <c r="O22" i="20"/>
  <c r="P22" i="20" s="1"/>
  <c r="O26" i="20"/>
  <c r="P26" i="20" s="1"/>
  <c r="O30" i="20"/>
  <c r="P30" i="20" s="1"/>
  <c r="O61" i="20"/>
  <c r="P61" i="20" s="1"/>
  <c r="O67" i="20"/>
  <c r="P67" i="20" s="1"/>
  <c r="O69" i="20"/>
  <c r="P69" i="20" s="1"/>
  <c r="O73" i="20"/>
  <c r="P73" i="20" s="1"/>
  <c r="O77" i="20"/>
  <c r="P77" i="20" s="1"/>
  <c r="O79" i="20"/>
  <c r="P79" i="20" s="1"/>
  <c r="O85" i="20"/>
  <c r="P85" i="20" s="1"/>
  <c r="O87" i="20"/>
  <c r="P87" i="20" s="1"/>
  <c r="O91" i="20"/>
  <c r="O93" i="20"/>
  <c r="P93" i="20" s="1"/>
  <c r="O103" i="20"/>
  <c r="P103" i="20" s="1"/>
  <c r="O107" i="20"/>
  <c r="P107" i="20" s="1"/>
  <c r="O109" i="20"/>
  <c r="P109" i="20" s="1"/>
  <c r="O113" i="20"/>
  <c r="P113" i="20" s="1"/>
  <c r="O125" i="20"/>
  <c r="P125" i="20" s="1"/>
  <c r="O131" i="20"/>
  <c r="P131" i="20" s="1"/>
  <c r="O133" i="20"/>
  <c r="P133" i="20" s="1"/>
  <c r="O141" i="20"/>
  <c r="P141" i="20" s="1"/>
  <c r="O143" i="20"/>
  <c r="P143" i="20" s="1"/>
  <c r="O145" i="20"/>
  <c r="P145" i="20" s="1"/>
  <c r="O149" i="20"/>
  <c r="P149" i="20" s="1"/>
  <c r="O151" i="20"/>
  <c r="P151" i="20" s="1"/>
  <c r="O153" i="20"/>
  <c r="P153" i="20" s="1"/>
  <c r="O155" i="20"/>
  <c r="P155" i="20" s="1"/>
  <c r="O157" i="20"/>
  <c r="P157" i="20" s="1"/>
  <c r="O52" i="24"/>
  <c r="P52" i="24" s="1"/>
  <c r="O105" i="16"/>
  <c r="P105" i="16" s="1"/>
  <c r="O24" i="19"/>
  <c r="P24" i="19" s="1"/>
  <c r="O80" i="20"/>
  <c r="P80" i="20" s="1"/>
  <c r="O10" i="23"/>
  <c r="P10" i="23" s="1"/>
  <c r="O20" i="23"/>
  <c r="P20" i="23" s="1"/>
  <c r="O28" i="23"/>
  <c r="P28" i="23" s="1"/>
  <c r="O40" i="23"/>
  <c r="P40" i="23" s="1"/>
  <c r="O54" i="23"/>
  <c r="P54" i="23" s="1"/>
  <c r="O64" i="23"/>
  <c r="P64" i="23" s="1"/>
  <c r="O70" i="23"/>
  <c r="P70" i="23" s="1"/>
  <c r="O78" i="23"/>
  <c r="P78" i="23" s="1"/>
  <c r="O86" i="23"/>
  <c r="P86" i="23" s="1"/>
  <c r="O94" i="23"/>
  <c r="P94" i="23" s="1"/>
  <c r="O112" i="23"/>
  <c r="P112" i="23" s="1"/>
  <c r="O120" i="23"/>
  <c r="P120" i="23" s="1"/>
  <c r="O126" i="23"/>
  <c r="P126" i="23" s="1"/>
  <c r="O140" i="23"/>
  <c r="P140" i="23" s="1"/>
  <c r="O152" i="23"/>
  <c r="P152" i="23" s="1"/>
  <c r="O166" i="23"/>
  <c r="P166" i="23" s="1"/>
  <c r="O178" i="23"/>
  <c r="P178" i="23" s="1"/>
  <c r="O182" i="23"/>
  <c r="P182" i="23" s="1"/>
  <c r="O342" i="16"/>
  <c r="P342" i="16" s="1"/>
  <c r="O344" i="16"/>
  <c r="P344" i="16" s="1"/>
  <c r="O348" i="16"/>
  <c r="P348" i="16" s="1"/>
  <c r="O350" i="16"/>
  <c r="P350" i="16" s="1"/>
  <c r="O354" i="16"/>
  <c r="P354" i="16" s="1"/>
  <c r="O356" i="16"/>
  <c r="P356" i="16" s="1"/>
  <c r="O360" i="16"/>
  <c r="P360" i="16" s="1"/>
  <c r="O362" i="16"/>
  <c r="P362" i="16" s="1"/>
  <c r="O366" i="16"/>
  <c r="P366" i="16" s="1"/>
  <c r="O368" i="16"/>
  <c r="P368" i="16" s="1"/>
  <c r="O370" i="16"/>
  <c r="P370" i="16" s="1"/>
  <c r="O372" i="16"/>
  <c r="P372" i="16" s="1"/>
  <c r="O374" i="16"/>
  <c r="P374" i="16" s="1"/>
  <c r="O376" i="16"/>
  <c r="P376" i="16" s="1"/>
  <c r="O380" i="16"/>
  <c r="P380" i="16" s="1"/>
  <c r="O382" i="16"/>
  <c r="P382" i="16" s="1"/>
  <c r="O386" i="16"/>
  <c r="P386" i="16" s="1"/>
  <c r="O392" i="16"/>
  <c r="P392" i="16" s="1"/>
  <c r="O394" i="16"/>
  <c r="P394" i="16" s="1"/>
  <c r="O398" i="16"/>
  <c r="P398" i="16" s="1"/>
  <c r="O6" i="19"/>
  <c r="P6" i="19" s="1"/>
  <c r="O12" i="19"/>
  <c r="P12" i="19" s="1"/>
  <c r="O16" i="19"/>
  <c r="P16" i="19" s="1"/>
  <c r="O20" i="19"/>
  <c r="P20" i="19" s="1"/>
  <c r="O28" i="19"/>
  <c r="P28" i="19" s="1"/>
  <c r="O32" i="19"/>
  <c r="P32" i="19" s="1"/>
  <c r="O34" i="19"/>
  <c r="P34" i="19" s="1"/>
  <c r="O40" i="19"/>
  <c r="P40" i="19" s="1"/>
  <c r="O42" i="19"/>
  <c r="P42" i="19" s="1"/>
  <c r="O46" i="19"/>
  <c r="P46" i="19" s="1"/>
  <c r="O48" i="19"/>
  <c r="P48" i="19" s="1"/>
  <c r="O50" i="19"/>
  <c r="P50" i="19" s="1"/>
  <c r="O52" i="19"/>
  <c r="P52" i="19" s="1"/>
  <c r="O56" i="19"/>
  <c r="P56" i="19" s="1"/>
  <c r="O58" i="19"/>
  <c r="P58" i="19" s="1"/>
  <c r="O62" i="19"/>
  <c r="P62" i="19" s="1"/>
  <c r="O64" i="19"/>
  <c r="P64" i="19" s="1"/>
  <c r="O66" i="19"/>
  <c r="P66" i="19" s="1"/>
  <c r="O70" i="19"/>
  <c r="P70" i="19" s="1"/>
  <c r="O78" i="19"/>
  <c r="P78" i="19" s="1"/>
  <c r="O82" i="19"/>
  <c r="P82" i="19" s="1"/>
  <c r="O90" i="19"/>
  <c r="P90" i="19" s="1"/>
  <c r="O92" i="19"/>
  <c r="P92" i="19" s="1"/>
  <c r="O94" i="19"/>
  <c r="P94" i="19" s="1"/>
  <c r="O102" i="19"/>
  <c r="P102" i="19" s="1"/>
  <c r="O110" i="19"/>
  <c r="P110" i="19" s="1"/>
  <c r="O166" i="19"/>
  <c r="P166" i="19" s="1"/>
  <c r="O174" i="19"/>
  <c r="P174" i="19" s="1"/>
  <c r="O178" i="19"/>
  <c r="P178" i="19" s="1"/>
  <c r="O216" i="19"/>
  <c r="P216" i="19" s="1"/>
  <c r="O236" i="19"/>
  <c r="P236" i="19" s="1"/>
  <c r="O324" i="19"/>
  <c r="P324" i="19" s="1"/>
  <c r="O12" i="23"/>
  <c r="P12" i="23" s="1"/>
  <c r="O24" i="23"/>
  <c r="P24" i="23" s="1"/>
  <c r="O38" i="23"/>
  <c r="P38" i="23" s="1"/>
  <c r="O52" i="23"/>
  <c r="P52" i="23" s="1"/>
  <c r="O68" i="23"/>
  <c r="P68" i="23" s="1"/>
  <c r="O82" i="23"/>
  <c r="P82" i="23" s="1"/>
  <c r="O102" i="23"/>
  <c r="P102" i="23" s="1"/>
  <c r="O118" i="23"/>
  <c r="P118" i="23" s="1"/>
  <c r="O130" i="23"/>
  <c r="P130" i="23" s="1"/>
  <c r="O146" i="23"/>
  <c r="P146" i="23" s="1"/>
  <c r="O164" i="23"/>
  <c r="P164" i="23" s="1"/>
  <c r="O174" i="23"/>
  <c r="P174" i="23" s="1"/>
  <c r="O188" i="23"/>
  <c r="P188" i="23" s="1"/>
  <c r="O346" i="16"/>
  <c r="P346" i="16" s="1"/>
  <c r="O344" i="19"/>
  <c r="P344" i="19" s="1"/>
  <c r="O68" i="19"/>
  <c r="P68" i="19" s="1"/>
  <c r="O320" i="19"/>
  <c r="P320" i="19" s="1"/>
  <c r="O18" i="23"/>
  <c r="P18" i="23" s="1"/>
  <c r="O30" i="23"/>
  <c r="P30" i="23" s="1"/>
  <c r="O44" i="23"/>
  <c r="P44" i="23" s="1"/>
  <c r="O58" i="23"/>
  <c r="P58" i="23" s="1"/>
  <c r="O80" i="23"/>
  <c r="P80" i="23" s="1"/>
  <c r="O92" i="23"/>
  <c r="P92" i="23" s="1"/>
  <c r="O104" i="23"/>
  <c r="P104" i="23" s="1"/>
  <c r="O114" i="23"/>
  <c r="P114" i="23" s="1"/>
  <c r="O134" i="23"/>
  <c r="P134" i="23" s="1"/>
  <c r="O148" i="23"/>
  <c r="P148" i="23" s="1"/>
  <c r="O160" i="23"/>
  <c r="P160" i="23" s="1"/>
  <c r="O176" i="23"/>
  <c r="P176" i="23" s="1"/>
  <c r="O400" i="17"/>
  <c r="P400" i="17" s="1"/>
  <c r="O336" i="16"/>
  <c r="P336" i="16" s="1"/>
  <c r="O100" i="19"/>
  <c r="P100" i="19" s="1"/>
  <c r="O184" i="19"/>
  <c r="P184" i="19" s="1"/>
  <c r="O206" i="19"/>
  <c r="P206" i="19" s="1"/>
  <c r="O234" i="19"/>
  <c r="P234" i="19" s="1"/>
  <c r="O150" i="20"/>
  <c r="P150" i="20" s="1"/>
  <c r="O256" i="17"/>
  <c r="P256" i="17" s="1"/>
  <c r="O22" i="23"/>
  <c r="P22" i="23" s="1"/>
  <c r="O34" i="23"/>
  <c r="P34" i="23" s="1"/>
  <c r="O48" i="23"/>
  <c r="P48" i="23" s="1"/>
  <c r="O62" i="23"/>
  <c r="P62" i="23" s="1"/>
  <c r="O76" i="23"/>
  <c r="P76" i="23" s="1"/>
  <c r="O90" i="23"/>
  <c r="P90" i="23" s="1"/>
  <c r="O100" i="23"/>
  <c r="P100" i="23" s="1"/>
  <c r="O108" i="23"/>
  <c r="P108" i="23" s="1"/>
  <c r="O124" i="23"/>
  <c r="P124" i="23" s="1"/>
  <c r="O138" i="23"/>
  <c r="P138" i="23" s="1"/>
  <c r="O156" i="23"/>
  <c r="P156" i="23" s="1"/>
  <c r="O172" i="23"/>
  <c r="P172" i="23" s="1"/>
  <c r="O240" i="19"/>
  <c r="P240" i="19" s="1"/>
  <c r="O312" i="19"/>
  <c r="P312" i="19" s="1"/>
  <c r="O122" i="20"/>
  <c r="P122" i="20" s="1"/>
  <c r="O16" i="23"/>
  <c r="P16" i="23" s="1"/>
  <c r="O32" i="23"/>
  <c r="P32" i="23" s="1"/>
  <c r="O46" i="23"/>
  <c r="P46" i="23" s="1"/>
  <c r="O56" i="23"/>
  <c r="P56" i="23" s="1"/>
  <c r="O74" i="23"/>
  <c r="P74" i="23" s="1"/>
  <c r="O88" i="23"/>
  <c r="P88" i="23" s="1"/>
  <c r="O98" i="23"/>
  <c r="P98" i="23" s="1"/>
  <c r="O110" i="23"/>
  <c r="P110" i="23" s="1"/>
  <c r="O122" i="23"/>
  <c r="P122" i="23" s="1"/>
  <c r="O132" i="23"/>
  <c r="P132" i="23" s="1"/>
  <c r="O144" i="23"/>
  <c r="P144" i="23" s="1"/>
  <c r="O158" i="23"/>
  <c r="P158" i="23" s="1"/>
  <c r="O170" i="23"/>
  <c r="P170" i="23" s="1"/>
  <c r="O186" i="23"/>
  <c r="P186" i="23" s="1"/>
  <c r="O402" i="17"/>
  <c r="P402" i="17" s="1"/>
  <c r="O340" i="16"/>
  <c r="P340" i="16" s="1"/>
  <c r="O369" i="24"/>
  <c r="P369" i="24" s="1"/>
  <c r="O206" i="16"/>
  <c r="P206" i="16" s="1"/>
  <c r="O44" i="19"/>
  <c r="P44" i="19" s="1"/>
  <c r="O108" i="19"/>
  <c r="P108" i="19" s="1"/>
  <c r="O150" i="19"/>
  <c r="P150" i="19" s="1"/>
  <c r="O188" i="19"/>
  <c r="P188" i="19" s="1"/>
  <c r="O258" i="19"/>
  <c r="P258" i="19" s="1"/>
  <c r="O358" i="19"/>
  <c r="P358" i="19" s="1"/>
  <c r="O380" i="19"/>
  <c r="P380" i="19" s="1"/>
  <c r="O388" i="19"/>
  <c r="P388" i="19" s="1"/>
  <c r="O23" i="16"/>
  <c r="P23" i="16" s="1"/>
  <c r="O14" i="23"/>
  <c r="P14" i="23" s="1"/>
  <c r="O26" i="23"/>
  <c r="P26" i="23" s="1"/>
  <c r="O36" i="23"/>
  <c r="P36" i="23" s="1"/>
  <c r="O42" i="23"/>
  <c r="P42" i="23" s="1"/>
  <c r="O50" i="23"/>
  <c r="P50" i="23" s="1"/>
  <c r="O60" i="23"/>
  <c r="P60" i="23" s="1"/>
  <c r="O66" i="23"/>
  <c r="P66" i="23" s="1"/>
  <c r="O72" i="23"/>
  <c r="P72" i="23" s="1"/>
  <c r="O84" i="23"/>
  <c r="P84" i="23" s="1"/>
  <c r="O96" i="23"/>
  <c r="P96" i="23" s="1"/>
  <c r="O106" i="23"/>
  <c r="P106" i="23" s="1"/>
  <c r="O116" i="23"/>
  <c r="P116" i="23" s="1"/>
  <c r="O128" i="23"/>
  <c r="P128" i="23" s="1"/>
  <c r="O136" i="23"/>
  <c r="P136" i="23" s="1"/>
  <c r="O142" i="23"/>
  <c r="P142" i="23" s="1"/>
  <c r="O150" i="23"/>
  <c r="P150" i="23" s="1"/>
  <c r="O154" i="23"/>
  <c r="P154" i="23" s="1"/>
  <c r="O162" i="23"/>
  <c r="P162" i="23" s="1"/>
  <c r="O168" i="23"/>
  <c r="P168" i="23" s="1"/>
  <c r="O180" i="23"/>
  <c r="P180" i="23" s="1"/>
  <c r="O184" i="23"/>
  <c r="P184" i="23" s="1"/>
  <c r="O188" i="18"/>
  <c r="P188" i="18" s="1"/>
  <c r="O222" i="17"/>
  <c r="P222" i="17" s="1"/>
  <c r="O298" i="17"/>
  <c r="P298" i="17" s="1"/>
  <c r="O342" i="17"/>
  <c r="P342" i="17" s="1"/>
  <c r="O17" i="16"/>
  <c r="P17" i="16" s="1"/>
  <c r="O45" i="16"/>
  <c r="P45" i="16" s="1"/>
  <c r="O49" i="16"/>
  <c r="P49" i="16" s="1"/>
  <c r="O108" i="16"/>
  <c r="P108" i="16" s="1"/>
  <c r="O162" i="16"/>
  <c r="P162" i="16" s="1"/>
  <c r="O168" i="16"/>
  <c r="P168" i="16" s="1"/>
  <c r="O172" i="16"/>
  <c r="P172" i="16" s="1"/>
  <c r="O176" i="16"/>
  <c r="P176" i="16" s="1"/>
  <c r="O178" i="16"/>
  <c r="P178" i="16" s="1"/>
  <c r="O180" i="16"/>
  <c r="P180" i="16" s="1"/>
  <c r="O182" i="16"/>
  <c r="P182" i="16" s="1"/>
  <c r="O184" i="16"/>
  <c r="P184" i="16" s="1"/>
  <c r="O186" i="16"/>
  <c r="P186" i="16" s="1"/>
  <c r="O190" i="16"/>
  <c r="P190" i="16" s="1"/>
  <c r="O192" i="16"/>
  <c r="P192" i="16" s="1"/>
  <c r="O194" i="16"/>
  <c r="P194" i="16" s="1"/>
  <c r="O196" i="16"/>
  <c r="P196" i="16" s="1"/>
  <c r="O198" i="16"/>
  <c r="P198" i="16" s="1"/>
  <c r="O200" i="16"/>
  <c r="P200" i="16" s="1"/>
  <c r="O202" i="16"/>
  <c r="P202" i="16" s="1"/>
  <c r="O204" i="16"/>
  <c r="P204" i="16" s="1"/>
  <c r="O210" i="16"/>
  <c r="P210" i="16" s="1"/>
  <c r="O212" i="16"/>
  <c r="P212" i="16" s="1"/>
  <c r="O214" i="16"/>
  <c r="P214" i="16" s="1"/>
  <c r="O218" i="16"/>
  <c r="P218" i="16" s="1"/>
  <c r="O220" i="16"/>
  <c r="P220" i="16" s="1"/>
  <c r="O222" i="16"/>
  <c r="P222" i="16" s="1"/>
  <c r="O224" i="16"/>
  <c r="P224" i="16" s="1"/>
  <c r="O228" i="16"/>
  <c r="P228" i="16" s="1"/>
  <c r="O230" i="16"/>
  <c r="P230" i="16" s="1"/>
  <c r="O232" i="16"/>
  <c r="P232" i="16" s="1"/>
  <c r="O234" i="16"/>
  <c r="P234" i="16" s="1"/>
  <c r="O236" i="16"/>
  <c r="P236" i="16" s="1"/>
  <c r="O238" i="16"/>
  <c r="P238" i="16" s="1"/>
  <c r="O242" i="16"/>
  <c r="P242" i="16" s="1"/>
  <c r="O246" i="16"/>
  <c r="P246" i="16" s="1"/>
  <c r="O248" i="16"/>
  <c r="P248" i="16" s="1"/>
  <c r="O250" i="16"/>
  <c r="P250" i="16" s="1"/>
  <c r="O252" i="16"/>
  <c r="P252" i="16" s="1"/>
  <c r="O254" i="16"/>
  <c r="P254" i="16" s="1"/>
  <c r="O256" i="16"/>
  <c r="P256" i="16" s="1"/>
  <c r="O258" i="16"/>
  <c r="P258" i="16" s="1"/>
  <c r="O268" i="16"/>
  <c r="P268" i="16" s="1"/>
  <c r="O272" i="16"/>
  <c r="P272" i="16" s="1"/>
  <c r="O276" i="16"/>
  <c r="P276" i="16" s="1"/>
  <c r="O278" i="16"/>
  <c r="P278" i="16" s="1"/>
  <c r="O282" i="16"/>
  <c r="P282" i="16" s="1"/>
  <c r="O286" i="16"/>
  <c r="P286" i="16" s="1"/>
  <c r="O288" i="16"/>
  <c r="P288" i="16" s="1"/>
  <c r="O294" i="16"/>
  <c r="P294" i="16" s="1"/>
  <c r="O296" i="16"/>
  <c r="P296" i="16" s="1"/>
  <c r="O298" i="16"/>
  <c r="P298" i="16" s="1"/>
  <c r="O300" i="16"/>
  <c r="P300" i="16" s="1"/>
  <c r="O302" i="16"/>
  <c r="P302" i="16" s="1"/>
  <c r="O306" i="16"/>
  <c r="P306" i="16" s="1"/>
  <c r="O308" i="16"/>
  <c r="P308" i="16" s="1"/>
  <c r="O310" i="16"/>
  <c r="P310" i="16" s="1"/>
  <c r="O316" i="16"/>
  <c r="P316" i="16" s="1"/>
  <c r="O320" i="16"/>
  <c r="P320" i="16" s="1"/>
  <c r="O326" i="16"/>
  <c r="P326" i="16" s="1"/>
  <c r="O334" i="16"/>
  <c r="P334" i="16" s="1"/>
  <c r="O112" i="19"/>
  <c r="P112" i="19" s="1"/>
  <c r="O114" i="19"/>
  <c r="P114" i="19" s="1"/>
  <c r="O116" i="19"/>
  <c r="P116" i="19" s="1"/>
  <c r="O118" i="19"/>
  <c r="P118" i="19" s="1"/>
  <c r="O120" i="19"/>
  <c r="P120" i="19" s="1"/>
  <c r="O122" i="19"/>
  <c r="P122" i="19" s="1"/>
  <c r="O124" i="19"/>
  <c r="P124" i="19" s="1"/>
  <c r="O126" i="19"/>
  <c r="P126" i="19" s="1"/>
  <c r="O128" i="19"/>
  <c r="P128" i="19" s="1"/>
  <c r="O130" i="19"/>
  <c r="P130" i="19" s="1"/>
  <c r="O138" i="19"/>
  <c r="P138" i="19" s="1"/>
  <c r="O142" i="19"/>
  <c r="P142" i="19" s="1"/>
  <c r="O154" i="19"/>
  <c r="P154" i="19" s="1"/>
  <c r="O156" i="19"/>
  <c r="P156" i="19" s="1"/>
  <c r="O160" i="19"/>
  <c r="P160" i="19" s="1"/>
  <c r="O164" i="19"/>
  <c r="P164" i="19" s="1"/>
  <c r="O168" i="19"/>
  <c r="P168" i="19" s="1"/>
  <c r="O170" i="19"/>
  <c r="P170" i="19" s="1"/>
  <c r="O172" i="19"/>
  <c r="P172" i="19" s="1"/>
  <c r="O176" i="19"/>
  <c r="P176" i="19" s="1"/>
  <c r="O190" i="19"/>
  <c r="P190" i="19" s="1"/>
  <c r="O192" i="19"/>
  <c r="P192" i="19" s="1"/>
  <c r="O194" i="19"/>
  <c r="P194" i="19" s="1"/>
  <c r="O196" i="19"/>
  <c r="P196" i="19" s="1"/>
  <c r="O200" i="19"/>
  <c r="P200" i="19" s="1"/>
  <c r="O204" i="19"/>
  <c r="P204" i="19" s="1"/>
  <c r="O210" i="19"/>
  <c r="P210" i="19" s="1"/>
  <c r="O212" i="19"/>
  <c r="P212" i="19" s="1"/>
  <c r="O214" i="19"/>
  <c r="P214" i="19" s="1"/>
  <c r="O218" i="19"/>
  <c r="P218" i="19" s="1"/>
  <c r="O220" i="19"/>
  <c r="P220" i="19" s="1"/>
  <c r="O222" i="19"/>
  <c r="P222" i="19" s="1"/>
  <c r="O224" i="19"/>
  <c r="P224" i="19" s="1"/>
  <c r="O226" i="19"/>
  <c r="P226" i="19" s="1"/>
  <c r="O230" i="19"/>
  <c r="P230" i="19" s="1"/>
  <c r="O238" i="19"/>
  <c r="P238" i="19" s="1"/>
  <c r="O246" i="19"/>
  <c r="P246" i="19" s="1"/>
  <c r="O248" i="19"/>
  <c r="P248" i="19" s="1"/>
  <c r="O250" i="19"/>
  <c r="P250" i="19" s="1"/>
  <c r="O254" i="19"/>
  <c r="P254" i="19" s="1"/>
  <c r="O256" i="19"/>
  <c r="P256" i="19" s="1"/>
  <c r="O260" i="19"/>
  <c r="P260" i="19" s="1"/>
  <c r="O262" i="19"/>
  <c r="P262" i="19" s="1"/>
  <c r="O266" i="19"/>
  <c r="P266" i="19" s="1"/>
  <c r="O268" i="19"/>
  <c r="P268" i="19" s="1"/>
  <c r="O274" i="19"/>
  <c r="P274" i="19" s="1"/>
  <c r="O276" i="19"/>
  <c r="P276" i="19" s="1"/>
  <c r="O278" i="19"/>
  <c r="P278" i="19" s="1"/>
  <c r="O280" i="19"/>
  <c r="P280" i="19" s="1"/>
  <c r="O288" i="19"/>
  <c r="P288" i="19" s="1"/>
  <c r="O290" i="19"/>
  <c r="P290" i="19" s="1"/>
  <c r="O292" i="19"/>
  <c r="P292" i="19" s="1"/>
  <c r="O296" i="19"/>
  <c r="P296" i="19" s="1"/>
  <c r="O298" i="19"/>
  <c r="P298" i="19" s="1"/>
  <c r="O300" i="19"/>
  <c r="P300" i="19" s="1"/>
  <c r="O302" i="19"/>
  <c r="P302" i="19" s="1"/>
  <c r="O308" i="19"/>
  <c r="P308" i="19" s="1"/>
  <c r="O318" i="19"/>
  <c r="P318" i="19" s="1"/>
  <c r="O322" i="19"/>
  <c r="P322" i="19" s="1"/>
  <c r="O328" i="19"/>
  <c r="P328" i="19" s="1"/>
  <c r="O332" i="19"/>
  <c r="P332" i="19" s="1"/>
  <c r="O336" i="19"/>
  <c r="P336" i="19" s="1"/>
  <c r="O338" i="19"/>
  <c r="P338" i="19" s="1"/>
  <c r="O340" i="19"/>
  <c r="P340" i="19" s="1"/>
  <c r="O342" i="19"/>
  <c r="P342" i="19" s="1"/>
  <c r="O346" i="19"/>
  <c r="P346" i="19" s="1"/>
  <c r="O348" i="19"/>
  <c r="P348" i="19" s="1"/>
  <c r="O350" i="19"/>
  <c r="P350" i="19" s="1"/>
  <c r="O352" i="19"/>
  <c r="P352" i="19" s="1"/>
  <c r="O356" i="19"/>
  <c r="P356" i="19" s="1"/>
  <c r="O362" i="19"/>
  <c r="P362" i="19" s="1"/>
  <c r="O364" i="19"/>
  <c r="P364" i="19" s="1"/>
  <c r="O366" i="19"/>
  <c r="P366" i="19" s="1"/>
  <c r="O372" i="19"/>
  <c r="P372" i="19" s="1"/>
  <c r="O374" i="19"/>
  <c r="P374" i="19" s="1"/>
  <c r="O382" i="19"/>
  <c r="P382" i="19" s="1"/>
  <c r="O390" i="19"/>
  <c r="P390" i="19" s="1"/>
  <c r="O392" i="19"/>
  <c r="P392" i="19" s="1"/>
  <c r="O394" i="19"/>
  <c r="P394" i="19" s="1"/>
  <c r="O398" i="19"/>
  <c r="P398" i="19" s="1"/>
  <c r="O400" i="19"/>
  <c r="P400" i="19" s="1"/>
  <c r="O7" i="20"/>
  <c r="P7" i="20" s="1"/>
  <c r="O9" i="20"/>
  <c r="P9" i="20" s="1"/>
  <c r="O11" i="20"/>
  <c r="P11" i="20" s="1"/>
  <c r="O142" i="16"/>
  <c r="P142" i="16" s="1"/>
  <c r="O158" i="16"/>
  <c r="P158" i="16" s="1"/>
  <c r="O17" i="20"/>
  <c r="P17" i="20" s="1"/>
  <c r="O19" i="20"/>
  <c r="P19" i="20" s="1"/>
  <c r="O46" i="20"/>
  <c r="P46" i="20" s="1"/>
  <c r="O50" i="20"/>
  <c r="P50" i="20" s="1"/>
  <c r="O52" i="20"/>
  <c r="P52" i="20" s="1"/>
  <c r="O54" i="20"/>
  <c r="P54" i="20" s="1"/>
  <c r="O56" i="20"/>
  <c r="P56" i="20" s="1"/>
  <c r="O62" i="20"/>
  <c r="P62" i="20" s="1"/>
  <c r="O70" i="20"/>
  <c r="P70" i="20" s="1"/>
  <c r="O72" i="20"/>
  <c r="P72" i="20" s="1"/>
  <c r="O78" i="20"/>
  <c r="P78" i="20" s="1"/>
  <c r="O86" i="20"/>
  <c r="P86" i="20" s="1"/>
  <c r="O88" i="20"/>
  <c r="P88" i="20" s="1"/>
  <c r="O96" i="20"/>
  <c r="P96" i="20" s="1"/>
  <c r="O102" i="20"/>
  <c r="P102" i="20" s="1"/>
  <c r="O110" i="20"/>
  <c r="P110" i="20" s="1"/>
  <c r="O126" i="20"/>
  <c r="P126" i="20" s="1"/>
  <c r="O132" i="20"/>
  <c r="P132" i="20" s="1"/>
  <c r="O136" i="20"/>
  <c r="P136" i="20" s="1"/>
  <c r="O146" i="20"/>
  <c r="P146" i="20" s="1"/>
  <c r="O148" i="20"/>
  <c r="P148" i="20" s="1"/>
  <c r="O172" i="20"/>
  <c r="P172" i="20" s="1"/>
  <c r="O174" i="20"/>
  <c r="P174" i="20" s="1"/>
  <c r="O176" i="20"/>
  <c r="P176" i="20" s="1"/>
  <c r="O182" i="20"/>
  <c r="P182" i="20" s="1"/>
  <c r="O186" i="20"/>
  <c r="P186" i="20" s="1"/>
  <c r="O188" i="20"/>
  <c r="P188" i="20" s="1"/>
  <c r="O190" i="20"/>
  <c r="P190" i="20" s="1"/>
  <c r="O192" i="20"/>
  <c r="P192" i="20" s="1"/>
  <c r="O194" i="20"/>
  <c r="P194" i="20" s="1"/>
  <c r="O196" i="20"/>
  <c r="P196" i="20" s="1"/>
  <c r="O198" i="20"/>
  <c r="P198" i="20" s="1"/>
  <c r="O202" i="20"/>
  <c r="P202" i="20" s="1"/>
  <c r="O208" i="20"/>
  <c r="P208" i="20" s="1"/>
  <c r="O298" i="20"/>
  <c r="P298" i="20" s="1"/>
  <c r="O300" i="20"/>
  <c r="P300" i="20" s="1"/>
  <c r="O302" i="20"/>
  <c r="P302" i="20" s="1"/>
  <c r="O152" i="16"/>
  <c r="P152" i="16" s="1"/>
  <c r="O200" i="20"/>
  <c r="P200" i="20" s="1"/>
  <c r="O77" i="18"/>
  <c r="P77" i="18" s="1"/>
  <c r="O51" i="18"/>
  <c r="P51" i="18" s="1"/>
  <c r="O301" i="17"/>
  <c r="P301" i="17" s="1"/>
  <c r="O329" i="17"/>
  <c r="P329" i="17" s="1"/>
  <c r="O166" i="18"/>
  <c r="P166" i="18" s="1"/>
  <c r="O154" i="18"/>
  <c r="P154" i="18" s="1"/>
  <c r="O331" i="17"/>
  <c r="P331" i="17" s="1"/>
  <c r="O154" i="16"/>
  <c r="P154" i="16" s="1"/>
  <c r="O206" i="20"/>
  <c r="P206" i="20" s="1"/>
  <c r="O21" i="18"/>
  <c r="P21" i="18" s="1"/>
  <c r="O75" i="18"/>
  <c r="P75" i="18" s="1"/>
  <c r="O333" i="17"/>
  <c r="P333" i="17" s="1"/>
  <c r="O361" i="17"/>
  <c r="P361" i="17" s="1"/>
  <c r="O132" i="16"/>
  <c r="P132" i="16" s="1"/>
  <c r="O178" i="20"/>
  <c r="P178" i="20" s="1"/>
  <c r="O210" i="20"/>
  <c r="P210" i="20" s="1"/>
  <c r="O212" i="20"/>
  <c r="P212" i="20" s="1"/>
  <c r="O214" i="20"/>
  <c r="P214" i="20" s="1"/>
  <c r="O216" i="20"/>
  <c r="P216" i="20" s="1"/>
  <c r="O218" i="20"/>
  <c r="P218" i="20" s="1"/>
  <c r="O220" i="20"/>
  <c r="P220" i="20" s="1"/>
  <c r="O222" i="20"/>
  <c r="P222" i="20" s="1"/>
  <c r="O224" i="20"/>
  <c r="P224" i="20" s="1"/>
  <c r="O226" i="20"/>
  <c r="P226" i="20" s="1"/>
  <c r="O228" i="20"/>
  <c r="P228" i="20" s="1"/>
  <c r="O230" i="20"/>
  <c r="P230" i="20" s="1"/>
  <c r="O232" i="20"/>
  <c r="P232" i="20" s="1"/>
  <c r="O236" i="20"/>
  <c r="P236" i="20" s="1"/>
  <c r="O238" i="20"/>
  <c r="P238" i="20" s="1"/>
  <c r="O240" i="20"/>
  <c r="P240" i="20" s="1"/>
  <c r="O242" i="20"/>
  <c r="P242" i="20" s="1"/>
  <c r="O244" i="20"/>
  <c r="P244" i="20" s="1"/>
  <c r="O246" i="20"/>
  <c r="P246" i="20" s="1"/>
  <c r="O248" i="20"/>
  <c r="P248" i="20" s="1"/>
  <c r="O250" i="20"/>
  <c r="P250" i="20" s="1"/>
  <c r="O252" i="20"/>
  <c r="P252" i="20" s="1"/>
  <c r="O254" i="20"/>
  <c r="P254" i="20" s="1"/>
  <c r="O256" i="20"/>
  <c r="P256" i="20" s="1"/>
  <c r="O258" i="20"/>
  <c r="P258" i="20" s="1"/>
  <c r="O262" i="20"/>
  <c r="P262" i="20" s="1"/>
  <c r="O266" i="20"/>
  <c r="P266" i="20" s="1"/>
  <c r="O268" i="20"/>
  <c r="P268" i="20" s="1"/>
  <c r="O270" i="20"/>
  <c r="P270" i="20" s="1"/>
  <c r="O272" i="20"/>
  <c r="P272" i="20" s="1"/>
  <c r="O278" i="20"/>
  <c r="P278" i="20" s="1"/>
  <c r="O280" i="20"/>
  <c r="P280" i="20" s="1"/>
  <c r="O282" i="20"/>
  <c r="P282" i="20" s="1"/>
  <c r="O284" i="20"/>
  <c r="P284" i="20" s="1"/>
  <c r="O286" i="20"/>
  <c r="P286" i="20" s="1"/>
  <c r="O288" i="20"/>
  <c r="P288" i="20" s="1"/>
  <c r="O290" i="20"/>
  <c r="P290" i="20" s="1"/>
  <c r="O292" i="20"/>
  <c r="P292" i="20" s="1"/>
  <c r="O296" i="20"/>
  <c r="P296" i="20" s="1"/>
  <c r="O304" i="20"/>
  <c r="P304" i="20" s="1"/>
  <c r="O69" i="18"/>
  <c r="P69" i="18" s="1"/>
  <c r="O90" i="18"/>
  <c r="P90" i="18" s="1"/>
  <c r="O83" i="18"/>
  <c r="P83" i="18" s="1"/>
  <c r="O62" i="18"/>
  <c r="P62" i="18" s="1"/>
  <c r="O27" i="18"/>
  <c r="P27" i="18" s="1"/>
  <c r="O218" i="17"/>
  <c r="P218" i="17" s="1"/>
  <c r="O134" i="18"/>
  <c r="P134" i="18" s="1"/>
  <c r="O119" i="18"/>
  <c r="P119" i="18" s="1"/>
  <c r="O107" i="18"/>
  <c r="P107" i="18" s="1"/>
  <c r="O104" i="18"/>
  <c r="P104" i="18" s="1"/>
  <c r="O85" i="18"/>
  <c r="P85" i="18" s="1"/>
  <c r="O78" i="18"/>
  <c r="P78" i="18" s="1"/>
  <c r="O17" i="17"/>
  <c r="P17" i="17" s="1"/>
  <c r="O56" i="17"/>
  <c r="P56" i="17" s="1"/>
  <c r="O93" i="18"/>
  <c r="P93" i="18" s="1"/>
  <c r="O13" i="18"/>
  <c r="P13" i="18" s="1"/>
  <c r="O138" i="18"/>
  <c r="P138" i="18" s="1"/>
  <c r="O121" i="18"/>
  <c r="P121" i="18" s="1"/>
  <c r="O164" i="17"/>
  <c r="P164" i="17" s="1"/>
  <c r="O205" i="17"/>
  <c r="P205" i="17" s="1"/>
  <c r="O13" i="16"/>
  <c r="P13" i="16" s="1"/>
  <c r="O73" i="18"/>
  <c r="P73" i="18" s="1"/>
  <c r="O66" i="18"/>
  <c r="P66" i="18" s="1"/>
  <c r="O89" i="17"/>
  <c r="P89" i="17" s="1"/>
  <c r="O306" i="20"/>
  <c r="P306" i="20" s="1"/>
  <c r="O206" i="18"/>
  <c r="P206" i="18" s="1"/>
  <c r="O199" i="18"/>
  <c r="P199" i="18" s="1"/>
  <c r="O192" i="18"/>
  <c r="P192" i="18" s="1"/>
  <c r="O257" i="17"/>
  <c r="P257" i="17" s="1"/>
  <c r="O142" i="17"/>
  <c r="P142" i="17" s="1"/>
  <c r="O193" i="17"/>
  <c r="P193" i="17" s="1"/>
  <c r="O7" i="17"/>
  <c r="P7" i="17" s="1"/>
  <c r="O13" i="17"/>
  <c r="P13" i="17" s="1"/>
  <c r="O149" i="18"/>
  <c r="P149" i="18" s="1"/>
  <c r="O146" i="18"/>
  <c r="P146" i="18" s="1"/>
  <c r="O39" i="17"/>
  <c r="P39" i="17" s="1"/>
  <c r="O124" i="17"/>
  <c r="P124" i="17" s="1"/>
  <c r="O134" i="17"/>
  <c r="P134" i="17" s="1"/>
  <c r="O163" i="17"/>
  <c r="P163" i="17" s="1"/>
  <c r="O177" i="17"/>
  <c r="P177" i="17" s="1"/>
  <c r="O128" i="18"/>
  <c r="P128" i="18" s="1"/>
  <c r="O125" i="18"/>
  <c r="P125" i="18" s="1"/>
  <c r="O123" i="18"/>
  <c r="P123" i="18" s="1"/>
  <c r="O102" i="18"/>
  <c r="P102" i="18" s="1"/>
  <c r="O97" i="18"/>
  <c r="P97" i="18" s="1"/>
  <c r="O88" i="18"/>
  <c r="P88" i="18" s="1"/>
  <c r="O22" i="18"/>
  <c r="P22" i="18" s="1"/>
  <c r="O219" i="18"/>
  <c r="P219" i="18" s="1"/>
  <c r="O181" i="18"/>
  <c r="P181" i="18" s="1"/>
  <c r="O151" i="18"/>
  <c r="P151" i="18" s="1"/>
  <c r="O144" i="18"/>
  <c r="P144" i="18" s="1"/>
  <c r="O141" i="18"/>
  <c r="P141" i="18" s="1"/>
  <c r="O42" i="17"/>
  <c r="P42" i="17" s="1"/>
  <c r="O122" i="17"/>
  <c r="P122" i="17" s="1"/>
  <c r="O158" i="17"/>
  <c r="P158" i="17" s="1"/>
  <c r="O166" i="17"/>
  <c r="P166" i="17" s="1"/>
  <c r="O203" i="17"/>
  <c r="P203" i="17" s="1"/>
  <c r="O211" i="17"/>
  <c r="P211" i="17" s="1"/>
  <c r="O250" i="17"/>
  <c r="P250" i="17" s="1"/>
  <c r="O14" i="18"/>
  <c r="P14" i="18" s="1"/>
  <c r="O44" i="18"/>
  <c r="P44" i="18" s="1"/>
  <c r="O24" i="18"/>
  <c r="P24" i="18" s="1"/>
  <c r="O209" i="18"/>
  <c r="P209" i="18" s="1"/>
  <c r="O16" i="17"/>
  <c r="P16" i="17" s="1"/>
  <c r="O25" i="17"/>
  <c r="P25" i="17" s="1"/>
  <c r="O28" i="17"/>
  <c r="P28" i="17" s="1"/>
  <c r="O53" i="17"/>
  <c r="P53" i="17" s="1"/>
  <c r="O58" i="17"/>
  <c r="P58" i="17" s="1"/>
  <c r="O83" i="17"/>
  <c r="P83" i="17" s="1"/>
  <c r="O90" i="17"/>
  <c r="P90" i="17" s="1"/>
  <c r="O102" i="17"/>
  <c r="P102" i="17" s="1"/>
  <c r="O105" i="17"/>
  <c r="P105" i="17" s="1"/>
  <c r="O135" i="17"/>
  <c r="P135" i="17" s="1"/>
  <c r="O171" i="17"/>
  <c r="P171" i="17" s="1"/>
  <c r="O252" i="17"/>
  <c r="P252" i="17" s="1"/>
  <c r="O27" i="16"/>
  <c r="P27" i="16" s="1"/>
  <c r="O15" i="18"/>
  <c r="P15" i="18" s="1"/>
  <c r="O11" i="18"/>
  <c r="P11" i="18" s="1"/>
  <c r="O126" i="18"/>
  <c r="P126" i="18" s="1"/>
  <c r="O157" i="18"/>
  <c r="P157" i="18" s="1"/>
  <c r="O147" i="18"/>
  <c r="P147" i="18" s="1"/>
  <c r="O12" i="17"/>
  <c r="P12" i="17" s="1"/>
  <c r="O43" i="17"/>
  <c r="P43" i="17" s="1"/>
  <c r="O61" i="17"/>
  <c r="P61" i="17" s="1"/>
  <c r="O100" i="17"/>
  <c r="P100" i="17" s="1"/>
  <c r="O106" i="17"/>
  <c r="P106" i="17" s="1"/>
  <c r="O109" i="17"/>
  <c r="P109" i="17" s="1"/>
  <c r="O133" i="17"/>
  <c r="P133" i="17" s="1"/>
  <c r="O136" i="17"/>
  <c r="P136" i="17" s="1"/>
  <c r="O139" i="17"/>
  <c r="P139" i="17" s="1"/>
  <c r="O172" i="17"/>
  <c r="P172" i="17" s="1"/>
  <c r="O271" i="17"/>
  <c r="P271" i="17" s="1"/>
  <c r="O293" i="17"/>
  <c r="P293" i="17" s="1"/>
  <c r="O129" i="16"/>
  <c r="P129" i="16" s="1"/>
  <c r="O147" i="16"/>
  <c r="P147" i="16" s="1"/>
  <c r="O149" i="16"/>
  <c r="P149" i="16" s="1"/>
  <c r="O25" i="16"/>
  <c r="P25" i="16" s="1"/>
  <c r="O25" i="18"/>
  <c r="P25" i="18" s="1"/>
  <c r="O182" i="18"/>
  <c r="P182" i="18" s="1"/>
  <c r="O178" i="18"/>
  <c r="P178" i="18" s="1"/>
  <c r="O168" i="18"/>
  <c r="P168" i="18" s="1"/>
  <c r="O164" i="18"/>
  <c r="P164" i="18" s="1"/>
  <c r="O161" i="18"/>
  <c r="P161" i="18" s="1"/>
  <c r="O142" i="18"/>
  <c r="P142" i="18" s="1"/>
  <c r="O24" i="17"/>
  <c r="P24" i="17" s="1"/>
  <c r="O26" i="17"/>
  <c r="P26" i="17" s="1"/>
  <c r="O29" i="17"/>
  <c r="P29" i="17" s="1"/>
  <c r="O49" i="17"/>
  <c r="P49" i="17" s="1"/>
  <c r="O81" i="17"/>
  <c r="P81" i="17" s="1"/>
  <c r="O86" i="17"/>
  <c r="O126" i="17"/>
  <c r="P126" i="17" s="1"/>
  <c r="O128" i="17"/>
  <c r="P128" i="17" s="1"/>
  <c r="O153" i="17"/>
  <c r="P153" i="17" s="1"/>
  <c r="O253" i="17"/>
  <c r="P253" i="17" s="1"/>
  <c r="O259" i="17"/>
  <c r="P259" i="17" s="1"/>
  <c r="O274" i="17"/>
  <c r="P274" i="17" s="1"/>
  <c r="P340" i="24"/>
  <c r="O288" i="17"/>
  <c r="P288" i="17" s="1"/>
  <c r="O159" i="20"/>
  <c r="P159" i="20" s="1"/>
  <c r="O163" i="20"/>
  <c r="P163" i="20" s="1"/>
  <c r="O165" i="20"/>
  <c r="P165" i="20" s="1"/>
  <c r="O167" i="20"/>
  <c r="P167" i="20" s="1"/>
  <c r="O169" i="20"/>
  <c r="P169" i="20" s="1"/>
  <c r="O171" i="20"/>
  <c r="P171" i="20" s="1"/>
  <c r="O175" i="20"/>
  <c r="P175" i="20" s="1"/>
  <c r="O179" i="20"/>
  <c r="P179" i="20" s="1"/>
  <c r="O185" i="20"/>
  <c r="P185" i="20" s="1"/>
  <c r="O189" i="20"/>
  <c r="P189" i="20" s="1"/>
  <c r="O199" i="20"/>
  <c r="P199" i="20" s="1"/>
  <c r="O207" i="20"/>
  <c r="P207" i="20" s="1"/>
  <c r="O215" i="20"/>
  <c r="P215" i="20" s="1"/>
  <c r="O225" i="20"/>
  <c r="P225" i="20" s="1"/>
  <c r="O227" i="20"/>
  <c r="P227" i="20" s="1"/>
  <c r="O229" i="20"/>
  <c r="P229" i="20" s="1"/>
  <c r="O233" i="20"/>
  <c r="P233" i="20" s="1"/>
  <c r="O235" i="20"/>
  <c r="P235" i="20" s="1"/>
  <c r="O237" i="20"/>
  <c r="P237" i="20" s="1"/>
  <c r="O239" i="20"/>
  <c r="P239" i="20" s="1"/>
  <c r="O241" i="20"/>
  <c r="P241" i="20" s="1"/>
  <c r="O243" i="20"/>
  <c r="P243" i="20" s="1"/>
  <c r="O245" i="20"/>
  <c r="P245" i="20" s="1"/>
  <c r="O249" i="20"/>
  <c r="P249" i="20" s="1"/>
  <c r="O255" i="20"/>
  <c r="P255" i="20" s="1"/>
  <c r="O257" i="20"/>
  <c r="P257" i="20" s="1"/>
  <c r="O259" i="20"/>
  <c r="P259" i="20" s="1"/>
  <c r="O261" i="20"/>
  <c r="P261" i="20" s="1"/>
  <c r="O263" i="20"/>
  <c r="P263" i="20" s="1"/>
  <c r="O265" i="20"/>
  <c r="P265" i="20" s="1"/>
  <c r="O267" i="20"/>
  <c r="P267" i="20" s="1"/>
  <c r="O269" i="20"/>
  <c r="P269" i="20" s="1"/>
  <c r="O271" i="20"/>
  <c r="P271" i="20" s="1"/>
  <c r="O279" i="20"/>
  <c r="P279" i="20" s="1"/>
  <c r="O283" i="20"/>
  <c r="P283" i="20" s="1"/>
  <c r="O285" i="20"/>
  <c r="P285" i="20" s="1"/>
  <c r="O295" i="20"/>
  <c r="P295" i="20" s="1"/>
  <c r="O297" i="20"/>
  <c r="P297" i="20" s="1"/>
  <c r="O299" i="20"/>
  <c r="P299" i="20" s="1"/>
  <c r="O301" i="20"/>
  <c r="P301" i="20" s="1"/>
  <c r="O305" i="20"/>
  <c r="P305" i="20" s="1"/>
  <c r="O24" i="16"/>
  <c r="P24" i="16" s="1"/>
  <c r="O32" i="16"/>
  <c r="P32" i="16" s="1"/>
  <c r="O55" i="16"/>
  <c r="P55" i="16" s="1"/>
  <c r="O74" i="16"/>
  <c r="P74" i="16" s="1"/>
  <c r="O316" i="17"/>
  <c r="P316" i="17" s="1"/>
  <c r="O318" i="17"/>
  <c r="P318" i="17" s="1"/>
  <c r="O358" i="17"/>
  <c r="P358" i="17" s="1"/>
  <c r="O36" i="16"/>
  <c r="P36" i="16" s="1"/>
  <c r="O70" i="16"/>
  <c r="P70" i="16" s="1"/>
  <c r="O72" i="16"/>
  <c r="P72" i="16" s="1"/>
  <c r="O78" i="24"/>
  <c r="P78" i="24" s="1"/>
  <c r="O100" i="24"/>
  <c r="P100" i="24" s="1"/>
  <c r="O122" i="24"/>
  <c r="P122" i="24" s="1"/>
  <c r="O142" i="24"/>
  <c r="P142" i="24" s="1"/>
  <c r="O222" i="24"/>
  <c r="P222" i="24" s="1"/>
  <c r="O240" i="24"/>
  <c r="P240" i="24" s="1"/>
  <c r="O260" i="24"/>
  <c r="P260" i="24" s="1"/>
  <c r="O262" i="24"/>
  <c r="P262" i="24" s="1"/>
  <c r="O235" i="17"/>
  <c r="P235" i="17" s="1"/>
  <c r="O57" i="18"/>
  <c r="P57" i="18" s="1"/>
  <c r="O213" i="18"/>
  <c r="P213" i="18" s="1"/>
  <c r="O284" i="17"/>
  <c r="P284" i="17" s="1"/>
  <c r="P86" i="17"/>
  <c r="O304" i="17"/>
  <c r="P304" i="17" s="1"/>
  <c r="O283" i="24"/>
  <c r="P283" i="24" s="1"/>
  <c r="O285" i="24"/>
  <c r="P285" i="24" s="1"/>
  <c r="O287" i="24"/>
  <c r="P287" i="24" s="1"/>
  <c r="O289" i="24"/>
  <c r="P289" i="24" s="1"/>
  <c r="O291" i="24"/>
  <c r="P291" i="24" s="1"/>
  <c r="O293" i="24"/>
  <c r="P293" i="24" s="1"/>
  <c r="O295" i="24"/>
  <c r="P295" i="24" s="1"/>
  <c r="O297" i="24"/>
  <c r="P297" i="24" s="1"/>
  <c r="O299" i="24"/>
  <c r="P299" i="24" s="1"/>
  <c r="O301" i="24"/>
  <c r="P301" i="24" s="1"/>
  <c r="O303" i="24"/>
  <c r="P303" i="24" s="1"/>
  <c r="O305" i="24"/>
  <c r="P305" i="24" s="1"/>
  <c r="O307" i="24"/>
  <c r="P307" i="24" s="1"/>
  <c r="O309" i="24"/>
  <c r="P309" i="24" s="1"/>
  <c r="O311" i="24"/>
  <c r="P311" i="24" s="1"/>
  <c r="O313" i="24"/>
  <c r="P313" i="24" s="1"/>
  <c r="O315" i="24"/>
  <c r="P315" i="24" s="1"/>
  <c r="O317" i="24"/>
  <c r="P317" i="24" s="1"/>
  <c r="O319" i="24"/>
  <c r="P319" i="24" s="1"/>
  <c r="O323" i="24"/>
  <c r="P323" i="24" s="1"/>
  <c r="O325" i="24"/>
  <c r="P325" i="24" s="1"/>
  <c r="O327" i="24"/>
  <c r="P327" i="24" s="1"/>
  <c r="O329" i="24"/>
  <c r="P329" i="24" s="1"/>
  <c r="O331" i="24"/>
  <c r="P331" i="24" s="1"/>
  <c r="O333" i="24"/>
  <c r="P333" i="24" s="1"/>
  <c r="O335" i="24"/>
  <c r="P335" i="24" s="1"/>
  <c r="O337" i="24"/>
  <c r="P337" i="24" s="1"/>
  <c r="O339" i="24"/>
  <c r="P339" i="24" s="1"/>
  <c r="O341" i="24"/>
  <c r="P341" i="24" s="1"/>
  <c r="O343" i="24"/>
  <c r="P343" i="24" s="1"/>
  <c r="O345" i="24"/>
  <c r="P345" i="24" s="1"/>
  <c r="O347" i="24"/>
  <c r="P347" i="24" s="1"/>
  <c r="O349" i="24"/>
  <c r="P349" i="24" s="1"/>
  <c r="O351" i="24"/>
  <c r="P351" i="24" s="1"/>
  <c r="O353" i="24"/>
  <c r="P353" i="24" s="1"/>
  <c r="O355" i="24"/>
  <c r="P355" i="24" s="1"/>
  <c r="O359" i="24"/>
  <c r="P359" i="24" s="1"/>
  <c r="O361" i="24"/>
  <c r="P361" i="24" s="1"/>
  <c r="O363" i="24"/>
  <c r="P363" i="24" s="1"/>
  <c r="O365" i="24"/>
  <c r="P365" i="24" s="1"/>
  <c r="O367" i="24"/>
  <c r="P367" i="24" s="1"/>
  <c r="O371" i="24"/>
  <c r="P371" i="24" s="1"/>
  <c r="O373" i="24"/>
  <c r="P373" i="24" s="1"/>
  <c r="O375" i="24"/>
  <c r="P375" i="24" s="1"/>
  <c r="O377" i="24"/>
  <c r="P377" i="24" s="1"/>
  <c r="O379" i="24"/>
  <c r="P379" i="24" s="1"/>
  <c r="O381" i="24"/>
  <c r="P381" i="24" s="1"/>
  <c r="O383" i="24"/>
  <c r="P383" i="24" s="1"/>
  <c r="O385" i="24"/>
  <c r="P385" i="24" s="1"/>
  <c r="O387" i="24"/>
  <c r="P387" i="24" s="1"/>
  <c r="O389" i="24"/>
  <c r="P389" i="24" s="1"/>
  <c r="O391" i="24"/>
  <c r="P391" i="24" s="1"/>
  <c r="O393" i="24"/>
  <c r="P393" i="24" s="1"/>
  <c r="O395" i="24"/>
  <c r="P395" i="24" s="1"/>
  <c r="O397" i="24"/>
  <c r="P397" i="24" s="1"/>
  <c r="P210" i="23"/>
  <c r="O60" i="17"/>
  <c r="P60" i="17" s="1"/>
  <c r="O31" i="18"/>
  <c r="P31" i="18" s="1"/>
  <c r="O49" i="18"/>
  <c r="P49" i="18" s="1"/>
  <c r="O285" i="17"/>
  <c r="P285" i="17" s="1"/>
  <c r="O194" i="17"/>
  <c r="P194" i="17" s="1"/>
  <c r="O127" i="18"/>
  <c r="P127" i="18" s="1"/>
  <c r="O56" i="18"/>
  <c r="P56" i="18" s="1"/>
  <c r="O33" i="18"/>
  <c r="P33" i="18" s="1"/>
  <c r="O81" i="18"/>
  <c r="P81" i="18" s="1"/>
  <c r="O17" i="18"/>
  <c r="P17" i="18" s="1"/>
  <c r="O296" i="17"/>
  <c r="P296" i="17" s="1"/>
  <c r="P305" i="17"/>
  <c r="O124" i="16"/>
  <c r="P124" i="16" s="1"/>
  <c r="P330" i="24"/>
  <c r="O185" i="18"/>
  <c r="P185" i="18" s="1"/>
  <c r="O173" i="18"/>
  <c r="P173" i="18" s="1"/>
  <c r="O21" i="16"/>
  <c r="P21" i="16" s="1"/>
  <c r="O46" i="18"/>
  <c r="P46" i="18" s="1"/>
  <c r="O152" i="18"/>
  <c r="P152" i="18" s="1"/>
  <c r="O145" i="18"/>
  <c r="P145" i="18" s="1"/>
  <c r="O111" i="17"/>
  <c r="P111" i="17" s="1"/>
  <c r="O248" i="17"/>
  <c r="P248" i="17" s="1"/>
  <c r="O103" i="17"/>
  <c r="P103" i="17" s="1"/>
  <c r="O47" i="18"/>
  <c r="P47" i="18" s="1"/>
  <c r="O390" i="24"/>
  <c r="P390" i="24" s="1"/>
  <c r="O50" i="18"/>
  <c r="P50" i="18" s="1"/>
  <c r="O264" i="17"/>
  <c r="P264" i="17" s="1"/>
  <c r="O316" i="24"/>
  <c r="P316" i="24" s="1"/>
  <c r="O9" i="18"/>
  <c r="P9" i="18" s="1"/>
  <c r="O60" i="18"/>
  <c r="P60" i="18" s="1"/>
  <c r="O6" i="18"/>
  <c r="P6" i="18" s="1"/>
  <c r="O159" i="18"/>
  <c r="P159" i="18" s="1"/>
  <c r="O129" i="17"/>
  <c r="P129" i="17" s="1"/>
  <c r="O240" i="17"/>
  <c r="P240" i="17" s="1"/>
  <c r="O62" i="16"/>
  <c r="P62" i="16" s="1"/>
  <c r="O163" i="16"/>
  <c r="P163" i="16" s="1"/>
  <c r="O165" i="16"/>
  <c r="P165" i="16" s="1"/>
  <c r="O167" i="16"/>
  <c r="P167" i="16" s="1"/>
  <c r="O175" i="16"/>
  <c r="P175" i="16" s="1"/>
  <c r="O263" i="17"/>
  <c r="P263" i="17" s="1"/>
  <c r="O390" i="20"/>
  <c r="P390" i="20" s="1"/>
  <c r="O37" i="18"/>
  <c r="P37" i="18" s="1"/>
  <c r="O180" i="17"/>
  <c r="P180" i="17" s="1"/>
  <c r="O396" i="20"/>
  <c r="P396" i="20" s="1"/>
  <c r="P310" i="24"/>
  <c r="O216" i="17"/>
  <c r="P216" i="17" s="1"/>
  <c r="O399" i="24"/>
  <c r="P399" i="24" s="1"/>
  <c r="O92" i="18"/>
  <c r="P92" i="18" s="1"/>
  <c r="O201" i="18"/>
  <c r="P201" i="18" s="1"/>
  <c r="O95" i="17"/>
  <c r="P95" i="17" s="1"/>
  <c r="O98" i="17"/>
  <c r="P98" i="17" s="1"/>
  <c r="O229" i="17"/>
  <c r="P229" i="17" s="1"/>
  <c r="O399" i="18"/>
  <c r="P399" i="18" s="1"/>
  <c r="O395" i="18"/>
  <c r="P395" i="18" s="1"/>
  <c r="O393" i="18"/>
  <c r="P393" i="18" s="1"/>
  <c r="O385" i="18"/>
  <c r="P385" i="18" s="1"/>
  <c r="O383" i="18"/>
  <c r="P383" i="18" s="1"/>
  <c r="O381" i="18"/>
  <c r="P381" i="18" s="1"/>
  <c r="O379" i="18"/>
  <c r="P379" i="18" s="1"/>
  <c r="O375" i="18"/>
  <c r="P375" i="18" s="1"/>
  <c r="O373" i="18"/>
  <c r="P373" i="18" s="1"/>
  <c r="O371" i="18"/>
  <c r="P371" i="18" s="1"/>
  <c r="O369" i="18"/>
  <c r="P369" i="18" s="1"/>
  <c r="O365" i="18"/>
  <c r="P365" i="18" s="1"/>
  <c r="O363" i="18"/>
  <c r="P363" i="18" s="1"/>
  <c r="O359" i="18"/>
  <c r="P359" i="18" s="1"/>
  <c r="O357" i="18"/>
  <c r="P357" i="18" s="1"/>
  <c r="O353" i="18"/>
  <c r="P353" i="18" s="1"/>
  <c r="O351" i="18"/>
  <c r="P351" i="18" s="1"/>
  <c r="O349" i="18"/>
  <c r="P349" i="18" s="1"/>
  <c r="O347" i="18"/>
  <c r="P347" i="18" s="1"/>
  <c r="O345" i="18"/>
  <c r="P345" i="18" s="1"/>
  <c r="O343" i="18"/>
  <c r="P343" i="18" s="1"/>
  <c r="O339" i="18"/>
  <c r="P339" i="18" s="1"/>
  <c r="O337" i="18"/>
  <c r="P337" i="18" s="1"/>
  <c r="O331" i="18"/>
  <c r="P331" i="18" s="1"/>
  <c r="O329" i="18"/>
  <c r="P329" i="18" s="1"/>
  <c r="O325" i="18"/>
  <c r="P325" i="18" s="1"/>
  <c r="O319" i="18"/>
  <c r="P319" i="18" s="1"/>
  <c r="O317" i="18"/>
  <c r="P317" i="18" s="1"/>
  <c r="O315" i="18"/>
  <c r="P315" i="18" s="1"/>
  <c r="O311" i="18"/>
  <c r="P311" i="18" s="1"/>
  <c r="O309" i="18"/>
  <c r="P309" i="18" s="1"/>
  <c r="O307" i="18"/>
  <c r="P307" i="18" s="1"/>
  <c r="O305" i="18"/>
  <c r="P305" i="18" s="1"/>
  <c r="O301" i="18"/>
  <c r="P301" i="18" s="1"/>
  <c r="O295" i="18"/>
  <c r="P295" i="18" s="1"/>
  <c r="O293" i="18"/>
  <c r="P293" i="18" s="1"/>
  <c r="O289" i="18"/>
  <c r="P289" i="18" s="1"/>
  <c r="O287" i="18"/>
  <c r="P287" i="18" s="1"/>
  <c r="O285" i="18"/>
  <c r="P285" i="18" s="1"/>
  <c r="O283" i="18"/>
  <c r="P283" i="18" s="1"/>
  <c r="O281" i="18"/>
  <c r="P281" i="18" s="1"/>
  <c r="O275" i="18"/>
  <c r="P275" i="18" s="1"/>
  <c r="O273" i="18"/>
  <c r="P273" i="18" s="1"/>
  <c r="O271" i="18"/>
  <c r="P271" i="18" s="1"/>
  <c r="O269" i="18"/>
  <c r="P269" i="18" s="1"/>
  <c r="O263" i="18"/>
  <c r="P263" i="18" s="1"/>
  <c r="O259" i="18"/>
  <c r="P259" i="18" s="1"/>
  <c r="O253" i="18"/>
  <c r="P253" i="18" s="1"/>
  <c r="O251" i="18"/>
  <c r="P251" i="18" s="1"/>
  <c r="O247" i="18"/>
  <c r="P247" i="18" s="1"/>
  <c r="O245" i="18"/>
  <c r="P245" i="18" s="1"/>
  <c r="O243" i="18"/>
  <c r="P243" i="18" s="1"/>
  <c r="P241" i="18"/>
  <c r="O237" i="18"/>
  <c r="P237" i="18" s="1"/>
  <c r="O233" i="18"/>
  <c r="P233" i="18" s="1"/>
  <c r="O231" i="18"/>
  <c r="P231" i="18" s="1"/>
  <c r="O225" i="18"/>
  <c r="P225" i="18" s="1"/>
  <c r="O223" i="18"/>
  <c r="P223" i="18" s="1"/>
  <c r="O221" i="18"/>
  <c r="P221" i="18" s="1"/>
  <c r="O210" i="18"/>
  <c r="P210" i="18" s="1"/>
  <c r="O32" i="17"/>
  <c r="P32" i="17" s="1"/>
  <c r="O46" i="17"/>
  <c r="P46" i="17" s="1"/>
  <c r="O48" i="17"/>
  <c r="P48" i="17" s="1"/>
  <c r="O51" i="17"/>
  <c r="P51" i="17" s="1"/>
  <c r="O147" i="17"/>
  <c r="P147" i="17" s="1"/>
  <c r="O277" i="17"/>
  <c r="P277" i="17" s="1"/>
  <c r="O291" i="17"/>
  <c r="P291" i="17" s="1"/>
  <c r="O122" i="18"/>
  <c r="P122" i="18" s="1"/>
  <c r="O120" i="18"/>
  <c r="P120" i="18" s="1"/>
  <c r="O176" i="18"/>
  <c r="P176" i="18" s="1"/>
  <c r="O8" i="17"/>
  <c r="P8" i="17" s="1"/>
  <c r="O216" i="18"/>
  <c r="P216" i="18" s="1"/>
  <c r="O165" i="18"/>
  <c r="P165" i="18" s="1"/>
  <c r="O19" i="17"/>
  <c r="P19" i="17" s="1"/>
  <c r="O47" i="16"/>
  <c r="P47" i="16" s="1"/>
  <c r="P144" i="16"/>
  <c r="O52" i="18"/>
  <c r="P52" i="18" s="1"/>
  <c r="O30" i="17"/>
  <c r="P30" i="17" s="1"/>
  <c r="O258" i="17"/>
  <c r="P258" i="17" s="1"/>
  <c r="O178" i="17"/>
  <c r="P178" i="17" s="1"/>
  <c r="O195" i="17"/>
  <c r="P195" i="17" s="1"/>
  <c r="O206" i="17"/>
  <c r="P206" i="17" s="1"/>
  <c r="O289" i="17"/>
  <c r="P289" i="17" s="1"/>
  <c r="O122" i="16"/>
  <c r="P122" i="16" s="1"/>
  <c r="O187" i="16"/>
  <c r="P187" i="16" s="1"/>
  <c r="O197" i="16"/>
  <c r="P197" i="16" s="1"/>
  <c r="O215" i="16"/>
  <c r="P215" i="16" s="1"/>
  <c r="O241" i="16"/>
  <c r="P241" i="16" s="1"/>
  <c r="O253" i="16"/>
  <c r="P253" i="16" s="1"/>
  <c r="O275" i="16"/>
  <c r="P275" i="16" s="1"/>
  <c r="O277" i="16"/>
  <c r="P277" i="16" s="1"/>
  <c r="O289" i="16"/>
  <c r="P289" i="16" s="1"/>
  <c r="O317" i="16"/>
  <c r="P317" i="16" s="1"/>
  <c r="O321" i="16"/>
  <c r="P321" i="16" s="1"/>
  <c r="O361" i="16"/>
  <c r="P361" i="16" s="1"/>
  <c r="O363" i="16"/>
  <c r="P363" i="16" s="1"/>
  <c r="O397" i="16"/>
  <c r="P397" i="16" s="1"/>
  <c r="O399" i="16"/>
  <c r="P399" i="16" s="1"/>
  <c r="O13" i="19"/>
  <c r="P13" i="19" s="1"/>
  <c r="O33" i="19"/>
  <c r="P33" i="19" s="1"/>
  <c r="O59" i="19"/>
  <c r="P59" i="19" s="1"/>
  <c r="O87" i="19"/>
  <c r="P87" i="19" s="1"/>
  <c r="O129" i="19"/>
  <c r="P129" i="19" s="1"/>
  <c r="O145" i="19"/>
  <c r="P145" i="19" s="1"/>
  <c r="O153" i="19"/>
  <c r="P153" i="19" s="1"/>
  <c r="O157" i="19"/>
  <c r="P157" i="19" s="1"/>
  <c r="O179" i="19"/>
  <c r="P179" i="19" s="1"/>
  <c r="O227" i="19"/>
  <c r="P227" i="19" s="1"/>
  <c r="O267" i="19"/>
  <c r="P267" i="19" s="1"/>
  <c r="O277" i="19"/>
  <c r="P277" i="19" s="1"/>
  <c r="O291" i="19"/>
  <c r="P291" i="19" s="1"/>
  <c r="O293" i="19"/>
  <c r="P293" i="19" s="1"/>
  <c r="O297" i="19"/>
  <c r="P297" i="19" s="1"/>
  <c r="O299" i="19"/>
  <c r="P299" i="19" s="1"/>
  <c r="O301" i="19"/>
  <c r="P301" i="19" s="1"/>
  <c r="O303" i="19"/>
  <c r="P303" i="19" s="1"/>
  <c r="O307" i="19"/>
  <c r="P307" i="19" s="1"/>
  <c r="O309" i="19"/>
  <c r="P309" i="19" s="1"/>
  <c r="O317" i="19"/>
  <c r="P317" i="19" s="1"/>
  <c r="O319" i="19"/>
  <c r="P319" i="19" s="1"/>
  <c r="O321" i="19"/>
  <c r="P321" i="19" s="1"/>
  <c r="O325" i="19"/>
  <c r="P325" i="19" s="1"/>
  <c r="O327" i="19"/>
  <c r="P327" i="19" s="1"/>
  <c r="O329" i="19"/>
  <c r="P329" i="19" s="1"/>
  <c r="O331" i="19"/>
  <c r="P331" i="19" s="1"/>
  <c r="O333" i="19"/>
  <c r="P333" i="19" s="1"/>
  <c r="O345" i="19"/>
  <c r="P345" i="19" s="1"/>
  <c r="O347" i="19"/>
  <c r="P347" i="19" s="1"/>
  <c r="O349" i="19"/>
  <c r="P349" i="19" s="1"/>
  <c r="O351" i="19"/>
  <c r="P351" i="19" s="1"/>
  <c r="O353" i="19"/>
  <c r="P353" i="19" s="1"/>
  <c r="O355" i="19"/>
  <c r="P355" i="19" s="1"/>
  <c r="O359" i="19"/>
  <c r="P359" i="19" s="1"/>
  <c r="O365" i="19"/>
  <c r="P365" i="19" s="1"/>
  <c r="O367" i="19"/>
  <c r="P367" i="19" s="1"/>
  <c r="O369" i="19"/>
  <c r="P369" i="19" s="1"/>
  <c r="O373" i="19"/>
  <c r="P373" i="19" s="1"/>
  <c r="O375" i="19"/>
  <c r="P375" i="19" s="1"/>
  <c r="O377" i="19"/>
  <c r="P377" i="19" s="1"/>
  <c r="O379" i="19"/>
  <c r="P379" i="19" s="1"/>
  <c r="O381" i="19"/>
  <c r="P381" i="19" s="1"/>
  <c r="O383" i="19"/>
  <c r="P383" i="19" s="1"/>
  <c r="O387" i="19"/>
  <c r="P387" i="19" s="1"/>
  <c r="O391" i="19"/>
  <c r="P391" i="19" s="1"/>
  <c r="O393" i="19"/>
  <c r="P393" i="19" s="1"/>
  <c r="O395" i="19"/>
  <c r="P395" i="19" s="1"/>
  <c r="O12" i="20"/>
  <c r="P12" i="20" s="1"/>
  <c r="O14" i="20"/>
  <c r="P14" i="20" s="1"/>
  <c r="O132" i="18"/>
  <c r="P132" i="18" s="1"/>
  <c r="O39" i="18"/>
  <c r="P39" i="18" s="1"/>
  <c r="O200" i="18"/>
  <c r="P200" i="18" s="1"/>
  <c r="O20" i="17"/>
  <c r="P20" i="17" s="1"/>
  <c r="O82" i="17"/>
  <c r="P82" i="17" s="1"/>
  <c r="O173" i="17"/>
  <c r="P173" i="17" s="1"/>
  <c r="O176" i="17"/>
  <c r="P176" i="17" s="1"/>
  <c r="O268" i="17"/>
  <c r="P268" i="17" s="1"/>
  <c r="O120" i="16"/>
  <c r="P120" i="16" s="1"/>
  <c r="O123" i="16"/>
  <c r="P123" i="16" s="1"/>
  <c r="O244" i="17"/>
  <c r="P244" i="17" s="1"/>
  <c r="O60" i="16"/>
  <c r="P60" i="16" s="1"/>
  <c r="O76" i="18"/>
  <c r="P76" i="18" s="1"/>
  <c r="O29" i="18"/>
  <c r="P29" i="18" s="1"/>
  <c r="O40" i="17"/>
  <c r="P40" i="17" s="1"/>
  <c r="O63" i="17"/>
  <c r="P63" i="17" s="1"/>
  <c r="O261" i="17"/>
  <c r="P261" i="17" s="1"/>
  <c r="O380" i="17"/>
  <c r="P380" i="17" s="1"/>
  <c r="O99" i="16"/>
  <c r="P99" i="16" s="1"/>
  <c r="O302" i="17"/>
  <c r="P302" i="17" s="1"/>
  <c r="O84" i="16"/>
  <c r="P84" i="16" s="1"/>
  <c r="O107" i="16"/>
  <c r="P107" i="16" s="1"/>
  <c r="O110" i="16"/>
  <c r="P110" i="16" s="1"/>
  <c r="O116" i="16"/>
  <c r="P116" i="16" s="1"/>
  <c r="O125" i="16"/>
  <c r="P125" i="16" s="1"/>
  <c r="O354" i="18"/>
  <c r="P354" i="18" s="1"/>
  <c r="O308" i="18"/>
  <c r="P308" i="18" s="1"/>
  <c r="O292" i="18"/>
  <c r="P292" i="18" s="1"/>
  <c r="O258" i="18"/>
  <c r="P258" i="18" s="1"/>
  <c r="O238" i="18"/>
  <c r="P238" i="18" s="1"/>
  <c r="O118" i="17"/>
  <c r="P118" i="17" s="1"/>
  <c r="O148" i="17"/>
  <c r="P148" i="17" s="1"/>
  <c r="O91" i="17"/>
  <c r="P91" i="17" s="1"/>
  <c r="O198" i="17"/>
  <c r="P198" i="17" s="1"/>
  <c r="O91" i="16"/>
  <c r="P91" i="16" s="1"/>
  <c r="O79" i="17"/>
  <c r="P79" i="17" s="1"/>
  <c r="O116" i="17"/>
  <c r="P116" i="17" s="1"/>
  <c r="O300" i="17"/>
  <c r="P300" i="17" s="1"/>
  <c r="O322" i="20"/>
  <c r="P322" i="20" s="1"/>
  <c r="O35" i="18"/>
  <c r="P35" i="18" s="1"/>
  <c r="O204" i="18"/>
  <c r="P204" i="18" s="1"/>
  <c r="O192" i="17"/>
  <c r="P192" i="17" s="1"/>
  <c r="O242" i="17"/>
  <c r="P242" i="17" s="1"/>
  <c r="O308" i="20"/>
  <c r="P308" i="20" s="1"/>
  <c r="O310" i="20"/>
  <c r="P310" i="20" s="1"/>
  <c r="O312" i="20"/>
  <c r="P312" i="20" s="1"/>
  <c r="O316" i="20"/>
  <c r="P316" i="20" s="1"/>
  <c r="O326" i="20"/>
  <c r="P326" i="20" s="1"/>
  <c r="O332" i="20"/>
  <c r="P332" i="20" s="1"/>
  <c r="O334" i="20"/>
  <c r="P334" i="20" s="1"/>
  <c r="O338" i="20"/>
  <c r="P338" i="20" s="1"/>
  <c r="O342" i="20"/>
  <c r="P342" i="20" s="1"/>
  <c r="O344" i="20"/>
  <c r="P344" i="20" s="1"/>
  <c r="O346" i="20"/>
  <c r="P346" i="20" s="1"/>
  <c r="O348" i="20"/>
  <c r="P348" i="20" s="1"/>
  <c r="O350" i="20"/>
  <c r="P350" i="20" s="1"/>
  <c r="O354" i="20"/>
  <c r="P354" i="20" s="1"/>
  <c r="O366" i="20"/>
  <c r="P366" i="20" s="1"/>
  <c r="O368" i="20"/>
  <c r="P368" i="20" s="1"/>
  <c r="O370" i="20"/>
  <c r="P370" i="20" s="1"/>
  <c r="O372" i="20"/>
  <c r="P372" i="20" s="1"/>
  <c r="O376" i="20"/>
  <c r="P376" i="20" s="1"/>
  <c r="O392" i="20"/>
  <c r="P392" i="20" s="1"/>
  <c r="O406" i="20"/>
  <c r="P406" i="20" s="1"/>
  <c r="O355" i="18"/>
  <c r="P355" i="18" s="1"/>
  <c r="P238" i="23"/>
  <c r="O289" i="19"/>
  <c r="P289" i="19" s="1"/>
  <c r="O357" i="19"/>
  <c r="P357" i="19" s="1"/>
  <c r="O161" i="16"/>
  <c r="P161" i="16" s="1"/>
  <c r="O81" i="20"/>
  <c r="P81" i="20" s="1"/>
  <c r="O83" i="20"/>
  <c r="P83" i="20" s="1"/>
  <c r="O97" i="20"/>
  <c r="P97" i="20" s="1"/>
  <c r="P115" i="20"/>
  <c r="O121" i="20"/>
  <c r="P121" i="20" s="1"/>
  <c r="O123" i="20"/>
  <c r="P123" i="20" s="1"/>
  <c r="O127" i="20"/>
  <c r="P127" i="20" s="1"/>
  <c r="O135" i="20"/>
  <c r="P135" i="20" s="1"/>
  <c r="O137" i="20"/>
  <c r="P137" i="20" s="1"/>
  <c r="O139" i="20"/>
  <c r="P139" i="20" s="1"/>
  <c r="O147" i="20"/>
  <c r="P147" i="20" s="1"/>
  <c r="O177" i="20"/>
  <c r="P177" i="20" s="1"/>
  <c r="O187" i="20"/>
  <c r="P187" i="20" s="1"/>
  <c r="O193" i="20"/>
  <c r="P193" i="20" s="1"/>
  <c r="O195" i="20"/>
  <c r="P195" i="20" s="1"/>
  <c r="P197" i="20"/>
  <c r="O203" i="20"/>
  <c r="P203" i="20" s="1"/>
  <c r="O205" i="20"/>
  <c r="P205" i="20" s="1"/>
  <c r="O211" i="20"/>
  <c r="P211" i="20" s="1"/>
  <c r="P213" i="20"/>
  <c r="O221" i="20"/>
  <c r="P221" i="20" s="1"/>
  <c r="O247" i="20"/>
  <c r="P247" i="20" s="1"/>
  <c r="O251" i="20"/>
  <c r="P251" i="20" s="1"/>
  <c r="O253" i="20"/>
  <c r="P253" i="20" s="1"/>
  <c r="P277" i="20"/>
  <c r="O281" i="20"/>
  <c r="P281" i="20" s="1"/>
  <c r="O291" i="20"/>
  <c r="P291" i="20" s="1"/>
  <c r="O293" i="20"/>
  <c r="P293" i="20" s="1"/>
  <c r="O21" i="23"/>
  <c r="P21" i="23" s="1"/>
  <c r="O31" i="23"/>
  <c r="P31" i="23" s="1"/>
  <c r="O41" i="23"/>
  <c r="P41" i="23" s="1"/>
  <c r="O49" i="23"/>
  <c r="P49" i="23" s="1"/>
  <c r="O57" i="23"/>
  <c r="P57" i="23" s="1"/>
  <c r="O65" i="23"/>
  <c r="P65" i="23" s="1"/>
  <c r="O69" i="23"/>
  <c r="P69" i="23" s="1"/>
  <c r="O75" i="23"/>
  <c r="P75" i="23" s="1"/>
  <c r="O81" i="23"/>
  <c r="P81" i="23" s="1"/>
  <c r="O101" i="23"/>
  <c r="P101" i="23" s="1"/>
  <c r="O109" i="23"/>
  <c r="P109" i="23" s="1"/>
  <c r="O115" i="23"/>
  <c r="P115" i="23" s="1"/>
  <c r="O117" i="23"/>
  <c r="P117" i="23" s="1"/>
  <c r="O119" i="23"/>
  <c r="P119" i="23" s="1"/>
  <c r="O125" i="23"/>
  <c r="P125" i="23" s="1"/>
  <c r="O139" i="23"/>
  <c r="P139" i="23" s="1"/>
  <c r="O141" i="23"/>
  <c r="P141" i="23" s="1"/>
  <c r="O143" i="23"/>
  <c r="P143" i="23" s="1"/>
  <c r="O145" i="23"/>
  <c r="P145" i="23" s="1"/>
  <c r="O155" i="23"/>
  <c r="P155" i="23" s="1"/>
  <c r="O161" i="23"/>
  <c r="P161" i="23" s="1"/>
  <c r="O167" i="23"/>
  <c r="P167" i="23" s="1"/>
  <c r="O185" i="23"/>
  <c r="P185" i="23" s="1"/>
  <c r="O59" i="18"/>
  <c r="P59" i="18" s="1"/>
  <c r="O397" i="18"/>
  <c r="P397" i="18" s="1"/>
  <c r="O377" i="18"/>
  <c r="P377" i="18" s="1"/>
  <c r="O367" i="18"/>
  <c r="P367" i="18" s="1"/>
  <c r="O321" i="18"/>
  <c r="P321" i="18" s="1"/>
  <c r="O265" i="18"/>
  <c r="P265" i="18" s="1"/>
  <c r="P183" i="24"/>
  <c r="O257" i="18"/>
  <c r="P257" i="18" s="1"/>
  <c r="O337" i="16"/>
  <c r="P337" i="16" s="1"/>
  <c r="O225" i="19"/>
  <c r="P225" i="19" s="1"/>
  <c r="O261" i="19"/>
  <c r="P261" i="19" s="1"/>
  <c r="P111" i="24"/>
  <c r="P224" i="23"/>
  <c r="O203" i="18"/>
  <c r="P203" i="18" s="1"/>
  <c r="P388" i="23"/>
  <c r="O209" i="16"/>
  <c r="P209" i="16" s="1"/>
  <c r="O389" i="19"/>
  <c r="P389" i="19" s="1"/>
  <c r="O327" i="18"/>
  <c r="P327" i="18" s="1"/>
  <c r="O65" i="18"/>
  <c r="P65" i="18" s="1"/>
  <c r="O45" i="18"/>
  <c r="P45" i="18" s="1"/>
  <c r="O115" i="17"/>
  <c r="P115" i="17" s="1"/>
  <c r="O378" i="20"/>
  <c r="P378" i="20" s="1"/>
  <c r="O386" i="20"/>
  <c r="P386" i="20" s="1"/>
  <c r="O408" i="20"/>
  <c r="P408" i="20" s="1"/>
  <c r="O198" i="23"/>
  <c r="P198" i="23" s="1"/>
  <c r="O208" i="23"/>
  <c r="P208" i="23" s="1"/>
  <c r="O228" i="23"/>
  <c r="P228" i="23" s="1"/>
  <c r="O236" i="23"/>
  <c r="P236" i="23" s="1"/>
  <c r="O244" i="23"/>
  <c r="P244" i="23" s="1"/>
  <c r="O256" i="23"/>
  <c r="P256" i="23" s="1"/>
  <c r="O260" i="23"/>
  <c r="P260" i="23" s="1"/>
  <c r="O278" i="23"/>
  <c r="P278" i="23" s="1"/>
  <c r="O326" i="23"/>
  <c r="P326" i="23" s="1"/>
  <c r="P332" i="23"/>
  <c r="O336" i="23"/>
  <c r="P336" i="23" s="1"/>
  <c r="O338" i="23"/>
  <c r="P338" i="23" s="1"/>
  <c r="O342" i="23"/>
  <c r="P342" i="23" s="1"/>
  <c r="O368" i="23"/>
  <c r="P368" i="23" s="1"/>
  <c r="O384" i="23"/>
  <c r="P384" i="23" s="1"/>
  <c r="O390" i="23"/>
  <c r="P390" i="23" s="1"/>
  <c r="O398" i="23"/>
  <c r="P398" i="23" s="1"/>
  <c r="O15" i="24"/>
  <c r="P15" i="24" s="1"/>
  <c r="O19" i="24"/>
  <c r="P19" i="24" s="1"/>
  <c r="O27" i="24"/>
  <c r="P27" i="24" s="1"/>
  <c r="O31" i="24"/>
  <c r="P31" i="24" s="1"/>
  <c r="O41" i="24"/>
  <c r="P41" i="24" s="1"/>
  <c r="O43" i="24"/>
  <c r="P43" i="24" s="1"/>
  <c r="O67" i="24"/>
  <c r="P67" i="24" s="1"/>
  <c r="O87" i="24"/>
  <c r="P87" i="24" s="1"/>
  <c r="O93" i="24"/>
  <c r="P93" i="24" s="1"/>
  <c r="O103" i="24"/>
  <c r="P103" i="24" s="1"/>
  <c r="O119" i="24"/>
  <c r="P119" i="24" s="1"/>
  <c r="O139" i="24"/>
  <c r="P139" i="24" s="1"/>
  <c r="O161" i="24"/>
  <c r="P161" i="24" s="1"/>
  <c r="O197" i="24"/>
  <c r="P197" i="24" s="1"/>
  <c r="O203" i="24"/>
  <c r="P203" i="24" s="1"/>
  <c r="O213" i="24"/>
  <c r="P213" i="24" s="1"/>
  <c r="P231" i="24"/>
  <c r="P362" i="23"/>
  <c r="O117" i="18"/>
  <c r="P117" i="18" s="1"/>
  <c r="O230" i="23"/>
  <c r="P230" i="23" s="1"/>
  <c r="P117" i="24"/>
  <c r="O387" i="18"/>
  <c r="P387" i="18" s="1"/>
  <c r="O323" i="18"/>
  <c r="P323" i="18" s="1"/>
  <c r="O313" i="18"/>
  <c r="P313" i="18" s="1"/>
  <c r="O267" i="18"/>
  <c r="P267" i="18" s="1"/>
  <c r="O261" i="18"/>
  <c r="P261" i="18" s="1"/>
  <c r="P249" i="18"/>
  <c r="O229" i="18"/>
  <c r="P229" i="18" s="1"/>
  <c r="O227" i="18"/>
  <c r="P227" i="18" s="1"/>
  <c r="O148" i="18"/>
  <c r="P148" i="18" s="1"/>
  <c r="O11" i="17"/>
  <c r="P11" i="17" s="1"/>
  <c r="O190" i="17"/>
  <c r="P190" i="17" s="1"/>
  <c r="O214" i="17"/>
  <c r="P214" i="17" s="1"/>
  <c r="O33" i="20"/>
  <c r="P33" i="20" s="1"/>
  <c r="P35" i="20"/>
  <c r="P81" i="24"/>
  <c r="O242" i="23"/>
  <c r="P242" i="23" s="1"/>
  <c r="O382" i="20"/>
  <c r="P382" i="20" s="1"/>
  <c r="O41" i="18"/>
  <c r="P41" i="18" s="1"/>
  <c r="O175" i="19"/>
  <c r="P175" i="19" s="1"/>
  <c r="O305" i="19"/>
  <c r="P305" i="19" s="1"/>
  <c r="O341" i="19"/>
  <c r="P341" i="19" s="1"/>
  <c r="O385" i="19"/>
  <c r="P385" i="19" s="1"/>
  <c r="O397" i="19"/>
  <c r="P397" i="19" s="1"/>
  <c r="O6" i="20"/>
  <c r="P6" i="20" s="1"/>
  <c r="O131" i="16"/>
  <c r="P131" i="16" s="1"/>
  <c r="O139" i="16"/>
  <c r="P139" i="16" s="1"/>
  <c r="P55" i="24"/>
  <c r="O173" i="24"/>
  <c r="P173" i="24" s="1"/>
  <c r="O297" i="18"/>
  <c r="P297" i="18" s="1"/>
  <c r="P135" i="24"/>
  <c r="O239" i="24"/>
  <c r="P239" i="24" s="1"/>
  <c r="P187" i="24"/>
  <c r="P324" i="23"/>
  <c r="O202" i="23"/>
  <c r="P202" i="23" s="1"/>
  <c r="P41" i="20"/>
  <c r="O85" i="23"/>
  <c r="P85" i="23" s="1"/>
  <c r="P49" i="24"/>
  <c r="P237" i="24"/>
  <c r="O48" i="18"/>
  <c r="P48" i="18" s="1"/>
  <c r="P153" i="24"/>
  <c r="P47" i="24"/>
  <c r="P314" i="23"/>
  <c r="O200" i="23"/>
  <c r="P200" i="23" s="1"/>
  <c r="P318" i="23"/>
  <c r="O389" i="18"/>
  <c r="P389" i="18" s="1"/>
  <c r="O361" i="18"/>
  <c r="P361" i="18" s="1"/>
  <c r="O277" i="18"/>
  <c r="P277" i="18" s="1"/>
  <c r="O245" i="24"/>
  <c r="P245" i="24" s="1"/>
  <c r="O179" i="17"/>
  <c r="P179" i="17" s="1"/>
  <c r="O279" i="16"/>
  <c r="P279" i="16" s="1"/>
  <c r="O343" i="19"/>
  <c r="P343" i="19" s="1"/>
  <c r="O72" i="18"/>
  <c r="P72" i="18" s="1"/>
  <c r="P334" i="23"/>
  <c r="O169" i="24"/>
  <c r="P169" i="24" s="1"/>
  <c r="O53" i="24"/>
  <c r="P53" i="24" s="1"/>
  <c r="O10" i="20"/>
  <c r="P10" i="20" s="1"/>
  <c r="O204" i="23"/>
  <c r="P204" i="23" s="1"/>
  <c r="O246" i="23"/>
  <c r="P246" i="23" s="1"/>
  <c r="O391" i="18"/>
  <c r="P391" i="18" s="1"/>
  <c r="O211" i="24"/>
  <c r="P211" i="24" s="1"/>
  <c r="P77" i="24"/>
  <c r="O54" i="17"/>
  <c r="P54" i="17" s="1"/>
  <c r="O297" i="16"/>
  <c r="P297" i="16" s="1"/>
  <c r="O323" i="19"/>
  <c r="P323" i="19" s="1"/>
  <c r="O335" i="19"/>
  <c r="P335" i="19" s="1"/>
  <c r="O8" i="20"/>
  <c r="P8" i="20" s="1"/>
  <c r="O11" i="24"/>
  <c r="P11" i="24" s="1"/>
  <c r="O195" i="24"/>
  <c r="P195" i="24" s="1"/>
  <c r="P155" i="24"/>
  <c r="P263" i="24"/>
  <c r="P17" i="24"/>
  <c r="O388" i="20"/>
  <c r="P388" i="20" s="1"/>
  <c r="O216" i="23"/>
  <c r="P216" i="23" s="1"/>
  <c r="O218" i="23"/>
  <c r="P218" i="23" s="1"/>
  <c r="O220" i="23"/>
  <c r="P220" i="23" s="1"/>
  <c r="O226" i="23"/>
  <c r="P226" i="23" s="1"/>
  <c r="P266" i="23"/>
  <c r="O274" i="23"/>
  <c r="P274" i="23" s="1"/>
  <c r="O288" i="23"/>
  <c r="P288" i="23" s="1"/>
  <c r="O320" i="23"/>
  <c r="P320" i="23" s="1"/>
  <c r="O344" i="23"/>
  <c r="P344" i="23" s="1"/>
  <c r="O364" i="23"/>
  <c r="P364" i="23" s="1"/>
  <c r="O378" i="23"/>
  <c r="P378" i="23" s="1"/>
  <c r="O400" i="23"/>
  <c r="P400" i="23" s="1"/>
  <c r="O9" i="24"/>
  <c r="P9" i="24" s="1"/>
  <c r="P29" i="24"/>
  <c r="O51" i="24"/>
  <c r="P51" i="24" s="1"/>
  <c r="O65" i="24"/>
  <c r="P65" i="24" s="1"/>
  <c r="O101" i="24"/>
  <c r="P101" i="24" s="1"/>
  <c r="O107" i="24"/>
  <c r="P107" i="24" s="1"/>
  <c r="O125" i="24"/>
  <c r="P125" i="24" s="1"/>
  <c r="O127" i="24"/>
  <c r="P127" i="24" s="1"/>
  <c r="O131" i="24"/>
  <c r="P131" i="24" s="1"/>
  <c r="O141" i="24"/>
  <c r="P141" i="24" s="1"/>
  <c r="O143" i="24"/>
  <c r="P143" i="24" s="1"/>
  <c r="O149" i="24"/>
  <c r="P149" i="24" s="1"/>
  <c r="O159" i="24"/>
  <c r="P159" i="24" s="1"/>
  <c r="O193" i="24"/>
  <c r="P193" i="24" s="1"/>
  <c r="O201" i="24"/>
  <c r="P201" i="24" s="1"/>
  <c r="P205" i="24"/>
  <c r="O217" i="24"/>
  <c r="P217" i="24" s="1"/>
  <c r="O219" i="24"/>
  <c r="P219" i="24" s="1"/>
  <c r="O253" i="24"/>
  <c r="P253" i="24" s="1"/>
  <c r="O259" i="24"/>
  <c r="P259" i="24" s="1"/>
  <c r="P262" i="23"/>
  <c r="O28" i="18"/>
  <c r="P28" i="18" s="1"/>
  <c r="O333" i="18"/>
  <c r="P333" i="18" s="1"/>
  <c r="O299" i="18"/>
  <c r="P299" i="18" s="1"/>
  <c r="O291" i="18"/>
  <c r="P291" i="18" s="1"/>
  <c r="O279" i="18"/>
  <c r="P279" i="18" s="1"/>
  <c r="O235" i="18"/>
  <c r="P235" i="18" s="1"/>
  <c r="O14" i="17"/>
  <c r="P14" i="17" s="1"/>
  <c r="O187" i="17"/>
  <c r="P187" i="17" s="1"/>
  <c r="P356" i="23"/>
  <c r="O352" i="23"/>
  <c r="P352" i="23" s="1"/>
  <c r="O33" i="17"/>
  <c r="P33" i="17" s="1"/>
  <c r="O261" i="16"/>
  <c r="P261" i="16" s="1"/>
  <c r="O53" i="19"/>
  <c r="P53" i="19" s="1"/>
  <c r="O287" i="19"/>
  <c r="P287" i="19" s="1"/>
  <c r="O295" i="19"/>
  <c r="P295" i="19" s="1"/>
  <c r="O313" i="19"/>
  <c r="P313" i="19" s="1"/>
  <c r="O339" i="19"/>
  <c r="P339" i="19" s="1"/>
  <c r="O399" i="19"/>
  <c r="P399" i="19" s="1"/>
  <c r="O225" i="24"/>
  <c r="P225" i="24" s="1"/>
  <c r="O63" i="18"/>
  <c r="P63" i="18" s="1"/>
  <c r="O23" i="18"/>
  <c r="P23" i="18" s="1"/>
  <c r="O299" i="17"/>
  <c r="P299" i="17" s="1"/>
  <c r="O143" i="16"/>
  <c r="P143" i="16" s="1"/>
  <c r="O151" i="16"/>
  <c r="P151" i="16" s="1"/>
  <c r="O209" i="24"/>
  <c r="P209" i="24" s="1"/>
  <c r="P39" i="20"/>
  <c r="O53" i="23"/>
  <c r="P53" i="23" s="1"/>
  <c r="P233" i="24"/>
  <c r="P181" i="24"/>
  <c r="P37" i="20"/>
  <c r="P175" i="24"/>
  <c r="P306" i="23"/>
  <c r="P165" i="24"/>
  <c r="O382" i="23"/>
  <c r="P382" i="23" s="1"/>
  <c r="O161" i="20"/>
  <c r="P161" i="20" s="1"/>
  <c r="P123" i="24"/>
  <c r="O303" i="18"/>
  <c r="P303" i="18" s="1"/>
  <c r="O308" i="23"/>
  <c r="P308" i="23" s="1"/>
  <c r="O252" i="23"/>
  <c r="P252" i="23" s="1"/>
  <c r="P374" i="23"/>
  <c r="O112" i="17"/>
  <c r="P112" i="17" s="1"/>
  <c r="O219" i="20"/>
  <c r="P219" i="20" s="1"/>
  <c r="P296" i="23"/>
  <c r="O265" i="24"/>
  <c r="P265" i="24" s="1"/>
  <c r="O267" i="24"/>
  <c r="P267" i="24" s="1"/>
  <c r="O275" i="24"/>
  <c r="P275" i="24" s="1"/>
  <c r="O103" i="18"/>
  <c r="P103" i="18" s="1"/>
  <c r="O100" i="18"/>
  <c r="P100" i="18" s="1"/>
  <c r="O84" i="18"/>
  <c r="P84" i="18" s="1"/>
  <c r="P218" i="18"/>
  <c r="O123" i="17"/>
  <c r="P123" i="17" s="1"/>
  <c r="O96" i="18"/>
  <c r="P96" i="18" s="1"/>
  <c r="O211" i="18"/>
  <c r="P211" i="18" s="1"/>
  <c r="O161" i="17"/>
  <c r="P161" i="17" s="1"/>
  <c r="O96" i="16"/>
  <c r="P96" i="16" s="1"/>
  <c r="O100" i="16"/>
  <c r="P100" i="16" s="1"/>
  <c r="O169" i="16"/>
  <c r="P169" i="16" s="1"/>
  <c r="O171" i="16"/>
  <c r="P171" i="16" s="1"/>
  <c r="O173" i="16"/>
  <c r="P173" i="16" s="1"/>
  <c r="O177" i="16"/>
  <c r="P177" i="16" s="1"/>
  <c r="O179" i="16"/>
  <c r="P179" i="16" s="1"/>
  <c r="O181" i="16"/>
  <c r="P181" i="16" s="1"/>
  <c r="O183" i="16"/>
  <c r="P183" i="16" s="1"/>
  <c r="O185" i="16"/>
  <c r="P185" i="16" s="1"/>
  <c r="O189" i="16"/>
  <c r="P189" i="16" s="1"/>
  <c r="O191" i="16"/>
  <c r="P191" i="16" s="1"/>
  <c r="O193" i="16"/>
  <c r="P193" i="16" s="1"/>
  <c r="O195" i="16"/>
  <c r="P195" i="16" s="1"/>
  <c r="O199" i="16"/>
  <c r="P199" i="16" s="1"/>
  <c r="O201" i="16"/>
  <c r="P201" i="16" s="1"/>
  <c r="O203" i="16"/>
  <c r="P203" i="16" s="1"/>
  <c r="O205" i="16"/>
  <c r="P205" i="16" s="1"/>
  <c r="O207" i="16"/>
  <c r="P207" i="16" s="1"/>
  <c r="O211" i="16"/>
  <c r="P211" i="16" s="1"/>
  <c r="O213" i="16"/>
  <c r="P213" i="16" s="1"/>
  <c r="O217" i="16"/>
  <c r="P217" i="16" s="1"/>
  <c r="O219" i="16"/>
  <c r="P219" i="16" s="1"/>
  <c r="O221" i="16"/>
  <c r="P221" i="16" s="1"/>
  <c r="O223" i="16"/>
  <c r="P223" i="16" s="1"/>
  <c r="O225" i="16"/>
  <c r="P225" i="16" s="1"/>
  <c r="O229" i="16"/>
  <c r="P229" i="16" s="1"/>
  <c r="O231" i="16"/>
  <c r="P231" i="16" s="1"/>
  <c r="O233" i="16"/>
  <c r="P233" i="16" s="1"/>
  <c r="O235" i="16"/>
  <c r="P235" i="16" s="1"/>
  <c r="O237" i="16"/>
  <c r="P237" i="16" s="1"/>
  <c r="O239" i="16"/>
  <c r="P239" i="16" s="1"/>
  <c r="O243" i="16"/>
  <c r="P243" i="16" s="1"/>
  <c r="O245" i="16"/>
  <c r="P245" i="16" s="1"/>
  <c r="O247" i="16"/>
  <c r="P247" i="16" s="1"/>
  <c r="O249" i="16"/>
  <c r="P249" i="16" s="1"/>
  <c r="O251" i="16"/>
  <c r="P251" i="16" s="1"/>
  <c r="O255" i="16"/>
  <c r="P255" i="16" s="1"/>
  <c r="O257" i="16"/>
  <c r="P257" i="16" s="1"/>
  <c r="O259" i="16"/>
  <c r="P259" i="16" s="1"/>
  <c r="O263" i="16"/>
  <c r="P263" i="16" s="1"/>
  <c r="O265" i="16"/>
  <c r="P265" i="16" s="1"/>
  <c r="O267" i="16"/>
  <c r="P267" i="16" s="1"/>
  <c r="O269" i="16"/>
  <c r="P269" i="16" s="1"/>
  <c r="O271" i="16"/>
  <c r="P271" i="16" s="1"/>
  <c r="O281" i="16"/>
  <c r="P281" i="16" s="1"/>
  <c r="O283" i="16"/>
  <c r="P283" i="16" s="1"/>
  <c r="O18" i="17"/>
  <c r="P18" i="17" s="1"/>
  <c r="O180" i="18"/>
  <c r="P180" i="18" s="1"/>
  <c r="O285" i="16"/>
  <c r="P285" i="16" s="1"/>
  <c r="O287" i="16"/>
  <c r="P287" i="16" s="1"/>
  <c r="O291" i="16"/>
  <c r="P291" i="16" s="1"/>
  <c r="O293" i="16"/>
  <c r="P293" i="16" s="1"/>
  <c r="O295" i="16"/>
  <c r="P295" i="16" s="1"/>
  <c r="O299" i="16"/>
  <c r="P299" i="16" s="1"/>
  <c r="O301" i="16"/>
  <c r="P301" i="16" s="1"/>
  <c r="O303" i="16"/>
  <c r="P303" i="16" s="1"/>
  <c r="O305" i="16"/>
  <c r="P305" i="16" s="1"/>
  <c r="O307" i="16"/>
  <c r="P307" i="16" s="1"/>
  <c r="O309" i="16"/>
  <c r="P309" i="16" s="1"/>
  <c r="O311" i="16"/>
  <c r="P311" i="16" s="1"/>
  <c r="O313" i="16"/>
  <c r="P313" i="16" s="1"/>
  <c r="O315" i="16"/>
  <c r="P315" i="16" s="1"/>
  <c r="O319" i="16"/>
  <c r="P319" i="16" s="1"/>
  <c r="O323" i="16"/>
  <c r="P323" i="16" s="1"/>
  <c r="O325" i="16"/>
  <c r="P325" i="16" s="1"/>
  <c r="O327" i="16"/>
  <c r="P327" i="16" s="1"/>
  <c r="O329" i="16"/>
  <c r="P329" i="16" s="1"/>
  <c r="O331" i="16"/>
  <c r="P331" i="16" s="1"/>
  <c r="O333" i="16"/>
  <c r="P333" i="16" s="1"/>
  <c r="O335" i="16"/>
  <c r="P335" i="16" s="1"/>
  <c r="O339" i="16"/>
  <c r="P339" i="16" s="1"/>
  <c r="O341" i="16"/>
  <c r="P341" i="16" s="1"/>
  <c r="O345" i="16"/>
  <c r="P345" i="16" s="1"/>
  <c r="O347" i="16"/>
  <c r="P347" i="16" s="1"/>
  <c r="O349" i="16"/>
  <c r="P349" i="16" s="1"/>
  <c r="O353" i="16"/>
  <c r="P353" i="16" s="1"/>
  <c r="O355" i="16"/>
  <c r="P355" i="16" s="1"/>
  <c r="O357" i="16"/>
  <c r="P357" i="16" s="1"/>
  <c r="O359" i="16"/>
  <c r="P359" i="16" s="1"/>
  <c r="O365" i="16"/>
  <c r="P365" i="16" s="1"/>
  <c r="O367" i="16"/>
  <c r="P367" i="16" s="1"/>
  <c r="O369" i="16"/>
  <c r="P369" i="16" s="1"/>
  <c r="O371" i="16"/>
  <c r="P371" i="16" s="1"/>
  <c r="O373" i="16"/>
  <c r="P373" i="16" s="1"/>
  <c r="O375" i="16"/>
  <c r="P375" i="16" s="1"/>
  <c r="O377" i="16"/>
  <c r="P377" i="16" s="1"/>
  <c r="O379" i="16"/>
  <c r="P379" i="16" s="1"/>
  <c r="O381" i="16"/>
  <c r="P381" i="16" s="1"/>
  <c r="O383" i="16"/>
  <c r="P383" i="16" s="1"/>
  <c r="O385" i="16"/>
  <c r="P385" i="16" s="1"/>
  <c r="O387" i="16"/>
  <c r="P387" i="16" s="1"/>
  <c r="O389" i="16"/>
  <c r="P389" i="16" s="1"/>
  <c r="O391" i="16"/>
  <c r="P391" i="16" s="1"/>
  <c r="O393" i="16"/>
  <c r="P393" i="16" s="1"/>
  <c r="O395" i="16"/>
  <c r="P395" i="16" s="1"/>
  <c r="O7" i="19"/>
  <c r="P7" i="19" s="1"/>
  <c r="O9" i="19"/>
  <c r="P9" i="19" s="1"/>
  <c r="O11" i="19"/>
  <c r="P11" i="19" s="1"/>
  <c r="O15" i="19"/>
  <c r="P15" i="19" s="1"/>
  <c r="O17" i="19"/>
  <c r="P17" i="19" s="1"/>
  <c r="O19" i="19"/>
  <c r="P19" i="19" s="1"/>
  <c r="O21" i="19"/>
  <c r="P21" i="19" s="1"/>
  <c r="O23" i="19"/>
  <c r="P23" i="19" s="1"/>
  <c r="O25" i="19"/>
  <c r="P25" i="19" s="1"/>
  <c r="O27" i="19"/>
  <c r="P27" i="19" s="1"/>
  <c r="O29" i="19"/>
  <c r="P29" i="19" s="1"/>
  <c r="O31" i="19"/>
  <c r="P31" i="19" s="1"/>
  <c r="O35" i="19"/>
  <c r="P35" i="19" s="1"/>
  <c r="O37" i="19"/>
  <c r="P37" i="19" s="1"/>
  <c r="O39" i="19"/>
  <c r="P39" i="19" s="1"/>
  <c r="O41" i="19"/>
  <c r="P41" i="19" s="1"/>
  <c r="O43" i="19"/>
  <c r="P43" i="19" s="1"/>
  <c r="O45" i="19"/>
  <c r="P45" i="19" s="1"/>
  <c r="O47" i="19"/>
  <c r="P47" i="19" s="1"/>
  <c r="O49" i="19"/>
  <c r="P49" i="19" s="1"/>
  <c r="O51" i="19"/>
  <c r="P51" i="19" s="1"/>
  <c r="O55" i="19"/>
  <c r="P55" i="19" s="1"/>
  <c r="O57" i="19"/>
  <c r="P57" i="19" s="1"/>
  <c r="O61" i="19"/>
  <c r="P61" i="19" s="1"/>
  <c r="O63" i="19"/>
  <c r="P63" i="19" s="1"/>
  <c r="O65" i="19"/>
  <c r="P65" i="19" s="1"/>
  <c r="O67" i="19"/>
  <c r="P67" i="19" s="1"/>
  <c r="O69" i="19"/>
  <c r="P69" i="19" s="1"/>
  <c r="O71" i="19"/>
  <c r="P71" i="19" s="1"/>
  <c r="O73" i="19"/>
  <c r="P73" i="19" s="1"/>
  <c r="O75" i="19"/>
  <c r="P75" i="19" s="1"/>
  <c r="O77" i="19"/>
  <c r="P77" i="19" s="1"/>
  <c r="O79" i="19"/>
  <c r="P79" i="19" s="1"/>
  <c r="O81" i="19"/>
  <c r="P81" i="19" s="1"/>
  <c r="O85" i="19"/>
  <c r="P85" i="19" s="1"/>
  <c r="O89" i="19"/>
  <c r="P89" i="19" s="1"/>
  <c r="O91" i="19"/>
  <c r="P91" i="19" s="1"/>
  <c r="O93" i="19"/>
  <c r="P93" i="19" s="1"/>
  <c r="O220" i="17"/>
  <c r="P220" i="17" s="1"/>
  <c r="O246" i="17"/>
  <c r="P246" i="17" s="1"/>
  <c r="O94" i="18"/>
  <c r="P94" i="18" s="1"/>
  <c r="O241" i="17"/>
  <c r="P241" i="17" s="1"/>
  <c r="O69" i="17"/>
  <c r="P69" i="17" s="1"/>
  <c r="O155" i="17"/>
  <c r="P155" i="17" s="1"/>
  <c r="O57" i="17"/>
  <c r="P57" i="17" s="1"/>
  <c r="O231" i="17"/>
  <c r="P231" i="17" s="1"/>
  <c r="O236" i="17"/>
  <c r="P236" i="17" s="1"/>
  <c r="O239" i="17"/>
  <c r="P239" i="17" s="1"/>
  <c r="O94" i="16"/>
  <c r="P94" i="16" s="1"/>
  <c r="O127" i="16"/>
  <c r="P127" i="16" s="1"/>
  <c r="O52" i="17"/>
  <c r="P52" i="17" s="1"/>
  <c r="O141" i="17"/>
  <c r="P141" i="17" s="1"/>
  <c r="O137" i="17"/>
  <c r="P137" i="17" s="1"/>
  <c r="O175" i="17"/>
  <c r="P175" i="17" s="1"/>
  <c r="O71" i="16"/>
  <c r="P71" i="16" s="1"/>
  <c r="O85" i="17"/>
  <c r="P85" i="17" s="1"/>
  <c r="O170" i="17"/>
  <c r="P170" i="17" s="1"/>
  <c r="O95" i="19"/>
  <c r="P95" i="19" s="1"/>
  <c r="O97" i="19"/>
  <c r="P97" i="19" s="1"/>
  <c r="O99" i="19"/>
  <c r="P99" i="19" s="1"/>
  <c r="O101" i="19"/>
  <c r="P101" i="19" s="1"/>
  <c r="O103" i="19"/>
  <c r="P103" i="19" s="1"/>
  <c r="O105" i="19"/>
  <c r="P105" i="19" s="1"/>
  <c r="O107" i="19"/>
  <c r="P107" i="19" s="1"/>
  <c r="O109" i="19"/>
  <c r="P109" i="19" s="1"/>
  <c r="O111" i="19"/>
  <c r="P111" i="19" s="1"/>
  <c r="O113" i="19"/>
  <c r="P113" i="19" s="1"/>
  <c r="O115" i="19"/>
  <c r="P115" i="19" s="1"/>
  <c r="O117" i="19"/>
  <c r="P117" i="19" s="1"/>
  <c r="O119" i="19"/>
  <c r="P119" i="19" s="1"/>
  <c r="O121" i="19"/>
  <c r="P121" i="19" s="1"/>
  <c r="O123" i="19"/>
  <c r="P123" i="19" s="1"/>
  <c r="O125" i="19"/>
  <c r="P125" i="19" s="1"/>
  <c r="O127" i="19"/>
  <c r="P127" i="19" s="1"/>
  <c r="O131" i="19"/>
  <c r="P131" i="19" s="1"/>
  <c r="O133" i="19"/>
  <c r="P133" i="19" s="1"/>
  <c r="O135" i="19"/>
  <c r="P135" i="19" s="1"/>
  <c r="O137" i="19"/>
  <c r="P137" i="19" s="1"/>
  <c r="O139" i="19"/>
  <c r="P139" i="19" s="1"/>
  <c r="O141" i="19"/>
  <c r="P141" i="19" s="1"/>
  <c r="O143" i="19"/>
  <c r="P143" i="19" s="1"/>
  <c r="O147" i="19"/>
  <c r="P147" i="19" s="1"/>
  <c r="O149" i="19"/>
  <c r="P149" i="19" s="1"/>
  <c r="O151" i="19"/>
  <c r="P151" i="19" s="1"/>
  <c r="O155" i="19"/>
  <c r="P155" i="19" s="1"/>
  <c r="O159" i="19"/>
  <c r="P159" i="19" s="1"/>
  <c r="O161" i="19"/>
  <c r="P161" i="19" s="1"/>
  <c r="O163" i="19"/>
  <c r="P163" i="19" s="1"/>
  <c r="O165" i="19"/>
  <c r="P165" i="19" s="1"/>
  <c r="O167" i="19"/>
  <c r="P167" i="19" s="1"/>
  <c r="O169" i="19"/>
  <c r="P169" i="19" s="1"/>
  <c r="O171" i="19"/>
  <c r="P171" i="19" s="1"/>
  <c r="O173" i="19"/>
  <c r="P173" i="19" s="1"/>
  <c r="O177" i="19"/>
  <c r="P177" i="19" s="1"/>
  <c r="O181" i="19"/>
  <c r="P181" i="19" s="1"/>
  <c r="O183" i="19"/>
  <c r="P183" i="19" s="1"/>
  <c r="O185" i="19"/>
  <c r="P185" i="19" s="1"/>
  <c r="O187" i="19"/>
  <c r="P187" i="19" s="1"/>
  <c r="O189" i="19"/>
  <c r="P189" i="19" s="1"/>
  <c r="O191" i="19"/>
  <c r="P191" i="19" s="1"/>
  <c r="O193" i="19"/>
  <c r="P193" i="19" s="1"/>
  <c r="O195" i="19"/>
  <c r="P195" i="19" s="1"/>
  <c r="O197" i="19"/>
  <c r="P197" i="19" s="1"/>
  <c r="O199" i="19"/>
  <c r="P199" i="19" s="1"/>
  <c r="O201" i="19"/>
  <c r="P201" i="19" s="1"/>
  <c r="O203" i="19"/>
  <c r="P203" i="19" s="1"/>
  <c r="O205" i="19"/>
  <c r="P205" i="19" s="1"/>
  <c r="O207" i="19"/>
  <c r="P207" i="19" s="1"/>
  <c r="O209" i="19"/>
  <c r="P209" i="19" s="1"/>
  <c r="O211" i="19"/>
  <c r="P211" i="19" s="1"/>
  <c r="O213" i="19"/>
  <c r="P213" i="19" s="1"/>
  <c r="O215" i="19"/>
  <c r="P215" i="19" s="1"/>
  <c r="O217" i="19"/>
  <c r="P217" i="19" s="1"/>
  <c r="O219" i="19"/>
  <c r="P219" i="19" s="1"/>
  <c r="O221" i="19"/>
  <c r="P221" i="19" s="1"/>
  <c r="O223" i="19"/>
  <c r="P223" i="19" s="1"/>
  <c r="O229" i="19"/>
  <c r="P229" i="19" s="1"/>
  <c r="O231" i="19"/>
  <c r="P231" i="19" s="1"/>
  <c r="O233" i="19"/>
  <c r="P233" i="19" s="1"/>
  <c r="O235" i="19"/>
  <c r="P235" i="19" s="1"/>
  <c r="O237" i="19"/>
  <c r="P237" i="19" s="1"/>
  <c r="O239" i="19"/>
  <c r="P239" i="19" s="1"/>
  <c r="O241" i="19"/>
  <c r="P241" i="19" s="1"/>
  <c r="O243" i="19"/>
  <c r="P243" i="19" s="1"/>
  <c r="O245" i="19"/>
  <c r="P245" i="19" s="1"/>
  <c r="O247" i="19"/>
  <c r="P247" i="19" s="1"/>
  <c r="O249" i="19"/>
  <c r="P249" i="19" s="1"/>
  <c r="O251" i="19"/>
  <c r="P251" i="19" s="1"/>
  <c r="O253" i="19"/>
  <c r="P253" i="19" s="1"/>
  <c r="O255" i="19"/>
  <c r="P255" i="19" s="1"/>
  <c r="O257" i="19"/>
  <c r="P257" i="19" s="1"/>
  <c r="O259" i="19"/>
  <c r="P259" i="19" s="1"/>
  <c r="O263" i="19"/>
  <c r="P263" i="19" s="1"/>
  <c r="O265" i="19"/>
  <c r="P265" i="19" s="1"/>
  <c r="O269" i="19"/>
  <c r="P269" i="19" s="1"/>
  <c r="O271" i="19"/>
  <c r="P271" i="19" s="1"/>
  <c r="O273" i="19"/>
  <c r="P273" i="19" s="1"/>
  <c r="O275" i="19"/>
  <c r="P275" i="19" s="1"/>
  <c r="O279" i="19"/>
  <c r="P279" i="19" s="1"/>
  <c r="O281" i="19"/>
  <c r="P281" i="19" s="1"/>
  <c r="O283" i="19"/>
  <c r="P283" i="19" s="1"/>
  <c r="O285" i="19"/>
  <c r="P285" i="19" s="1"/>
  <c r="O78" i="16"/>
  <c r="P78" i="16" s="1"/>
  <c r="O80" i="16"/>
  <c r="P80" i="16" s="1"/>
  <c r="O82" i="16"/>
  <c r="P82" i="16" s="1"/>
  <c r="O86" i="16"/>
  <c r="P86" i="16" s="1"/>
  <c r="O88" i="16"/>
  <c r="P88" i="16" s="1"/>
  <c r="O90" i="16"/>
  <c r="P90" i="16" s="1"/>
  <c r="O73" i="16"/>
  <c r="P73" i="16" s="1"/>
  <c r="O286" i="19"/>
  <c r="P286" i="19" s="1"/>
  <c r="O70" i="17"/>
  <c r="P70" i="17" s="1"/>
  <c r="O117" i="17"/>
  <c r="P117" i="17" s="1"/>
  <c r="O101" i="16"/>
  <c r="P101" i="16" s="1"/>
  <c r="O104" i="19"/>
  <c r="P104" i="19" s="1"/>
  <c r="O7" i="23"/>
  <c r="P7" i="23" s="1"/>
  <c r="O275" i="17"/>
  <c r="P275" i="17" s="1"/>
  <c r="O98" i="20"/>
  <c r="P98" i="20" s="1"/>
  <c r="O154" i="20"/>
  <c r="P154" i="20" s="1"/>
  <c r="O184" i="20"/>
  <c r="P184" i="20" s="1"/>
  <c r="O234" i="20"/>
  <c r="P234" i="20" s="1"/>
  <c r="O234" i="17"/>
  <c r="P234" i="17" s="1"/>
  <c r="O114" i="16"/>
  <c r="P114" i="16" s="1"/>
  <c r="O98" i="18"/>
  <c r="P98" i="18" s="1"/>
  <c r="O209" i="17"/>
  <c r="P209" i="17" s="1"/>
  <c r="O249" i="17"/>
  <c r="P249" i="17" s="1"/>
  <c r="O199" i="17"/>
  <c r="P199" i="17" s="1"/>
  <c r="O283" i="17"/>
  <c r="P283" i="17" s="1"/>
  <c r="O24" i="20"/>
  <c r="P24" i="20" s="1"/>
  <c r="O53" i="20"/>
  <c r="P53" i="20" s="1"/>
  <c r="O149" i="17"/>
  <c r="P149" i="17" s="1"/>
  <c r="O43" i="20"/>
  <c r="P43" i="20" s="1"/>
  <c r="O108" i="18"/>
  <c r="P108" i="18" s="1"/>
  <c r="O28" i="20"/>
  <c r="P28" i="20" s="1"/>
  <c r="O47" i="20"/>
  <c r="P47" i="20" s="1"/>
  <c r="O51" i="20"/>
  <c r="P51" i="20" s="1"/>
  <c r="O57" i="20"/>
  <c r="P57" i="20" s="1"/>
  <c r="O59" i="20"/>
  <c r="P59" i="20" s="1"/>
  <c r="O63" i="20"/>
  <c r="P63" i="20" s="1"/>
  <c r="O71" i="20"/>
  <c r="P71" i="20" s="1"/>
  <c r="O75" i="20"/>
  <c r="P75" i="20" s="1"/>
  <c r="P91" i="20"/>
  <c r="O23" i="17"/>
  <c r="P23" i="17" s="1"/>
  <c r="O67" i="17"/>
  <c r="P67" i="17" s="1"/>
  <c r="O144" i="17"/>
  <c r="P144" i="17" s="1"/>
  <c r="O184" i="17"/>
  <c r="P184" i="17" s="1"/>
  <c r="O196" i="17"/>
  <c r="P196" i="17" s="1"/>
  <c r="O224" i="17"/>
  <c r="P224" i="17" s="1"/>
  <c r="O237" i="17"/>
  <c r="P237" i="17" s="1"/>
  <c r="O79" i="16"/>
  <c r="P79" i="16" s="1"/>
  <c r="O83" i="16"/>
  <c r="P83" i="16" s="1"/>
  <c r="O20" i="20"/>
  <c r="P20" i="20" s="1"/>
  <c r="O55" i="20"/>
  <c r="P55" i="20" s="1"/>
  <c r="O159" i="17"/>
  <c r="P159" i="17" s="1"/>
  <c r="O49" i="20"/>
  <c r="P49" i="20" s="1"/>
  <c r="O89" i="20"/>
  <c r="P89" i="20" s="1"/>
  <c r="P104" i="17"/>
  <c r="P297" i="17"/>
  <c r="O16" i="20"/>
  <c r="P16" i="20" s="1"/>
  <c r="O45" i="20"/>
  <c r="P45" i="20" s="1"/>
  <c r="O51" i="16"/>
  <c r="P51" i="16" s="1"/>
  <c r="O118" i="18"/>
  <c r="P118" i="18" s="1"/>
  <c r="O64" i="17"/>
  <c r="P64" i="17" s="1"/>
  <c r="O65" i="20"/>
  <c r="P65" i="20" s="1"/>
  <c r="O9" i="23"/>
  <c r="P9" i="23" s="1"/>
  <c r="O95" i="20"/>
  <c r="P95" i="20" s="1"/>
  <c r="O38" i="17"/>
  <c r="P38" i="17" s="1"/>
  <c r="O113" i="18"/>
  <c r="P113" i="18" s="1"/>
  <c r="O110" i="18"/>
  <c r="P110" i="18" s="1"/>
  <c r="O170" i="18"/>
  <c r="P170" i="18" s="1"/>
  <c r="O7" i="18"/>
  <c r="P7" i="18" s="1"/>
  <c r="O137" i="18"/>
  <c r="P137" i="18" s="1"/>
  <c r="O135" i="18"/>
  <c r="P135" i="18" s="1"/>
  <c r="O131" i="18"/>
  <c r="P131" i="18" s="1"/>
  <c r="O129" i="18"/>
  <c r="P129" i="18" s="1"/>
  <c r="P136" i="18"/>
  <c r="O6" i="17"/>
  <c r="P6" i="17" s="1"/>
  <c r="O110" i="17"/>
  <c r="P110" i="17" s="1"/>
  <c r="O20" i="18"/>
  <c r="P20" i="18" s="1"/>
  <c r="P281" i="24"/>
  <c r="O63" i="16"/>
  <c r="P63" i="16" s="1"/>
  <c r="O170" i="20"/>
  <c r="P170" i="20" s="1"/>
  <c r="O40" i="16"/>
  <c r="P40" i="16" s="1"/>
  <c r="O294" i="20"/>
  <c r="P294" i="20" s="1"/>
  <c r="O69" i="16"/>
  <c r="P69" i="16" s="1"/>
  <c r="O132" i="19"/>
  <c r="P132" i="19" s="1"/>
  <c r="O270" i="17"/>
  <c r="P270" i="17" s="1"/>
  <c r="O126" i="16"/>
  <c r="P126" i="16" s="1"/>
  <c r="J12" i="14"/>
  <c r="I18" i="7"/>
  <c r="O12" i="7"/>
  <c r="F18" i="8"/>
  <c r="P28" i="13"/>
  <c r="F12" i="6"/>
  <c r="O28" i="13"/>
  <c r="O12" i="14"/>
  <c r="F8" i="14"/>
  <c r="K28" i="6"/>
  <c r="M12" i="8"/>
  <c r="E22" i="1"/>
  <c r="J8" i="8"/>
  <c r="M28" i="6"/>
  <c r="H22" i="1"/>
  <c r="O12" i="12"/>
  <c r="F28" i="8"/>
  <c r="K22" i="1"/>
  <c r="P8" i="7"/>
  <c r="K8" i="14"/>
  <c r="J22" i="6"/>
  <c r="E18" i="1"/>
  <c r="E18" i="6"/>
  <c r="O8" i="14"/>
  <c r="L22" i="12"/>
  <c r="H12" i="6"/>
  <c r="K12" i="12"/>
  <c r="K18" i="7"/>
  <c r="P8" i="1"/>
  <c r="P28" i="6"/>
  <c r="L22" i="6"/>
  <c r="E12" i="13"/>
  <c r="E18" i="13"/>
  <c r="O22" i="8"/>
  <c r="H22" i="7"/>
  <c r="G28" i="8"/>
  <c r="I12" i="14"/>
  <c r="K12" i="13"/>
  <c r="G8" i="12"/>
  <c r="N8" i="6"/>
  <c r="G8" i="6"/>
  <c r="G8" i="1"/>
  <c r="H8" i="8"/>
  <c r="E8" i="14"/>
  <c r="F18" i="12"/>
  <c r="J12" i="6"/>
  <c r="P12" i="8"/>
  <c r="P18" i="12"/>
  <c r="G12" i="14"/>
  <c r="F22" i="13"/>
  <c r="F12" i="7"/>
  <c r="P22" i="6"/>
  <c r="G12" i="8"/>
  <c r="I8" i="7"/>
  <c r="M8" i="12"/>
  <c r="L18" i="1"/>
  <c r="L22" i="7"/>
  <c r="K32" i="6"/>
  <c r="J8" i="1"/>
  <c r="O12" i="8"/>
  <c r="L18" i="8"/>
  <c r="J28" i="8"/>
  <c r="I22" i="12"/>
  <c r="L8" i="7"/>
  <c r="I8" i="6"/>
  <c r="K12" i="6"/>
  <c r="J18" i="7"/>
  <c r="L18" i="12"/>
  <c r="H28" i="13"/>
  <c r="J12" i="1"/>
  <c r="O22" i="12"/>
  <c r="M18" i="6"/>
  <c r="G12" i="13"/>
  <c r="L18" i="7"/>
  <c r="H32" i="8"/>
  <c r="P12" i="12"/>
  <c r="H18" i="12"/>
  <c r="N18" i="13"/>
  <c r="H32" i="13"/>
  <c r="J32" i="13"/>
  <c r="E12" i="8"/>
  <c r="L28" i="8"/>
  <c r="F32" i="8"/>
  <c r="E12" i="6"/>
  <c r="I8" i="8"/>
  <c r="G28" i="13"/>
  <c r="P18" i="7"/>
  <c r="I8" i="12"/>
  <c r="H22" i="12"/>
  <c r="N12" i="14"/>
  <c r="M12" i="12"/>
  <c r="O8" i="6"/>
  <c r="N22" i="13"/>
  <c r="H32" i="6"/>
  <c r="G8" i="14"/>
  <c r="M12" i="7"/>
  <c r="J22" i="13"/>
  <c r="I22" i="13"/>
  <c r="P22" i="8"/>
  <c r="K12" i="1"/>
  <c r="H8" i="12"/>
  <c r="K8" i="8"/>
  <c r="M22" i="6"/>
  <c r="I12" i="6"/>
  <c r="E12" i="14"/>
  <c r="O28" i="6"/>
  <c r="F18" i="7"/>
  <c r="H28" i="6"/>
  <c r="F32" i="13"/>
  <c r="E18" i="8"/>
  <c r="J12" i="8"/>
  <c r="P22" i="1"/>
  <c r="E8" i="1"/>
  <c r="F28" i="6"/>
  <c r="O12" i="1"/>
  <c r="L22" i="8"/>
  <c r="N28" i="13"/>
  <c r="K18" i="8"/>
  <c r="O8" i="8"/>
  <c r="G12" i="7"/>
  <c r="O18" i="7"/>
  <c r="E12" i="7"/>
  <c r="K18" i="6"/>
  <c r="E18" i="12"/>
  <c r="G8" i="13"/>
  <c r="P8" i="6"/>
  <c r="L22" i="13"/>
  <c r="N18" i="1"/>
  <c r="M18" i="13"/>
  <c r="M32" i="13"/>
  <c r="L28" i="13"/>
  <c r="G8" i="7"/>
  <c r="E22" i="8"/>
  <c r="E12" i="1"/>
  <c r="L8" i="1"/>
  <c r="P8" i="8"/>
  <c r="K28" i="8"/>
  <c r="K12" i="8"/>
  <c r="J18" i="8"/>
  <c r="F22" i="12"/>
  <c r="G12" i="1"/>
  <c r="K18" i="1"/>
  <c r="H12" i="12"/>
  <c r="M12" i="6"/>
  <c r="I32" i="13"/>
  <c r="H12" i="1"/>
  <c r="E8" i="6"/>
  <c r="O28" i="8"/>
  <c r="M8" i="7"/>
  <c r="P18" i="8"/>
  <c r="L12" i="1"/>
  <c r="J18" i="12"/>
  <c r="K8" i="13"/>
  <c r="L28" i="6"/>
  <c r="E18" i="7"/>
  <c r="J8" i="12"/>
  <c r="K18" i="13"/>
  <c r="F12" i="13"/>
  <c r="H18" i="1"/>
  <c r="P12" i="1"/>
  <c r="J22" i="1"/>
  <c r="H28" i="8"/>
  <c r="N22" i="1"/>
  <c r="O18" i="12"/>
  <c r="N12" i="7"/>
  <c r="H22" i="6"/>
  <c r="I12" i="8"/>
  <c r="P8" i="12"/>
  <c r="P12" i="6"/>
  <c r="J8" i="13"/>
  <c r="L12" i="7"/>
  <c r="M8" i="13"/>
  <c r="G18" i="1"/>
  <c r="P32" i="8"/>
  <c r="E28" i="13"/>
  <c r="M18" i="12"/>
  <c r="N8" i="12"/>
  <c r="G8" i="8"/>
  <c r="I12" i="1"/>
  <c r="F8" i="1"/>
  <c r="O18" i="6"/>
  <c r="O8" i="7"/>
  <c r="G12" i="12"/>
  <c r="E8" i="7"/>
  <c r="K22" i="12"/>
  <c r="E22" i="6"/>
  <c r="G22" i="8"/>
  <c r="G22" i="7"/>
  <c r="N18" i="8"/>
  <c r="M22" i="13"/>
  <c r="N12" i="1"/>
  <c r="M22" i="8"/>
  <c r="M18" i="8"/>
  <c r="E32" i="6"/>
  <c r="K22" i="6"/>
  <c r="H18" i="8"/>
  <c r="N8" i="8"/>
  <c r="P22" i="13"/>
  <c r="E32" i="8"/>
  <c r="N18" i="6"/>
  <c r="J8" i="7"/>
  <c r="J12" i="12"/>
  <c r="N32" i="6"/>
  <c r="O18" i="8"/>
  <c r="L8" i="8"/>
  <c r="G32" i="13"/>
  <c r="O12" i="6"/>
  <c r="M22" i="12"/>
  <c r="K8" i="6"/>
  <c r="H12" i="13"/>
  <c r="I18" i="6"/>
  <c r="F22" i="7"/>
  <c r="N8" i="7"/>
  <c r="L12" i="12"/>
  <c r="J22" i="7"/>
  <c r="J18" i="13"/>
  <c r="N32" i="8"/>
  <c r="J22" i="12"/>
  <c r="H8" i="13"/>
  <c r="K8" i="1"/>
  <c r="O32" i="8"/>
  <c r="F22" i="8"/>
  <c r="N22" i="8"/>
  <c r="F8" i="7"/>
  <c r="J12" i="7"/>
  <c r="L18" i="6"/>
  <c r="J8" i="14"/>
  <c r="K8" i="12"/>
  <c r="H12" i="7"/>
  <c r="I22" i="8"/>
  <c r="F12" i="12"/>
  <c r="H8" i="6"/>
  <c r="I12" i="13"/>
  <c r="K28" i="13"/>
  <c r="F12" i="14"/>
  <c r="G22" i="13"/>
  <c r="E8" i="13"/>
  <c r="L8" i="14"/>
  <c r="M28" i="8"/>
  <c r="M32" i="6"/>
  <c r="P28" i="8"/>
  <c r="K12" i="7"/>
  <c r="N18" i="7"/>
  <c r="P12" i="13"/>
  <c r="M28" i="13"/>
  <c r="J28" i="13"/>
  <c r="H22" i="8"/>
  <c r="O8" i="13"/>
  <c r="L12" i="14"/>
  <c r="L12" i="8"/>
  <c r="H22" i="13"/>
  <c r="F12" i="1"/>
  <c r="F8" i="8"/>
  <c r="M22" i="7"/>
  <c r="J18" i="1"/>
  <c r="M8" i="14"/>
  <c r="J32" i="6"/>
  <c r="G28" i="6"/>
  <c r="I8" i="13"/>
  <c r="N12" i="8"/>
  <c r="J22" i="8"/>
  <c r="P32" i="6"/>
  <c r="K22" i="7"/>
  <c r="N22" i="12"/>
  <c r="F18" i="13"/>
  <c r="O8" i="1"/>
  <c r="L8" i="12"/>
  <c r="K32" i="8"/>
  <c r="M12" i="13"/>
  <c r="O32" i="6"/>
  <c r="L32" i="13"/>
  <c r="H18" i="13"/>
  <c r="I22" i="6"/>
  <c r="M32" i="8"/>
  <c r="E8" i="12"/>
  <c r="K12" i="14"/>
  <c r="H18" i="6"/>
  <c r="F28" i="13"/>
  <c r="M8" i="6"/>
  <c r="M12" i="1"/>
  <c r="F32" i="6"/>
  <c r="J12" i="13"/>
  <c r="N8" i="14"/>
  <c r="H8" i="1"/>
  <c r="P18" i="6"/>
  <c r="P8" i="14"/>
  <c r="G18" i="13"/>
  <c r="I22" i="7"/>
  <c r="N22" i="6"/>
  <c r="N18" i="12"/>
  <c r="F18" i="1"/>
  <c r="I8" i="1"/>
  <c r="G12" i="6"/>
  <c r="N8" i="1"/>
  <c r="F12" i="8"/>
  <c r="I8" i="14"/>
  <c r="E22" i="13"/>
  <c r="F8" i="13"/>
  <c r="K32" i="13"/>
  <c r="L22" i="1"/>
  <c r="H12" i="8"/>
  <c r="E32" i="13"/>
  <c r="M22" i="1"/>
  <c r="J28" i="6"/>
  <c r="N8" i="13"/>
  <c r="I18" i="8"/>
  <c r="I22" i="1"/>
  <c r="E22" i="12"/>
  <c r="P12" i="7"/>
  <c r="N32" i="13"/>
  <c r="G22" i="12"/>
  <c r="G22" i="6"/>
  <c r="M8" i="8"/>
  <c r="H18" i="7"/>
  <c r="M18" i="1"/>
  <c r="L8" i="6"/>
  <c r="L8" i="13"/>
  <c r="O18" i="13"/>
  <c r="P8" i="13"/>
  <c r="G18" i="8"/>
  <c r="I28" i="8"/>
  <c r="N22" i="7"/>
  <c r="K8" i="7"/>
  <c r="E28" i="8"/>
  <c r="K22" i="13"/>
  <c r="O32" i="13"/>
  <c r="P18" i="13"/>
  <c r="L12" i="6"/>
  <c r="I28" i="6"/>
  <c r="O12" i="13"/>
  <c r="P22" i="7"/>
  <c r="F8" i="6"/>
  <c r="E8" i="8"/>
  <c r="O22" i="6"/>
  <c r="O18" i="1"/>
  <c r="G18" i="7"/>
  <c r="G18" i="6"/>
  <c r="P18" i="1"/>
  <c r="M8" i="1"/>
  <c r="I18" i="1"/>
  <c r="O22" i="1"/>
  <c r="E22" i="7"/>
  <c r="I12" i="7"/>
  <c r="K18" i="12"/>
  <c r="L12" i="13"/>
  <c r="N12" i="6"/>
  <c r="M12" i="14"/>
  <c r="P32" i="13"/>
  <c r="I18" i="12"/>
  <c r="E12" i="12"/>
  <c r="F8" i="12"/>
  <c r="N28" i="8"/>
  <c r="H8" i="14"/>
  <c r="H12" i="14"/>
  <c r="K22" i="8"/>
  <c r="P12" i="14"/>
  <c r="L32" i="6"/>
  <c r="I32" i="6"/>
  <c r="P22" i="12"/>
  <c r="J8" i="6"/>
  <c r="L32" i="8"/>
  <c r="G18" i="12"/>
  <c r="F18" i="6"/>
  <c r="O22" i="7"/>
  <c r="I32" i="8"/>
  <c r="N28" i="6"/>
  <c r="N12" i="13"/>
  <c r="O8" i="12"/>
  <c r="F22" i="6"/>
  <c r="I18" i="13"/>
  <c r="I28" i="13"/>
  <c r="G32" i="8"/>
  <c r="E28" i="6"/>
  <c r="H8" i="7"/>
  <c r="G32" i="6"/>
  <c r="J18" i="6"/>
  <c r="O22" i="13"/>
  <c r="J32" i="8"/>
  <c r="N12" i="12"/>
  <c r="G22" i="1"/>
  <c r="L18" i="13"/>
  <c r="I12" i="12"/>
  <c r="F22" i="1"/>
  <c r="M18" i="7"/>
  <c r="O19" i="6" l="1"/>
  <c r="P16" i="15"/>
  <c r="O24" i="6"/>
  <c r="O25" i="6" s="1"/>
  <c r="P19" i="7"/>
  <c r="P24" i="7"/>
  <c r="Q65" i="15" s="1"/>
  <c r="Q32" i="15"/>
  <c r="O9" i="1"/>
  <c r="O38" i="1"/>
  <c r="O39" i="1" s="1"/>
  <c r="O14" i="1"/>
  <c r="P32" i="15"/>
  <c r="O19" i="7"/>
  <c r="O24" i="7"/>
  <c r="P65" i="15" s="1"/>
  <c r="K14" i="6"/>
  <c r="K15" i="6" s="1"/>
  <c r="L15" i="15"/>
  <c r="K9" i="6"/>
  <c r="K38" i="6"/>
  <c r="K39" i="6" s="1"/>
  <c r="Q12" i="7"/>
  <c r="S12" i="7" s="1"/>
  <c r="O29" i="15"/>
  <c r="N38" i="14"/>
  <c r="N39" i="14" s="1"/>
  <c r="N9" i="14"/>
  <c r="N14" i="14"/>
  <c r="N42" i="14" s="1"/>
  <c r="N43" i="14" s="1"/>
  <c r="G19" i="1"/>
  <c r="G24" i="1"/>
  <c r="G25" i="1" s="1"/>
  <c r="Q22" i="13"/>
  <c r="S22" i="13" s="1"/>
  <c r="L25" i="15"/>
  <c r="K34" i="13"/>
  <c r="K35" i="13" s="1"/>
  <c r="K29" i="13"/>
  <c r="O9" i="8"/>
  <c r="P19" i="15"/>
  <c r="O38" i="8"/>
  <c r="O39" i="8" s="1"/>
  <c r="O14" i="8"/>
  <c r="O15" i="8" s="1"/>
  <c r="J29" i="8"/>
  <c r="J34" i="8"/>
  <c r="K54" i="15" s="1"/>
  <c r="K21" i="15"/>
  <c r="N24" i="1"/>
  <c r="N25" i="1" s="1"/>
  <c r="N19" i="1"/>
  <c r="H14" i="8"/>
  <c r="I52" i="15" s="1"/>
  <c r="H9" i="8"/>
  <c r="H38" i="8"/>
  <c r="H39" i="8" s="1"/>
  <c r="I19" i="15"/>
  <c r="H24" i="1"/>
  <c r="H25" i="1" s="1"/>
  <c r="H19" i="1"/>
  <c r="F9" i="14"/>
  <c r="G29" i="15"/>
  <c r="F14" i="14"/>
  <c r="F15" i="14" s="1"/>
  <c r="F38" i="14"/>
  <c r="F39" i="14" s="1"/>
  <c r="H24" i="7"/>
  <c r="H25" i="7" s="1"/>
  <c r="H19" i="7"/>
  <c r="I32" i="15"/>
  <c r="N9" i="1"/>
  <c r="N14" i="1"/>
  <c r="N15" i="1" s="1"/>
  <c r="N38" i="1"/>
  <c r="N39" i="1" s="1"/>
  <c r="G38" i="14"/>
  <c r="G39" i="14" s="1"/>
  <c r="G14" i="14"/>
  <c r="G9" i="14"/>
  <c r="H29" i="15"/>
  <c r="F29" i="8"/>
  <c r="G21" i="15"/>
  <c r="F34" i="8"/>
  <c r="I16" i="15"/>
  <c r="H19" i="6"/>
  <c r="H24" i="6"/>
  <c r="H25" i="6" s="1"/>
  <c r="G34" i="8"/>
  <c r="H54" i="15" s="1"/>
  <c r="H21" i="15"/>
  <c r="G29" i="8"/>
  <c r="G24" i="13"/>
  <c r="H57" i="15" s="1"/>
  <c r="G19" i="13"/>
  <c r="H24" i="15"/>
  <c r="I19" i="7"/>
  <c r="I24" i="7"/>
  <c r="J65" i="15" s="1"/>
  <c r="J32" i="15"/>
  <c r="G19" i="12"/>
  <c r="G24" i="12"/>
  <c r="H61" i="15" s="1"/>
  <c r="H28" i="15"/>
  <c r="L19" i="12"/>
  <c r="L24" i="12"/>
  <c r="M61" i="15" s="1"/>
  <c r="M28" i="15"/>
  <c r="H19" i="8"/>
  <c r="H24" i="8"/>
  <c r="I20" i="15"/>
  <c r="N38" i="12"/>
  <c r="N39" i="12" s="1"/>
  <c r="O27" i="15"/>
  <c r="N9" i="12"/>
  <c r="N14" i="12"/>
  <c r="N15" i="12" s="1"/>
  <c r="Q22" i="7"/>
  <c r="S22" i="7" s="1"/>
  <c r="I17" i="15"/>
  <c r="H29" i="6"/>
  <c r="H34" i="6"/>
  <c r="H35" i="6" s="1"/>
  <c r="F19" i="1"/>
  <c r="F24" i="1"/>
  <c r="F25" i="1" s="1"/>
  <c r="J20" i="7"/>
  <c r="M20" i="7"/>
  <c r="E24" i="7"/>
  <c r="E25" i="7" s="1"/>
  <c r="F20" i="7"/>
  <c r="P20" i="7"/>
  <c r="L20" i="7"/>
  <c r="K20" i="7"/>
  <c r="O20" i="7"/>
  <c r="G20" i="7"/>
  <c r="I20" i="7"/>
  <c r="E19" i="7"/>
  <c r="N20" i="7"/>
  <c r="H20" i="7"/>
  <c r="Q18" i="7"/>
  <c r="S18" i="7" s="1"/>
  <c r="E20" i="7"/>
  <c r="F32" i="15"/>
  <c r="I9" i="6"/>
  <c r="I14" i="6"/>
  <c r="J48" i="15" s="1"/>
  <c r="J15" i="15"/>
  <c r="I38" i="6"/>
  <c r="I39" i="6" s="1"/>
  <c r="P38" i="14"/>
  <c r="P39" i="14" s="1"/>
  <c r="P14" i="14"/>
  <c r="P15" i="14" s="1"/>
  <c r="Q29" i="15"/>
  <c r="P9" i="14"/>
  <c r="Q23" i="15"/>
  <c r="P14" i="13"/>
  <c r="Q56" i="15" s="1"/>
  <c r="P9" i="13"/>
  <c r="P38" i="13"/>
  <c r="P39" i="13" s="1"/>
  <c r="M24" i="1"/>
  <c r="M25" i="1" s="1"/>
  <c r="M19" i="1"/>
  <c r="G38" i="8"/>
  <c r="G39" i="8" s="1"/>
  <c r="G9" i="8"/>
  <c r="H19" i="15"/>
  <c r="G14" i="8"/>
  <c r="G15" i="8" s="1"/>
  <c r="L14" i="14"/>
  <c r="L42" i="14" s="1"/>
  <c r="L43" i="14" s="1"/>
  <c r="L9" i="14"/>
  <c r="L38" i="14"/>
  <c r="L39" i="14" s="1"/>
  <c r="M29" i="15"/>
  <c r="P29" i="13"/>
  <c r="Q25" i="15"/>
  <c r="P34" i="13"/>
  <c r="P24" i="15"/>
  <c r="O24" i="13"/>
  <c r="O25" i="13" s="1"/>
  <c r="O19" i="13"/>
  <c r="N14" i="8"/>
  <c r="N15" i="8" s="1"/>
  <c r="O19" i="15"/>
  <c r="N9" i="8"/>
  <c r="N38" i="8"/>
  <c r="N39" i="8" s="1"/>
  <c r="F29" i="6"/>
  <c r="F34" i="6"/>
  <c r="G50" i="15" s="1"/>
  <c r="G17" i="15"/>
  <c r="M20" i="15"/>
  <c r="L19" i="8"/>
  <c r="L24" i="8"/>
  <c r="L38" i="8"/>
  <c r="L39" i="8" s="1"/>
  <c r="L9" i="8"/>
  <c r="M19" i="15"/>
  <c r="L14" i="8"/>
  <c r="M52" i="15" s="1"/>
  <c r="K9" i="1"/>
  <c r="K38" i="1"/>
  <c r="K39" i="1" s="1"/>
  <c r="K14" i="1"/>
  <c r="K15" i="1" s="1"/>
  <c r="J9" i="14"/>
  <c r="J14" i="14"/>
  <c r="K62" i="15" s="1"/>
  <c r="J38" i="14"/>
  <c r="J39" i="14" s="1"/>
  <c r="K29" i="15"/>
  <c r="P38" i="6"/>
  <c r="P39" i="6" s="1"/>
  <c r="Q15" i="15"/>
  <c r="P14" i="6"/>
  <c r="Q48" i="15" s="1"/>
  <c r="P9" i="6"/>
  <c r="I38" i="8"/>
  <c r="I39" i="8" s="1"/>
  <c r="I14" i="8"/>
  <c r="J52" i="15" s="1"/>
  <c r="I9" i="8"/>
  <c r="J19" i="15"/>
  <c r="Q12" i="12"/>
  <c r="S12" i="12" s="1"/>
  <c r="I19" i="6"/>
  <c r="I24" i="6"/>
  <c r="I25" i="6" s="1"/>
  <c r="J16" i="15"/>
  <c r="Q12" i="8"/>
  <c r="S12" i="8" s="1"/>
  <c r="H9" i="1"/>
  <c r="H14" i="1"/>
  <c r="H15" i="1" s="1"/>
  <c r="H38" i="1"/>
  <c r="H39" i="1" s="1"/>
  <c r="H16" i="15"/>
  <c r="G24" i="6"/>
  <c r="G25" i="6" s="1"/>
  <c r="G19" i="6"/>
  <c r="M25" i="15"/>
  <c r="L34" i="13"/>
  <c r="L35" i="13" s="1"/>
  <c r="L29" i="13"/>
  <c r="H14" i="7"/>
  <c r="H15" i="7" s="1"/>
  <c r="I31" i="15"/>
  <c r="H9" i="7"/>
  <c r="H38" i="7"/>
  <c r="H39" i="7" s="1"/>
  <c r="J38" i="12"/>
  <c r="J39" i="12" s="1"/>
  <c r="J9" i="12"/>
  <c r="J14" i="12"/>
  <c r="J15" i="12" s="1"/>
  <c r="K27" i="15"/>
  <c r="G20" i="12"/>
  <c r="E20" i="12"/>
  <c r="I20" i="12"/>
  <c r="M20" i="12"/>
  <c r="Q18" i="12"/>
  <c r="Q19" i="12" s="1"/>
  <c r="F20" i="12"/>
  <c r="K20" i="12"/>
  <c r="E24" i="12"/>
  <c r="F61" i="15" s="1"/>
  <c r="L20" i="12"/>
  <c r="H20" i="12"/>
  <c r="P20" i="12"/>
  <c r="F28" i="15"/>
  <c r="E19" i="12"/>
  <c r="O20" i="12"/>
  <c r="N20" i="12"/>
  <c r="J20" i="12"/>
  <c r="F38" i="6"/>
  <c r="F39" i="6" s="1"/>
  <c r="F9" i="6"/>
  <c r="F14" i="6"/>
  <c r="F15" i="6" s="1"/>
  <c r="G15" i="15"/>
  <c r="M20" i="1"/>
  <c r="Q18" i="1"/>
  <c r="Q19" i="1" s="1"/>
  <c r="E19" i="1"/>
  <c r="K20" i="1"/>
  <c r="I20" i="1"/>
  <c r="F20" i="1"/>
  <c r="E20" i="1"/>
  <c r="E24" i="1"/>
  <c r="H20" i="1"/>
  <c r="J20" i="1"/>
  <c r="L20" i="1"/>
  <c r="G20" i="1"/>
  <c r="N20" i="1"/>
  <c r="O20" i="1"/>
  <c r="P20" i="1"/>
  <c r="P24" i="1"/>
  <c r="P25" i="1" s="1"/>
  <c r="P19" i="1"/>
  <c r="J19" i="7"/>
  <c r="K32" i="15"/>
  <c r="J24" i="7"/>
  <c r="K65" i="15" s="1"/>
  <c r="J38" i="6"/>
  <c r="J39" i="6" s="1"/>
  <c r="K15" i="15"/>
  <c r="J14" i="6"/>
  <c r="J15" i="6" s="1"/>
  <c r="J9" i="6"/>
  <c r="K9" i="14"/>
  <c r="K14" i="14"/>
  <c r="K15" i="14" s="1"/>
  <c r="K38" i="14"/>
  <c r="K39" i="14" s="1"/>
  <c r="L29" i="15"/>
  <c r="J29" i="13"/>
  <c r="K25" i="15"/>
  <c r="J34" i="13"/>
  <c r="J35" i="13" s="1"/>
  <c r="Q28" i="15"/>
  <c r="P24" i="12"/>
  <c r="Q61" i="15" s="1"/>
  <c r="P19" i="12"/>
  <c r="G14" i="1"/>
  <c r="G15" i="1" s="1"/>
  <c r="G9" i="1"/>
  <c r="G38" i="1"/>
  <c r="G39" i="1" s="1"/>
  <c r="N24" i="7"/>
  <c r="O65" i="15" s="1"/>
  <c r="N19" i="7"/>
  <c r="O32" i="15"/>
  <c r="H29" i="8"/>
  <c r="I21" i="15"/>
  <c r="H34" i="8"/>
  <c r="H35" i="8" s="1"/>
  <c r="O31" i="15"/>
  <c r="N14" i="7"/>
  <c r="N15" i="7" s="1"/>
  <c r="N9" i="7"/>
  <c r="N38" i="7"/>
  <c r="N39" i="7" s="1"/>
  <c r="H19" i="13"/>
  <c r="H24" i="13"/>
  <c r="I57" i="15" s="1"/>
  <c r="I24" i="15"/>
  <c r="I29" i="13"/>
  <c r="I34" i="13"/>
  <c r="I35" i="13" s="1"/>
  <c r="J25" i="15"/>
  <c r="M9" i="8"/>
  <c r="M38" i="8"/>
  <c r="M39" i="8" s="1"/>
  <c r="N19" i="15"/>
  <c r="M14" i="8"/>
  <c r="N52" i="15" s="1"/>
  <c r="Q20" i="15"/>
  <c r="P24" i="8"/>
  <c r="Q53" i="15" s="1"/>
  <c r="P19" i="8"/>
  <c r="N24" i="12"/>
  <c r="O61" i="15" s="1"/>
  <c r="O28" i="15"/>
  <c r="N19" i="12"/>
  <c r="K24" i="1"/>
  <c r="K25" i="1" s="1"/>
  <c r="K19" i="1"/>
  <c r="Q22" i="1"/>
  <c r="S22" i="1" s="1"/>
  <c r="J14" i="7"/>
  <c r="K64" i="15" s="1"/>
  <c r="J9" i="7"/>
  <c r="K31" i="15"/>
  <c r="J38" i="7"/>
  <c r="J39" i="7" s="1"/>
  <c r="N19" i="6"/>
  <c r="N24" i="6"/>
  <c r="N25" i="6" s="1"/>
  <c r="O16" i="15"/>
  <c r="H19" i="12"/>
  <c r="I28" i="15"/>
  <c r="H24" i="12"/>
  <c r="I61" i="15" s="1"/>
  <c r="J9" i="8"/>
  <c r="J38" i="8"/>
  <c r="J39" i="8" s="1"/>
  <c r="K19" i="15"/>
  <c r="J14" i="8"/>
  <c r="J15" i="8" s="1"/>
  <c r="I29" i="8"/>
  <c r="I34" i="8"/>
  <c r="J54" i="15" s="1"/>
  <c r="J21" i="15"/>
  <c r="M30" i="6"/>
  <c r="N30" i="6"/>
  <c r="Q28" i="6"/>
  <c r="S28" i="6" s="1"/>
  <c r="F30" i="6"/>
  <c r="E34" i="6"/>
  <c r="E35" i="6" s="1"/>
  <c r="H30" i="6"/>
  <c r="P30" i="6"/>
  <c r="K30" i="6"/>
  <c r="L30" i="6"/>
  <c r="I30" i="6"/>
  <c r="O30" i="6"/>
  <c r="E30" i="6"/>
  <c r="G30" i="6"/>
  <c r="J30" i="6"/>
  <c r="E29" i="6"/>
  <c r="F17" i="15"/>
  <c r="G9" i="6"/>
  <c r="H15" i="15"/>
  <c r="G14" i="6"/>
  <c r="H48" i="15" s="1"/>
  <c r="G38" i="6"/>
  <c r="G39" i="6" s="1"/>
  <c r="I9" i="7"/>
  <c r="J31" i="15"/>
  <c r="I14" i="7"/>
  <c r="I15" i="7" s="1"/>
  <c r="I38" i="7"/>
  <c r="I39" i="7" s="1"/>
  <c r="K14" i="7"/>
  <c r="K15" i="7" s="1"/>
  <c r="K9" i="7"/>
  <c r="L31" i="15"/>
  <c r="K38" i="7"/>
  <c r="K39" i="7" s="1"/>
  <c r="H9" i="6"/>
  <c r="H14" i="6"/>
  <c r="I48" i="15" s="1"/>
  <c r="I15" i="15"/>
  <c r="H38" i="6"/>
  <c r="H39" i="6" s="1"/>
  <c r="P14" i="8"/>
  <c r="Q52" i="15" s="1"/>
  <c r="P9" i="8"/>
  <c r="P38" i="8"/>
  <c r="P39" i="8" s="1"/>
  <c r="Q19" i="15"/>
  <c r="F9" i="1"/>
  <c r="F38" i="1"/>
  <c r="F39" i="1" s="1"/>
  <c r="F14" i="1"/>
  <c r="F15" i="1" s="1"/>
  <c r="I30" i="8"/>
  <c r="O30" i="8"/>
  <c r="G30" i="8"/>
  <c r="Q28" i="8"/>
  <c r="S28" i="8" s="1"/>
  <c r="M30" i="8"/>
  <c r="F30" i="8"/>
  <c r="E30" i="8"/>
  <c r="F21" i="15"/>
  <c r="E34" i="8"/>
  <c r="E36" i="8" s="1"/>
  <c r="P30" i="8"/>
  <c r="E29" i="8"/>
  <c r="N30" i="8"/>
  <c r="L30" i="8"/>
  <c r="H30" i="8"/>
  <c r="K30" i="8"/>
  <c r="J30" i="8"/>
  <c r="G38" i="13"/>
  <c r="G39" i="13" s="1"/>
  <c r="G9" i="13"/>
  <c r="G14" i="13"/>
  <c r="H56" i="15" s="1"/>
  <c r="H23" i="15"/>
  <c r="I29" i="15"/>
  <c r="H14" i="14"/>
  <c r="H15" i="14" s="1"/>
  <c r="H9" i="14"/>
  <c r="H38" i="14"/>
  <c r="H39" i="14" s="1"/>
  <c r="I19" i="1"/>
  <c r="I24" i="1"/>
  <c r="I25" i="1" s="1"/>
  <c r="Q12" i="6"/>
  <c r="S12" i="6" s="1"/>
  <c r="P10" i="7"/>
  <c r="E10" i="7"/>
  <c r="K10" i="7"/>
  <c r="I10" i="7"/>
  <c r="M10" i="7"/>
  <c r="E14" i="7"/>
  <c r="F31" i="15"/>
  <c r="E9" i="7"/>
  <c r="O10" i="7"/>
  <c r="F10" i="7"/>
  <c r="Q8" i="7"/>
  <c r="Q9" i="7" s="1"/>
  <c r="L10" i="7"/>
  <c r="E38" i="7"/>
  <c r="E40" i="7" s="1"/>
  <c r="H10" i="7"/>
  <c r="J10" i="7"/>
  <c r="G10" i="7"/>
  <c r="N10" i="7"/>
  <c r="P24" i="13"/>
  <c r="P25" i="13" s="1"/>
  <c r="P19" i="13"/>
  <c r="Q24" i="15"/>
  <c r="L19" i="15"/>
  <c r="K9" i="8"/>
  <c r="K38" i="8"/>
  <c r="K39" i="8" s="1"/>
  <c r="K14" i="8"/>
  <c r="L52" i="15" s="1"/>
  <c r="Q17" i="15"/>
  <c r="P34" i="6"/>
  <c r="P35" i="6" s="1"/>
  <c r="P29" i="6"/>
  <c r="F16" i="15"/>
  <c r="E20" i="6"/>
  <c r="M20" i="6"/>
  <c r="G20" i="6"/>
  <c r="I20" i="6"/>
  <c r="Q18" i="6"/>
  <c r="S18" i="6" s="1"/>
  <c r="N20" i="6"/>
  <c r="H20" i="6"/>
  <c r="P20" i="6"/>
  <c r="E24" i="6"/>
  <c r="E26" i="6" s="1"/>
  <c r="K20" i="6"/>
  <c r="E19" i="6"/>
  <c r="F20" i="6"/>
  <c r="L20" i="6"/>
  <c r="O20" i="6"/>
  <c r="J20" i="6"/>
  <c r="M24" i="13"/>
  <c r="N57" i="15" s="1"/>
  <c r="N24" i="15"/>
  <c r="M19" i="13"/>
  <c r="P10" i="8"/>
  <c r="J10" i="8"/>
  <c r="N10" i="8"/>
  <c r="E14" i="8"/>
  <c r="E16" i="8" s="1"/>
  <c r="E38" i="8"/>
  <c r="H10" i="8"/>
  <c r="G10" i="8"/>
  <c r="M10" i="8"/>
  <c r="E10" i="8"/>
  <c r="F10" i="8"/>
  <c r="F19" i="15"/>
  <c r="E9" i="8"/>
  <c r="K10" i="8"/>
  <c r="Q8" i="8"/>
  <c r="Q9" i="8" s="1"/>
  <c r="O10" i="8"/>
  <c r="I10" i="8"/>
  <c r="L10" i="8"/>
  <c r="P15" i="15"/>
  <c r="O9" i="6"/>
  <c r="O38" i="6"/>
  <c r="O39" i="6" s="1"/>
  <c r="O14" i="6"/>
  <c r="O15" i="6" s="1"/>
  <c r="N29" i="6"/>
  <c r="N34" i="6"/>
  <c r="O50" i="15" s="1"/>
  <c r="O17" i="15"/>
  <c r="Q12" i="14"/>
  <c r="S12" i="14" s="1"/>
  <c r="L38" i="1"/>
  <c r="L39" i="1" s="1"/>
  <c r="L9" i="1"/>
  <c r="L14" i="1"/>
  <c r="L15" i="1" s="1"/>
  <c r="K28" i="15"/>
  <c r="J24" i="12"/>
  <c r="J25" i="12" s="1"/>
  <c r="J19" i="12"/>
  <c r="Q12" i="1"/>
  <c r="S12" i="1" s="1"/>
  <c r="Q22" i="12"/>
  <c r="S22" i="12" s="1"/>
  <c r="N9" i="6"/>
  <c r="O15" i="15"/>
  <c r="N38" i="6"/>
  <c r="N39" i="6" s="1"/>
  <c r="N14" i="6"/>
  <c r="N15" i="6" s="1"/>
  <c r="M24" i="8"/>
  <c r="N53" i="15" s="1"/>
  <c r="M19" i="8"/>
  <c r="N20" i="15"/>
  <c r="J19" i="1"/>
  <c r="J24" i="1"/>
  <c r="J25" i="1" s="1"/>
  <c r="I9" i="1"/>
  <c r="I38" i="1"/>
  <c r="I39" i="1" s="1"/>
  <c r="I14" i="1"/>
  <c r="I15" i="1" s="1"/>
  <c r="H10" i="6"/>
  <c r="M10" i="6"/>
  <c r="E38" i="6"/>
  <c r="E40" i="6" s="1"/>
  <c r="G10" i="6"/>
  <c r="E14" i="6"/>
  <c r="Q8" i="6"/>
  <c r="Q9" i="6" s="1"/>
  <c r="P10" i="6"/>
  <c r="F15" i="15"/>
  <c r="K10" i="6"/>
  <c r="N10" i="6"/>
  <c r="L10" i="6"/>
  <c r="E9" i="6"/>
  <c r="J10" i="6"/>
  <c r="F10" i="6"/>
  <c r="I10" i="6"/>
  <c r="E10" i="6"/>
  <c r="O10" i="6"/>
  <c r="F14" i="7"/>
  <c r="G64" i="15" s="1"/>
  <c r="F38" i="7"/>
  <c r="F39" i="7" s="1"/>
  <c r="G31" i="15"/>
  <c r="F9" i="7"/>
  <c r="L29" i="6"/>
  <c r="L34" i="6"/>
  <c r="M17" i="15"/>
  <c r="F9" i="12"/>
  <c r="F14" i="12"/>
  <c r="G60" i="15" s="1"/>
  <c r="G27" i="15"/>
  <c r="F38" i="12"/>
  <c r="F39" i="12" s="1"/>
  <c r="G32" i="15"/>
  <c r="F19" i="7"/>
  <c r="F24" i="7"/>
  <c r="G65" i="15" s="1"/>
  <c r="O29" i="6"/>
  <c r="O34" i="6"/>
  <c r="O35" i="6" s="1"/>
  <c r="P17" i="15"/>
  <c r="O19" i="8"/>
  <c r="O24" i="8"/>
  <c r="P53" i="15" s="1"/>
  <c r="P20" i="15"/>
  <c r="I23" i="15"/>
  <c r="H9" i="13"/>
  <c r="H14" i="13"/>
  <c r="I56" i="15" s="1"/>
  <c r="H38" i="13"/>
  <c r="H39" i="13" s="1"/>
  <c r="K34" i="6"/>
  <c r="K35" i="6" s="1"/>
  <c r="K29" i="6"/>
  <c r="L17" i="15"/>
  <c r="F10" i="1"/>
  <c r="E14" i="1"/>
  <c r="E9" i="1"/>
  <c r="P10" i="1"/>
  <c r="K10" i="1"/>
  <c r="H10" i="1"/>
  <c r="E38" i="1"/>
  <c r="L10" i="1"/>
  <c r="E10" i="1"/>
  <c r="J10" i="1"/>
  <c r="M10" i="1"/>
  <c r="G10" i="1"/>
  <c r="Q8" i="1"/>
  <c r="N10" i="1"/>
  <c r="O10" i="1"/>
  <c r="I10" i="1"/>
  <c r="J29" i="6"/>
  <c r="K17" i="15"/>
  <c r="J34" i="6"/>
  <c r="J35" i="6" s="1"/>
  <c r="I9" i="13"/>
  <c r="J23" i="15"/>
  <c r="I14" i="13"/>
  <c r="J56" i="15" s="1"/>
  <c r="I38" i="13"/>
  <c r="I39" i="13" s="1"/>
  <c r="K38" i="12"/>
  <c r="K39" i="12" s="1"/>
  <c r="L27" i="15"/>
  <c r="K9" i="12"/>
  <c r="K14" i="12"/>
  <c r="L60" i="15" s="1"/>
  <c r="P25" i="15"/>
  <c r="O29" i="13"/>
  <c r="O34" i="13"/>
  <c r="O35" i="13" s="1"/>
  <c r="I24" i="12"/>
  <c r="J61" i="15" s="1"/>
  <c r="I19" i="12"/>
  <c r="J28" i="15"/>
  <c r="O19" i="1"/>
  <c r="O24" i="1"/>
  <c r="O25" i="1" s="1"/>
  <c r="G34" i="13"/>
  <c r="G29" i="13"/>
  <c r="H25" i="15"/>
  <c r="P21" i="15"/>
  <c r="O34" i="8"/>
  <c r="P54" i="15" s="1"/>
  <c r="O29" i="8"/>
  <c r="M32" i="15"/>
  <c r="L19" i="7"/>
  <c r="L24" i="7"/>
  <c r="L25" i="7" s="1"/>
  <c r="I9" i="12"/>
  <c r="I14" i="12"/>
  <c r="J60" i="15" s="1"/>
  <c r="J27" i="15"/>
  <c r="I38" i="12"/>
  <c r="I39" i="12" s="1"/>
  <c r="L24" i="15"/>
  <c r="K24" i="13"/>
  <c r="K25" i="13" s="1"/>
  <c r="K19" i="13"/>
  <c r="F9" i="13"/>
  <c r="G23" i="15"/>
  <c r="F14" i="13"/>
  <c r="G56" i="15" s="1"/>
  <c r="F38" i="13"/>
  <c r="F39" i="13" s="1"/>
  <c r="E10" i="13"/>
  <c r="F23" i="15"/>
  <c r="E38" i="13"/>
  <c r="E40" i="13" s="1"/>
  <c r="F10" i="13"/>
  <c r="O10" i="13"/>
  <c r="K10" i="13"/>
  <c r="G10" i="13"/>
  <c r="Q8" i="13"/>
  <c r="Q9" i="13" s="1"/>
  <c r="E14" i="13"/>
  <c r="P10" i="13"/>
  <c r="J10" i="13"/>
  <c r="H10" i="13"/>
  <c r="L10" i="13"/>
  <c r="N10" i="13"/>
  <c r="I10" i="13"/>
  <c r="E9" i="13"/>
  <c r="M10" i="13"/>
  <c r="P14" i="7"/>
  <c r="P15" i="7" s="1"/>
  <c r="P38" i="7"/>
  <c r="P39" i="7" s="1"/>
  <c r="Q31" i="15"/>
  <c r="P9" i="7"/>
  <c r="M19" i="7"/>
  <c r="M24" i="7"/>
  <c r="N65" i="15" s="1"/>
  <c r="N32" i="15"/>
  <c r="H29" i="13"/>
  <c r="I25" i="15"/>
  <c r="H34" i="13"/>
  <c r="I58" i="15" s="1"/>
  <c r="I24" i="8"/>
  <c r="J53" i="15" s="1"/>
  <c r="J20" i="15"/>
  <c r="I19" i="8"/>
  <c r="Q12" i="13"/>
  <c r="S12" i="13" s="1"/>
  <c r="L21" i="15"/>
  <c r="K34" i="8"/>
  <c r="L54" i="15" s="1"/>
  <c r="K29" i="8"/>
  <c r="M38" i="1"/>
  <c r="M39" i="1" s="1"/>
  <c r="M9" i="1"/>
  <c r="M14" i="1"/>
  <c r="M15" i="1" s="1"/>
  <c r="F24" i="13"/>
  <c r="F25" i="13" s="1"/>
  <c r="F19" i="13"/>
  <c r="G24" i="15"/>
  <c r="K38" i="13"/>
  <c r="K39" i="13" s="1"/>
  <c r="K14" i="13"/>
  <c r="L56" i="15" s="1"/>
  <c r="K9" i="13"/>
  <c r="L23" i="15"/>
  <c r="J38" i="1"/>
  <c r="J39" i="1" s="1"/>
  <c r="J14" i="1"/>
  <c r="J9" i="1"/>
  <c r="H10" i="14"/>
  <c r="N10" i="14"/>
  <c r="O10" i="14"/>
  <c r="G10" i="14"/>
  <c r="M10" i="14"/>
  <c r="E9" i="14"/>
  <c r="P10" i="14"/>
  <c r="J10" i="14"/>
  <c r="E10" i="14"/>
  <c r="E38" i="14"/>
  <c r="E14" i="14"/>
  <c r="Q8" i="14"/>
  <c r="Q38" i="14" s="1"/>
  <c r="I10" i="14"/>
  <c r="F29" i="15"/>
  <c r="L10" i="14"/>
  <c r="K10" i="14"/>
  <c r="F10" i="14"/>
  <c r="L28" i="15"/>
  <c r="K19" i="12"/>
  <c r="K24" i="12"/>
  <c r="O23" i="15"/>
  <c r="N9" i="13"/>
  <c r="N38" i="13"/>
  <c r="N39" i="13" s="1"/>
  <c r="N14" i="13"/>
  <c r="O56" i="15" s="1"/>
  <c r="O19" i="12"/>
  <c r="O24" i="12"/>
  <c r="O25" i="12" s="1"/>
  <c r="P28" i="15"/>
  <c r="M24" i="15"/>
  <c r="L24" i="13"/>
  <c r="L25" i="13" s="1"/>
  <c r="L19" i="13"/>
  <c r="L19" i="1"/>
  <c r="L24" i="1"/>
  <c r="L25" i="1" s="1"/>
  <c r="N27" i="15"/>
  <c r="M14" i="12"/>
  <c r="M15" i="12" s="1"/>
  <c r="M38" i="12"/>
  <c r="M39" i="12" s="1"/>
  <c r="M9" i="12"/>
  <c r="I24" i="13"/>
  <c r="J57" i="15" s="1"/>
  <c r="J24" i="15"/>
  <c r="I19" i="13"/>
  <c r="M21" i="15"/>
  <c r="L29" i="8"/>
  <c r="L34" i="8"/>
  <c r="L35" i="8" s="1"/>
  <c r="M34" i="6"/>
  <c r="M35" i="6" s="1"/>
  <c r="M29" i="6"/>
  <c r="N17" i="15"/>
  <c r="L9" i="7"/>
  <c r="M31" i="15"/>
  <c r="L38" i="7"/>
  <c r="L39" i="7" s="1"/>
  <c r="L14" i="7"/>
  <c r="L15" i="7" s="1"/>
  <c r="O9" i="14"/>
  <c r="O38" i="14"/>
  <c r="O39" i="14" s="1"/>
  <c r="O14" i="14"/>
  <c r="O15" i="14" s="1"/>
  <c r="P29" i="15"/>
  <c r="I38" i="14"/>
  <c r="I39" i="14" s="1"/>
  <c r="J29" i="15"/>
  <c r="I14" i="14"/>
  <c r="I15" i="14" s="1"/>
  <c r="I9" i="14"/>
  <c r="K23" i="15"/>
  <c r="J14" i="13"/>
  <c r="J15" i="13" s="1"/>
  <c r="J9" i="13"/>
  <c r="J38" i="13"/>
  <c r="J39" i="13" s="1"/>
  <c r="G14" i="7"/>
  <c r="H64" i="15" s="1"/>
  <c r="G38" i="7"/>
  <c r="G39" i="7" s="1"/>
  <c r="G9" i="7"/>
  <c r="H31" i="15"/>
  <c r="N15" i="15"/>
  <c r="M38" i="6"/>
  <c r="M39" i="6" s="1"/>
  <c r="M9" i="6"/>
  <c r="M14" i="6"/>
  <c r="M15" i="6" s="1"/>
  <c r="K24" i="15"/>
  <c r="J19" i="13"/>
  <c r="J24" i="13"/>
  <c r="J25" i="13" s="1"/>
  <c r="K20" i="15"/>
  <c r="J19" i="8"/>
  <c r="J24" i="8"/>
  <c r="J25" i="8" s="1"/>
  <c r="H17" i="15"/>
  <c r="G29" i="6"/>
  <c r="G34" i="6"/>
  <c r="O20" i="15"/>
  <c r="N24" i="8"/>
  <c r="N25" i="8" s="1"/>
  <c r="N19" i="8"/>
  <c r="F29" i="13"/>
  <c r="F34" i="13"/>
  <c r="G58" i="15" s="1"/>
  <c r="G25" i="15"/>
  <c r="G16" i="15"/>
  <c r="F24" i="6"/>
  <c r="F19" i="6"/>
  <c r="O9" i="13"/>
  <c r="P23" i="15"/>
  <c r="O14" i="13"/>
  <c r="O15" i="13" s="1"/>
  <c r="O38" i="13"/>
  <c r="O39" i="13" s="1"/>
  <c r="N16" i="15"/>
  <c r="M19" i="6"/>
  <c r="M24" i="6"/>
  <c r="N49" i="15" s="1"/>
  <c r="G24" i="8"/>
  <c r="H20" i="15"/>
  <c r="G19" i="8"/>
  <c r="H20" i="13"/>
  <c r="F24" i="15"/>
  <c r="M20" i="13"/>
  <c r="K20" i="13"/>
  <c r="E24" i="13"/>
  <c r="F57" i="15" s="1"/>
  <c r="P20" i="13"/>
  <c r="I20" i="13"/>
  <c r="E20" i="13"/>
  <c r="O20" i="13"/>
  <c r="F20" i="13"/>
  <c r="G20" i="13"/>
  <c r="Q18" i="13"/>
  <c r="S18" i="13" s="1"/>
  <c r="N20" i="13"/>
  <c r="J20" i="13"/>
  <c r="L20" i="13"/>
  <c r="E19" i="13"/>
  <c r="G38" i="12"/>
  <c r="G39" i="12" s="1"/>
  <c r="G9" i="12"/>
  <c r="G14" i="12"/>
  <c r="H27" i="15"/>
  <c r="Q22" i="6"/>
  <c r="S22" i="6" s="1"/>
  <c r="O24" i="15"/>
  <c r="N19" i="13"/>
  <c r="N24" i="13"/>
  <c r="O57" i="15" s="1"/>
  <c r="Q22" i="8"/>
  <c r="S22" i="8" s="1"/>
  <c r="N34" i="8"/>
  <c r="N35" i="8" s="1"/>
  <c r="N29" i="8"/>
  <c r="O21" i="15"/>
  <c r="L9" i="12"/>
  <c r="M27" i="15"/>
  <c r="L38" i="12"/>
  <c r="L39" i="12" s="1"/>
  <c r="L14" i="12"/>
  <c r="M60" i="15" s="1"/>
  <c r="E19" i="8"/>
  <c r="E20" i="8"/>
  <c r="J20" i="8"/>
  <c r="H20" i="8"/>
  <c r="G20" i="8"/>
  <c r="L20" i="8"/>
  <c r="E24" i="8"/>
  <c r="E26" i="8" s="1"/>
  <c r="M20" i="8"/>
  <c r="O20" i="8"/>
  <c r="K20" i="8"/>
  <c r="I20" i="8"/>
  <c r="N20" i="8"/>
  <c r="P20" i="8"/>
  <c r="F20" i="15"/>
  <c r="Q18" i="8"/>
  <c r="S18" i="8" s="1"/>
  <c r="F20" i="8"/>
  <c r="F38" i="8"/>
  <c r="F39" i="8" s="1"/>
  <c r="F9" i="8"/>
  <c r="F14" i="8"/>
  <c r="G52" i="15" s="1"/>
  <c r="G19" i="15"/>
  <c r="P29" i="8"/>
  <c r="Q21" i="15"/>
  <c r="P34" i="8"/>
  <c r="P35" i="8" s="1"/>
  <c r="N34" i="13"/>
  <c r="O25" i="15"/>
  <c r="N29" i="13"/>
  <c r="H9" i="12"/>
  <c r="H38" i="12"/>
  <c r="H39" i="12" s="1"/>
  <c r="I27" i="15"/>
  <c r="H14" i="12"/>
  <c r="I60" i="15" s="1"/>
  <c r="G10" i="12"/>
  <c r="M10" i="12"/>
  <c r="N10" i="12"/>
  <c r="J10" i="12"/>
  <c r="L10" i="12"/>
  <c r="K10" i="12"/>
  <c r="F27" i="15"/>
  <c r="H10" i="12"/>
  <c r="E38" i="12"/>
  <c r="I10" i="12"/>
  <c r="Q8" i="12"/>
  <c r="S8" i="12" s="1"/>
  <c r="E9" i="12"/>
  <c r="E14" i="12"/>
  <c r="O10" i="12"/>
  <c r="P10" i="12"/>
  <c r="F10" i="12"/>
  <c r="E10" i="12"/>
  <c r="L14" i="13"/>
  <c r="L38" i="13"/>
  <c r="L39" i="13" s="1"/>
  <c r="M23" i="15"/>
  <c r="L9" i="13"/>
  <c r="Q32" i="8"/>
  <c r="S32" i="8" s="1"/>
  <c r="N29" i="15"/>
  <c r="M14" i="14"/>
  <c r="N62" i="15" s="1"/>
  <c r="M38" i="14"/>
  <c r="M39" i="14" s="1"/>
  <c r="M9" i="14"/>
  <c r="O9" i="12"/>
  <c r="P27" i="15"/>
  <c r="O38" i="12"/>
  <c r="O39" i="12" s="1"/>
  <c r="O14" i="12"/>
  <c r="G19" i="7"/>
  <c r="H32" i="15"/>
  <c r="G24" i="7"/>
  <c r="H65" i="15" s="1"/>
  <c r="G28" i="15"/>
  <c r="F24" i="12"/>
  <c r="F19" i="12"/>
  <c r="L16" i="15"/>
  <c r="K19" i="6"/>
  <c r="K24" i="6"/>
  <c r="K25" i="6" s="1"/>
  <c r="M34" i="8"/>
  <c r="M35" i="8" s="1"/>
  <c r="N21" i="15"/>
  <c r="M29" i="8"/>
  <c r="Q32" i="13"/>
  <c r="S32" i="13" s="1"/>
  <c r="P19" i="6"/>
  <c r="Q16" i="15"/>
  <c r="P24" i="6"/>
  <c r="Q49" i="15" s="1"/>
  <c r="K16" i="15"/>
  <c r="J24" i="6"/>
  <c r="K49" i="15" s="1"/>
  <c r="J19" i="6"/>
  <c r="Q27" i="15"/>
  <c r="P38" i="12"/>
  <c r="P39" i="12" s="1"/>
  <c r="P9" i="12"/>
  <c r="P14" i="12"/>
  <c r="P38" i="1"/>
  <c r="P39" i="1" s="1"/>
  <c r="P9" i="1"/>
  <c r="P14" i="1"/>
  <c r="P15" i="1" s="1"/>
  <c r="M14" i="7"/>
  <c r="M15" i="7" s="1"/>
  <c r="N31" i="15"/>
  <c r="N34" i="15" s="1"/>
  <c r="M32" i="4" s="1"/>
  <c r="M9" i="7"/>
  <c r="M38" i="7"/>
  <c r="M39" i="7" s="1"/>
  <c r="G30" i="13"/>
  <c r="N30" i="13"/>
  <c r="K30" i="13"/>
  <c r="E30" i="13"/>
  <c r="I30" i="13"/>
  <c r="P30" i="13"/>
  <c r="F25" i="15"/>
  <c r="E29" i="13"/>
  <c r="J30" i="13"/>
  <c r="E34" i="13"/>
  <c r="E35" i="13" s="1"/>
  <c r="M30" i="13"/>
  <c r="H30" i="13"/>
  <c r="O30" i="13"/>
  <c r="L30" i="13"/>
  <c r="F30" i="13"/>
  <c r="Q28" i="13"/>
  <c r="Q29" i="13" s="1"/>
  <c r="Q32" i="6"/>
  <c r="S32" i="6" s="1"/>
  <c r="F24" i="8"/>
  <c r="G53" i="15" s="1"/>
  <c r="G20" i="15"/>
  <c r="F19" i="8"/>
  <c r="K24" i="7"/>
  <c r="L65" i="15" s="1"/>
  <c r="K19" i="7"/>
  <c r="L32" i="15"/>
  <c r="I29" i="6"/>
  <c r="I34" i="6"/>
  <c r="J50" i="15" s="1"/>
  <c r="J17" i="15"/>
  <c r="L20" i="15"/>
  <c r="K24" i="8"/>
  <c r="L53" i="15" s="1"/>
  <c r="K19" i="8"/>
  <c r="O14" i="7"/>
  <c r="P64" i="15" s="1"/>
  <c r="O9" i="7"/>
  <c r="P31" i="15"/>
  <c r="O38" i="7"/>
  <c r="O39" i="7" s="1"/>
  <c r="M29" i="13"/>
  <c r="N25" i="15"/>
  <c r="M34" i="13"/>
  <c r="N58" i="15" s="1"/>
  <c r="M38" i="13"/>
  <c r="M39" i="13" s="1"/>
  <c r="M14" i="13"/>
  <c r="N56" i="15" s="1"/>
  <c r="M9" i="13"/>
  <c r="N23" i="15"/>
  <c r="M24" i="12"/>
  <c r="N61" i="15" s="1"/>
  <c r="N28" i="15"/>
  <c r="M19" i="12"/>
  <c r="L24" i="6"/>
  <c r="M49" i="15" s="1"/>
  <c r="M16" i="15"/>
  <c r="L19" i="6"/>
  <c r="L38" i="6"/>
  <c r="L39" i="6" s="1"/>
  <c r="L9" i="6"/>
  <c r="M15" i="15"/>
  <c r="L14" i="6"/>
  <c r="M48" i="15" s="1"/>
  <c r="F52" i="15"/>
  <c r="L48" i="15"/>
  <c r="I49" i="15"/>
  <c r="G25" i="12" l="1"/>
  <c r="E42" i="12"/>
  <c r="Q34" i="15"/>
  <c r="P32" i="4" s="1"/>
  <c r="E25" i="12"/>
  <c r="P57" i="15"/>
  <c r="H15" i="8"/>
  <c r="E26" i="12"/>
  <c r="L58" i="15"/>
  <c r="F26" i="12"/>
  <c r="H30" i="15"/>
  <c r="G28" i="4" s="1"/>
  <c r="G29" i="4" s="1"/>
  <c r="I34" i="15"/>
  <c r="H32" i="4" s="1"/>
  <c r="H34" i="4" s="1"/>
  <c r="P25" i="7"/>
  <c r="F16" i="7"/>
  <c r="O52" i="15"/>
  <c r="H34" i="15"/>
  <c r="G32" i="4" s="1"/>
  <c r="G33" i="4" s="1"/>
  <c r="S8" i="6"/>
  <c r="L18" i="15"/>
  <c r="K16" i="4" s="1"/>
  <c r="K17" i="4" s="1"/>
  <c r="N25" i="12"/>
  <c r="P15" i="6"/>
  <c r="L25" i="12"/>
  <c r="E15" i="8"/>
  <c r="M65" i="15"/>
  <c r="M30" i="15"/>
  <c r="L28" i="4" s="1"/>
  <c r="L29" i="4" s="1"/>
  <c r="Q38" i="1"/>
  <c r="S38" i="1" s="1"/>
  <c r="K34" i="15"/>
  <c r="J32" i="4" s="1"/>
  <c r="J33" i="4" s="1"/>
  <c r="M22" i="15"/>
  <c r="L20" i="4" s="1"/>
  <c r="L21" i="4" s="1"/>
  <c r="O30" i="15"/>
  <c r="N28" i="4" s="1"/>
  <c r="N30" i="4" s="1"/>
  <c r="J58" i="15"/>
  <c r="J59" i="15" s="1"/>
  <c r="I72" i="4" s="1"/>
  <c r="H49" i="15"/>
  <c r="O34" i="15"/>
  <c r="N32" i="4" s="1"/>
  <c r="N33" i="4" s="1"/>
  <c r="H18" i="15"/>
  <c r="G16" i="4" s="1"/>
  <c r="G17" i="4" s="1"/>
  <c r="I50" i="15"/>
  <c r="I51" i="15" s="1"/>
  <c r="H64" i="4" s="1"/>
  <c r="H65" i="4" s="1"/>
  <c r="H42" i="1"/>
  <c r="H43" i="1" s="1"/>
  <c r="O48" i="15"/>
  <c r="L15" i="8"/>
  <c r="Q62" i="15"/>
  <c r="P42" i="14"/>
  <c r="P43" i="14" s="1"/>
  <c r="H40" i="8"/>
  <c r="I16" i="8"/>
  <c r="I22" i="15"/>
  <c r="H20" i="4" s="1"/>
  <c r="H21" i="4" s="1"/>
  <c r="G40" i="1"/>
  <c r="I25" i="13"/>
  <c r="M62" i="15"/>
  <c r="M63" i="15" s="1"/>
  <c r="L76" i="4" s="1"/>
  <c r="L77" i="4" s="1"/>
  <c r="L15" i="14"/>
  <c r="H22" i="15"/>
  <c r="G20" i="4" s="1"/>
  <c r="G21" i="4" s="1"/>
  <c r="G15" i="7"/>
  <c r="G42" i="8"/>
  <c r="G43" i="8" s="1"/>
  <c r="G15" i="6"/>
  <c r="I15" i="8"/>
  <c r="G35" i="8"/>
  <c r="E25" i="6"/>
  <c r="I35" i="6"/>
  <c r="F53" i="15"/>
  <c r="F49" i="15"/>
  <c r="E25" i="8"/>
  <c r="N25" i="13"/>
  <c r="F26" i="7"/>
  <c r="L50" i="15"/>
  <c r="F15" i="8"/>
  <c r="K42" i="1"/>
  <c r="K43" i="1" s="1"/>
  <c r="M57" i="15"/>
  <c r="O18" i="15"/>
  <c r="N16" i="4" s="1"/>
  <c r="N17" i="4" s="1"/>
  <c r="F42" i="14"/>
  <c r="F43" i="14" s="1"/>
  <c r="N54" i="15"/>
  <c r="N55" i="15" s="1"/>
  <c r="M68" i="4" s="1"/>
  <c r="M69" i="4" s="1"/>
  <c r="E26" i="7"/>
  <c r="Q19" i="6"/>
  <c r="M25" i="7"/>
  <c r="M58" i="15"/>
  <c r="H42" i="8"/>
  <c r="H43" i="8" s="1"/>
  <c r="F35" i="13"/>
  <c r="P15" i="13"/>
  <c r="K60" i="15"/>
  <c r="M25" i="13"/>
  <c r="J35" i="8"/>
  <c r="H52" i="15"/>
  <c r="I26" i="12"/>
  <c r="M15" i="13"/>
  <c r="K15" i="13"/>
  <c r="F35" i="6"/>
  <c r="I54" i="15"/>
  <c r="I15" i="12"/>
  <c r="E39" i="7"/>
  <c r="O62" i="15"/>
  <c r="F25" i="7"/>
  <c r="K58" i="15"/>
  <c r="J15" i="7"/>
  <c r="P30" i="15"/>
  <c r="O28" i="4" s="1"/>
  <c r="O29" i="4" s="1"/>
  <c r="G42" i="13"/>
  <c r="G43" i="13" s="1"/>
  <c r="N42" i="1"/>
  <c r="N43" i="1" s="1"/>
  <c r="I25" i="8"/>
  <c r="I26" i="6"/>
  <c r="F36" i="6"/>
  <c r="J42" i="7"/>
  <c r="J43" i="7" s="1"/>
  <c r="E15" i="12"/>
  <c r="Q54" i="15"/>
  <c r="Q55" i="15" s="1"/>
  <c r="P68" i="4" s="1"/>
  <c r="Q29" i="8"/>
  <c r="H25" i="8"/>
  <c r="E16" i="12"/>
  <c r="Q50" i="15"/>
  <c r="Q51" i="15" s="1"/>
  <c r="P64" i="4" s="1"/>
  <c r="H16" i="8"/>
  <c r="G30" i="15"/>
  <c r="F28" i="4" s="1"/>
  <c r="J34" i="15"/>
  <c r="I32" i="4" s="1"/>
  <c r="I33" i="4" s="1"/>
  <c r="E15" i="7"/>
  <c r="I53" i="15"/>
  <c r="F60" i="15"/>
  <c r="P52" i="15"/>
  <c r="P55" i="15" s="1"/>
  <c r="O68" i="4" s="1"/>
  <c r="O70" i="4" s="1"/>
  <c r="F16" i="8"/>
  <c r="Q18" i="15"/>
  <c r="P16" i="4" s="1"/>
  <c r="P18" i="4" s="1"/>
  <c r="N26" i="15"/>
  <c r="M24" i="4" s="1"/>
  <c r="M25" i="4" s="1"/>
  <c r="L34" i="15"/>
  <c r="K32" i="4" s="1"/>
  <c r="K34" i="4" s="1"/>
  <c r="L26" i="7"/>
  <c r="G48" i="15"/>
  <c r="M15" i="8"/>
  <c r="F40" i="7"/>
  <c r="N15" i="14"/>
  <c r="P50" i="15"/>
  <c r="G16" i="8"/>
  <c r="G26" i="15"/>
  <c r="F24" i="4" s="1"/>
  <c r="F25" i="4" s="1"/>
  <c r="I42" i="6"/>
  <c r="I43" i="6" s="1"/>
  <c r="O25" i="7"/>
  <c r="Q57" i="15"/>
  <c r="Q19" i="7"/>
  <c r="F15" i="7"/>
  <c r="P42" i="1"/>
  <c r="P43" i="1" s="1"/>
  <c r="F42" i="7"/>
  <c r="F43" i="7" s="1"/>
  <c r="G22" i="15"/>
  <c r="F20" i="4" s="1"/>
  <c r="F34" i="15"/>
  <c r="E32" i="4" s="1"/>
  <c r="E33" i="4" s="1"/>
  <c r="E34" i="4" s="1"/>
  <c r="Q38" i="7"/>
  <c r="Q39" i="7" s="1"/>
  <c r="P42" i="6"/>
  <c r="P43" i="6" s="1"/>
  <c r="F16" i="14"/>
  <c r="Q29" i="6"/>
  <c r="E15" i="14"/>
  <c r="H42" i="13"/>
  <c r="H43" i="13" s="1"/>
  <c r="P22" i="15"/>
  <c r="O20" i="4" s="1"/>
  <c r="O21" i="4" s="1"/>
  <c r="F40" i="12"/>
  <c r="S8" i="7"/>
  <c r="N25" i="7"/>
  <c r="H25" i="13"/>
  <c r="M42" i="7"/>
  <c r="M43" i="7" s="1"/>
  <c r="G26" i="6"/>
  <c r="Q38" i="12"/>
  <c r="S38" i="12" s="1"/>
  <c r="L62" i="15"/>
  <c r="O54" i="15"/>
  <c r="E36" i="6"/>
  <c r="O42" i="12"/>
  <c r="O43" i="12" s="1"/>
  <c r="N42" i="13"/>
  <c r="N43" i="13" s="1"/>
  <c r="P61" i="15"/>
  <c r="M42" i="13"/>
  <c r="M43" i="13" s="1"/>
  <c r="P56" i="15"/>
  <c r="H15" i="13"/>
  <c r="F50" i="15"/>
  <c r="H25" i="12"/>
  <c r="H26" i="12"/>
  <c r="I25" i="12"/>
  <c r="H15" i="12"/>
  <c r="M54" i="15"/>
  <c r="O42" i="13"/>
  <c r="O43" i="13" s="1"/>
  <c r="N26" i="7"/>
  <c r="G40" i="6"/>
  <c r="K36" i="6"/>
  <c r="O22" i="15"/>
  <c r="N20" i="4" s="1"/>
  <c r="N21" i="4" s="1"/>
  <c r="N42" i="7"/>
  <c r="N43" i="7" s="1"/>
  <c r="G34" i="15"/>
  <c r="F32" i="4" s="1"/>
  <c r="F33" i="4" s="1"/>
  <c r="H53" i="15"/>
  <c r="K56" i="15"/>
  <c r="G36" i="6"/>
  <c r="J36" i="13"/>
  <c r="R15" i="15"/>
  <c r="I40" i="8"/>
  <c r="J25" i="7"/>
  <c r="J42" i="14"/>
  <c r="J43" i="14" s="1"/>
  <c r="Q38" i="6"/>
  <c r="S38" i="6" s="1"/>
  <c r="M64" i="15"/>
  <c r="K15" i="8"/>
  <c r="P58" i="15"/>
  <c r="G25" i="8"/>
  <c r="E39" i="8"/>
  <c r="P15" i="8"/>
  <c r="I42" i="12"/>
  <c r="I43" i="12" s="1"/>
  <c r="G26" i="12"/>
  <c r="E42" i="14"/>
  <c r="F25" i="6"/>
  <c r="K26" i="15"/>
  <c r="J24" i="4" s="1"/>
  <c r="J25" i="4" s="1"/>
  <c r="H40" i="14"/>
  <c r="I16" i="13"/>
  <c r="M18" i="15"/>
  <c r="L16" i="4" s="1"/>
  <c r="L17" i="4" s="1"/>
  <c r="R31" i="15"/>
  <c r="N30" i="15"/>
  <c r="M28" i="4" s="1"/>
  <c r="M29" i="4" s="1"/>
  <c r="L36" i="6"/>
  <c r="I30" i="15"/>
  <c r="H28" i="4" s="1"/>
  <c r="H29" i="4" s="1"/>
  <c r="J22" i="15"/>
  <c r="I20" i="4" s="1"/>
  <c r="I21" i="4" s="1"/>
  <c r="L42" i="8"/>
  <c r="L43" i="8" s="1"/>
  <c r="P26" i="15"/>
  <c r="O24" i="4" s="1"/>
  <c r="O26" i="4" s="1"/>
  <c r="I18" i="15"/>
  <c r="H16" i="4" s="1"/>
  <c r="M16" i="13"/>
  <c r="O26" i="15"/>
  <c r="N24" i="4" s="1"/>
  <c r="N25" i="4" s="1"/>
  <c r="L15" i="12"/>
  <c r="F25" i="8"/>
  <c r="Q9" i="12"/>
  <c r="I15" i="13"/>
  <c r="P42" i="12"/>
  <c r="P43" i="12" s="1"/>
  <c r="L26" i="12"/>
  <c r="P18" i="15"/>
  <c r="O16" i="4" s="1"/>
  <c r="O18" i="4" s="1"/>
  <c r="K18" i="15"/>
  <c r="J16" i="4" s="1"/>
  <c r="J17" i="4" s="1"/>
  <c r="J18" i="15"/>
  <c r="I16" i="4" s="1"/>
  <c r="I17" i="4" s="1"/>
  <c r="K35" i="8"/>
  <c r="L30" i="15"/>
  <c r="K28" i="4" s="1"/>
  <c r="K29" i="4" s="1"/>
  <c r="Q26" i="15"/>
  <c r="P24" i="4" s="1"/>
  <c r="P26" i="4" s="1"/>
  <c r="L64" i="15"/>
  <c r="L67" i="15" s="1"/>
  <c r="K80" i="4" s="1"/>
  <c r="E39" i="14"/>
  <c r="N60" i="15"/>
  <c r="N63" i="15" s="1"/>
  <c r="M76" i="4" s="1"/>
  <c r="M77" i="4" s="1"/>
  <c r="O35" i="8"/>
  <c r="E15" i="13"/>
  <c r="J16" i="13"/>
  <c r="F56" i="15"/>
  <c r="O25" i="8"/>
  <c r="H35" i="13"/>
  <c r="O42" i="8"/>
  <c r="O43" i="8" s="1"/>
  <c r="H42" i="14"/>
  <c r="H43" i="14" s="1"/>
  <c r="S28" i="13"/>
  <c r="F30" i="15"/>
  <c r="E28" i="4" s="1"/>
  <c r="M25" i="6"/>
  <c r="L49" i="15"/>
  <c r="E16" i="13"/>
  <c r="P62" i="15"/>
  <c r="O49" i="15"/>
  <c r="H26" i="6"/>
  <c r="I62" i="15"/>
  <c r="I63" i="15" s="1"/>
  <c r="H76" i="4" s="1"/>
  <c r="H77" i="4" s="1"/>
  <c r="J26" i="1"/>
  <c r="G35" i="6"/>
  <c r="O42" i="14"/>
  <c r="O43" i="14" s="1"/>
  <c r="P48" i="15"/>
  <c r="G49" i="15"/>
  <c r="H36" i="13"/>
  <c r="I42" i="13"/>
  <c r="I43" i="13" s="1"/>
  <c r="P40" i="1"/>
  <c r="R27" i="15"/>
  <c r="J16" i="8"/>
  <c r="I42" i="1"/>
  <c r="I43" i="1" s="1"/>
  <c r="H50" i="15"/>
  <c r="E39" i="13"/>
  <c r="I40" i="12"/>
  <c r="P16" i="13"/>
  <c r="I26" i="15"/>
  <c r="H24" i="4" s="1"/>
  <c r="H25" i="4" s="1"/>
  <c r="R24" i="15"/>
  <c r="E40" i="14"/>
  <c r="H40" i="12"/>
  <c r="S8" i="1"/>
  <c r="J40" i="12"/>
  <c r="G42" i="6"/>
  <c r="G43" i="6" s="1"/>
  <c r="F26" i="6"/>
  <c r="P25" i="12"/>
  <c r="G61" i="15"/>
  <c r="L40" i="6"/>
  <c r="N64" i="15"/>
  <c r="N67" i="15" s="1"/>
  <c r="M80" i="4" s="1"/>
  <c r="L15" i="6"/>
  <c r="M26" i="15"/>
  <c r="L24" i="4" s="1"/>
  <c r="L25" i="4" s="1"/>
  <c r="J42" i="1"/>
  <c r="J43" i="1" s="1"/>
  <c r="H26" i="15"/>
  <c r="G24" i="4" s="1"/>
  <c r="G25" i="4" s="1"/>
  <c r="R21" i="15"/>
  <c r="K16" i="7"/>
  <c r="Q34" i="8"/>
  <c r="Q35" i="8" s="1"/>
  <c r="Q22" i="15"/>
  <c r="P20" i="4" s="1"/>
  <c r="P22" i="4" s="1"/>
  <c r="P42" i="13"/>
  <c r="P43" i="13" s="1"/>
  <c r="I36" i="8"/>
  <c r="L42" i="12"/>
  <c r="L43" i="12" s="1"/>
  <c r="K40" i="7"/>
  <c r="L42" i="13"/>
  <c r="L43" i="13" s="1"/>
  <c r="N16" i="13"/>
  <c r="Q38" i="13"/>
  <c r="S38" i="13" s="1"/>
  <c r="R16" i="15"/>
  <c r="H16" i="7"/>
  <c r="K22" i="15"/>
  <c r="J20" i="4" s="1"/>
  <c r="J21" i="4" s="1"/>
  <c r="P34" i="15"/>
  <c r="O32" i="4" s="1"/>
  <c r="O33" i="4" s="1"/>
  <c r="Q34" i="13"/>
  <c r="S34" i="13" s="1"/>
  <c r="F18" i="15"/>
  <c r="E16" i="4" s="1"/>
  <c r="K30" i="15"/>
  <c r="J28" i="4" s="1"/>
  <c r="J29" i="4" s="1"/>
  <c r="G40" i="8"/>
  <c r="P16" i="8"/>
  <c r="N22" i="15"/>
  <c r="M20" i="4" s="1"/>
  <c r="M21" i="4" s="1"/>
  <c r="Q30" i="15"/>
  <c r="P28" i="4" s="1"/>
  <c r="P30" i="4" s="1"/>
  <c r="O26" i="1"/>
  <c r="G18" i="15"/>
  <c r="F16" i="4" s="1"/>
  <c r="F17" i="4" s="1"/>
  <c r="G26" i="7"/>
  <c r="I16" i="14"/>
  <c r="O42" i="1"/>
  <c r="O43" i="1" s="1"/>
  <c r="Q34" i="6"/>
  <c r="S34" i="6" s="1"/>
  <c r="Q14" i="8"/>
  <c r="Q15" i="8" s="1"/>
  <c r="L16" i="12"/>
  <c r="Q19" i="13"/>
  <c r="O58" i="15"/>
  <c r="O59" i="15" s="1"/>
  <c r="N72" i="4" s="1"/>
  <c r="N74" i="4" s="1"/>
  <c r="E40" i="1"/>
  <c r="E42" i="7"/>
  <c r="E43" i="7" s="1"/>
  <c r="L16" i="13"/>
  <c r="P42" i="8"/>
  <c r="P43" i="8" s="1"/>
  <c r="J40" i="6"/>
  <c r="P25" i="8"/>
  <c r="J16" i="6"/>
  <c r="L25" i="8"/>
  <c r="F62" i="15"/>
  <c r="J15" i="1"/>
  <c r="G40" i="12"/>
  <c r="S8" i="14"/>
  <c r="F36" i="13"/>
  <c r="S8" i="13"/>
  <c r="G26" i="8"/>
  <c r="F40" i="1"/>
  <c r="G16" i="7"/>
  <c r="K26" i="7"/>
  <c r="L25" i="6"/>
  <c r="E39" i="6"/>
  <c r="N48" i="15"/>
  <c r="L16" i="6"/>
  <c r="F16" i="13"/>
  <c r="M53" i="15"/>
  <c r="K25" i="7"/>
  <c r="M36" i="6"/>
  <c r="P42" i="7"/>
  <c r="P43" i="7" s="1"/>
  <c r="N40" i="13"/>
  <c r="Q14" i="1"/>
  <c r="Q15" i="1" s="1"/>
  <c r="R29" i="15"/>
  <c r="F64" i="15"/>
  <c r="O15" i="12"/>
  <c r="N36" i="6"/>
  <c r="G40" i="13"/>
  <c r="L26" i="15"/>
  <c r="K24" i="4" s="1"/>
  <c r="K25" i="4" s="1"/>
  <c r="J26" i="12"/>
  <c r="F58" i="15"/>
  <c r="I26" i="8"/>
  <c r="M56" i="15"/>
  <c r="P60" i="15"/>
  <c r="N40" i="6"/>
  <c r="N18" i="15"/>
  <c r="M16" i="4" s="1"/>
  <c r="M17" i="4" s="1"/>
  <c r="E16" i="14"/>
  <c r="N35" i="13"/>
  <c r="E36" i="13"/>
  <c r="H26" i="8"/>
  <c r="E39" i="1"/>
  <c r="L16" i="7"/>
  <c r="L15" i="13"/>
  <c r="F25" i="12"/>
  <c r="P35" i="13"/>
  <c r="E35" i="8"/>
  <c r="K15" i="12"/>
  <c r="L36" i="13"/>
  <c r="F26" i="8"/>
  <c r="I40" i="1"/>
  <c r="E16" i="7"/>
  <c r="S18" i="12"/>
  <c r="H40" i="6"/>
  <c r="O15" i="7"/>
  <c r="I25" i="7"/>
  <c r="J40" i="8"/>
  <c r="O64" i="15"/>
  <c r="O67" i="15" s="1"/>
  <c r="N80" i="4" s="1"/>
  <c r="N82" i="4" s="1"/>
  <c r="O60" i="15"/>
  <c r="H36" i="6"/>
  <c r="E42" i="8"/>
  <c r="E44" i="8" s="1"/>
  <c r="Q64" i="15"/>
  <c r="Q67" i="15" s="1"/>
  <c r="P80" i="4" s="1"/>
  <c r="K26" i="6"/>
  <c r="K26" i="13"/>
  <c r="R23" i="15"/>
  <c r="J30" i="15"/>
  <c r="I28" i="4" s="1"/>
  <c r="I29" i="4" s="1"/>
  <c r="J26" i="15"/>
  <c r="I24" i="4" s="1"/>
  <c r="I25" i="4" s="1"/>
  <c r="R32" i="15"/>
  <c r="E42" i="6"/>
  <c r="E44" i="6" s="1"/>
  <c r="Q38" i="8"/>
  <c r="S38" i="8" s="1"/>
  <c r="G16" i="14"/>
  <c r="O16" i="14"/>
  <c r="F54" i="15"/>
  <c r="K42" i="12"/>
  <c r="K43" i="12" s="1"/>
  <c r="L42" i="7"/>
  <c r="L43" i="7" s="1"/>
  <c r="N40" i="14"/>
  <c r="N16" i="1"/>
  <c r="F40" i="6"/>
  <c r="O42" i="7"/>
  <c r="O43" i="7" s="1"/>
  <c r="Q14" i="13"/>
  <c r="S14" i="13" s="1"/>
  <c r="N42" i="12"/>
  <c r="N43" i="12" s="1"/>
  <c r="J36" i="6"/>
  <c r="N50" i="15"/>
  <c r="P25" i="6"/>
  <c r="L35" i="6"/>
  <c r="L36" i="8"/>
  <c r="J42" i="12"/>
  <c r="J43" i="12" s="1"/>
  <c r="P15" i="12"/>
  <c r="O16" i="12"/>
  <c r="J26" i="13"/>
  <c r="K48" i="15"/>
  <c r="K50" i="15"/>
  <c r="M40" i="14"/>
  <c r="J16" i="1"/>
  <c r="N40" i="12"/>
  <c r="R25" i="15"/>
  <c r="K16" i="13"/>
  <c r="G16" i="12"/>
  <c r="N42" i="6"/>
  <c r="N43" i="6" s="1"/>
  <c r="F22" i="15"/>
  <c r="E20" i="4" s="1"/>
  <c r="E21" i="4" s="1"/>
  <c r="E22" i="4" s="1"/>
  <c r="L22" i="15"/>
  <c r="K20" i="4" s="1"/>
  <c r="K21" i="4" s="1"/>
  <c r="I15" i="6"/>
  <c r="M50" i="15"/>
  <c r="M51" i="15" s="1"/>
  <c r="L64" i="4" s="1"/>
  <c r="F42" i="6"/>
  <c r="F43" i="6" s="1"/>
  <c r="L42" i="6"/>
  <c r="L43" i="6" s="1"/>
  <c r="M36" i="8"/>
  <c r="P26" i="8"/>
  <c r="L16" i="1"/>
  <c r="G42" i="12"/>
  <c r="G43" i="12" s="1"/>
  <c r="P26" i="1"/>
  <c r="J62" i="15"/>
  <c r="J63" i="15" s="1"/>
  <c r="I76" i="4" s="1"/>
  <c r="M42" i="8"/>
  <c r="M43" i="8" s="1"/>
  <c r="Q60" i="15"/>
  <c r="K16" i="12"/>
  <c r="L40" i="1"/>
  <c r="P40" i="14"/>
  <c r="M26" i="12"/>
  <c r="I42" i="7"/>
  <c r="I43" i="7" s="1"/>
  <c r="M16" i="14"/>
  <c r="I42" i="14"/>
  <c r="I43" i="14" s="1"/>
  <c r="L40" i="12"/>
  <c r="L57" i="15"/>
  <c r="R20" i="15"/>
  <c r="F42" i="1"/>
  <c r="F43" i="1" s="1"/>
  <c r="N36" i="13"/>
  <c r="M42" i="14"/>
  <c r="M43" i="14" s="1"/>
  <c r="O16" i="7"/>
  <c r="E16" i="1"/>
  <c r="K40" i="13"/>
  <c r="N15" i="13"/>
  <c r="J16" i="14"/>
  <c r="Q14" i="14"/>
  <c r="Q15" i="14" s="1"/>
  <c r="G54" i="15"/>
  <c r="G55" i="15" s="1"/>
  <c r="F68" i="4" s="1"/>
  <c r="F69" i="4" s="1"/>
  <c r="O40" i="12"/>
  <c r="H42" i="7"/>
  <c r="H43" i="7" s="1"/>
  <c r="Q9" i="1"/>
  <c r="Q58" i="15"/>
  <c r="J15" i="14"/>
  <c r="J36" i="8"/>
  <c r="P26" i="6"/>
  <c r="G15" i="14"/>
  <c r="M40" i="7"/>
  <c r="R28" i="15"/>
  <c r="I65" i="15"/>
  <c r="M36" i="13"/>
  <c r="J16" i="12"/>
  <c r="P26" i="13"/>
  <c r="F15" i="13"/>
  <c r="O26" i="8"/>
  <c r="M42" i="12"/>
  <c r="M43" i="12" s="1"/>
  <c r="K25" i="8"/>
  <c r="J40" i="14"/>
  <c r="F65" i="15"/>
  <c r="O26" i="7"/>
  <c r="K16" i="1"/>
  <c r="I40" i="6"/>
  <c r="P40" i="6"/>
  <c r="H26" i="1"/>
  <c r="M25" i="8"/>
  <c r="I16" i="6"/>
  <c r="E42" i="13"/>
  <c r="E43" i="13" s="1"/>
  <c r="G42" i="1"/>
  <c r="G43" i="1" s="1"/>
  <c r="F40" i="8"/>
  <c r="K40" i="8"/>
  <c r="G15" i="13"/>
  <c r="O42" i="6"/>
  <c r="O43" i="6" s="1"/>
  <c r="G42" i="7"/>
  <c r="G43" i="7" s="1"/>
  <c r="M25" i="12"/>
  <c r="J40" i="13"/>
  <c r="M16" i="12"/>
  <c r="N42" i="8"/>
  <c r="N43" i="8" s="1"/>
  <c r="O40" i="13"/>
  <c r="N16" i="14"/>
  <c r="P40" i="12"/>
  <c r="O16" i="1"/>
  <c r="L26" i="1"/>
  <c r="L61" i="15"/>
  <c r="L40" i="13"/>
  <c r="P49" i="15"/>
  <c r="N26" i="6"/>
  <c r="G42" i="14"/>
  <c r="G43" i="14" s="1"/>
  <c r="P16" i="12"/>
  <c r="O40" i="14"/>
  <c r="G36" i="8"/>
  <c r="K16" i="6"/>
  <c r="O40" i="8"/>
  <c r="I42" i="8"/>
  <c r="I43" i="8" s="1"/>
  <c r="H42" i="6"/>
  <c r="H43" i="6" s="1"/>
  <c r="Q14" i="12"/>
  <c r="Q15" i="12" s="1"/>
  <c r="J42" i="6"/>
  <c r="J43" i="6" s="1"/>
  <c r="P26" i="12"/>
  <c r="H16" i="1"/>
  <c r="K26" i="1"/>
  <c r="E15" i="6"/>
  <c r="L16" i="8"/>
  <c r="J40" i="7"/>
  <c r="N16" i="12"/>
  <c r="G26" i="13"/>
  <c r="O26" i="12"/>
  <c r="L42" i="1"/>
  <c r="L43" i="1" s="1"/>
  <c r="R17" i="15"/>
  <c r="N26" i="13"/>
  <c r="K25" i="12"/>
  <c r="H40" i="13"/>
  <c r="K16" i="14"/>
  <c r="H36" i="8"/>
  <c r="F42" i="12"/>
  <c r="F43" i="12" s="1"/>
  <c r="H15" i="6"/>
  <c r="G40" i="7"/>
  <c r="G25" i="7"/>
  <c r="K42" i="8"/>
  <c r="K43" i="8" s="1"/>
  <c r="E26" i="13"/>
  <c r="K42" i="7"/>
  <c r="K43" i="7" s="1"/>
  <c r="M42" i="6"/>
  <c r="M43" i="6" s="1"/>
  <c r="H16" i="13"/>
  <c r="K42" i="6"/>
  <c r="K43" i="6" s="1"/>
  <c r="L40" i="8"/>
  <c r="O36" i="6"/>
  <c r="J42" i="13"/>
  <c r="J43" i="13" s="1"/>
  <c r="O16" i="8"/>
  <c r="P40" i="13"/>
  <c r="P16" i="14"/>
  <c r="H26" i="13"/>
  <c r="H62" i="15"/>
  <c r="F42" i="13"/>
  <c r="F43" i="13" s="1"/>
  <c r="N40" i="1"/>
  <c r="P16" i="7"/>
  <c r="P26" i="7"/>
  <c r="M16" i="8"/>
  <c r="F36" i="8"/>
  <c r="O36" i="13"/>
  <c r="I16" i="12"/>
  <c r="K57" i="15"/>
  <c r="J42" i="8"/>
  <c r="J43" i="8" s="1"/>
  <c r="E40" i="12"/>
  <c r="K61" i="15"/>
  <c r="K42" i="14"/>
  <c r="K43" i="14" s="1"/>
  <c r="M40" i="1"/>
  <c r="N16" i="7"/>
  <c r="I40" i="14"/>
  <c r="Q24" i="12"/>
  <c r="Q25" i="12" s="1"/>
  <c r="M26" i="7"/>
  <c r="F42" i="8"/>
  <c r="F43" i="8" s="1"/>
  <c r="G16" i="1"/>
  <c r="O40" i="6"/>
  <c r="E25" i="1"/>
  <c r="G16" i="6"/>
  <c r="S8" i="8"/>
  <c r="L16" i="14"/>
  <c r="K52" i="15"/>
  <c r="M40" i="12"/>
  <c r="H42" i="12"/>
  <c r="H43" i="12" s="1"/>
  <c r="O36" i="8"/>
  <c r="K36" i="8"/>
  <c r="F15" i="12"/>
  <c r="L26" i="6"/>
  <c r="G57" i="15"/>
  <c r="G59" i="15" s="1"/>
  <c r="F72" i="4" s="1"/>
  <c r="Q9" i="14"/>
  <c r="G62" i="15"/>
  <c r="K36" i="13"/>
  <c r="F16" i="12"/>
  <c r="O26" i="13"/>
  <c r="J40" i="1"/>
  <c r="Q14" i="7"/>
  <c r="K40" i="14"/>
  <c r="J26" i="7"/>
  <c r="I16" i="1"/>
  <c r="P16" i="1"/>
  <c r="M42" i="1"/>
  <c r="M43" i="1" s="1"/>
  <c r="F26" i="1"/>
  <c r="H16" i="6"/>
  <c r="O16" i="13"/>
  <c r="M40" i="8"/>
  <c r="I36" i="6"/>
  <c r="K16" i="8"/>
  <c r="H60" i="15"/>
  <c r="E39" i="12"/>
  <c r="P36" i="8"/>
  <c r="J25" i="6"/>
  <c r="O26" i="6"/>
  <c r="N40" i="7"/>
  <c r="I35" i="8"/>
  <c r="G36" i="13"/>
  <c r="E25" i="13"/>
  <c r="H40" i="1"/>
  <c r="N35" i="6"/>
  <c r="I16" i="7"/>
  <c r="K26" i="12"/>
  <c r="I26" i="7"/>
  <c r="E42" i="1"/>
  <c r="E15" i="1"/>
  <c r="K40" i="6"/>
  <c r="J64" i="15"/>
  <c r="J67" i="15" s="1"/>
  <c r="I80" i="4" s="1"/>
  <c r="I81" i="4" s="1"/>
  <c r="E26" i="1"/>
  <c r="N16" i="6"/>
  <c r="E16" i="6"/>
  <c r="G16" i="13"/>
  <c r="N40" i="8"/>
  <c r="G25" i="13"/>
  <c r="P36" i="6"/>
  <c r="N16" i="8"/>
  <c r="F40" i="13"/>
  <c r="S18" i="1"/>
  <c r="G15" i="12"/>
  <c r="K42" i="13"/>
  <c r="K43" i="13" s="1"/>
  <c r="M26" i="6"/>
  <c r="O40" i="7"/>
  <c r="F26" i="13"/>
  <c r="Q24" i="8"/>
  <c r="Q25" i="8" s="1"/>
  <c r="H26" i="7"/>
  <c r="F16" i="1"/>
  <c r="Q24" i="1"/>
  <c r="Q42" i="1" s="1"/>
  <c r="M16" i="6"/>
  <c r="P16" i="6"/>
  <c r="P40" i="8"/>
  <c r="L40" i="7"/>
  <c r="O53" i="15"/>
  <c r="Q24" i="13"/>
  <c r="S24" i="13" s="1"/>
  <c r="M26" i="8"/>
  <c r="K40" i="1"/>
  <c r="F26" i="15"/>
  <c r="E24" i="4" s="1"/>
  <c r="M35" i="13"/>
  <c r="N26" i="1"/>
  <c r="O16" i="6"/>
  <c r="F48" i="15"/>
  <c r="H16" i="14"/>
  <c r="K40" i="12"/>
  <c r="J49" i="15"/>
  <c r="J51" i="15" s="1"/>
  <c r="I64" i="4" s="1"/>
  <c r="I65" i="4" s="1"/>
  <c r="N36" i="8"/>
  <c r="Q24" i="6"/>
  <c r="Q25" i="6" s="1"/>
  <c r="J26" i="6"/>
  <c r="G35" i="13"/>
  <c r="O15" i="1"/>
  <c r="P40" i="7"/>
  <c r="P36" i="13"/>
  <c r="I36" i="13"/>
  <c r="Q19" i="8"/>
  <c r="H16" i="12"/>
  <c r="M26" i="13"/>
  <c r="L26" i="13"/>
  <c r="K26" i="8"/>
  <c r="L26" i="8"/>
  <c r="M15" i="14"/>
  <c r="J16" i="7"/>
  <c r="L40" i="14"/>
  <c r="N26" i="12"/>
  <c r="Q24" i="7"/>
  <c r="S24" i="7" s="1"/>
  <c r="M16" i="1"/>
  <c r="I26" i="1"/>
  <c r="G26" i="1"/>
  <c r="Q14" i="6"/>
  <c r="F16" i="6"/>
  <c r="E40" i="8"/>
  <c r="R19" i="15"/>
  <c r="K53" i="15"/>
  <c r="M40" i="13"/>
  <c r="M34" i="15"/>
  <c r="L32" i="4" s="1"/>
  <c r="L33" i="4" s="1"/>
  <c r="F35" i="8"/>
  <c r="I64" i="15"/>
  <c r="H58" i="15"/>
  <c r="H59" i="15" s="1"/>
  <c r="G72" i="4" s="1"/>
  <c r="I40" i="7"/>
  <c r="H40" i="7"/>
  <c r="I26" i="13"/>
  <c r="N26" i="8"/>
  <c r="J26" i="8"/>
  <c r="O40" i="1"/>
  <c r="M16" i="7"/>
  <c r="F40" i="14"/>
  <c r="G40" i="14"/>
  <c r="M40" i="6"/>
  <c r="M26" i="1"/>
  <c r="I40" i="13"/>
  <c r="N59" i="15"/>
  <c r="M72" i="4" s="1"/>
  <c r="M73" i="4" s="1"/>
  <c r="G67" i="15"/>
  <c r="F80" i="4" s="1"/>
  <c r="F82" i="4" s="1"/>
  <c r="I59" i="15"/>
  <c r="H72" i="4" s="1"/>
  <c r="H73" i="4" s="1"/>
  <c r="J55" i="15"/>
  <c r="I68" i="4" s="1"/>
  <c r="I69" i="4" s="1"/>
  <c r="Q39" i="14"/>
  <c r="S38" i="14"/>
  <c r="K67" i="15"/>
  <c r="J80" i="4" s="1"/>
  <c r="H67" i="15"/>
  <c r="G80" i="4" s="1"/>
  <c r="P67" i="15"/>
  <c r="O80" i="4" s="1"/>
  <c r="E44" i="12"/>
  <c r="E43" i="12"/>
  <c r="P34" i="4"/>
  <c r="P33" i="4"/>
  <c r="L55" i="15"/>
  <c r="K68" i="4" s="1"/>
  <c r="M34" i="4"/>
  <c r="M33" i="4"/>
  <c r="H33" i="4" l="1"/>
  <c r="G30" i="4"/>
  <c r="O51" i="15"/>
  <c r="N64" i="4" s="1"/>
  <c r="N65" i="4" s="1"/>
  <c r="N29" i="4"/>
  <c r="Q42" i="14"/>
  <c r="S42" i="14" s="1"/>
  <c r="I55" i="15"/>
  <c r="H68" i="4" s="1"/>
  <c r="H69" i="4" s="1"/>
  <c r="O55" i="15"/>
  <c r="N68" i="4" s="1"/>
  <c r="N69" i="4" s="1"/>
  <c r="K59" i="15"/>
  <c r="J72" i="4" s="1"/>
  <c r="J73" i="4" s="1"/>
  <c r="Q63" i="15"/>
  <c r="P76" i="4" s="1"/>
  <c r="P78" i="4" s="1"/>
  <c r="Q39" i="1"/>
  <c r="M67" i="15"/>
  <c r="L80" i="4" s="1"/>
  <c r="L81" i="4" s="1"/>
  <c r="J34" i="4"/>
  <c r="O34" i="4"/>
  <c r="Q39" i="12"/>
  <c r="G51" i="15"/>
  <c r="F64" i="4" s="1"/>
  <c r="F65" i="4" s="1"/>
  <c r="H51" i="15"/>
  <c r="G64" i="4" s="1"/>
  <c r="G65" i="4" s="1"/>
  <c r="N34" i="4"/>
  <c r="F63" i="15"/>
  <c r="E76" i="4" s="1"/>
  <c r="E77" i="4" s="1"/>
  <c r="E78" i="4" s="1"/>
  <c r="F55" i="15"/>
  <c r="E68" i="4" s="1"/>
  <c r="E69" i="4" s="1"/>
  <c r="E70" i="4" s="1"/>
  <c r="L51" i="15"/>
  <c r="K64" i="4" s="1"/>
  <c r="K65" i="4" s="1"/>
  <c r="E43" i="8"/>
  <c r="E44" i="13"/>
  <c r="O25" i="4"/>
  <c r="K33" i="4"/>
  <c r="N41" i="4"/>
  <c r="N46" i="4" s="1"/>
  <c r="N48" i="4" s="1"/>
  <c r="R34" i="15"/>
  <c r="T3" i="15" s="1"/>
  <c r="S14" i="1"/>
  <c r="R22" i="15"/>
  <c r="H18" i="4"/>
  <c r="R26" i="15"/>
  <c r="F44" i="14"/>
  <c r="K51" i="15"/>
  <c r="J64" i="4" s="1"/>
  <c r="N51" i="15"/>
  <c r="M64" i="4" s="1"/>
  <c r="M65" i="4" s="1"/>
  <c r="F18" i="4"/>
  <c r="F34" i="4"/>
  <c r="S38" i="7"/>
  <c r="M30" i="4"/>
  <c r="H55" i="15"/>
  <c r="G68" i="4" s="1"/>
  <c r="G69" i="4" s="1"/>
  <c r="S14" i="14"/>
  <c r="F51" i="15"/>
  <c r="E64" i="4" s="1"/>
  <c r="L30" i="4"/>
  <c r="S34" i="8"/>
  <c r="P41" i="4"/>
  <c r="P43" i="4" s="1"/>
  <c r="O41" i="4"/>
  <c r="O43" i="4" s="1"/>
  <c r="P21" i="4"/>
  <c r="P17" i="4"/>
  <c r="O63" i="15"/>
  <c r="N76" i="4" s="1"/>
  <c r="N78" i="4" s="1"/>
  <c r="R56" i="15"/>
  <c r="L22" i="4"/>
  <c r="L63" i="15"/>
  <c r="K76" i="4" s="1"/>
  <c r="K77" i="4" s="1"/>
  <c r="F67" i="15"/>
  <c r="E80" i="4" s="1"/>
  <c r="G82" i="4" s="1"/>
  <c r="I44" i="6"/>
  <c r="F30" i="4"/>
  <c r="O30" i="4"/>
  <c r="G63" i="15"/>
  <c r="F76" i="4" s="1"/>
  <c r="Q59" i="15"/>
  <c r="P72" i="4" s="1"/>
  <c r="O17" i="4"/>
  <c r="Q42" i="8"/>
  <c r="Q43" i="8" s="1"/>
  <c r="Q35" i="6"/>
  <c r="K63" i="15"/>
  <c r="J76" i="4" s="1"/>
  <c r="J77" i="4" s="1"/>
  <c r="L44" i="6"/>
  <c r="S14" i="12"/>
  <c r="H17" i="4"/>
  <c r="I30" i="4"/>
  <c r="O22" i="4"/>
  <c r="F22" i="4"/>
  <c r="R18" i="15"/>
  <c r="M55" i="15"/>
  <c r="L68" i="4" s="1"/>
  <c r="L69" i="4" s="1"/>
  <c r="N18" i="4"/>
  <c r="Q16" i="4"/>
  <c r="H30" i="4"/>
  <c r="J30" i="4"/>
  <c r="Q15" i="13"/>
  <c r="E43" i="14"/>
  <c r="N22" i="4"/>
  <c r="H41" i="4"/>
  <c r="H46" i="4" s="1"/>
  <c r="H48" i="4" s="1"/>
  <c r="K41" i="4"/>
  <c r="K43" i="4" s="1"/>
  <c r="K18" i="4"/>
  <c r="R60" i="15"/>
  <c r="Q42" i="13"/>
  <c r="S42" i="13" s="1"/>
  <c r="G44" i="14"/>
  <c r="S24" i="8"/>
  <c r="P25" i="4"/>
  <c r="E44" i="7"/>
  <c r="E44" i="14"/>
  <c r="E29" i="4"/>
  <c r="E30" i="4" s="1"/>
  <c r="F21" i="4"/>
  <c r="I34" i="4"/>
  <c r="F29" i="4"/>
  <c r="M18" i="4"/>
  <c r="J22" i="4"/>
  <c r="Q39" i="6"/>
  <c r="G22" i="4"/>
  <c r="F41" i="4"/>
  <c r="F46" i="4" s="1"/>
  <c r="F48" i="4" s="1"/>
  <c r="Q39" i="13"/>
  <c r="Q28" i="4"/>
  <c r="N26" i="4"/>
  <c r="P63" i="15"/>
  <c r="O76" i="4" s="1"/>
  <c r="O78" i="4" s="1"/>
  <c r="H26" i="4"/>
  <c r="P59" i="15"/>
  <c r="O72" i="4" s="1"/>
  <c r="O74" i="4" s="1"/>
  <c r="Q25" i="7"/>
  <c r="G34" i="4"/>
  <c r="K26" i="4"/>
  <c r="K55" i="15"/>
  <c r="J68" i="4" s="1"/>
  <c r="J69" i="4" s="1"/>
  <c r="M22" i="4"/>
  <c r="M41" i="4"/>
  <c r="M43" i="4" s="1"/>
  <c r="I26" i="4"/>
  <c r="H44" i="6"/>
  <c r="H22" i="4"/>
  <c r="Q25" i="13"/>
  <c r="R50" i="15"/>
  <c r="F59" i="15"/>
  <c r="E72" i="4" s="1"/>
  <c r="H74" i="4" s="1"/>
  <c r="J18" i="4"/>
  <c r="S14" i="8"/>
  <c r="J41" i="4"/>
  <c r="J46" i="4" s="1"/>
  <c r="J48" i="4" s="1"/>
  <c r="G41" i="4"/>
  <c r="G43" i="4" s="1"/>
  <c r="G18" i="4"/>
  <c r="E17" i="4"/>
  <c r="E18" i="4" s="1"/>
  <c r="S24" i="6"/>
  <c r="I18" i="4"/>
  <c r="O44" i="8"/>
  <c r="I22" i="4"/>
  <c r="G44" i="1"/>
  <c r="R61" i="15"/>
  <c r="J44" i="13"/>
  <c r="K30" i="4"/>
  <c r="Q42" i="6"/>
  <c r="Q43" i="6" s="1"/>
  <c r="R53" i="15"/>
  <c r="R57" i="15"/>
  <c r="I67" i="15"/>
  <c r="H80" i="4" s="1"/>
  <c r="H82" i="4" s="1"/>
  <c r="P51" i="15"/>
  <c r="O64" i="4" s="1"/>
  <c r="O66" i="4" s="1"/>
  <c r="R30" i="15"/>
  <c r="L18" i="4"/>
  <c r="N44" i="12"/>
  <c r="G44" i="12"/>
  <c r="R62" i="15"/>
  <c r="Q39" i="8"/>
  <c r="Q15" i="6"/>
  <c r="F44" i="7"/>
  <c r="O44" i="13"/>
  <c r="Q24" i="4"/>
  <c r="L44" i="8"/>
  <c r="L34" i="4"/>
  <c r="Q20" i="4"/>
  <c r="O44" i="7"/>
  <c r="L26" i="4"/>
  <c r="K44" i="13"/>
  <c r="E25" i="4"/>
  <c r="E26" i="4" s="1"/>
  <c r="I44" i="8"/>
  <c r="P44" i="13"/>
  <c r="Q32" i="4"/>
  <c r="J44" i="7"/>
  <c r="P29" i="4"/>
  <c r="J44" i="8"/>
  <c r="R52" i="15"/>
  <c r="G44" i="7"/>
  <c r="F26" i="4"/>
  <c r="E43" i="6"/>
  <c r="N44" i="13"/>
  <c r="H44" i="8"/>
  <c r="G44" i="13"/>
  <c r="S14" i="6"/>
  <c r="O44" i="14"/>
  <c r="E41" i="4"/>
  <c r="O44" i="6"/>
  <c r="L44" i="13"/>
  <c r="F44" i="8"/>
  <c r="R49" i="15"/>
  <c r="G26" i="4"/>
  <c r="Q35" i="13"/>
  <c r="K44" i="8"/>
  <c r="K22" i="4"/>
  <c r="I41" i="4"/>
  <c r="I46" i="4" s="1"/>
  <c r="I48" i="4" s="1"/>
  <c r="J26" i="4"/>
  <c r="M59" i="15"/>
  <c r="L72" i="4" s="1"/>
  <c r="L73" i="4" s="1"/>
  <c r="F44" i="6"/>
  <c r="H44" i="13"/>
  <c r="L41" i="4"/>
  <c r="L43" i="4" s="1"/>
  <c r="P44" i="1"/>
  <c r="G44" i="6"/>
  <c r="F44" i="13"/>
  <c r="M26" i="4"/>
  <c r="F44" i="12"/>
  <c r="I44" i="13"/>
  <c r="M44" i="8"/>
  <c r="H63" i="15"/>
  <c r="G76" i="4" s="1"/>
  <c r="G77" i="4" s="1"/>
  <c r="Q42" i="7"/>
  <c r="S42" i="7" s="1"/>
  <c r="K44" i="12"/>
  <c r="M44" i="13"/>
  <c r="N44" i="8"/>
  <c r="J44" i="12"/>
  <c r="N44" i="7"/>
  <c r="M44" i="14"/>
  <c r="I44" i="1"/>
  <c r="P44" i="8"/>
  <c r="J44" i="1"/>
  <c r="F44" i="1"/>
  <c r="L59" i="15"/>
  <c r="K72" i="4" s="1"/>
  <c r="K73" i="4" s="1"/>
  <c r="L44" i="1"/>
  <c r="H44" i="14"/>
  <c r="E44" i="1"/>
  <c r="M44" i="12"/>
  <c r="Q15" i="7"/>
  <c r="M44" i="7"/>
  <c r="L44" i="7"/>
  <c r="R64" i="15"/>
  <c r="I44" i="14"/>
  <c r="O44" i="12"/>
  <c r="S14" i="7"/>
  <c r="M44" i="6"/>
  <c r="R48" i="15"/>
  <c r="R65" i="15"/>
  <c r="H44" i="7"/>
  <c r="I44" i="12"/>
  <c r="R54" i="15"/>
  <c r="G44" i="8"/>
  <c r="H44" i="1"/>
  <c r="O44" i="1"/>
  <c r="S24" i="12"/>
  <c r="R58" i="15"/>
  <c r="Q42" i="12"/>
  <c r="Q43" i="12" s="1"/>
  <c r="N44" i="1"/>
  <c r="P44" i="14"/>
  <c r="P44" i="12"/>
  <c r="H44" i="12"/>
  <c r="I44" i="7"/>
  <c r="L44" i="14"/>
  <c r="S24" i="1"/>
  <c r="K44" i="1"/>
  <c r="K44" i="14"/>
  <c r="N44" i="14"/>
  <c r="P44" i="6"/>
  <c r="J44" i="6"/>
  <c r="Q25" i="1"/>
  <c r="E43" i="1"/>
  <c r="K44" i="6"/>
  <c r="M44" i="1"/>
  <c r="N44" i="6"/>
  <c r="P44" i="7"/>
  <c r="K44" i="7"/>
  <c r="L44" i="12"/>
  <c r="J44" i="14"/>
  <c r="I82" i="4"/>
  <c r="N73" i="4"/>
  <c r="I89" i="4"/>
  <c r="I91" i="4" s="1"/>
  <c r="N81" i="4"/>
  <c r="F81" i="4"/>
  <c r="O69" i="4"/>
  <c r="G73" i="4"/>
  <c r="M82" i="4"/>
  <c r="M81" i="4"/>
  <c r="I73" i="4"/>
  <c r="I77" i="4"/>
  <c r="O82" i="4"/>
  <c r="O81" i="4"/>
  <c r="K81" i="4"/>
  <c r="K82" i="4"/>
  <c r="L65" i="4"/>
  <c r="P82" i="4"/>
  <c r="P81" i="4"/>
  <c r="P65" i="4"/>
  <c r="P66" i="4"/>
  <c r="S42" i="1"/>
  <c r="Q43" i="1"/>
  <c r="F73" i="4"/>
  <c r="G81" i="4"/>
  <c r="J81" i="4"/>
  <c r="J82" i="4"/>
  <c r="P70" i="4"/>
  <c r="P69" i="4"/>
  <c r="K69" i="4"/>
  <c r="Q43" i="14" l="1"/>
  <c r="I66" i="4"/>
  <c r="P89" i="4"/>
  <c r="P91" i="4" s="1"/>
  <c r="P77" i="4"/>
  <c r="H66" i="4"/>
  <c r="I70" i="4"/>
  <c r="O77" i="4"/>
  <c r="N89" i="4"/>
  <c r="N94" i="4" s="1"/>
  <c r="N96" i="4" s="1"/>
  <c r="N43" i="4"/>
  <c r="F66" i="4"/>
  <c r="F70" i="4"/>
  <c r="H70" i="4"/>
  <c r="K46" i="4"/>
  <c r="K48" i="4" s="1"/>
  <c r="G70" i="4"/>
  <c r="J66" i="4"/>
  <c r="G66" i="4"/>
  <c r="M89" i="4"/>
  <c r="M91" i="4" s="1"/>
  <c r="K66" i="4"/>
  <c r="N66" i="4"/>
  <c r="I43" i="4"/>
  <c r="L66" i="4"/>
  <c r="J78" i="4"/>
  <c r="E65" i="4"/>
  <c r="E66" i="4" s="1"/>
  <c r="S42" i="8"/>
  <c r="N77" i="4"/>
  <c r="M46" i="4"/>
  <c r="M48" i="4" s="1"/>
  <c r="J65" i="4"/>
  <c r="O89" i="4"/>
  <c r="O94" i="4" s="1"/>
  <c r="O96" i="4" s="1"/>
  <c r="M66" i="4"/>
  <c r="S3" i="15"/>
  <c r="S6" i="15" s="1"/>
  <c r="J89" i="4"/>
  <c r="J91" i="4" s="1"/>
  <c r="L82" i="4"/>
  <c r="K78" i="4"/>
  <c r="Q76" i="4"/>
  <c r="P74" i="4"/>
  <c r="P73" i="4"/>
  <c r="L78" i="4"/>
  <c r="F89" i="4"/>
  <c r="F91" i="4" s="1"/>
  <c r="N70" i="4"/>
  <c r="E81" i="4"/>
  <c r="E82" i="4" s="1"/>
  <c r="P46" i="4"/>
  <c r="P48" i="4" s="1"/>
  <c r="S42" i="6"/>
  <c r="J70" i="4"/>
  <c r="M70" i="4"/>
  <c r="Q68" i="4"/>
  <c r="O73" i="4"/>
  <c r="F77" i="4"/>
  <c r="O46" i="4"/>
  <c r="O48" i="4" s="1"/>
  <c r="G89" i="4"/>
  <c r="G91" i="4" s="1"/>
  <c r="F78" i="4"/>
  <c r="H43" i="4"/>
  <c r="H78" i="4"/>
  <c r="G46" i="4"/>
  <c r="G48" i="4" s="1"/>
  <c r="G78" i="4"/>
  <c r="H44" i="4"/>
  <c r="P44" i="4"/>
  <c r="L70" i="4"/>
  <c r="Q43" i="13"/>
  <c r="O65" i="4"/>
  <c r="K70" i="4"/>
  <c r="Q64" i="4"/>
  <c r="I44" i="4"/>
  <c r="F44" i="4"/>
  <c r="R59" i="15"/>
  <c r="R63" i="15"/>
  <c r="L46" i="4"/>
  <c r="L48" i="4" s="1"/>
  <c r="K44" i="4"/>
  <c r="R67" i="15"/>
  <c r="T36" i="15" s="1"/>
  <c r="G44" i="4"/>
  <c r="F43" i="4"/>
  <c r="Q80" i="4"/>
  <c r="J43" i="4"/>
  <c r="H81" i="4"/>
  <c r="L89" i="4"/>
  <c r="L91" i="4" s="1"/>
  <c r="H89" i="4"/>
  <c r="H91" i="4" s="1"/>
  <c r="E73" i="4"/>
  <c r="E74" i="4" s="1"/>
  <c r="E89" i="4"/>
  <c r="G74" i="4"/>
  <c r="I74" i="4"/>
  <c r="F74" i="4"/>
  <c r="K74" i="4"/>
  <c r="J74" i="4"/>
  <c r="U7" i="4"/>
  <c r="V7" i="4" s="1"/>
  <c r="R51" i="15"/>
  <c r="U6" i="4"/>
  <c r="V6" i="4" s="1"/>
  <c r="R55" i="15"/>
  <c r="Q43" i="7"/>
  <c r="O44" i="4"/>
  <c r="E43" i="4"/>
  <c r="E44" i="4" s="1"/>
  <c r="M44" i="4"/>
  <c r="N44" i="4"/>
  <c r="M74" i="4"/>
  <c r="Q41" i="4"/>
  <c r="E46" i="4"/>
  <c r="J44" i="4"/>
  <c r="M78" i="4"/>
  <c r="L74" i="4"/>
  <c r="L44" i="4"/>
  <c r="I78" i="4"/>
  <c r="Q72" i="4"/>
  <c r="S42" i="12"/>
  <c r="K89" i="4"/>
  <c r="I94" i="4"/>
  <c r="I96" i="4" s="1"/>
  <c r="N91" i="4"/>
  <c r="P94" i="4" l="1"/>
  <c r="P96" i="4" s="1"/>
  <c r="O91" i="4"/>
  <c r="L94" i="4"/>
  <c r="L96" i="4" s="1"/>
  <c r="M94" i="4"/>
  <c r="M96" i="4" s="1"/>
  <c r="G94" i="4"/>
  <c r="G96" i="4" s="1"/>
  <c r="J94" i="4"/>
  <c r="J96" i="4" s="1"/>
  <c r="H92" i="4"/>
  <c r="U12" i="4"/>
  <c r="V12" i="4" s="1"/>
  <c r="G49" i="4"/>
  <c r="I92" i="4"/>
  <c r="F94" i="4"/>
  <c r="F96" i="4" s="1"/>
  <c r="G92" i="4"/>
  <c r="Q89" i="4"/>
  <c r="S36" i="15"/>
  <c r="S39" i="15" s="1"/>
  <c r="E91" i="4"/>
  <c r="E92" i="4" s="1"/>
  <c r="N92" i="4"/>
  <c r="O92" i="4"/>
  <c r="F92" i="4"/>
  <c r="E94" i="4"/>
  <c r="E96" i="4" s="1"/>
  <c r="E97" i="4" s="1"/>
  <c r="J92" i="4"/>
  <c r="P92" i="4"/>
  <c r="H94" i="4"/>
  <c r="H96" i="4" s="1"/>
  <c r="I49" i="4"/>
  <c r="N49" i="4"/>
  <c r="L92" i="4"/>
  <c r="E48" i="4"/>
  <c r="E49" i="4" s="1"/>
  <c r="K91" i="4"/>
  <c r="F49" i="4"/>
  <c r="K92" i="4"/>
  <c r="K94" i="4"/>
  <c r="K96" i="4" s="1"/>
  <c r="J49" i="4"/>
  <c r="K49" i="4"/>
  <c r="L49" i="4"/>
  <c r="H49" i="4"/>
  <c r="M49" i="4"/>
  <c r="O49" i="4"/>
  <c r="P49" i="4"/>
  <c r="Q46" i="4"/>
  <c r="M92" i="4"/>
  <c r="U11" i="4"/>
  <c r="V11" i="4" s="1"/>
  <c r="H97" i="4" l="1"/>
  <c r="J97" i="4"/>
  <c r="F97" i="4"/>
  <c r="N97" i="4"/>
  <c r="G97" i="4"/>
  <c r="P97" i="4"/>
  <c r="Q94" i="4"/>
  <c r="I97" i="4"/>
  <c r="L97" i="4"/>
  <c r="O97" i="4"/>
  <c r="K97" i="4"/>
  <c r="M9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chiba</author>
  </authors>
  <commentList>
    <comment ref="D47" authorId="0" shapeId="0" xr:uid="{C64D5F69-A786-4EDC-8567-7B969548F6F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$109.93 (Brad commission + factor)x120円</t>
        </r>
      </text>
    </comment>
    <comment ref="D86" authorId="0" shapeId="0" xr:uid="{2AA21C82-A07C-479A-B98D-75C36E8200F8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$116.67 (Brad commission + factor)x120円</t>
        </r>
      </text>
    </comment>
    <comment ref="D87" authorId="0" shapeId="0" xr:uid="{DD3DE6FB-E919-475E-85D2-1A034E49333C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$249.85 (Brad commission + factor)x120円</t>
        </r>
      </text>
    </comment>
    <comment ref="D112" authorId="0" shapeId="0" xr:uid="{10BAF66C-AC76-4CB3-8204-9F73A4E86556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$35.41 (Brad commission + factor)x120円</t>
        </r>
      </text>
    </comment>
    <comment ref="D113" authorId="0" shapeId="0" xr:uid="{2E14B967-A46D-4803-87DE-200114613DFE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$97.72 (Brad commission + factor)x120円</t>
        </r>
      </text>
    </comment>
    <comment ref="D199" authorId="0" shapeId="0" xr:uid="{B7EF8960-8C15-44B4-A878-8D722E0E6814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$114.57 (Brad commission + factor)x120円</t>
        </r>
      </text>
    </comment>
    <comment ref="D218" authorId="0" shapeId="0" xr:uid="{A2A041E8-6E83-46DE-B877-2E9D865419DD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$207.65 (Brad commission + factor)x120円</t>
        </r>
      </text>
    </comment>
    <comment ref="D252" authorId="0" shapeId="0" xr:uid="{AA1DEAA0-EF9C-4F2C-9351-50902F170DD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$249.94 (Brad commission + factor)x120円</t>
        </r>
      </text>
    </comment>
    <comment ref="D253" authorId="0" shapeId="0" xr:uid="{B11A4B81-B04F-48BF-BAEF-85489551D8B3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$23.21 (Brad commission + factor)x120円</t>
        </r>
      </text>
    </comment>
    <comment ref="D280" authorId="0" shapeId="0" xr:uid="{0C888577-478B-4D57-AD64-81100FD7C7A2}">
      <text>
        <r>
          <rPr>
            <b/>
            <sz val="9"/>
            <color indexed="81"/>
            <rFont val="MS P ゴシック"/>
            <family val="3"/>
            <charset val="128"/>
          </rPr>
          <t>chiba:</t>
        </r>
        <r>
          <rPr>
            <sz val="9"/>
            <color indexed="81"/>
            <rFont val="MS P ゴシック"/>
            <family val="3"/>
            <charset val="128"/>
          </rPr>
          <t xml:space="preserve">
chiba:
$772.46 (Brad commission + factor)x120円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<sst xmlns="http://schemas.openxmlformats.org/spreadsheetml/2006/main" count="5425" uniqueCount="564">
  <si>
    <t>6月</t>
    <rPh sb="1" eb="2">
      <t>ガツ</t>
    </rPh>
    <phoneticPr fontId="2"/>
  </si>
  <si>
    <t>7月</t>
    <rPh sb="1" eb="2">
      <t>ガツ</t>
    </rPh>
    <phoneticPr fontId="2"/>
  </si>
  <si>
    <t>8月</t>
  </si>
  <si>
    <t>9月</t>
  </si>
  <si>
    <t>10月</t>
  </si>
  <si>
    <t>11月</t>
  </si>
  <si>
    <t>12月</t>
  </si>
  <si>
    <t>1月</t>
  </si>
  <si>
    <t>2月</t>
  </si>
  <si>
    <t>3月</t>
  </si>
  <si>
    <t>4月</t>
  </si>
  <si>
    <t>5月</t>
  </si>
  <si>
    <t>作業者名：</t>
    <rPh sb="0" eb="4">
      <t>サギョウシャメイ</t>
    </rPh>
    <phoneticPr fontId="2"/>
  </si>
  <si>
    <t>計画値</t>
    <rPh sb="0" eb="2">
      <t>ケイカク</t>
    </rPh>
    <rPh sb="2" eb="3">
      <t>チ</t>
    </rPh>
    <phoneticPr fontId="2"/>
  </si>
  <si>
    <t>実績値</t>
    <rPh sb="0" eb="2">
      <t>ジッセキ</t>
    </rPh>
    <rPh sb="2" eb="3">
      <t>アタイ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</si>
  <si>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</si>
  <si>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</si>
  <si>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</si>
  <si>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</si>
  <si>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上期</t>
    <rPh sb="0" eb="2">
      <t>カミキ</t>
    </rPh>
    <phoneticPr fontId="2"/>
  </si>
  <si>
    <t>下期</t>
    <rPh sb="0" eb="2">
      <t>シモキ</t>
    </rPh>
    <phoneticPr fontId="2"/>
  </si>
  <si>
    <t>合計</t>
    <rPh sb="0" eb="2">
      <t>ゴウケイ</t>
    </rPh>
    <phoneticPr fontId="2"/>
  </si>
  <si>
    <t>-</t>
    <phoneticPr fontId="2"/>
  </si>
  <si>
    <t>2025/5期(第50期)</t>
    <rPh sb="6" eb="7">
      <t>キ</t>
    </rPh>
    <rPh sb="8" eb="9">
      <t>ダイ</t>
    </rPh>
    <rPh sb="11" eb="12">
      <t>キ</t>
    </rPh>
    <phoneticPr fontId="2"/>
  </si>
  <si>
    <t>行動内容</t>
    <rPh sb="0" eb="4">
      <t>コウドウナイヨウ</t>
    </rPh>
    <phoneticPr fontId="2"/>
  </si>
  <si>
    <t>USD</t>
    <phoneticPr fontId="2"/>
  </si>
  <si>
    <t>EUR</t>
    <phoneticPr fontId="2"/>
  </si>
  <si>
    <t>項目1</t>
    <rPh sb="0" eb="2">
      <t>コウモク</t>
    </rPh>
    <phoneticPr fontId="2"/>
  </si>
  <si>
    <t>項目2</t>
    <rPh sb="0" eb="2">
      <t>コウモク</t>
    </rPh>
    <phoneticPr fontId="2"/>
  </si>
  <si>
    <t>項目3</t>
    <rPh sb="0" eb="2">
      <t>コウモク</t>
    </rPh>
    <phoneticPr fontId="2"/>
  </si>
  <si>
    <t>予算計画</t>
    <rPh sb="0" eb="2">
      <t>ヨサン</t>
    </rPh>
    <rPh sb="2" eb="4">
      <t>ケイカク</t>
    </rPh>
    <phoneticPr fontId="2"/>
  </si>
  <si>
    <t>行動計画</t>
    <rPh sb="0" eb="4">
      <t>コウドウケイカク</t>
    </rPh>
    <phoneticPr fontId="2"/>
  </si>
  <si>
    <t>行動結果</t>
    <rPh sb="0" eb="4">
      <t>コウドウケッカ</t>
    </rPh>
    <phoneticPr fontId="2"/>
  </si>
  <si>
    <t>数値実績</t>
    <rPh sb="0" eb="2">
      <t>スウチ</t>
    </rPh>
    <rPh sb="2" eb="4">
      <t>ジッセキ</t>
    </rPh>
    <phoneticPr fontId="2"/>
  </si>
  <si>
    <t>数値目標</t>
    <rPh sb="0" eb="2">
      <t>スウチ</t>
    </rPh>
    <rPh sb="2" eb="4">
      <t>モクヒョウ</t>
    </rPh>
    <phoneticPr fontId="2"/>
  </si>
  <si>
    <r>
      <t xml:space="preserve">計画数字の根拠となる
</t>
    </r>
    <r>
      <rPr>
        <b/>
        <u/>
        <sz val="14"/>
        <color rgb="FFFF0000"/>
        <rFont val="游ゴシック"/>
        <family val="3"/>
        <charset val="128"/>
        <scheme val="minor"/>
      </rPr>
      <t>具体的な行動</t>
    </r>
    <r>
      <rPr>
        <sz val="14"/>
        <color theme="1"/>
        <rFont val="游ゴシック"/>
        <family val="3"/>
        <charset val="128"/>
        <scheme val="minor"/>
      </rPr>
      <t>を落とし
込んでください。
※数字を計算する上で
　想定している行動や
　数値を記入
項　　目：何を
行動内容：どうする
数値目標：どれだけ
行動結果：行動実現度
数値実績：数値実現度</t>
    </r>
    <rPh sb="0" eb="2">
      <t>ケイカク</t>
    </rPh>
    <rPh sb="2" eb="4">
      <t>スウジ</t>
    </rPh>
    <rPh sb="5" eb="7">
      <t>コンキョ</t>
    </rPh>
    <rPh sb="11" eb="14">
      <t>グタイテキ</t>
    </rPh>
    <rPh sb="15" eb="17">
      <t>コウドウ</t>
    </rPh>
    <rPh sb="18" eb="19">
      <t>オ</t>
    </rPh>
    <rPh sb="22" eb="23">
      <t>コ</t>
    </rPh>
    <rPh sb="33" eb="35">
      <t>スウジ</t>
    </rPh>
    <rPh sb="36" eb="38">
      <t>ケイサン</t>
    </rPh>
    <rPh sb="40" eb="41">
      <t>ウエ</t>
    </rPh>
    <rPh sb="44" eb="46">
      <t>ソウテイ</t>
    </rPh>
    <rPh sb="50" eb="52">
      <t>コウドウ</t>
    </rPh>
    <rPh sb="55" eb="57">
      <t>スウチ</t>
    </rPh>
    <rPh sb="58" eb="60">
      <t>キニュウ</t>
    </rPh>
    <rPh sb="62" eb="63">
      <t>コウ</t>
    </rPh>
    <rPh sb="65" eb="66">
      <t>メ</t>
    </rPh>
    <rPh sb="67" eb="68">
      <t>ナニ</t>
    </rPh>
    <rPh sb="70" eb="74">
      <t>コウドウナイヨウ</t>
    </rPh>
    <rPh sb="90" eb="94">
      <t>コウドウケッカ</t>
    </rPh>
    <rPh sb="95" eb="97">
      <t>コウドウ</t>
    </rPh>
    <rPh sb="97" eb="100">
      <t>ジツゲンド</t>
    </rPh>
    <rPh sb="101" eb="103">
      <t>スウチ</t>
    </rPh>
    <rPh sb="103" eb="105">
      <t>ジッセキ</t>
    </rPh>
    <rPh sb="106" eb="108">
      <t>スウチ</t>
    </rPh>
    <rPh sb="108" eb="110">
      <t>ジツゲン</t>
    </rPh>
    <rPh sb="110" eb="111">
      <t>ド</t>
    </rPh>
    <phoneticPr fontId="2"/>
  </si>
  <si>
    <t>円/ドル</t>
    <rPh sb="0" eb="1">
      <t>エン</t>
    </rPh>
    <phoneticPr fontId="2"/>
  </si>
  <si>
    <t>円/ユーロ</t>
    <rPh sb="0" eb="1">
      <t>エン</t>
    </rPh>
    <phoneticPr fontId="2"/>
  </si>
  <si>
    <t>今期想定為替</t>
    <rPh sb="0" eb="2">
      <t>コンキ</t>
    </rPh>
    <rPh sb="2" eb="4">
      <t>ソウテイ</t>
    </rPh>
    <rPh sb="4" eb="6">
      <t>カワセ</t>
    </rPh>
    <phoneticPr fontId="2"/>
  </si>
  <si>
    <t>担当</t>
    <rPh sb="0" eb="2">
      <t>タントウ</t>
    </rPh>
    <phoneticPr fontId="2"/>
  </si>
  <si>
    <t>部署</t>
    <rPh sb="0" eb="2">
      <t>ブショ</t>
    </rPh>
    <phoneticPr fontId="2"/>
  </si>
  <si>
    <t>松岡</t>
    <rPh sb="0" eb="2">
      <t>マツオカ</t>
    </rPh>
    <phoneticPr fontId="2"/>
  </si>
  <si>
    <t>大谷</t>
    <rPh sb="0" eb="2">
      <t>オオタニ</t>
    </rPh>
    <phoneticPr fontId="2"/>
  </si>
  <si>
    <t>宮本</t>
    <rPh sb="0" eb="2">
      <t>ミヤモト</t>
    </rPh>
    <phoneticPr fontId="2"/>
  </si>
  <si>
    <t>深串</t>
    <rPh sb="0" eb="2">
      <t>フカクシ</t>
    </rPh>
    <phoneticPr fontId="2"/>
  </si>
  <si>
    <t>前川</t>
    <rPh sb="0" eb="2">
      <t>マエカワ</t>
    </rPh>
    <phoneticPr fontId="2"/>
  </si>
  <si>
    <t>千葉</t>
    <rPh sb="0" eb="2">
      <t>チバ</t>
    </rPh>
    <phoneticPr fontId="2"/>
  </si>
  <si>
    <t>国内営業</t>
    <rPh sb="0" eb="2">
      <t>コクナイ</t>
    </rPh>
    <rPh sb="2" eb="4">
      <t>エイギョウ</t>
    </rPh>
    <phoneticPr fontId="2"/>
  </si>
  <si>
    <t>貿易</t>
    <rPh sb="0" eb="2">
      <t>ボウエキ</t>
    </rPh>
    <phoneticPr fontId="2"/>
  </si>
  <si>
    <t>リバーレース</t>
    <phoneticPr fontId="2"/>
  </si>
  <si>
    <t>前売り</t>
    <rPh sb="0" eb="2">
      <t>マエウ</t>
    </rPh>
    <phoneticPr fontId="2"/>
  </si>
  <si>
    <t>アパレル</t>
    <phoneticPr fontId="2"/>
  </si>
  <si>
    <t>新規</t>
    <rPh sb="0" eb="2">
      <t>シンキ</t>
    </rPh>
    <phoneticPr fontId="2"/>
  </si>
  <si>
    <t>その他</t>
    <rPh sb="2" eb="3">
      <t>ホカ</t>
    </rPh>
    <phoneticPr fontId="2"/>
  </si>
  <si>
    <t>100均</t>
    <rPh sb="3" eb="4">
      <t>キン</t>
    </rPh>
    <phoneticPr fontId="2"/>
  </si>
  <si>
    <t>EC、一般</t>
    <rPh sb="3" eb="5">
      <t>イッパン</t>
    </rPh>
    <phoneticPr fontId="2"/>
  </si>
  <si>
    <t>シェアースピリットにプッシュ、アポ取り</t>
    <rPh sb="17" eb="18">
      <t>ト</t>
    </rPh>
    <phoneticPr fontId="2"/>
  </si>
  <si>
    <t>シェアースピリット
から受注</t>
    <rPh sb="12" eb="14">
      <t>ジュチュウ</t>
    </rPh>
    <phoneticPr fontId="2"/>
  </si>
  <si>
    <t>for Grace
プッシュ、アポ取り</t>
    <rPh sb="17" eb="18">
      <t>ト</t>
    </rPh>
    <phoneticPr fontId="2"/>
  </si>
  <si>
    <t>岡山・中部地区 ｷﾞｬﾙｿﾝ
ウェディング プッシュ</t>
    <rPh sb="0" eb="2">
      <t>オカヤマ</t>
    </rPh>
    <rPh sb="3" eb="5">
      <t>チュウブ</t>
    </rPh>
    <rPh sb="5" eb="7">
      <t>チク</t>
    </rPh>
    <phoneticPr fontId="2"/>
  </si>
  <si>
    <t>for Grace、水野ミリナー プッシュ、アポ取り</t>
    <rPh sb="10" eb="12">
      <t>ミズノ</t>
    </rPh>
    <rPh sb="24" eb="25">
      <t>ト</t>
    </rPh>
    <phoneticPr fontId="2"/>
  </si>
  <si>
    <t>ギャルソン・ウェディング プッシュ</t>
    <phoneticPr fontId="2"/>
  </si>
  <si>
    <t>5社</t>
    <rPh sb="1" eb="2">
      <t>シャ</t>
    </rPh>
    <phoneticPr fontId="2"/>
  </si>
  <si>
    <t>島田商事・清原etc.
商社訪問・提案</t>
    <rPh sb="0" eb="2">
      <t>シマダ</t>
    </rPh>
    <rPh sb="2" eb="4">
      <t>ショウジ</t>
    </rPh>
    <rPh sb="5" eb="7">
      <t>キヨハラ</t>
    </rPh>
    <rPh sb="12" eb="14">
      <t>ショウシャ</t>
    </rPh>
    <rPh sb="14" eb="16">
      <t>ホウモン</t>
    </rPh>
    <rPh sb="17" eb="19">
      <t>テイアン</t>
    </rPh>
    <phoneticPr fontId="2"/>
  </si>
  <si>
    <t>インテリア、ニーディック 訪問プッシュ</t>
    <rPh sb="13" eb="15">
      <t>ホウモン</t>
    </rPh>
    <phoneticPr fontId="2"/>
  </si>
  <si>
    <t>インテリア新規
アポ取り</t>
    <rPh sb="5" eb="7">
      <t>シンキ</t>
    </rPh>
    <rPh sb="10" eb="11">
      <t>ト</t>
    </rPh>
    <phoneticPr fontId="2"/>
  </si>
  <si>
    <t>デザイナー学校etc.にリバー在庫販売声掛け</t>
    <rPh sb="5" eb="7">
      <t>ガッコウ</t>
    </rPh>
    <rPh sb="15" eb="19">
      <t>ザイコハンバイ</t>
    </rPh>
    <rPh sb="19" eb="21">
      <t>コエカ</t>
    </rPh>
    <phoneticPr fontId="2"/>
  </si>
  <si>
    <t>デザイナー学校etc.にリバー在庫販売</t>
    <rPh sb="5" eb="7">
      <t>ガッコウ</t>
    </rPh>
    <rPh sb="15" eb="19">
      <t>ザイコハンバイ</t>
    </rPh>
    <phoneticPr fontId="2"/>
  </si>
  <si>
    <t>リバー在庫品格安販売先捜索</t>
    <rPh sb="3" eb="6">
      <t>ザイコヒン</t>
    </rPh>
    <rPh sb="6" eb="8">
      <t>カクヤス</t>
    </rPh>
    <rPh sb="8" eb="11">
      <t>ハンバイサキ</t>
    </rPh>
    <rPh sb="11" eb="13">
      <t>ソウサク</t>
    </rPh>
    <phoneticPr fontId="2"/>
  </si>
  <si>
    <t>リバー在庫品格安販売</t>
    <rPh sb="3" eb="6">
      <t>ザイコヒン</t>
    </rPh>
    <rPh sb="6" eb="8">
      <t>カクヤス</t>
    </rPh>
    <rPh sb="8" eb="10">
      <t>ハンバイ</t>
    </rPh>
    <phoneticPr fontId="2"/>
  </si>
  <si>
    <t>インテリア向け、ニーディックに販売</t>
    <rPh sb="5" eb="6">
      <t>ム</t>
    </rPh>
    <rPh sb="15" eb="17">
      <t>ハンバイ</t>
    </rPh>
    <phoneticPr fontId="2"/>
  </si>
  <si>
    <t>1社</t>
    <rPh sb="1" eb="2">
      <t>シャ</t>
    </rPh>
    <phoneticPr fontId="2"/>
  </si>
  <si>
    <t>2社</t>
    <rPh sb="1" eb="2">
      <t>シャ</t>
    </rPh>
    <phoneticPr fontId="2"/>
  </si>
  <si>
    <t>1～2社</t>
    <rPh sb="3" eb="4">
      <t>シャ</t>
    </rPh>
    <phoneticPr fontId="2"/>
  </si>
  <si>
    <t>深串</t>
    <rPh sb="0" eb="1">
      <t>フカ</t>
    </rPh>
    <rPh sb="1" eb="2">
      <t>クシ</t>
    </rPh>
    <phoneticPr fontId="2"/>
  </si>
  <si>
    <t>SF上海</t>
    <rPh sb="2" eb="4">
      <t>シャンハイ</t>
    </rPh>
    <phoneticPr fontId="2"/>
  </si>
  <si>
    <t>※単位：千円</t>
    <rPh sb="1" eb="3">
      <t>タンイ</t>
    </rPh>
    <rPh sb="4" eb="6">
      <t>センエン</t>
    </rPh>
    <phoneticPr fontId="2"/>
  </si>
  <si>
    <t>オカダヤ・ユザワヤ
トマト訪問
手芸センタードリーム商談</t>
    <rPh sb="13" eb="15">
      <t>ホウモン</t>
    </rPh>
    <rPh sb="16" eb="18">
      <t>シュゲイ</t>
    </rPh>
    <rPh sb="26" eb="28">
      <t>ショウダン</t>
    </rPh>
    <phoneticPr fontId="2"/>
  </si>
  <si>
    <t>オカダヤ・ユザワヤ
フリルリボン提案</t>
    <rPh sb="16" eb="18">
      <t>テイアン</t>
    </rPh>
    <phoneticPr fontId="2"/>
  </si>
  <si>
    <t>レースフリル提案準備
オカダヤ・トマト広幅提案</t>
    <rPh sb="6" eb="8">
      <t>テイアン</t>
    </rPh>
    <rPh sb="8" eb="10">
      <t>ジュンビ</t>
    </rPh>
    <rPh sb="19" eb="21">
      <t>ヒロハバ</t>
    </rPh>
    <rPh sb="21" eb="23">
      <t>テイアン</t>
    </rPh>
    <phoneticPr fontId="2"/>
  </si>
  <si>
    <t>手芸センタードリーム
レースフリル等提案</t>
    <rPh sb="0" eb="2">
      <t>シュゲイ</t>
    </rPh>
    <rPh sb="17" eb="18">
      <t>ナド</t>
    </rPh>
    <rPh sb="18" eb="20">
      <t>テイアン</t>
    </rPh>
    <phoneticPr fontId="2"/>
  </si>
  <si>
    <t>オカダヤ・ユザワヤ
トマト
レースフリル提案</t>
    <rPh sb="20" eb="22">
      <t>テイアン</t>
    </rPh>
    <phoneticPr fontId="2"/>
  </si>
  <si>
    <t>提案商品準備</t>
    <rPh sb="0" eb="4">
      <t>テイアンショウヒン</t>
    </rPh>
    <rPh sb="4" eb="6">
      <t>ジュンビ</t>
    </rPh>
    <phoneticPr fontId="2"/>
  </si>
  <si>
    <t>提案商品準備</t>
    <rPh sb="0" eb="6">
      <t>テイアンショウヒンジュンビ</t>
    </rPh>
    <phoneticPr fontId="2"/>
  </si>
  <si>
    <t>オカダヤ・ユザワヤ
トマト・ドリーム
商品提案</t>
    <rPh sb="19" eb="23">
      <t>ショウヒンテイアン</t>
    </rPh>
    <phoneticPr fontId="2"/>
  </si>
  <si>
    <t>レースフリル
1アイテム採用</t>
    <rPh sb="12" eb="14">
      <t>サイヨウ</t>
    </rPh>
    <phoneticPr fontId="2"/>
  </si>
  <si>
    <t>SF上海</t>
    <rPh sb="2" eb="4">
      <t>シャンハイ</t>
    </rPh>
    <phoneticPr fontId="2"/>
  </si>
  <si>
    <t>FRAMIS</t>
    <phoneticPr fontId="2"/>
  </si>
  <si>
    <t>その他</t>
    <rPh sb="2" eb="3">
      <t>ホカ</t>
    </rPh>
    <phoneticPr fontId="2"/>
  </si>
  <si>
    <t>ダイソー向け出荷</t>
    <rPh sb="4" eb="5">
      <t>ム</t>
    </rPh>
    <rPh sb="6" eb="8">
      <t>シュッカ</t>
    </rPh>
    <phoneticPr fontId="2"/>
  </si>
  <si>
    <t>1,000kg</t>
    <phoneticPr fontId="2"/>
  </si>
  <si>
    <t>防犯タグバンド販促</t>
    <rPh sb="0" eb="2">
      <t>ボウハン</t>
    </rPh>
    <rPh sb="7" eb="9">
      <t>ハンソク</t>
    </rPh>
    <phoneticPr fontId="2"/>
  </si>
  <si>
    <t>７Fショールーム準備</t>
    <rPh sb="8" eb="10">
      <t>ジュンビ</t>
    </rPh>
    <phoneticPr fontId="2"/>
  </si>
  <si>
    <t>ショールームオープン</t>
    <phoneticPr fontId="2"/>
  </si>
  <si>
    <t>リボン・テープ等</t>
    <rPh sb="7" eb="8">
      <t>ナド</t>
    </rPh>
    <phoneticPr fontId="2"/>
  </si>
  <si>
    <t>韓国</t>
    <rPh sb="0" eb="2">
      <t>カンコク</t>
    </rPh>
    <phoneticPr fontId="2"/>
  </si>
  <si>
    <t>リバーレース</t>
    <phoneticPr fontId="2"/>
  </si>
  <si>
    <t>GCGA</t>
    <phoneticPr fontId="2"/>
  </si>
  <si>
    <t>MOBILONテープ</t>
    <phoneticPr fontId="2"/>
  </si>
  <si>
    <t>MOBILONテープ・バンド</t>
    <phoneticPr fontId="2"/>
  </si>
  <si>
    <t>MOBILONバンド</t>
    <phoneticPr fontId="2"/>
  </si>
  <si>
    <t>米国(NY)</t>
    <rPh sb="0" eb="2">
      <t>ベイコク</t>
    </rPh>
    <phoneticPr fontId="2"/>
  </si>
  <si>
    <t>米国(LA)</t>
    <rPh sb="0" eb="2">
      <t>ベイコク</t>
    </rPh>
    <phoneticPr fontId="2"/>
  </si>
  <si>
    <t>合計</t>
    <rPh sb="0" eb="2">
      <t>ゴウケイ</t>
    </rPh>
    <phoneticPr fontId="2"/>
  </si>
  <si>
    <t>MOBILON新規、JCA、</t>
    <rPh sb="7" eb="9">
      <t>シンキ</t>
    </rPh>
    <phoneticPr fontId="2"/>
  </si>
  <si>
    <t>SFSH売上</t>
    <rPh sb="4" eb="6">
      <t>ウリアゲ</t>
    </rPh>
    <phoneticPr fontId="2"/>
  </si>
  <si>
    <t>GCGA売上</t>
    <rPh sb="4" eb="6">
      <t>ウリアゲ</t>
    </rPh>
    <phoneticPr fontId="2"/>
  </si>
  <si>
    <t>SFSHコスト</t>
    <phoneticPr fontId="2"/>
  </si>
  <si>
    <t>GCGAコスト</t>
    <phoneticPr fontId="2"/>
  </si>
  <si>
    <t>既存合計</t>
    <rPh sb="0" eb="2">
      <t>キゾン</t>
    </rPh>
    <rPh sb="2" eb="4">
      <t>ゴウケイ</t>
    </rPh>
    <phoneticPr fontId="2"/>
  </si>
  <si>
    <t>新規合計</t>
    <rPh sb="0" eb="4">
      <t>シンキゴウケイ</t>
    </rPh>
    <phoneticPr fontId="2"/>
  </si>
  <si>
    <t>総合計</t>
    <rPh sb="0" eb="3">
      <t>ソウゴウケイ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</si>
  <si>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</si>
  <si>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</si>
  <si>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商品</t>
    <rPh sb="0" eb="2">
      <t>ショウヒン</t>
    </rPh>
    <phoneticPr fontId="2"/>
  </si>
  <si>
    <t>向け先</t>
    <rPh sb="0" eb="1">
      <t>ム</t>
    </rPh>
    <rPh sb="2" eb="3">
      <t>サキ</t>
    </rPh>
    <phoneticPr fontId="2"/>
  </si>
  <si>
    <t>単位（千円）</t>
    <rPh sb="0" eb="2">
      <t>タンイ</t>
    </rPh>
    <rPh sb="3" eb="5">
      <t>センエン</t>
    </rPh>
    <phoneticPr fontId="2"/>
  </si>
  <si>
    <t>VVR</t>
    <phoneticPr fontId="2"/>
  </si>
  <si>
    <t>欧州</t>
    <rPh sb="0" eb="2">
      <t>オウシュウ</t>
    </rPh>
    <phoneticPr fontId="2"/>
  </si>
  <si>
    <t>ウェディング、イギンに受注を取り付ける</t>
    <rPh sb="11" eb="13">
      <t>ジュチュウ</t>
    </rPh>
    <rPh sb="14" eb="15">
      <t>ト</t>
    </rPh>
    <rPh sb="16" eb="17">
      <t>ツ</t>
    </rPh>
    <phoneticPr fontId="2"/>
  </si>
  <si>
    <t>シェアースピリット受注、ウェディング プッシュ</t>
    <rPh sb="9" eb="11">
      <t>ジュチュウ</t>
    </rPh>
    <phoneticPr fontId="2"/>
  </si>
  <si>
    <t>岡山・中部地区プッシュ 
12月(水野ﾐﾘﾅｰ)の収穫</t>
    <rPh sb="0" eb="2">
      <t>オカヤマ</t>
    </rPh>
    <rPh sb="3" eb="5">
      <t>チュウブ</t>
    </rPh>
    <rPh sb="5" eb="7">
      <t>チク</t>
    </rPh>
    <rPh sb="15" eb="16">
      <t>ガツ</t>
    </rPh>
    <rPh sb="17" eb="19">
      <t>ミズノ</t>
    </rPh>
    <rPh sb="25" eb="27">
      <t>シュウカク</t>
    </rPh>
    <phoneticPr fontId="2"/>
  </si>
  <si>
    <t>イギンにプッシュ
for Grace 受注</t>
    <rPh sb="19" eb="21">
      <t>ジュチュウ</t>
    </rPh>
    <phoneticPr fontId="2"/>
  </si>
  <si>
    <t>さえら、ファニー
受注</t>
    <rPh sb="9" eb="11">
      <t>ジュチュウ</t>
    </rPh>
    <phoneticPr fontId="2"/>
  </si>
  <si>
    <t>島田商事・清原etc.
商社訪問、ｱｯｼｰﾅN.Y・提案</t>
    <rPh sb="0" eb="2">
      <t>シマダ</t>
    </rPh>
    <rPh sb="2" eb="4">
      <t>ショウジ</t>
    </rPh>
    <rPh sb="5" eb="7">
      <t>キヨハラ</t>
    </rPh>
    <rPh sb="12" eb="14">
      <t>ショウシャ</t>
    </rPh>
    <rPh sb="14" eb="16">
      <t>ホウモン</t>
    </rPh>
    <rPh sb="26" eb="28">
      <t>テイアン</t>
    </rPh>
    <phoneticPr fontId="2"/>
  </si>
  <si>
    <t>島田商事・清原etc.
商社訪問・提案、ｱｯｼｰﾅN.Y 受注</t>
    <rPh sb="0" eb="2">
      <t>シマダ</t>
    </rPh>
    <rPh sb="2" eb="4">
      <t>ショウジ</t>
    </rPh>
    <rPh sb="5" eb="7">
      <t>キヨハラ</t>
    </rPh>
    <rPh sb="12" eb="14">
      <t>ショウシャ</t>
    </rPh>
    <rPh sb="14" eb="16">
      <t>ホウモン</t>
    </rPh>
    <rPh sb="17" eb="19">
      <t>テイアン</t>
    </rPh>
    <rPh sb="29" eb="31">
      <t>ジュチュウ</t>
    </rPh>
    <phoneticPr fontId="2"/>
  </si>
  <si>
    <t>島田商事・清原etc.
商社訪問・提案
FANCY.W、藤久 受注</t>
    <rPh sb="0" eb="2">
      <t>シマダ</t>
    </rPh>
    <rPh sb="2" eb="4">
      <t>ショウジ</t>
    </rPh>
    <rPh sb="5" eb="7">
      <t>キヨハラ</t>
    </rPh>
    <rPh sb="12" eb="14">
      <t>ショウシャ</t>
    </rPh>
    <rPh sb="14" eb="16">
      <t>ホウモン</t>
    </rPh>
    <rPh sb="17" eb="19">
      <t>テイアン</t>
    </rPh>
    <rPh sb="28" eb="30">
      <t>フジキュウ</t>
    </rPh>
    <rPh sb="31" eb="33">
      <t>ジュチュウ</t>
    </rPh>
    <phoneticPr fontId="2"/>
  </si>
  <si>
    <t>ｱﾄﾘｴｴﾑ受注注意、島田商事・清原etc.商社訪問・提案</t>
    <rPh sb="6" eb="10">
      <t>ジュチュウチュウイ</t>
    </rPh>
    <rPh sb="11" eb="13">
      <t>シマダ</t>
    </rPh>
    <rPh sb="13" eb="15">
      <t>ショウジ</t>
    </rPh>
    <rPh sb="16" eb="18">
      <t>キヨハラ</t>
    </rPh>
    <rPh sb="22" eb="24">
      <t>ショウシャ</t>
    </rPh>
    <rPh sb="24" eb="26">
      <t>ホウモン</t>
    </rPh>
    <rPh sb="27" eb="29">
      <t>テイアン</t>
    </rPh>
    <phoneticPr fontId="2"/>
  </si>
  <si>
    <t>ニーディック海外展示会出展、リバー在庫品格安販売先捜索</t>
    <rPh sb="6" eb="13">
      <t>カイガイテンジカイシュッテン</t>
    </rPh>
    <rPh sb="17" eb="20">
      <t>ザイコヒン</t>
    </rPh>
    <rPh sb="20" eb="22">
      <t>カクヤス</t>
    </rPh>
    <rPh sb="22" eb="25">
      <t>ハンバイサキ</t>
    </rPh>
    <rPh sb="25" eb="27">
      <t>ソウサク</t>
    </rPh>
    <phoneticPr fontId="2"/>
  </si>
  <si>
    <t>4件訪問</t>
    <rPh sb="1" eb="2">
      <t>ケン</t>
    </rPh>
    <rPh sb="2" eb="4">
      <t>ホウモン</t>
    </rPh>
    <phoneticPr fontId="2"/>
  </si>
  <si>
    <t>2件訪問</t>
    <rPh sb="1" eb="2">
      <t>ケン</t>
    </rPh>
    <rPh sb="2" eb="4">
      <t>ホウモン</t>
    </rPh>
    <phoneticPr fontId="2"/>
  </si>
  <si>
    <t>レースフリル
1アイテム採用
3件訪問</t>
    <rPh sb="12" eb="14">
      <t>サイヨウ</t>
    </rPh>
    <rPh sb="16" eb="17">
      <t>ケン</t>
    </rPh>
    <rPh sb="17" eb="19">
      <t>ホウモン</t>
    </rPh>
    <phoneticPr fontId="2"/>
  </si>
  <si>
    <t>1~2アイテム準備</t>
    <rPh sb="7" eb="9">
      <t>ジュンビ</t>
    </rPh>
    <phoneticPr fontId="2"/>
  </si>
  <si>
    <t>１~2アイテム準備</t>
    <rPh sb="7" eb="9">
      <t>ジュンビ</t>
    </rPh>
    <phoneticPr fontId="2"/>
  </si>
  <si>
    <t>#12730採用 オカダヤ・ユザワヤ
#1453採用 ドリーム</t>
    <rPh sb="6" eb="8">
      <t>サイヨウ</t>
    </rPh>
    <rPh sb="24" eb="26">
      <t>サイヨウ</t>
    </rPh>
    <phoneticPr fontId="2"/>
  </si>
  <si>
    <t>スパンデックス</t>
    <phoneticPr fontId="2"/>
  </si>
  <si>
    <t>スパンデックス、複合材</t>
    <rPh sb="8" eb="11">
      <t>フクゴウザイ</t>
    </rPh>
    <phoneticPr fontId="2"/>
  </si>
  <si>
    <t>インド、他</t>
    <rPh sb="4" eb="5">
      <t>ホカ</t>
    </rPh>
    <phoneticPr fontId="2"/>
  </si>
  <si>
    <t>リボン・テープ等</t>
  </si>
  <si>
    <t>前売り</t>
  </si>
  <si>
    <t>新規1</t>
    <rPh sb="0" eb="2">
      <t>シンキ</t>
    </rPh>
    <phoneticPr fontId="2"/>
  </si>
  <si>
    <t>新規2</t>
    <rPh sb="0" eb="2">
      <t>シンキ</t>
    </rPh>
    <phoneticPr fontId="2"/>
  </si>
  <si>
    <t>中国</t>
    <rPh sb="0" eb="2">
      <t>チュウゴク</t>
    </rPh>
    <phoneticPr fontId="2"/>
  </si>
  <si>
    <t>計画集計</t>
    <rPh sb="0" eb="4">
      <t>ケイカクシュウケイ</t>
    </rPh>
    <phoneticPr fontId="2"/>
  </si>
  <si>
    <t>実績集計</t>
    <rPh sb="0" eb="2">
      <t>ジッセキ</t>
    </rPh>
    <rPh sb="2" eb="4">
      <t>シュウケイ</t>
    </rPh>
    <phoneticPr fontId="2"/>
  </si>
  <si>
    <t>前期(第49期)実績</t>
    <rPh sb="0" eb="2">
      <t>ゼンキ</t>
    </rPh>
    <rPh sb="3" eb="4">
      <t>ダイ</t>
    </rPh>
    <rPh sb="6" eb="7">
      <t>キ</t>
    </rPh>
    <rPh sb="8" eb="10">
      <t>ジッセキ</t>
    </rPh>
    <phoneticPr fontId="2"/>
  </si>
  <si>
    <t>前期比</t>
    <rPh sb="0" eb="3">
      <t>ゼンキヒ</t>
    </rPh>
    <phoneticPr fontId="2"/>
  </si>
  <si>
    <t>仕入</t>
    <rPh sb="0" eb="2">
      <t>シイレ</t>
    </rPh>
    <phoneticPr fontId="2"/>
  </si>
  <si>
    <t>商品カテゴリ</t>
    <rPh sb="0" eb="2">
      <t>ショウヒン</t>
    </rPh>
    <phoneticPr fontId="2"/>
  </si>
  <si>
    <t>リバーレース
リボン・テープ等</t>
    <rPh sb="14" eb="15">
      <t>ナド</t>
    </rPh>
    <phoneticPr fontId="2"/>
  </si>
  <si>
    <t>小売・量販
産業資材</t>
    <rPh sb="0" eb="2">
      <t>コウリ</t>
    </rPh>
    <rPh sb="3" eb="5">
      <t>リョウハン</t>
    </rPh>
    <rPh sb="6" eb="8">
      <t>サンギョウ</t>
    </rPh>
    <rPh sb="8" eb="10">
      <t>シザイ</t>
    </rPh>
    <phoneticPr fontId="2"/>
  </si>
  <si>
    <t>EC
一般資材
産業資材</t>
    <rPh sb="3" eb="7">
      <t>イッパンシザイ</t>
    </rPh>
    <rPh sb="8" eb="12">
      <t>サンギョウシザイ</t>
    </rPh>
    <phoneticPr fontId="2"/>
  </si>
  <si>
    <t>インテリア
在庫処分
その他</t>
    <rPh sb="6" eb="8">
      <t>ザイコ</t>
    </rPh>
    <rPh sb="8" eb="10">
      <t>ショブン</t>
    </rPh>
    <rPh sb="13" eb="14">
      <t>ホカ</t>
    </rPh>
    <phoneticPr fontId="2"/>
  </si>
  <si>
    <t>リボン・テープ等</t>
    <rPh sb="7" eb="8">
      <t>トウ</t>
    </rPh>
    <phoneticPr fontId="2"/>
  </si>
  <si>
    <t>　</t>
    <phoneticPr fontId="2"/>
  </si>
  <si>
    <t>MOBILONテープ
MOBILONバンド</t>
    <phoneticPr fontId="2"/>
  </si>
  <si>
    <t>韓国
(DAEKYUNG)</t>
    <rPh sb="0" eb="2">
      <t>カンコク</t>
    </rPh>
    <phoneticPr fontId="2"/>
  </si>
  <si>
    <t>手芸量販</t>
    <rPh sb="0" eb="4">
      <t>シュゲイリョウハン</t>
    </rPh>
    <phoneticPr fontId="2"/>
  </si>
  <si>
    <t>MOBILONテープ
MOBILONバンド
JCA製品</t>
    <rPh sb="25" eb="27">
      <t>セイヒン</t>
    </rPh>
    <phoneticPr fontId="2"/>
  </si>
  <si>
    <t>インド</t>
    <phoneticPr fontId="2"/>
  </si>
  <si>
    <t>複合材
(CFRP)</t>
    <rPh sb="0" eb="3">
      <t>フクゴウザイ</t>
    </rPh>
    <phoneticPr fontId="2"/>
  </si>
  <si>
    <t>国内外
産業資材</t>
    <rPh sb="0" eb="3">
      <t>コクナイガイ</t>
    </rPh>
    <rPh sb="4" eb="8">
      <t>サンギョウシザイ</t>
    </rPh>
    <phoneticPr fontId="2"/>
  </si>
  <si>
    <t>アパレル
産業資材</t>
    <rPh sb="5" eb="9">
      <t>サンギョウシザイ</t>
    </rPh>
    <phoneticPr fontId="2"/>
  </si>
  <si>
    <t>アパレル
(付属商社含む)</t>
    <rPh sb="6" eb="8">
      <t>フゾク</t>
    </rPh>
    <rPh sb="8" eb="10">
      <t>ショウシャ</t>
    </rPh>
    <rPh sb="10" eb="11">
      <t>フク</t>
    </rPh>
    <phoneticPr fontId="2"/>
  </si>
  <si>
    <t>欧州
アパレル</t>
    <rPh sb="0" eb="2">
      <t>オウシュウ</t>
    </rPh>
    <phoneticPr fontId="2"/>
  </si>
  <si>
    <t>イギリス
VVR</t>
    <phoneticPr fontId="2"/>
  </si>
  <si>
    <t>MB</t>
    <phoneticPr fontId="2"/>
  </si>
  <si>
    <t>GA</t>
    <phoneticPr fontId="2"/>
  </si>
  <si>
    <t>LL</t>
    <phoneticPr fontId="2"/>
  </si>
  <si>
    <t>OS</t>
    <phoneticPr fontId="2"/>
  </si>
  <si>
    <t>DS</t>
    <phoneticPr fontId="2"/>
  </si>
  <si>
    <t>営業進捗管理用　インボイスリスト</t>
    <rPh sb="0" eb="4">
      <t>エイギョウシンチョク</t>
    </rPh>
    <rPh sb="4" eb="6">
      <t>カンリ</t>
    </rPh>
    <rPh sb="6" eb="7">
      <t>ヨウ</t>
    </rPh>
    <phoneticPr fontId="2"/>
  </si>
  <si>
    <t>※自動計算なので、編集不可</t>
    <rPh sb="1" eb="5">
      <t>ジドウケイサン</t>
    </rPh>
    <rPh sb="9" eb="13">
      <t>ヘンシュウフカ</t>
    </rPh>
    <phoneticPr fontId="2"/>
  </si>
  <si>
    <t>$売上調整</t>
    <rPh sb="1" eb="3">
      <t>ウリアゲ</t>
    </rPh>
    <rPh sb="3" eb="5">
      <t>チョウセイ</t>
    </rPh>
    <phoneticPr fontId="2"/>
  </si>
  <si>
    <t>$仕入調整</t>
    <rPh sb="1" eb="3">
      <t>シイレ</t>
    </rPh>
    <rPh sb="3" eb="5">
      <t>チョウセイ</t>
    </rPh>
    <phoneticPr fontId="2"/>
  </si>
  <si>
    <t>集計カテゴリ1</t>
    <rPh sb="0" eb="2">
      <t>シュウケイ</t>
    </rPh>
    <phoneticPr fontId="2"/>
  </si>
  <si>
    <t>集計カテゴリ2</t>
    <rPh sb="0" eb="2">
      <t>シュウケイ</t>
    </rPh>
    <phoneticPr fontId="2"/>
  </si>
  <si>
    <t>集計カテゴリ3</t>
    <rPh sb="0" eb="2">
      <t>シュウケイ</t>
    </rPh>
    <phoneticPr fontId="2"/>
  </si>
  <si>
    <t>Alert</t>
    <phoneticPr fontId="2"/>
  </si>
  <si>
    <r>
      <t xml:space="preserve">[必須] </t>
    </r>
    <r>
      <rPr>
        <sz val="11"/>
        <rFont val="游ゴシック"/>
        <family val="3"/>
        <charset val="128"/>
        <scheme val="minor"/>
      </rPr>
      <t>の項目を入力し、インボイスデータを追加して下さい。自動集計されます。</t>
    </r>
    <rPh sb="1" eb="3">
      <t>ヒッス</t>
    </rPh>
    <rPh sb="6" eb="8">
      <t>コウモク</t>
    </rPh>
    <rPh sb="9" eb="11">
      <t>ニュウリョク</t>
    </rPh>
    <rPh sb="22" eb="24">
      <t>ツイカ</t>
    </rPh>
    <rPh sb="26" eb="27">
      <t>クダ</t>
    </rPh>
    <rPh sb="30" eb="32">
      <t>ジドウ</t>
    </rPh>
    <rPh sb="32" eb="34">
      <t>シュウケイ</t>
    </rPh>
    <phoneticPr fontId="2"/>
  </si>
  <si>
    <t>必須</t>
    <rPh sb="0" eb="2">
      <t>ヒッス</t>
    </rPh>
    <phoneticPr fontId="2"/>
  </si>
  <si>
    <t>任意</t>
    <rPh sb="0" eb="2">
      <t>ニンイ</t>
    </rPh>
    <phoneticPr fontId="2"/>
  </si>
  <si>
    <t>B/L DateのTTS</t>
    <phoneticPr fontId="2"/>
  </si>
  <si>
    <t>B/L DateのTTB</t>
    <phoneticPr fontId="2"/>
  </si>
  <si>
    <t>集計カテゴリ</t>
    <rPh sb="0" eb="2">
      <t>シュウケイ</t>
    </rPh>
    <phoneticPr fontId="2"/>
  </si>
  <si>
    <t>INV番号</t>
    <rPh sb="3" eb="5">
      <t>バンゴウ</t>
    </rPh>
    <phoneticPr fontId="2"/>
  </si>
  <si>
    <t>仕入金額</t>
    <rPh sb="0" eb="2">
      <t>シイレ</t>
    </rPh>
    <rPh sb="2" eb="4">
      <t>キンガク</t>
    </rPh>
    <phoneticPr fontId="2"/>
  </si>
  <si>
    <t>諸経費</t>
    <rPh sb="0" eb="3">
      <t>ショケイヒ</t>
    </rPh>
    <phoneticPr fontId="2"/>
  </si>
  <si>
    <t>仕入通貨</t>
    <rPh sb="0" eb="2">
      <t>シイレ</t>
    </rPh>
    <rPh sb="2" eb="4">
      <t>ツウカ</t>
    </rPh>
    <phoneticPr fontId="2"/>
  </si>
  <si>
    <t>売上金額</t>
    <rPh sb="0" eb="2">
      <t>ウリアゲ</t>
    </rPh>
    <rPh sb="2" eb="4">
      <t>キンガク</t>
    </rPh>
    <phoneticPr fontId="2"/>
  </si>
  <si>
    <t>B/L Date</t>
    <phoneticPr fontId="2"/>
  </si>
  <si>
    <t>販売通貨</t>
    <rPh sb="0" eb="2">
      <t>ハンバイ</t>
    </rPh>
    <rPh sb="2" eb="4">
      <t>ツウカ</t>
    </rPh>
    <phoneticPr fontId="2"/>
  </si>
  <si>
    <t>参照</t>
    <rPh sb="0" eb="2">
      <t>サンショウ</t>
    </rPh>
    <phoneticPr fontId="2"/>
  </si>
  <si>
    <t>為替(売上)</t>
    <rPh sb="0" eb="2">
      <t>カワセ</t>
    </rPh>
    <rPh sb="3" eb="5">
      <t>ウリアゲ</t>
    </rPh>
    <phoneticPr fontId="2"/>
  </si>
  <si>
    <t>売上金額(JPY)</t>
    <rPh sb="0" eb="2">
      <t>ウリアゲ</t>
    </rPh>
    <rPh sb="2" eb="4">
      <t>キンガク</t>
    </rPh>
    <phoneticPr fontId="2"/>
  </si>
  <si>
    <t>為替(仕入)</t>
    <rPh sb="0" eb="2">
      <t>カワセ</t>
    </rPh>
    <rPh sb="3" eb="5">
      <t>シイレ</t>
    </rPh>
    <phoneticPr fontId="2"/>
  </si>
  <si>
    <t>仕入合計(JPY)</t>
    <rPh sb="0" eb="2">
      <t>シイレ</t>
    </rPh>
    <rPh sb="2" eb="4">
      <t>ゴウケイ</t>
    </rPh>
    <phoneticPr fontId="2"/>
  </si>
  <si>
    <t>粗利合計(JPY)</t>
    <rPh sb="0" eb="2">
      <t>アラリ</t>
    </rPh>
    <rPh sb="2" eb="4">
      <t>ゴウケイ</t>
    </rPh>
    <phoneticPr fontId="2"/>
  </si>
  <si>
    <t>粗利率</t>
    <rPh sb="0" eb="3">
      <t>アラリリツ</t>
    </rPh>
    <phoneticPr fontId="2"/>
  </si>
  <si>
    <t>USD</t>
  </si>
  <si>
    <t>JPY</t>
  </si>
  <si>
    <t>SF上海</t>
  </si>
  <si>
    <t>作業中ユーザー</t>
    <rPh sb="0" eb="3">
      <t>サギョウチュウ</t>
    </rPh>
    <phoneticPr fontId="2"/>
  </si>
  <si>
    <t>このブックの保存パス</t>
    <rPh sb="6" eb="8">
      <t>ホゾン</t>
    </rPh>
    <phoneticPr fontId="2"/>
  </si>
  <si>
    <t>このシート名</t>
    <rPh sb="5" eb="6">
      <t>メイ</t>
    </rPh>
    <phoneticPr fontId="2"/>
  </si>
  <si>
    <t>2024年</t>
  </si>
  <si>
    <t>米ドル（USD）</t>
  </si>
  <si>
    <t>ユーロ(EUR)</t>
  </si>
  <si>
    <t>カナダ・ドル（CAD）</t>
  </si>
  <si>
    <t>英ポンド（GBP）</t>
  </si>
  <si>
    <t>スイス･フラン（CHF）</t>
  </si>
  <si>
    <t>ﾃﾞﾝﾏｰｸ･ｸﾛｰﾈ（DKK）</t>
  </si>
  <si>
    <t>ﾉﾙｳｪｰ･ｸﾛｰﾈ（NOK）</t>
  </si>
  <si>
    <t>ｽｳｪｰﾃﾞﾝ･ｸﾛｰﾈ（SEK）</t>
  </si>
  <si>
    <t>ｵｰｽﾄﾗﾘｱ･ﾄﾞﾙ（AUD）</t>
  </si>
  <si>
    <t>ﾆｭｰｼﾞｰﾗﾝﾄﾞ･ﾄﾞﾙ（NZD）</t>
  </si>
  <si>
    <t>香港ドル（HKD）</t>
  </si>
  <si>
    <t>ﾏﾚｰｼｱ･ﾘﾝｷﾞｯﾄ
（MYR）</t>
  </si>
  <si>
    <t>ｼﾝｶﾞﾎﾟｰﾙ･ﾄﾞﾙ（SGD）</t>
  </si>
  <si>
    <t>サウジ・リヤル（SAR）</t>
  </si>
  <si>
    <t>UAEディルハム（AED）</t>
  </si>
  <si>
    <t>中国・人民元（CNY）</t>
  </si>
  <si>
    <t>タイ・バーツ（THB）</t>
  </si>
  <si>
    <t>インド・ルピー（INR）</t>
  </si>
  <si>
    <t>ﾊﾟｷｽﾀﾝ･ﾙﾋﾟｰ（PKR)</t>
  </si>
  <si>
    <t>ｸｳｪｰﾄ･ﾃﾞｨﾅｰﾙ（KWD）</t>
  </si>
  <si>
    <t>カタール・リヤル（QAR）</t>
  </si>
  <si>
    <t>ｲﾝﾄﾞﾈｼｱ･ﾙﾋﾟｱ（IDR）</t>
  </si>
  <si>
    <t>メキシコ・ペソ（MXN）</t>
  </si>
  <si>
    <t>韓国ウォン（KRW）</t>
  </si>
  <si>
    <t>ﾌｨﾘﾋﾟﾝ･ﾍﾟｿ（PHP）</t>
  </si>
  <si>
    <t>南アフリカ･ランド（ZAR）</t>
  </si>
  <si>
    <t>チェコ･コルナ（CZK）</t>
  </si>
  <si>
    <t>ロシア･ルーブル（RUB）</t>
  </si>
  <si>
    <t>ハンガリー･フォリント（HUF）</t>
  </si>
  <si>
    <t>ポーランド･ズロチ（PLN）</t>
  </si>
  <si>
    <t>トルコ・リラ（TRY）</t>
  </si>
  <si>
    <t>ｵﾌｼｮｱ人民元相場に基づく公表相場</t>
  </si>
  <si>
    <t>TTBは参考相場</t>
  </si>
  <si>
    <t>100通貨単位につき
TTS,TTB共に参考相場</t>
  </si>
  <si>
    <t>100通貨単位につき</t>
  </si>
  <si>
    <t>　2004.8.16　公表開始</t>
  </si>
  <si>
    <t>DATE</t>
  </si>
  <si>
    <t>曜</t>
  </si>
  <si>
    <t>TTS</t>
  </si>
  <si>
    <t>TTB</t>
  </si>
  <si>
    <t>TTM</t>
  </si>
  <si>
    <t>月</t>
  </si>
  <si>
    <t>火</t>
  </si>
  <si>
    <t>水</t>
  </si>
  <si>
    <t>木</t>
  </si>
  <si>
    <t>金</t>
  </si>
  <si>
    <t>土</t>
  </si>
  <si>
    <t>日</t>
  </si>
  <si>
    <t>98年9月2日から</t>
  </si>
  <si>
    <t>公表停止</t>
  </si>
  <si>
    <t>年間高値</t>
  </si>
  <si>
    <t>年間安値</t>
  </si>
  <si>
    <t>年間平均※</t>
  </si>
  <si>
    <t>※年間平均は、各通貨の全営業日相場の単純平均</t>
  </si>
  <si>
    <t>FRAMIS</t>
  </si>
  <si>
    <t>その他
SEI, MINYUEN等</t>
  </si>
  <si>
    <t>その他
SEI, MINYUEN等</t>
    <rPh sb="2" eb="3">
      <t>ホカ</t>
    </rPh>
    <rPh sb="16" eb="17">
      <t>ナド</t>
    </rPh>
    <phoneticPr fontId="2"/>
  </si>
  <si>
    <t>月次進捗</t>
    <rPh sb="0" eb="4">
      <t>ゲツジシンチョク</t>
    </rPh>
    <phoneticPr fontId="2"/>
  </si>
  <si>
    <t>計画</t>
  </si>
  <si>
    <t>計画</t>
    <rPh sb="0" eb="2">
      <t>ケイカク</t>
    </rPh>
    <phoneticPr fontId="2"/>
  </si>
  <si>
    <t>実績</t>
  </si>
  <si>
    <t>実績</t>
    <rPh sb="0" eb="2">
      <t>ジッセキ</t>
    </rPh>
    <phoneticPr fontId="2"/>
  </si>
  <si>
    <t>単月達成率</t>
  </si>
  <si>
    <t>累積進捗率</t>
  </si>
  <si>
    <t>累積進捗率</t>
    <rPh sb="0" eb="2">
      <t>ルイセキ</t>
    </rPh>
    <rPh sb="2" eb="5">
      <t>シンチョクリツ</t>
    </rPh>
    <phoneticPr fontId="2"/>
  </si>
  <si>
    <t>項目</t>
    <rPh sb="0" eb="2">
      <t>コウモク</t>
    </rPh>
    <phoneticPr fontId="2"/>
  </si>
  <si>
    <t>計画</t>
    <rPh sb="0" eb="2">
      <t>ケイカク</t>
    </rPh>
    <phoneticPr fontId="2"/>
  </si>
  <si>
    <t>全社合計</t>
    <rPh sb="0" eb="2">
      <t>ゼンシャ</t>
    </rPh>
    <rPh sb="2" eb="4">
      <t>ゴウケイ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</si>
  <si>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</si>
  <si>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</si>
  <si>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進捗率</t>
    <rPh sb="0" eb="3">
      <t>シンチョクリツ</t>
    </rPh>
    <phoneticPr fontId="2"/>
  </si>
  <si>
    <t>売上</t>
    <rPh sb="0" eb="2">
      <t>ウリアゲ</t>
    </rPh>
    <phoneticPr fontId="2"/>
  </si>
  <si>
    <t>粗利</t>
    <rPh sb="0" eb="2">
      <t>アラリ</t>
    </rPh>
    <phoneticPr fontId="2"/>
  </si>
  <si>
    <t>実績(速報)</t>
    <rPh sb="0" eb="2">
      <t>ジッセキ</t>
    </rPh>
    <rPh sb="3" eb="5">
      <t>ソクホウ</t>
    </rPh>
    <phoneticPr fontId="2"/>
  </si>
  <si>
    <t>実績(財務)</t>
    <rPh sb="0" eb="2">
      <t>ジッセキ</t>
    </rPh>
    <rPh sb="3" eb="5">
      <t>ザイム</t>
    </rPh>
    <phoneticPr fontId="2"/>
  </si>
  <si>
    <t>国内営業</t>
    <rPh sb="0" eb="4">
      <t>コクナイエイギョウ</t>
    </rPh>
    <phoneticPr fontId="2"/>
  </si>
  <si>
    <t>貿易</t>
    <rPh sb="0" eb="2">
      <t>ボウエキ</t>
    </rPh>
    <phoneticPr fontId="2"/>
  </si>
  <si>
    <t>全社合計</t>
    <rPh sb="0" eb="2">
      <t>ゼンシャ</t>
    </rPh>
    <rPh sb="2" eb="4">
      <t>ゴウケイ</t>
    </rPh>
    <phoneticPr fontId="2"/>
  </si>
  <si>
    <t>計画</t>
    <rPh sb="0" eb="2">
      <t>ケイカク</t>
    </rPh>
    <phoneticPr fontId="2"/>
  </si>
  <si>
    <t>実績(財務)</t>
    <rPh sb="0" eb="2">
      <t>ジッセキ</t>
    </rPh>
    <rPh sb="3" eb="5">
      <t>ザイム</t>
    </rPh>
    <phoneticPr fontId="2"/>
  </si>
  <si>
    <t>実績(速報)</t>
    <rPh sb="0" eb="2">
      <t>ジッセキ</t>
    </rPh>
    <rPh sb="3" eb="5">
      <t>ソクホウ</t>
    </rPh>
    <phoneticPr fontId="2"/>
  </si>
  <si>
    <t>単月達成率</t>
    <rPh sb="0" eb="2">
      <t>タンゲツ</t>
    </rPh>
    <rPh sb="2" eb="5">
      <t>タッセイリツ</t>
    </rPh>
    <phoneticPr fontId="2"/>
  </si>
  <si>
    <t>累積進捗率</t>
    <rPh sb="0" eb="2">
      <t>ルイセキ</t>
    </rPh>
    <rPh sb="2" eb="5">
      <t>シンチョクリツ</t>
    </rPh>
    <phoneticPr fontId="2"/>
  </si>
  <si>
    <t>リボン・テープ等
↓
2024/9から
ﾊﾟﾌは松岡さん</t>
    <rPh sb="7" eb="8">
      <t>ナド</t>
    </rPh>
    <rPh sb="24" eb="26">
      <t>マツオカ</t>
    </rPh>
    <phoneticPr fontId="2"/>
  </si>
  <si>
    <t>リバーレース
リボン・テープ等
↓
2024.9から
ﾊﾟﾌは松岡さん</t>
    <rPh sb="14" eb="15">
      <t>ナド</t>
    </rPh>
    <rPh sb="31" eb="33">
      <t>マツオカ</t>
    </rPh>
    <phoneticPr fontId="2"/>
  </si>
  <si>
    <t>ﾊﾟﾌの担当切替</t>
    <rPh sb="4" eb="8">
      <t>タントウキリカエ</t>
    </rPh>
    <phoneticPr fontId="2"/>
  </si>
  <si>
    <t>年間計画数字に対する現在進捗</t>
    <rPh sb="0" eb="2">
      <t>ネンカン</t>
    </rPh>
    <rPh sb="2" eb="4">
      <t>ケイカク</t>
    </rPh>
    <rPh sb="4" eb="6">
      <t>スウジ</t>
    </rPh>
    <rPh sb="7" eb="8">
      <t>タイ</t>
    </rPh>
    <rPh sb="10" eb="12">
      <t>ゲンザイ</t>
    </rPh>
    <rPh sb="12" eb="14">
      <t>シンチョク</t>
    </rPh>
    <phoneticPr fontId="2"/>
  </si>
  <si>
    <t>アパレル
産業資材</t>
  </si>
  <si>
    <t>【8月7日公示相場停止あり】</t>
  </si>
  <si>
    <t>(下記、数値は参考記録として1次公示相場発表分を掲載します)</t>
  </si>
  <si>
    <t>JPY</t>
    <phoneticPr fontId="2"/>
  </si>
  <si>
    <t>Chien Yu</t>
    <phoneticPr fontId="2"/>
  </si>
  <si>
    <t>Systech</t>
    <phoneticPr fontId="2"/>
  </si>
  <si>
    <t>Triumph Vietnam</t>
    <phoneticPr fontId="2"/>
  </si>
  <si>
    <t>Framis</t>
    <phoneticPr fontId="2"/>
  </si>
  <si>
    <t>Sew Easy</t>
    <phoneticPr fontId="2"/>
  </si>
  <si>
    <t>Nevada Dental</t>
    <phoneticPr fontId="2"/>
  </si>
  <si>
    <t>2026/5期(第51期)</t>
    <rPh sb="6" eb="7">
      <t>キ</t>
    </rPh>
    <rPh sb="8" eb="9">
      <t>ダイ</t>
    </rPh>
    <rPh sb="11" eb="12">
      <t>キ</t>
    </rPh>
    <phoneticPr fontId="2"/>
  </si>
  <si>
    <t>前期(第50期)実績</t>
    <rPh sb="0" eb="2">
      <t>ゼンキ</t>
    </rPh>
    <rPh sb="3" eb="4">
      <t>ダイ</t>
    </rPh>
    <rPh sb="6" eb="7">
      <t>キ</t>
    </rPh>
    <rPh sb="8" eb="10">
      <t>ジッセキ</t>
    </rPh>
    <phoneticPr fontId="2"/>
  </si>
  <si>
    <t>Toray Shanghai</t>
    <phoneticPr fontId="2"/>
  </si>
  <si>
    <t>Ratore ＝済南元首</t>
    <rPh sb="8" eb="9">
      <t>サイ</t>
    </rPh>
    <rPh sb="9" eb="10">
      <t>ナン</t>
    </rPh>
    <rPh sb="10" eb="12">
      <t>ゲンシュ</t>
    </rPh>
    <phoneticPr fontId="2"/>
  </si>
  <si>
    <t>JPY</t>
    <phoneticPr fontId="2"/>
  </si>
  <si>
    <t>PT. Hanes</t>
    <phoneticPr fontId="2"/>
  </si>
  <si>
    <t>韓国
(DAEKYUNG)</t>
  </si>
  <si>
    <t>MIN YUEN</t>
    <phoneticPr fontId="2"/>
  </si>
  <si>
    <t>7181</t>
  </si>
  <si>
    <t>7116</t>
  </si>
  <si>
    <t>7186</t>
  </si>
  <si>
    <t>7168</t>
  </si>
  <si>
    <t>7192</t>
  </si>
  <si>
    <t>7152</t>
  </si>
  <si>
    <t>7202</t>
  </si>
  <si>
    <t>7183</t>
  </si>
  <si>
    <t>7191</t>
  </si>
  <si>
    <t>7205</t>
  </si>
  <si>
    <t>7203</t>
  </si>
  <si>
    <t>7204</t>
  </si>
  <si>
    <t>7216</t>
  </si>
  <si>
    <t>7219</t>
  </si>
  <si>
    <t>7222</t>
  </si>
  <si>
    <t>7145</t>
  </si>
  <si>
    <t>7233</t>
  </si>
  <si>
    <t>7195</t>
  </si>
  <si>
    <t>7242</t>
  </si>
  <si>
    <t>7248</t>
  </si>
  <si>
    <t>7196</t>
  </si>
  <si>
    <t>欧州
アパレル</t>
  </si>
  <si>
    <t>イギリス
VVR</t>
  </si>
  <si>
    <t>H.C.Hanor</t>
    <phoneticPr fontId="2"/>
  </si>
  <si>
    <t>JPY</t>
    <phoneticPr fontId="2"/>
  </si>
  <si>
    <t>JPY</t>
    <phoneticPr fontId="2"/>
  </si>
  <si>
    <t>TRIXION</t>
    <phoneticPr fontId="2"/>
  </si>
  <si>
    <t>JPY</t>
    <phoneticPr fontId="2"/>
  </si>
  <si>
    <t>C.C.H.</t>
    <phoneticPr fontId="2"/>
  </si>
  <si>
    <t xml:space="preserve">Framis </t>
    <phoneticPr fontId="2"/>
  </si>
  <si>
    <t>SF AMERICA
アパレル</t>
    <phoneticPr fontId="2"/>
  </si>
  <si>
    <t>MONIQUE
アパレル</t>
    <phoneticPr fontId="2"/>
  </si>
  <si>
    <t>SF AMERICA
アパレル</t>
  </si>
  <si>
    <t>MONIQUE
アパレル</t>
  </si>
  <si>
    <t>JPY</t>
    <phoneticPr fontId="2"/>
  </si>
  <si>
    <t>7249</t>
  </si>
  <si>
    <t>7250</t>
  </si>
  <si>
    <t>7256</t>
  </si>
  <si>
    <t>7257</t>
  </si>
  <si>
    <t>7260</t>
  </si>
  <si>
    <t>7261</t>
  </si>
  <si>
    <t>7262</t>
  </si>
  <si>
    <t>7276</t>
  </si>
  <si>
    <t>7215</t>
  </si>
  <si>
    <t>7182</t>
  </si>
  <si>
    <t>7280</t>
  </si>
  <si>
    <t>7284</t>
  </si>
  <si>
    <t>7241</t>
  </si>
  <si>
    <t>7193</t>
  </si>
  <si>
    <t>7300</t>
  </si>
  <si>
    <t>7312</t>
  </si>
  <si>
    <t>7314</t>
  </si>
  <si>
    <t>7313</t>
  </si>
  <si>
    <t>7331</t>
  </si>
  <si>
    <t>EUR</t>
  </si>
  <si>
    <t>Triumph India</t>
    <phoneticPr fontId="2"/>
  </si>
  <si>
    <t>TRIPLE SYSTEMS</t>
    <phoneticPr fontId="2"/>
  </si>
  <si>
    <t>INTUITION</t>
    <phoneticPr fontId="2"/>
  </si>
  <si>
    <t>JPY</t>
    <phoneticPr fontId="2"/>
  </si>
  <si>
    <t>SF上海</t>
    <phoneticPr fontId="2"/>
  </si>
  <si>
    <t>Thai Hospital</t>
    <phoneticPr fontId="2"/>
  </si>
  <si>
    <t>JPY</t>
    <phoneticPr fontId="2"/>
  </si>
  <si>
    <t>Hungfat Keme</t>
    <phoneticPr fontId="2"/>
  </si>
  <si>
    <t>GCGA</t>
  </si>
  <si>
    <t>MOBILON
スパンデックス
ラトレ
ワコール案件</t>
    <rPh sb="25" eb="27">
      <t>アンケン</t>
    </rPh>
    <phoneticPr fontId="2"/>
  </si>
  <si>
    <t>ベトナム</t>
    <phoneticPr fontId="2"/>
  </si>
  <si>
    <t>原料</t>
    <rPh sb="0" eb="2">
      <t>ゲンリョウ</t>
    </rPh>
    <phoneticPr fontId="2"/>
  </si>
  <si>
    <t>MOBILON
スパンデックス
原料</t>
    <rPh sb="17" eb="19">
      <t>ゲンリョウ</t>
    </rPh>
    <phoneticPr fontId="2"/>
  </si>
  <si>
    <t>JTI関係</t>
    <rPh sb="3" eb="5">
      <t>カンケイ</t>
    </rPh>
    <phoneticPr fontId="2"/>
  </si>
  <si>
    <t>新事業</t>
    <rPh sb="0" eb="3">
      <t>シンジギョウ</t>
    </rPh>
    <phoneticPr fontId="2"/>
  </si>
  <si>
    <t>7339</t>
  </si>
  <si>
    <t>7342</t>
  </si>
  <si>
    <t>7341</t>
  </si>
  <si>
    <t>7351</t>
  </si>
  <si>
    <t>7275 Revised</t>
  </si>
  <si>
    <t>7352</t>
  </si>
  <si>
    <t>7340</t>
  </si>
  <si>
    <t>7363</t>
  </si>
  <si>
    <t>7388</t>
  </si>
  <si>
    <t>7385</t>
  </si>
  <si>
    <t>7387</t>
  </si>
  <si>
    <t>7391</t>
  </si>
  <si>
    <t>7394</t>
  </si>
  <si>
    <t>7393</t>
  </si>
  <si>
    <t>7401</t>
  </si>
  <si>
    <t>7392</t>
  </si>
  <si>
    <t>7410</t>
  </si>
  <si>
    <t>JPY</t>
    <phoneticPr fontId="2"/>
  </si>
  <si>
    <t>JPY</t>
    <phoneticPr fontId="2"/>
  </si>
  <si>
    <t>Pac-Chem</t>
    <phoneticPr fontId="2"/>
  </si>
  <si>
    <t>JPY</t>
    <phoneticPr fontId="2"/>
  </si>
  <si>
    <t>Wacoal America</t>
    <phoneticPr fontId="2"/>
  </si>
  <si>
    <t>JPY</t>
    <phoneticPr fontId="2"/>
  </si>
  <si>
    <t>H.C. Manor</t>
    <phoneticPr fontId="2"/>
  </si>
  <si>
    <t>YKK Vietnam</t>
    <phoneticPr fontId="2"/>
  </si>
  <si>
    <t>Texas Instruments</t>
    <phoneticPr fontId="2"/>
  </si>
  <si>
    <t>JPY</t>
    <phoneticPr fontId="2"/>
  </si>
  <si>
    <t>Cansew</t>
    <phoneticPr fontId="2"/>
  </si>
  <si>
    <t>7329</t>
  </si>
  <si>
    <t>7428</t>
  </si>
  <si>
    <t>7354</t>
  </si>
  <si>
    <t>7444</t>
  </si>
  <si>
    <t>7443</t>
  </si>
  <si>
    <t>7445</t>
  </si>
  <si>
    <t>7450</t>
  </si>
  <si>
    <t>7455</t>
  </si>
  <si>
    <t>7473</t>
  </si>
  <si>
    <t>7475</t>
  </si>
  <si>
    <t>7476</t>
  </si>
  <si>
    <t>7474</t>
  </si>
  <si>
    <t>7377</t>
  </si>
  <si>
    <t>7490</t>
  </si>
  <si>
    <t>JPY</t>
    <phoneticPr fontId="2"/>
  </si>
  <si>
    <t>Pro-Pack</t>
    <phoneticPr fontId="2"/>
  </si>
  <si>
    <t>JPY</t>
    <phoneticPr fontId="2"/>
  </si>
  <si>
    <t>Karomax</t>
  </si>
  <si>
    <t>JPY</t>
    <phoneticPr fontId="2"/>
  </si>
  <si>
    <t>7502</t>
  </si>
  <si>
    <t>7501</t>
  </si>
  <si>
    <t>7496</t>
  </si>
  <si>
    <t>7497</t>
  </si>
  <si>
    <t>7519</t>
  </si>
  <si>
    <t>7520</t>
  </si>
  <si>
    <t>7524</t>
  </si>
  <si>
    <t>7526</t>
  </si>
  <si>
    <t>7532</t>
  </si>
  <si>
    <t>7541</t>
  </si>
  <si>
    <t>7535</t>
  </si>
  <si>
    <t>C/N 3796</t>
  </si>
  <si>
    <t>7561</t>
  </si>
  <si>
    <t>7484</t>
  </si>
  <si>
    <t>7361</t>
  </si>
  <si>
    <t>7471</t>
  </si>
  <si>
    <t>7585</t>
  </si>
  <si>
    <t>7590</t>
  </si>
  <si>
    <t>7587</t>
  </si>
  <si>
    <t>7575</t>
  </si>
  <si>
    <t>7592</t>
  </si>
  <si>
    <t>JPY</t>
    <phoneticPr fontId="2"/>
  </si>
  <si>
    <t>Aceplas</t>
    <phoneticPr fontId="2"/>
  </si>
  <si>
    <t>USD</t>
    <phoneticPr fontId="2"/>
  </si>
  <si>
    <t>PT. Busana Remaja Agracipta</t>
    <phoneticPr fontId="2"/>
  </si>
  <si>
    <t>土</t>
    <rPh sb="0" eb="1">
      <t>ツチ</t>
    </rPh>
    <phoneticPr fontId="2"/>
  </si>
  <si>
    <t>日</t>
    <phoneticPr fontId="2"/>
  </si>
  <si>
    <t>The Baby's Booty</t>
    <phoneticPr fontId="2"/>
  </si>
  <si>
    <t>JPY</t>
    <phoneticPr fontId="2"/>
  </si>
  <si>
    <t>USD</t>
    <phoneticPr fontId="2"/>
  </si>
  <si>
    <t>JPY</t>
    <phoneticPr fontId="2"/>
  </si>
  <si>
    <t>framis</t>
    <phoneticPr fontId="2"/>
  </si>
  <si>
    <t>JPY</t>
    <phoneticPr fontId="2"/>
  </si>
  <si>
    <t>D'Nonce(M)</t>
    <phoneticPr fontId="2"/>
  </si>
  <si>
    <t>Techni Watch</t>
    <phoneticPr fontId="2"/>
  </si>
  <si>
    <t>Fuji film</t>
    <phoneticPr fontId="2"/>
  </si>
  <si>
    <t>7593</t>
  </si>
  <si>
    <t>7611</t>
  </si>
  <si>
    <t>7617</t>
  </si>
  <si>
    <t>7608</t>
  </si>
  <si>
    <t>7622</t>
  </si>
  <si>
    <t>7571</t>
  </si>
  <si>
    <t>7624</t>
  </si>
  <si>
    <t>7626</t>
  </si>
  <si>
    <t>7536</t>
  </si>
  <si>
    <t>7629</t>
  </si>
  <si>
    <t>7623</t>
  </si>
  <si>
    <t>7607</t>
  </si>
  <si>
    <t>7627</t>
  </si>
  <si>
    <t>7632</t>
  </si>
  <si>
    <t>7631</t>
  </si>
  <si>
    <t>7625</t>
  </si>
  <si>
    <t>7630</t>
  </si>
  <si>
    <t>7637</t>
  </si>
  <si>
    <t>7645</t>
  </si>
  <si>
    <t>7618</t>
  </si>
  <si>
    <t>7646</t>
  </si>
  <si>
    <t>7647</t>
  </si>
  <si>
    <t>7654</t>
  </si>
  <si>
    <t>7663</t>
  </si>
  <si>
    <t>7664</t>
  </si>
  <si>
    <t>7671</t>
  </si>
  <si>
    <t>7670</t>
  </si>
  <si>
    <t>7594</t>
  </si>
  <si>
    <t>7543-1&amp;2</t>
  </si>
  <si>
    <t>H.C Manor</t>
    <phoneticPr fontId="2"/>
  </si>
  <si>
    <t>JPY</t>
    <phoneticPr fontId="2"/>
  </si>
  <si>
    <t>USD</t>
    <phoneticPr fontId="2"/>
  </si>
  <si>
    <t>Topform</t>
    <phoneticPr fontId="2"/>
  </si>
  <si>
    <t>7669</t>
  </si>
  <si>
    <t>7682</t>
  </si>
  <si>
    <t>7668</t>
  </si>
  <si>
    <t>7689</t>
  </si>
  <si>
    <t>7699</t>
  </si>
  <si>
    <t>7702</t>
  </si>
  <si>
    <t>7697</t>
  </si>
  <si>
    <t>7698</t>
  </si>
  <si>
    <t>7732</t>
  </si>
  <si>
    <t>7707</t>
  </si>
  <si>
    <t>7735</t>
  </si>
  <si>
    <t>7737</t>
  </si>
  <si>
    <t>7724</t>
  </si>
  <si>
    <t>7681</t>
  </si>
  <si>
    <t>7740</t>
  </si>
  <si>
    <t>7742</t>
  </si>
  <si>
    <t>7741</t>
  </si>
  <si>
    <t>7744</t>
  </si>
  <si>
    <t>7754</t>
  </si>
  <si>
    <t>7750</t>
  </si>
  <si>
    <t>Framis</t>
    <phoneticPr fontId="2"/>
  </si>
  <si>
    <t>Min Yuen</t>
    <phoneticPr fontId="2"/>
  </si>
  <si>
    <t>USD</t>
    <phoneticPr fontId="2"/>
  </si>
  <si>
    <t>JPY</t>
    <phoneticPr fontId="2"/>
  </si>
  <si>
    <t>PT. Busanaremaja</t>
    <phoneticPr fontId="2"/>
  </si>
  <si>
    <t>JPY</t>
    <phoneticPr fontId="2"/>
  </si>
  <si>
    <t>JPY</t>
    <phoneticPr fontId="2"/>
  </si>
  <si>
    <t>JPY</t>
    <phoneticPr fontId="2"/>
  </si>
  <si>
    <t>USD</t>
    <phoneticPr fontId="2"/>
  </si>
  <si>
    <t>JPY</t>
    <phoneticPr fontId="2"/>
  </si>
  <si>
    <t>7751</t>
  </si>
  <si>
    <t>7765</t>
  </si>
  <si>
    <t>7676</t>
  </si>
  <si>
    <t>7761</t>
  </si>
  <si>
    <t>7773</t>
  </si>
  <si>
    <t>7774</t>
  </si>
  <si>
    <t>7789</t>
  </si>
  <si>
    <t>7762</t>
  </si>
  <si>
    <t>7797</t>
  </si>
  <si>
    <t>7775</t>
  </si>
  <si>
    <t>7803</t>
  </si>
  <si>
    <t>7440</t>
  </si>
  <si>
    <t>7808</t>
  </si>
  <si>
    <t>7795</t>
  </si>
  <si>
    <t>7816</t>
  </si>
  <si>
    <t>7826</t>
  </si>
  <si>
    <t>7810</t>
  </si>
  <si>
    <t>7811</t>
  </si>
  <si>
    <t>Triumph Morocco</t>
    <phoneticPr fontId="2"/>
  </si>
  <si>
    <t>Baumgarten's</t>
    <phoneticPr fontId="2"/>
  </si>
  <si>
    <t>7834</t>
  </si>
  <si>
    <t>7847</t>
  </si>
  <si>
    <t>7839</t>
  </si>
  <si>
    <t>7838</t>
  </si>
  <si>
    <t>7852</t>
  </si>
  <si>
    <t>7796</t>
  </si>
  <si>
    <t>7837</t>
  </si>
  <si>
    <t>7749</t>
  </si>
  <si>
    <t>7733</t>
  </si>
  <si>
    <t>7885</t>
  </si>
  <si>
    <t>7865</t>
  </si>
  <si>
    <t>7881</t>
  </si>
  <si>
    <t>7867</t>
  </si>
  <si>
    <t>7893</t>
  </si>
  <si>
    <t>7886</t>
  </si>
  <si>
    <t>7894</t>
  </si>
  <si>
    <t>FRAMIS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</si>
</sst>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¥&quot;#,##0;[Red]&quot;¥&quot;\-#,##0"/>
    <numFmt numFmtId="8" formatCode="&quot;¥&quot;#,##0.00;[Red]&quot;¥&quot;\-#,##0.00"/>
    <numFmt numFmtId="176" formatCode="0.0%"/>
    <numFmt numFmtId="177" formatCode="&quot;¥&quot;#,##0.00;[Red]&quot;¥&quot;\-#,##0.00\ &quot;/ドル&quot;"/>
    <numFmt numFmtId="178" formatCode="0.00_ ;[Red]\-0.00\ "/>
    <numFmt numFmtId="179" formatCode="0.00_);[Red]\(0.00\)"/>
    <numFmt numFmtId="180" formatCode="0.00;[Red]0.00"/>
    <numFmt numFmtId="181" formatCode="0.00_ "/>
    <numFmt numFmtId="182" formatCode="yyyy&quot;年&quot;m&quot;月&quot;;@"/>
  </numFmts>
  <fonts count="3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u/>
      <sz val="14"/>
      <color rgb="FFFF0000"/>
      <name val="游ゴシック"/>
      <family val="3"/>
      <charset val="128"/>
      <scheme val="minor"/>
    </font>
    <font>
      <b/>
      <sz val="14"/>
      <color theme="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1"/>
      <color rgb="FFC00000"/>
      <name val="游ゴシック"/>
      <family val="2"/>
      <charset val="128"/>
      <scheme val="minor"/>
    </font>
    <font>
      <sz val="7"/>
      <color theme="1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b/>
      <sz val="11"/>
      <color indexed="9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10"/>
      <color indexed="8"/>
      <name val="游ゴシック"/>
      <family val="3"/>
      <charset val="128"/>
      <scheme val="minor"/>
    </font>
    <font>
      <b/>
      <sz val="20"/>
      <color indexed="8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color rgb="FF9C0006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20"/>
      <color theme="1"/>
      <name val="游ゴシック"/>
      <family val="3"/>
      <charset val="128"/>
      <scheme val="minor"/>
    </font>
    <font>
      <b/>
      <u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9"/>
      <color indexed="81"/>
      <name val="MS P ゴシック"/>
      <family val="3"/>
      <charset val="128"/>
    </font>
    <font>
      <sz val="6.5"/>
      <color theme="1"/>
      <name val="游ゴシック"/>
      <family val="2"/>
      <charset val="128"/>
      <scheme val="minor"/>
    </font>
    <font>
      <sz val="11"/>
      <color rgb="FF0070C0"/>
      <name val="游ゴシック"/>
      <family val="2"/>
      <charset val="128"/>
      <scheme val="minor"/>
    </font>
    <font>
      <sz val="12"/>
      <color theme="1" tint="0.249977111117893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53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38" fontId="0" fillId="0" borderId="0" xfId="1" applyFon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176" fontId="0" fillId="3" borderId="2" xfId="2" applyNumberFormat="1" applyFont="1" applyFill="1" applyBorder="1" applyAlignment="1">
      <alignment horizontal="center" vertical="center"/>
    </xf>
    <xf numFmtId="176" fontId="0" fillId="3" borderId="3" xfId="2" applyNumberFormat="1" applyFont="1" applyFill="1" applyBorder="1" applyAlignment="1">
      <alignment horizontal="center" vertical="center"/>
    </xf>
    <xf numFmtId="176" fontId="0" fillId="3" borderId="10" xfId="2" applyNumberFormat="1" applyFont="1" applyFill="1" applyBorder="1" applyAlignment="1">
      <alignment horizontal="center" vertical="center"/>
    </xf>
    <xf numFmtId="176" fontId="0" fillId="3" borderId="14" xfId="2" applyNumberFormat="1" applyFont="1" applyFill="1" applyBorder="1" applyAlignment="1">
      <alignment horizontal="center" vertical="center"/>
    </xf>
    <xf numFmtId="176" fontId="0" fillId="3" borderId="21" xfId="2" applyNumberFormat="1" applyFont="1" applyFill="1" applyBorder="1" applyAlignment="1">
      <alignment horizontal="center" vertical="center"/>
    </xf>
    <xf numFmtId="176" fontId="0" fillId="3" borderId="22" xfId="2" applyNumberFormat="1" applyFont="1" applyFill="1" applyBorder="1" applyAlignment="1">
      <alignment horizontal="center" vertical="center"/>
    </xf>
    <xf numFmtId="176" fontId="0" fillId="3" borderId="23" xfId="2" applyNumberFormat="1" applyFont="1" applyFill="1" applyBorder="1" applyAlignment="1">
      <alignment horizontal="center" vertical="center"/>
    </xf>
    <xf numFmtId="176" fontId="0" fillId="3" borderId="28" xfId="2" applyNumberFormat="1" applyFont="1" applyFill="1" applyBorder="1" applyAlignment="1">
      <alignment horizontal="center" vertical="center"/>
    </xf>
    <xf numFmtId="176" fontId="0" fillId="3" borderId="29" xfId="2" applyNumberFormat="1" applyFont="1" applyFill="1" applyBorder="1" applyAlignment="1">
      <alignment horizontal="center" vertical="center"/>
    </xf>
    <xf numFmtId="176" fontId="0" fillId="3" borderId="12" xfId="2" applyNumberFormat="1" applyFont="1" applyFill="1" applyBorder="1" applyAlignment="1">
      <alignment horizontal="center" vertical="center"/>
    </xf>
    <xf numFmtId="176" fontId="0" fillId="3" borderId="30" xfId="2" applyNumberFormat="1" applyFont="1" applyFill="1" applyBorder="1" applyAlignment="1">
      <alignment horizontal="center" vertical="center"/>
    </xf>
    <xf numFmtId="176" fontId="0" fillId="3" borderId="15" xfId="2" applyNumberFormat="1" applyFont="1" applyFill="1" applyBorder="1" applyAlignment="1">
      <alignment horizontal="center" vertical="center"/>
    </xf>
    <xf numFmtId="176" fontId="0" fillId="3" borderId="17" xfId="2" applyNumberFormat="1" applyFont="1" applyFill="1" applyBorder="1" applyAlignment="1">
      <alignment horizontal="center" vertical="center"/>
    </xf>
    <xf numFmtId="176" fontId="0" fillId="3" borderId="18" xfId="2" applyNumberFormat="1" applyFont="1" applyFill="1" applyBorder="1" applyAlignment="1">
      <alignment horizontal="center" vertical="center"/>
    </xf>
    <xf numFmtId="176" fontId="0" fillId="3" borderId="19" xfId="2" applyNumberFormat="1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0" xfId="0" applyAlignment="1">
      <alignment horizontal="distributed" vertical="center"/>
    </xf>
    <xf numFmtId="0" fontId="0" fillId="3" borderId="10" xfId="0" applyFill="1" applyBorder="1" applyAlignment="1">
      <alignment horizontal="distributed" vertical="center"/>
    </xf>
    <xf numFmtId="0" fontId="0" fillId="3" borderId="12" xfId="0" applyFill="1" applyBorder="1" applyAlignment="1">
      <alignment horizontal="distributed" vertical="center"/>
    </xf>
    <xf numFmtId="0" fontId="0" fillId="3" borderId="15" xfId="0" applyFill="1" applyBorder="1" applyAlignment="1">
      <alignment horizontal="distributed" vertical="center"/>
    </xf>
    <xf numFmtId="0" fontId="0" fillId="3" borderId="17" xfId="0" applyFill="1" applyBorder="1" applyAlignment="1">
      <alignment horizontal="distributed" vertical="center"/>
    </xf>
    <xf numFmtId="0" fontId="0" fillId="3" borderId="18" xfId="0" applyFill="1" applyBorder="1" applyAlignment="1">
      <alignment horizontal="distributed" vertical="center"/>
    </xf>
    <xf numFmtId="176" fontId="3" fillId="3" borderId="32" xfId="2" applyNumberFormat="1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3" borderId="19" xfId="0" applyFill="1" applyBorder="1" applyAlignment="1">
      <alignment horizontal="distributed" vertical="center"/>
    </xf>
    <xf numFmtId="0" fontId="6" fillId="0" borderId="0" xfId="0" applyFont="1" applyAlignment="1">
      <alignment horizontal="center" vertical="center"/>
    </xf>
    <xf numFmtId="176" fontId="0" fillId="0" borderId="61" xfId="2" applyNumberFormat="1" applyFont="1" applyFill="1" applyBorder="1" applyAlignment="1">
      <alignment horizontal="center" vertical="center"/>
    </xf>
    <xf numFmtId="38" fontId="9" fillId="4" borderId="5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38" fontId="9" fillId="4" borderId="57" xfId="1" applyFont="1" applyFill="1" applyBorder="1" applyAlignment="1">
      <alignment horizontal="center" vertical="center"/>
    </xf>
    <xf numFmtId="0" fontId="0" fillId="0" borderId="68" xfId="0" applyBorder="1" applyAlignment="1">
      <alignment horizontal="right" vertical="center"/>
    </xf>
    <xf numFmtId="6" fontId="0" fillId="0" borderId="70" xfId="3" applyFont="1" applyBorder="1" applyAlignment="1">
      <alignment horizontal="center" vertical="center"/>
    </xf>
    <xf numFmtId="38" fontId="0" fillId="0" borderId="69" xfId="1" applyFont="1" applyBorder="1" applyAlignment="1">
      <alignment horizontal="left" vertical="center"/>
    </xf>
    <xf numFmtId="0" fontId="0" fillId="0" borderId="11" xfId="0" applyBorder="1" applyAlignment="1">
      <alignment horizontal="right" vertical="center"/>
    </xf>
    <xf numFmtId="6" fontId="0" fillId="0" borderId="71" xfId="3" applyFont="1" applyBorder="1" applyAlignment="1">
      <alignment horizontal="center" vertical="center"/>
    </xf>
    <xf numFmtId="38" fontId="0" fillId="0" borderId="43" xfId="1" applyFont="1" applyBorder="1" applyAlignment="1">
      <alignment horizontal="left" vertical="center"/>
    </xf>
    <xf numFmtId="176" fontId="0" fillId="3" borderId="36" xfId="2" applyNumberFormat="1" applyFont="1" applyFill="1" applyBorder="1" applyAlignment="1">
      <alignment horizontal="center" vertical="center"/>
    </xf>
    <xf numFmtId="38" fontId="14" fillId="0" borderId="0" xfId="1" applyFont="1" applyAlignment="1">
      <alignment horizontal="left" vertical="center"/>
    </xf>
    <xf numFmtId="0" fontId="3" fillId="0" borderId="0" xfId="0" applyFont="1">
      <alignment vertical="center"/>
    </xf>
    <xf numFmtId="0" fontId="3" fillId="0" borderId="73" xfId="0" applyFont="1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77" xfId="0" applyBorder="1" applyAlignment="1">
      <alignment horizontal="center" vertical="center"/>
    </xf>
    <xf numFmtId="0" fontId="3" fillId="0" borderId="78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/>
    </xf>
    <xf numFmtId="38" fontId="3" fillId="0" borderId="80" xfId="0" applyNumberFormat="1" applyFont="1" applyBorder="1" applyAlignment="1">
      <alignment horizontal="center" vertical="center"/>
    </xf>
    <xf numFmtId="0" fontId="3" fillId="0" borderId="85" xfId="0" applyFont="1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2" borderId="81" xfId="0" applyFont="1" applyFill="1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38" fontId="0" fillId="0" borderId="0" xfId="1" applyFont="1">
      <alignment vertical="center"/>
    </xf>
    <xf numFmtId="0" fontId="16" fillId="3" borderId="85" xfId="0" applyFont="1" applyFill="1" applyBorder="1" applyAlignment="1">
      <alignment horizontal="center" vertical="center"/>
    </xf>
    <xf numFmtId="0" fontId="16" fillId="3" borderId="73" xfId="0" applyFont="1" applyFill="1" applyBorder="1" applyAlignment="1">
      <alignment horizontal="center" vertical="center"/>
    </xf>
    <xf numFmtId="0" fontId="3" fillId="3" borderId="85" xfId="0" applyFont="1" applyFill="1" applyBorder="1" applyAlignment="1">
      <alignment horizontal="center" vertical="center"/>
    </xf>
    <xf numFmtId="0" fontId="3" fillId="3" borderId="73" xfId="0" applyFont="1" applyFill="1" applyBorder="1" applyAlignment="1">
      <alignment horizontal="center" vertical="center"/>
    </xf>
    <xf numFmtId="0" fontId="17" fillId="0" borderId="73" xfId="0" applyFont="1" applyBorder="1">
      <alignment vertical="center"/>
    </xf>
    <xf numFmtId="9" fontId="0" fillId="0" borderId="0" xfId="2" applyFont="1" applyAlignment="1">
      <alignment horizontal="center" vertical="center"/>
    </xf>
    <xf numFmtId="9" fontId="10" fillId="4" borderId="66" xfId="2" applyFont="1" applyFill="1" applyBorder="1" applyAlignment="1">
      <alignment horizontal="center" vertical="center"/>
    </xf>
    <xf numFmtId="9" fontId="18" fillId="4" borderId="66" xfId="2" applyFont="1" applyFill="1" applyBorder="1" applyAlignment="1">
      <alignment horizontal="center" vertical="center"/>
    </xf>
    <xf numFmtId="9" fontId="0" fillId="0" borderId="8" xfId="2" applyFont="1" applyBorder="1" applyAlignment="1">
      <alignment horizontal="center" vertical="center"/>
    </xf>
    <xf numFmtId="9" fontId="0" fillId="0" borderId="15" xfId="2" applyFont="1" applyBorder="1" applyAlignment="1">
      <alignment horizontal="center" vertical="center"/>
    </xf>
    <xf numFmtId="9" fontId="0" fillId="0" borderId="12" xfId="2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 wrapText="1"/>
    </xf>
    <xf numFmtId="0" fontId="0" fillId="0" borderId="35" xfId="0" applyBorder="1" applyAlignment="1">
      <alignment horizontal="distributed" vertical="center"/>
    </xf>
    <xf numFmtId="38" fontId="11" fillId="0" borderId="36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center" vertical="center" wrapText="1"/>
    </xf>
    <xf numFmtId="38" fontId="11" fillId="0" borderId="4" xfId="1" applyFont="1" applyFill="1" applyBorder="1" applyAlignment="1">
      <alignment horizontal="center" vertical="center" wrapText="1"/>
    </xf>
    <xf numFmtId="38" fontId="11" fillId="0" borderId="35" xfId="1" applyFont="1" applyFill="1" applyBorder="1" applyAlignment="1">
      <alignment horizontal="center" vertical="center" wrapText="1"/>
    </xf>
    <xf numFmtId="38" fontId="12" fillId="0" borderId="36" xfId="1" applyFont="1" applyFill="1" applyBorder="1" applyAlignment="1">
      <alignment horizontal="center" vertical="center" wrapText="1"/>
    </xf>
    <xf numFmtId="38" fontId="13" fillId="0" borderId="4" xfId="1" applyFont="1" applyFill="1" applyBorder="1" applyAlignment="1">
      <alignment horizontal="center" vertical="center" wrapText="1"/>
    </xf>
    <xf numFmtId="38" fontId="12" fillId="0" borderId="38" xfId="1" applyFont="1" applyFill="1" applyBorder="1" applyAlignment="1">
      <alignment horizontal="center" vertical="center" wrapText="1"/>
    </xf>
    <xf numFmtId="38" fontId="0" fillId="0" borderId="35" xfId="1" applyFont="1" applyFill="1" applyBorder="1" applyAlignment="1">
      <alignment horizontal="center" vertical="center" wrapText="1"/>
    </xf>
    <xf numFmtId="0" fontId="0" fillId="0" borderId="12" xfId="0" applyBorder="1" applyAlignment="1">
      <alignment horizontal="distributed" vertical="center"/>
    </xf>
    <xf numFmtId="38" fontId="0" fillId="0" borderId="29" xfId="1" applyFont="1" applyFill="1" applyBorder="1" applyAlignment="1">
      <alignment horizontal="center" vertical="center" wrapText="1"/>
    </xf>
    <xf numFmtId="38" fontId="0" fillId="0" borderId="3" xfId="1" applyFont="1" applyFill="1" applyBorder="1" applyAlignment="1">
      <alignment horizontal="center" vertical="center" wrapText="1"/>
    </xf>
    <xf numFmtId="38" fontId="0" fillId="0" borderId="12" xfId="1" applyFont="1" applyFill="1" applyBorder="1" applyAlignment="1">
      <alignment horizontal="center" vertical="center" wrapText="1"/>
    </xf>
    <xf numFmtId="0" fontId="0" fillId="0" borderId="42" xfId="0" applyBorder="1" applyAlignment="1">
      <alignment horizontal="distributed" vertical="center"/>
    </xf>
    <xf numFmtId="38" fontId="0" fillId="0" borderId="9" xfId="1" applyFont="1" applyFill="1" applyBorder="1" applyAlignment="1">
      <alignment horizontal="center" vertical="center" wrapText="1"/>
    </xf>
    <xf numFmtId="38" fontId="0" fillId="0" borderId="60" xfId="1" applyFont="1" applyFill="1" applyBorder="1" applyAlignment="1">
      <alignment horizontal="center" vertical="center" wrapText="1"/>
    </xf>
    <xf numFmtId="38" fontId="0" fillId="0" borderId="42" xfId="1" applyFont="1" applyFill="1" applyBorder="1" applyAlignment="1">
      <alignment horizontal="center" vertical="center" wrapText="1"/>
    </xf>
    <xf numFmtId="0" fontId="0" fillId="0" borderId="15" xfId="0" applyBorder="1" applyAlignment="1">
      <alignment horizontal="distributed" vertical="center"/>
    </xf>
    <xf numFmtId="38" fontId="0" fillId="0" borderId="30" xfId="1" applyFont="1" applyFill="1" applyBorder="1" applyAlignment="1">
      <alignment horizontal="center" vertical="center" wrapText="1"/>
    </xf>
    <xf numFmtId="38" fontId="0" fillId="0" borderId="14" xfId="1" applyFont="1" applyFill="1" applyBorder="1" applyAlignment="1">
      <alignment horizontal="center" vertical="center" wrapText="1"/>
    </xf>
    <xf numFmtId="38" fontId="0" fillId="0" borderId="15" xfId="1" applyFont="1" applyFill="1" applyBorder="1" applyAlignment="1">
      <alignment horizontal="center" vertical="center" wrapText="1"/>
    </xf>
    <xf numFmtId="38" fontId="0" fillId="0" borderId="36" xfId="1" applyFont="1" applyFill="1" applyBorder="1" applyAlignment="1">
      <alignment horizontal="center" vertical="center" wrapText="1"/>
    </xf>
    <xf numFmtId="38" fontId="15" fillId="0" borderId="4" xfId="1" applyFont="1" applyFill="1" applyBorder="1" applyAlignment="1">
      <alignment horizontal="center" vertical="center" wrapText="1"/>
    </xf>
    <xf numFmtId="38" fontId="0" fillId="0" borderId="38" xfId="1" applyFont="1" applyFill="1" applyBorder="1" applyAlignment="1">
      <alignment horizontal="center" vertical="center" wrapText="1"/>
    </xf>
    <xf numFmtId="38" fontId="0" fillId="0" borderId="4" xfId="1" applyFont="1" applyFill="1" applyBorder="1" applyAlignment="1">
      <alignment horizontal="left" vertical="center" wrapText="1"/>
    </xf>
    <xf numFmtId="38" fontId="0" fillId="0" borderId="49" xfId="1" applyFont="1" applyFill="1" applyBorder="1" applyAlignment="1">
      <alignment horizontal="center" vertical="center" wrapText="1"/>
    </xf>
    <xf numFmtId="38" fontId="0" fillId="0" borderId="50" xfId="1" applyFont="1" applyFill="1" applyBorder="1" applyAlignment="1">
      <alignment horizontal="center" vertical="center" wrapText="1"/>
    </xf>
    <xf numFmtId="38" fontId="0" fillId="0" borderId="51" xfId="1" applyFont="1" applyFill="1" applyBorder="1" applyAlignment="1">
      <alignment horizontal="center" vertical="center" wrapText="1"/>
    </xf>
    <xf numFmtId="38" fontId="12" fillId="0" borderId="29" xfId="1" applyFont="1" applyFill="1" applyBorder="1" applyAlignment="1">
      <alignment horizontal="center" vertical="center" wrapText="1"/>
    </xf>
    <xf numFmtId="38" fontId="12" fillId="0" borderId="3" xfId="1" applyFont="1" applyFill="1" applyBorder="1" applyAlignment="1">
      <alignment horizontal="center" vertical="center" wrapText="1"/>
    </xf>
    <xf numFmtId="38" fontId="0" fillId="0" borderId="78" xfId="1" applyFont="1" applyFill="1" applyBorder="1" applyAlignment="1">
      <alignment horizontal="center" vertical="center" wrapText="1"/>
    </xf>
    <xf numFmtId="38" fontId="0" fillId="0" borderId="19" xfId="1" applyFont="1" applyFill="1" applyBorder="1" applyAlignment="1">
      <alignment horizontal="center" vertical="center" wrapText="1"/>
    </xf>
    <xf numFmtId="38" fontId="0" fillId="0" borderId="37" xfId="1" applyFont="1" applyFill="1" applyBorder="1" applyAlignment="1">
      <alignment horizontal="center" vertical="center" wrapText="1"/>
    </xf>
    <xf numFmtId="38" fontId="0" fillId="0" borderId="18" xfId="1" applyFont="1" applyFill="1" applyBorder="1" applyAlignment="1">
      <alignment horizontal="center" vertical="center" wrapText="1"/>
    </xf>
    <xf numFmtId="38" fontId="1" fillId="0" borderId="36" xfId="1" applyFont="1" applyFill="1" applyBorder="1" applyAlignment="1">
      <alignment horizontal="center" vertical="center" wrapText="1"/>
    </xf>
    <xf numFmtId="38" fontId="13" fillId="0" borderId="36" xfId="1" applyFont="1" applyFill="1" applyBorder="1" applyAlignment="1">
      <alignment horizontal="center" vertical="center" wrapText="1"/>
    </xf>
    <xf numFmtId="38" fontId="12" fillId="0" borderId="4" xfId="1" applyFont="1" applyFill="1" applyBorder="1" applyAlignment="1">
      <alignment horizontal="center" vertical="center" wrapText="1"/>
    </xf>
    <xf numFmtId="38" fontId="13" fillId="0" borderId="9" xfId="1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/>
    </xf>
    <xf numFmtId="0" fontId="3" fillId="5" borderId="80" xfId="0" applyFont="1" applyFill="1" applyBorder="1" applyAlignment="1">
      <alignment horizontal="center" vertical="center"/>
    </xf>
    <xf numFmtId="0" fontId="0" fillId="6" borderId="35" xfId="0" applyFill="1" applyBorder="1" applyAlignment="1">
      <alignment horizontal="distributed" vertical="center"/>
    </xf>
    <xf numFmtId="38" fontId="0" fillId="6" borderId="36" xfId="1" applyFont="1" applyFill="1" applyBorder="1" applyAlignment="1">
      <alignment horizontal="center" vertical="center"/>
    </xf>
    <xf numFmtId="38" fontId="0" fillId="6" borderId="4" xfId="1" applyFont="1" applyFill="1" applyBorder="1" applyAlignment="1">
      <alignment horizontal="center" vertical="center"/>
    </xf>
    <xf numFmtId="38" fontId="0" fillId="6" borderId="35" xfId="1" applyFont="1" applyFill="1" applyBorder="1" applyAlignment="1">
      <alignment horizontal="center" vertical="center"/>
    </xf>
    <xf numFmtId="38" fontId="0" fillId="6" borderId="37" xfId="1" applyFont="1" applyFill="1" applyBorder="1" applyAlignment="1">
      <alignment horizontal="center" vertical="center"/>
    </xf>
    <xf numFmtId="38" fontId="0" fillId="6" borderId="38" xfId="1" applyFont="1" applyFill="1" applyBorder="1" applyAlignment="1">
      <alignment horizontal="center" vertical="center"/>
    </xf>
    <xf numFmtId="38" fontId="3" fillId="6" borderId="39" xfId="0" applyNumberFormat="1" applyFont="1" applyFill="1" applyBorder="1" applyAlignment="1">
      <alignment horizontal="center" vertical="center"/>
    </xf>
    <xf numFmtId="0" fontId="0" fillId="6" borderId="8" xfId="0" applyFill="1" applyBorder="1" applyAlignment="1">
      <alignment horizontal="distributed" vertical="center"/>
    </xf>
    <xf numFmtId="38" fontId="0" fillId="6" borderId="27" xfId="1" applyFont="1" applyFill="1" applyBorder="1" applyAlignment="1">
      <alignment horizontal="center" vertical="center"/>
    </xf>
    <xf numFmtId="38" fontId="0" fillId="6" borderId="1" xfId="1" applyFont="1" applyFill="1" applyBorder="1" applyAlignment="1">
      <alignment horizontal="center" vertical="center"/>
    </xf>
    <xf numFmtId="38" fontId="0" fillId="6" borderId="8" xfId="1" applyFont="1" applyFill="1" applyBorder="1" applyAlignment="1">
      <alignment horizontal="center" vertical="center"/>
    </xf>
    <xf numFmtId="38" fontId="0" fillId="6" borderId="20" xfId="1" applyFont="1" applyFill="1" applyBorder="1" applyAlignment="1">
      <alignment horizontal="center" vertical="center"/>
    </xf>
    <xf numFmtId="38" fontId="0" fillId="6" borderId="16" xfId="1" applyFont="1" applyFill="1" applyBorder="1" applyAlignment="1">
      <alignment horizontal="center" vertical="center"/>
    </xf>
    <xf numFmtId="38" fontId="3" fillId="6" borderId="31" xfId="0" applyNumberFormat="1" applyFont="1" applyFill="1" applyBorder="1" applyAlignment="1">
      <alignment horizontal="center" vertical="center"/>
    </xf>
    <xf numFmtId="0" fontId="0" fillId="6" borderId="52" xfId="0" applyFill="1" applyBorder="1" applyAlignment="1">
      <alignment horizontal="distributed" vertical="center"/>
    </xf>
    <xf numFmtId="38" fontId="0" fillId="6" borderId="49" xfId="1" applyFont="1" applyFill="1" applyBorder="1" applyAlignment="1">
      <alignment horizontal="center" vertical="center"/>
    </xf>
    <xf numFmtId="38" fontId="0" fillId="6" borderId="50" xfId="1" applyFont="1" applyFill="1" applyBorder="1" applyAlignment="1">
      <alignment horizontal="center" vertical="center"/>
    </xf>
    <xf numFmtId="38" fontId="0" fillId="6" borderId="52" xfId="1" applyFont="1" applyFill="1" applyBorder="1" applyAlignment="1">
      <alignment horizontal="center" vertical="center"/>
    </xf>
    <xf numFmtId="38" fontId="0" fillId="6" borderId="51" xfId="1" applyFont="1" applyFill="1" applyBorder="1" applyAlignment="1">
      <alignment horizontal="center" vertical="center"/>
    </xf>
    <xf numFmtId="38" fontId="3" fillId="6" borderId="55" xfId="1" applyFont="1" applyFill="1" applyBorder="1" applyAlignment="1">
      <alignment horizontal="center" vertical="center"/>
    </xf>
    <xf numFmtId="0" fontId="0" fillId="6" borderId="38" xfId="0" applyFill="1" applyBorder="1" applyAlignment="1">
      <alignment horizontal="distributed" vertical="center"/>
    </xf>
    <xf numFmtId="38" fontId="3" fillId="6" borderId="39" xfId="1" applyFont="1" applyFill="1" applyBorder="1" applyAlignment="1">
      <alignment horizontal="center" vertical="center"/>
    </xf>
    <xf numFmtId="0" fontId="0" fillId="7" borderId="10" xfId="0" applyFill="1" applyBorder="1" applyAlignment="1">
      <alignment horizontal="distributed" vertical="center"/>
    </xf>
    <xf numFmtId="38" fontId="0" fillId="7" borderId="28" xfId="1" applyFont="1" applyFill="1" applyBorder="1" applyAlignment="1">
      <alignment horizontal="center" vertical="center"/>
    </xf>
    <xf numFmtId="38" fontId="0" fillId="7" borderId="2" xfId="1" applyFont="1" applyFill="1" applyBorder="1" applyAlignment="1">
      <alignment horizontal="center" vertical="center"/>
    </xf>
    <xf numFmtId="38" fontId="0" fillId="7" borderId="10" xfId="1" applyFont="1" applyFill="1" applyBorder="1" applyAlignment="1">
      <alignment horizontal="center" vertical="center"/>
    </xf>
    <xf numFmtId="38" fontId="0" fillId="7" borderId="21" xfId="1" applyFont="1" applyFill="1" applyBorder="1" applyAlignment="1">
      <alignment horizontal="center" vertical="center"/>
    </xf>
    <xf numFmtId="38" fontId="0" fillId="7" borderId="17" xfId="1" applyFont="1" applyFill="1" applyBorder="1" applyAlignment="1">
      <alignment horizontal="center" vertical="center"/>
    </xf>
    <xf numFmtId="38" fontId="3" fillId="7" borderId="32" xfId="0" applyNumberFormat="1" applyFont="1" applyFill="1" applyBorder="1" applyAlignment="1">
      <alignment horizontal="center" vertical="center"/>
    </xf>
    <xf numFmtId="0" fontId="0" fillId="7" borderId="12" xfId="0" applyFill="1" applyBorder="1" applyAlignment="1">
      <alignment horizontal="distributed" vertical="center"/>
    </xf>
    <xf numFmtId="38" fontId="0" fillId="7" borderId="3" xfId="1" applyFont="1" applyFill="1" applyBorder="1" applyAlignment="1">
      <alignment horizontal="center" vertical="center"/>
    </xf>
    <xf numFmtId="38" fontId="0" fillId="7" borderId="12" xfId="1" applyFont="1" applyFill="1" applyBorder="1" applyAlignment="1">
      <alignment horizontal="center" vertical="center"/>
    </xf>
    <xf numFmtId="38" fontId="0" fillId="7" borderId="22" xfId="1" applyFont="1" applyFill="1" applyBorder="1" applyAlignment="1">
      <alignment horizontal="center" vertical="center"/>
    </xf>
    <xf numFmtId="38" fontId="0" fillId="7" borderId="18" xfId="1" applyFont="1" applyFill="1" applyBorder="1" applyAlignment="1">
      <alignment horizontal="center" vertical="center"/>
    </xf>
    <xf numFmtId="38" fontId="3" fillId="7" borderId="33" xfId="0" applyNumberFormat="1" applyFont="1" applyFill="1" applyBorder="1" applyAlignment="1">
      <alignment horizontal="center" vertical="center"/>
    </xf>
    <xf numFmtId="38" fontId="0" fillId="7" borderId="29" xfId="1" applyFont="1" applyFill="1" applyBorder="1" applyAlignment="1">
      <alignment horizontal="center" vertical="center"/>
    </xf>
    <xf numFmtId="0" fontId="0" fillId="7" borderId="17" xfId="0" applyFill="1" applyBorder="1" applyAlignment="1">
      <alignment horizontal="distributed" vertical="center"/>
    </xf>
    <xf numFmtId="38" fontId="3" fillId="7" borderId="32" xfId="1" applyFont="1" applyFill="1" applyBorder="1" applyAlignment="1">
      <alignment horizontal="center" vertical="center"/>
    </xf>
    <xf numFmtId="9" fontId="0" fillId="0" borderId="35" xfId="2" applyFont="1" applyBorder="1" applyAlignment="1">
      <alignment horizontal="center" vertical="center"/>
    </xf>
    <xf numFmtId="0" fontId="8" fillId="4" borderId="69" xfId="0" applyFont="1" applyFill="1" applyBorder="1" applyAlignment="1">
      <alignment horizontal="center" vertical="center"/>
    </xf>
    <xf numFmtId="0" fontId="13" fillId="0" borderId="13" xfId="0" applyFont="1" applyBorder="1" applyAlignment="1">
      <alignment horizontal="center" vertical="center" wrapText="1"/>
    </xf>
    <xf numFmtId="38" fontId="10" fillId="4" borderId="86" xfId="1" applyFont="1" applyFill="1" applyBorder="1" applyAlignment="1">
      <alignment horizontal="center" vertical="center"/>
    </xf>
    <xf numFmtId="38" fontId="18" fillId="4" borderId="86" xfId="1" applyFont="1" applyFill="1" applyBorder="1" applyAlignment="1">
      <alignment horizontal="center" vertical="center"/>
    </xf>
    <xf numFmtId="38" fontId="0" fillId="0" borderId="0" xfId="0" applyNumberFormat="1">
      <alignment vertical="center"/>
    </xf>
    <xf numFmtId="38" fontId="3" fillId="0" borderId="0" xfId="0" applyNumberFormat="1" applyFont="1">
      <alignment vertical="center"/>
    </xf>
    <xf numFmtId="0" fontId="0" fillId="5" borderId="78" xfId="0" applyFill="1" applyBorder="1" applyAlignment="1">
      <alignment horizontal="center" vertical="top"/>
    </xf>
    <xf numFmtId="0" fontId="0" fillId="5" borderId="79" xfId="0" applyFill="1" applyBorder="1" applyAlignment="1">
      <alignment horizontal="center" vertical="top"/>
    </xf>
    <xf numFmtId="0" fontId="0" fillId="2" borderId="78" xfId="0" applyFill="1" applyBorder="1" applyAlignment="1">
      <alignment horizontal="center" vertical="top"/>
    </xf>
    <xf numFmtId="0" fontId="0" fillId="2" borderId="79" xfId="0" applyFill="1" applyBorder="1" applyAlignment="1">
      <alignment horizontal="center" vertical="top"/>
    </xf>
    <xf numFmtId="40" fontId="4" fillId="0" borderId="0" xfId="1" applyNumberFormat="1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2" fillId="8" borderId="0" xfId="0" applyFont="1" applyFill="1" applyAlignment="1">
      <alignment horizontal="left" vertical="center"/>
    </xf>
    <xf numFmtId="177" fontId="4" fillId="8" borderId="0" xfId="3" applyNumberFormat="1" applyFont="1" applyFill="1" applyAlignment="1">
      <alignment horizontal="center" vertical="center"/>
    </xf>
    <xf numFmtId="6" fontId="4" fillId="8" borderId="0" xfId="3" applyFont="1" applyFill="1" applyAlignment="1">
      <alignment horizontal="center" vertical="center"/>
    </xf>
    <xf numFmtId="38" fontId="4" fillId="8" borderId="0" xfId="1" applyFont="1" applyFill="1" applyAlignment="1">
      <alignment horizontal="center" vertical="center"/>
    </xf>
    <xf numFmtId="9" fontId="4" fillId="8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8" fontId="4" fillId="8" borderId="80" xfId="3" applyNumberFormat="1" applyFont="1" applyFill="1" applyBorder="1" applyAlignment="1">
      <alignment horizontal="center" vertical="center"/>
    </xf>
    <xf numFmtId="0" fontId="4" fillId="8" borderId="80" xfId="0" applyFont="1" applyFill="1" applyBorder="1" applyAlignment="1">
      <alignment horizontal="center" vertical="center"/>
    </xf>
    <xf numFmtId="9" fontId="23" fillId="9" borderId="80" xfId="2" applyFont="1" applyFill="1" applyBorder="1" applyAlignment="1">
      <alignment horizontal="center" vertical="center"/>
    </xf>
    <xf numFmtId="0" fontId="22" fillId="0" borderId="73" xfId="0" applyFont="1" applyBorder="1">
      <alignment vertical="center"/>
    </xf>
    <xf numFmtId="0" fontId="25" fillId="0" borderId="73" xfId="0" applyFont="1" applyBorder="1">
      <alignment vertical="center"/>
    </xf>
    <xf numFmtId="40" fontId="4" fillId="0" borderId="73" xfId="1" applyNumberFormat="1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4" fillId="8" borderId="73" xfId="0" applyFont="1" applyFill="1" applyBorder="1" applyAlignment="1">
      <alignment horizontal="center" vertical="center"/>
    </xf>
    <xf numFmtId="38" fontId="4" fillId="8" borderId="73" xfId="1" applyFont="1" applyFill="1" applyBorder="1" applyAlignment="1">
      <alignment horizontal="center" vertical="center"/>
    </xf>
    <xf numFmtId="38" fontId="4" fillId="8" borderId="80" xfId="0" applyNumberFormat="1" applyFont="1" applyFill="1" applyBorder="1" applyAlignment="1">
      <alignment horizontal="center" vertical="center"/>
    </xf>
    <xf numFmtId="38" fontId="4" fillId="8" borderId="80" xfId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0" fontId="22" fillId="0" borderId="78" xfId="1" applyNumberFormat="1" applyFont="1" applyBorder="1" applyAlignment="1">
      <alignment horizontal="center" vertical="center"/>
    </xf>
    <xf numFmtId="40" fontId="22" fillId="0" borderId="0" xfId="1" applyNumberFormat="1" applyFont="1" applyBorder="1" applyAlignment="1">
      <alignment horizontal="center" vertical="center"/>
    </xf>
    <xf numFmtId="0" fontId="22" fillId="0" borderId="82" xfId="0" applyFont="1" applyBorder="1" applyAlignment="1">
      <alignment horizontal="center" vertical="center"/>
    </xf>
    <xf numFmtId="14" fontId="22" fillId="0" borderId="0" xfId="0" applyNumberFormat="1" applyFont="1" applyAlignment="1">
      <alignment horizontal="center" vertical="center"/>
    </xf>
    <xf numFmtId="0" fontId="4" fillId="8" borderId="78" xfId="0" applyFont="1" applyFill="1" applyBorder="1" applyAlignment="1">
      <alignment horizontal="center" vertical="center"/>
    </xf>
    <xf numFmtId="8" fontId="22" fillId="8" borderId="0" xfId="3" applyNumberFormat="1" applyFont="1" applyFill="1" applyBorder="1" applyAlignment="1">
      <alignment horizontal="center" vertical="center"/>
    </xf>
    <xf numFmtId="0" fontId="4" fillId="8" borderId="82" xfId="0" applyFont="1" applyFill="1" applyBorder="1" applyAlignment="1">
      <alignment horizontal="center" vertical="center"/>
    </xf>
    <xf numFmtId="38" fontId="4" fillId="8" borderId="78" xfId="1" applyFont="1" applyFill="1" applyBorder="1" applyAlignment="1">
      <alignment horizontal="center" vertical="center"/>
    </xf>
    <xf numFmtId="40" fontId="4" fillId="0" borderId="79" xfId="1" applyNumberFormat="1" applyFont="1" applyBorder="1" applyAlignment="1">
      <alignment horizontal="center" vertical="center"/>
    </xf>
    <xf numFmtId="38" fontId="4" fillId="0" borderId="83" xfId="1" applyFont="1" applyBorder="1" applyAlignment="1">
      <alignment horizontal="center" vertical="center"/>
    </xf>
    <xf numFmtId="14" fontId="4" fillId="0" borderId="73" xfId="0" applyNumberFormat="1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8" borderId="79" xfId="0" applyFont="1" applyFill="1" applyBorder="1" applyAlignment="1">
      <alignment horizontal="center" vertical="center"/>
    </xf>
    <xf numFmtId="177" fontId="4" fillId="8" borderId="73" xfId="3" applyNumberFormat="1" applyFont="1" applyFill="1" applyBorder="1" applyAlignment="1">
      <alignment horizontal="center" vertical="center"/>
    </xf>
    <xf numFmtId="6" fontId="4" fillId="8" borderId="83" xfId="3" applyFont="1" applyFill="1" applyBorder="1" applyAlignment="1">
      <alignment horizontal="center" vertical="center"/>
    </xf>
    <xf numFmtId="6" fontId="4" fillId="8" borderId="79" xfId="3" applyFont="1" applyFill="1" applyBorder="1" applyAlignment="1">
      <alignment horizontal="center" vertical="center"/>
    </xf>
    <xf numFmtId="6" fontId="4" fillId="8" borderId="73" xfId="3" applyFont="1" applyFill="1" applyBorder="1" applyAlignment="1">
      <alignment horizontal="center" vertical="center"/>
    </xf>
    <xf numFmtId="9" fontId="4" fillId="8" borderId="83" xfId="2" applyFont="1" applyFill="1" applyBorder="1" applyAlignment="1">
      <alignment horizontal="center" vertical="center"/>
    </xf>
    <xf numFmtId="40" fontId="4" fillId="0" borderId="78" xfId="1" applyNumberFormat="1" applyFont="1" applyBorder="1" applyAlignment="1">
      <alignment horizontal="center" vertical="center"/>
    </xf>
    <xf numFmtId="40" fontId="4" fillId="0" borderId="0" xfId="1" applyNumberFormat="1" applyFont="1" applyBorder="1" applyAlignment="1">
      <alignment horizontal="center" vertical="center"/>
    </xf>
    <xf numFmtId="38" fontId="4" fillId="0" borderId="82" xfId="1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8" fontId="4" fillId="8" borderId="0" xfId="3" applyNumberFormat="1" applyFont="1" applyFill="1" applyBorder="1" applyAlignment="1">
      <alignment horizontal="center" vertical="center"/>
    </xf>
    <xf numFmtId="6" fontId="4" fillId="8" borderId="82" xfId="3" applyFont="1" applyFill="1" applyBorder="1" applyAlignment="1">
      <alignment horizontal="center" vertical="center"/>
    </xf>
    <xf numFmtId="6" fontId="4" fillId="8" borderId="78" xfId="3" applyFont="1" applyFill="1" applyBorder="1" applyAlignment="1">
      <alignment horizontal="center" vertical="center"/>
    </xf>
    <xf numFmtId="9" fontId="4" fillId="8" borderId="82" xfId="2" applyFont="1" applyFill="1" applyBorder="1" applyAlignment="1">
      <alignment horizontal="center" vertical="center"/>
    </xf>
    <xf numFmtId="38" fontId="4" fillId="0" borderId="0" xfId="0" applyNumberFormat="1" applyFont="1" applyAlignment="1">
      <alignment horizontal="center" vertical="center"/>
    </xf>
    <xf numFmtId="38" fontId="4" fillId="0" borderId="0" xfId="1" applyFont="1" applyAlignment="1">
      <alignment horizontal="center" vertical="center"/>
    </xf>
    <xf numFmtId="56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181" fontId="0" fillId="0" borderId="0" xfId="0" applyNumberFormat="1">
      <alignment vertical="center"/>
    </xf>
    <xf numFmtId="182" fontId="9" fillId="4" borderId="13" xfId="1" applyNumberFormat="1" applyFont="1" applyFill="1" applyBorder="1" applyAlignment="1">
      <alignment horizontal="center" vertical="center"/>
    </xf>
    <xf numFmtId="182" fontId="9" fillId="4" borderId="62" xfId="1" applyNumberFormat="1" applyFont="1" applyFill="1" applyBorder="1" applyAlignment="1">
      <alignment horizontal="center" vertical="center"/>
    </xf>
    <xf numFmtId="182" fontId="9" fillId="4" borderId="44" xfId="1" applyNumberFormat="1" applyFont="1" applyFill="1" applyBorder="1" applyAlignment="1">
      <alignment horizontal="center" vertical="center"/>
    </xf>
    <xf numFmtId="182" fontId="9" fillId="4" borderId="64" xfId="1" applyNumberFormat="1" applyFont="1" applyFill="1" applyBorder="1" applyAlignment="1">
      <alignment horizontal="center" vertical="center"/>
    </xf>
    <xf numFmtId="182" fontId="9" fillId="4" borderId="63" xfId="1" applyNumberFormat="1" applyFont="1" applyFill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4" fillId="0" borderId="0" xfId="0" applyFont="1">
      <alignment vertical="center"/>
    </xf>
    <xf numFmtId="0" fontId="3" fillId="10" borderId="84" xfId="0" applyFont="1" applyFill="1" applyBorder="1" applyAlignment="1">
      <alignment horizontal="center" vertical="center"/>
    </xf>
    <xf numFmtId="0" fontId="0" fillId="5" borderId="78" xfId="0" applyFill="1" applyBorder="1" applyAlignment="1">
      <alignment vertical="top"/>
    </xf>
    <xf numFmtId="0" fontId="0" fillId="2" borderId="78" xfId="0" applyFill="1" applyBorder="1">
      <alignment vertical="center"/>
    </xf>
    <xf numFmtId="0" fontId="4" fillId="0" borderId="90" xfId="0" applyFont="1" applyBorder="1" applyAlignment="1">
      <alignment horizontal="center" vertical="center"/>
    </xf>
    <xf numFmtId="0" fontId="4" fillId="0" borderId="60" xfId="0" applyFont="1" applyBorder="1" applyAlignment="1">
      <alignment horizontal="center" vertical="center"/>
    </xf>
    <xf numFmtId="0" fontId="4" fillId="0" borderId="71" xfId="0" applyFont="1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0" fillId="0" borderId="92" xfId="0" applyBorder="1" applyAlignment="1">
      <alignment horizontal="center" vertical="center"/>
    </xf>
    <xf numFmtId="0" fontId="0" fillId="2" borderId="71" xfId="0" applyFill="1" applyBorder="1">
      <alignment vertical="center"/>
    </xf>
    <xf numFmtId="0" fontId="0" fillId="0" borderId="94" xfId="0" applyBorder="1" applyAlignment="1">
      <alignment horizontal="center" vertical="center"/>
    </xf>
    <xf numFmtId="0" fontId="0" fillId="6" borderId="90" xfId="0" applyFill="1" applyBorder="1" applyAlignment="1">
      <alignment horizontal="center" vertical="center"/>
    </xf>
    <xf numFmtId="0" fontId="0" fillId="6" borderId="60" xfId="0" applyFill="1" applyBorder="1" applyAlignment="1">
      <alignment horizontal="center" vertical="center"/>
    </xf>
    <xf numFmtId="0" fontId="4" fillId="6" borderId="90" xfId="0" applyFont="1" applyFill="1" applyBorder="1" applyAlignment="1">
      <alignment horizontal="center" vertical="center"/>
    </xf>
    <xf numFmtId="0" fontId="0" fillId="7" borderId="60" xfId="0" applyFill="1" applyBorder="1" applyAlignment="1">
      <alignment horizontal="center" vertical="center"/>
    </xf>
    <xf numFmtId="0" fontId="4" fillId="7" borderId="60" xfId="0" applyFont="1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71" xfId="0" applyFont="1" applyFill="1" applyBorder="1" applyAlignment="1">
      <alignment horizontal="center" vertical="center"/>
    </xf>
    <xf numFmtId="0" fontId="4" fillId="3" borderId="60" xfId="0" applyFont="1" applyFill="1" applyBorder="1" applyAlignment="1">
      <alignment horizontal="center" vertical="center"/>
    </xf>
    <xf numFmtId="0" fontId="4" fillId="11" borderId="60" xfId="0" applyFont="1" applyFill="1" applyBorder="1" applyAlignment="1">
      <alignment horizontal="center" vertical="center"/>
    </xf>
    <xf numFmtId="0" fontId="30" fillId="5" borderId="76" xfId="0" applyFont="1" applyFill="1" applyBorder="1" applyAlignment="1">
      <alignment horizontal="center" vertical="top"/>
    </xf>
    <xf numFmtId="0" fontId="30" fillId="2" borderId="76" xfId="0" applyFont="1" applyFill="1" applyBorder="1" applyAlignment="1">
      <alignment horizontal="center" vertical="center"/>
    </xf>
    <xf numFmtId="0" fontId="26" fillId="10" borderId="76" xfId="0" applyFont="1" applyFill="1" applyBorder="1">
      <alignment vertical="center"/>
    </xf>
    <xf numFmtId="0" fontId="26" fillId="10" borderId="77" xfId="0" applyFont="1" applyFill="1" applyBorder="1" applyAlignment="1">
      <alignment horizontal="center" vertical="center"/>
    </xf>
    <xf numFmtId="0" fontId="26" fillId="10" borderId="81" xfId="0" applyFont="1" applyFill="1" applyBorder="1" applyAlignment="1">
      <alignment horizontal="center" vertical="center"/>
    </xf>
    <xf numFmtId="38" fontId="0" fillId="10" borderId="78" xfId="0" applyNumberFormat="1" applyFill="1" applyBorder="1">
      <alignment vertical="center"/>
    </xf>
    <xf numFmtId="176" fontId="0" fillId="0" borderId="82" xfId="2" applyNumberFormat="1" applyFont="1" applyBorder="1" applyAlignment="1">
      <alignment horizontal="center" vertical="center"/>
    </xf>
    <xf numFmtId="38" fontId="0" fillId="10" borderId="79" xfId="0" applyNumberFormat="1" applyFill="1" applyBorder="1">
      <alignment vertical="center"/>
    </xf>
    <xf numFmtId="38" fontId="0" fillId="0" borderId="73" xfId="0" applyNumberFormat="1" applyBorder="1" applyAlignment="1">
      <alignment horizontal="center" vertical="center"/>
    </xf>
    <xf numFmtId="176" fontId="0" fillId="0" borderId="83" xfId="2" applyNumberFormat="1" applyFont="1" applyBorder="1" applyAlignment="1">
      <alignment horizontal="center" vertical="center"/>
    </xf>
    <xf numFmtId="0" fontId="26" fillId="2" borderId="76" xfId="0" applyFont="1" applyFill="1" applyBorder="1">
      <alignment vertical="center"/>
    </xf>
    <xf numFmtId="0" fontId="26" fillId="2" borderId="77" xfId="0" applyFont="1" applyFill="1" applyBorder="1" applyAlignment="1">
      <alignment horizontal="center" vertical="center"/>
    </xf>
    <xf numFmtId="0" fontId="26" fillId="2" borderId="81" xfId="0" applyFont="1" applyFill="1" applyBorder="1" applyAlignment="1">
      <alignment horizontal="center" vertical="center"/>
    </xf>
    <xf numFmtId="38" fontId="0" fillId="2" borderId="78" xfId="0" applyNumberFormat="1" applyFill="1" applyBorder="1">
      <alignment vertical="center"/>
    </xf>
    <xf numFmtId="38" fontId="0" fillId="2" borderId="79" xfId="0" applyNumberFormat="1" applyFill="1" applyBorder="1">
      <alignment vertical="center"/>
    </xf>
    <xf numFmtId="38" fontId="0" fillId="0" borderId="76" xfId="0" applyNumberFormat="1" applyBorder="1" applyAlignment="1">
      <alignment horizontal="center" vertical="center"/>
    </xf>
    <xf numFmtId="38" fontId="0" fillId="0" borderId="77" xfId="0" applyNumberFormat="1" applyBorder="1" applyAlignment="1">
      <alignment horizontal="center" vertical="center"/>
    </xf>
    <xf numFmtId="176" fontId="0" fillId="0" borderId="81" xfId="2" applyNumberFormat="1" applyFont="1" applyBorder="1" applyAlignment="1">
      <alignment horizontal="center" vertical="center"/>
    </xf>
    <xf numFmtId="38" fontId="0" fillId="0" borderId="78" xfId="0" applyNumberFormat="1" applyBorder="1" applyAlignment="1">
      <alignment horizontal="center" vertical="center"/>
    </xf>
    <xf numFmtId="38" fontId="0" fillId="0" borderId="79" xfId="0" applyNumberFormat="1" applyBorder="1" applyAlignment="1">
      <alignment horizontal="center" vertical="center"/>
    </xf>
    <xf numFmtId="38" fontId="0" fillId="6" borderId="76" xfId="1" applyFont="1" applyFill="1" applyBorder="1" applyAlignment="1">
      <alignment horizontal="center" vertical="center"/>
    </xf>
    <xf numFmtId="38" fontId="0" fillId="6" borderId="77" xfId="1" applyFont="1" applyFill="1" applyBorder="1" applyAlignment="1">
      <alignment horizontal="center" vertical="center"/>
    </xf>
    <xf numFmtId="38" fontId="0" fillId="6" borderId="81" xfId="1" applyFont="1" applyFill="1" applyBorder="1" applyAlignment="1">
      <alignment horizontal="center" vertical="center"/>
    </xf>
    <xf numFmtId="38" fontId="3" fillId="6" borderId="81" xfId="0" applyNumberFormat="1" applyFont="1" applyFill="1" applyBorder="1" applyAlignment="1">
      <alignment horizontal="center" vertical="center"/>
    </xf>
    <xf numFmtId="38" fontId="0" fillId="7" borderId="78" xfId="1" applyFont="1" applyFill="1" applyBorder="1" applyAlignment="1">
      <alignment horizontal="center" vertical="center"/>
    </xf>
    <xf numFmtId="38" fontId="0" fillId="7" borderId="0" xfId="1" applyFont="1" applyFill="1" applyAlignment="1">
      <alignment horizontal="center" vertical="center"/>
    </xf>
    <xf numFmtId="38" fontId="0" fillId="7" borderId="82" xfId="1" applyFont="1" applyFill="1" applyBorder="1" applyAlignment="1">
      <alignment horizontal="center" vertical="center"/>
    </xf>
    <xf numFmtId="38" fontId="3" fillId="7" borderId="82" xfId="0" applyNumberFormat="1" applyFont="1" applyFill="1" applyBorder="1" applyAlignment="1">
      <alignment horizontal="center" vertical="center"/>
    </xf>
    <xf numFmtId="176" fontId="0" fillId="3" borderId="78" xfId="2" applyNumberFormat="1" applyFont="1" applyFill="1" applyBorder="1" applyAlignment="1">
      <alignment horizontal="center" vertical="center"/>
    </xf>
    <xf numFmtId="176" fontId="0" fillId="3" borderId="0" xfId="2" applyNumberFormat="1" applyFont="1" applyFill="1" applyAlignment="1">
      <alignment horizontal="center" vertical="center"/>
    </xf>
    <xf numFmtId="176" fontId="0" fillId="3" borderId="82" xfId="2" applyNumberFormat="1" applyFont="1" applyFill="1" applyBorder="1" applyAlignment="1">
      <alignment horizontal="center" vertical="center"/>
    </xf>
    <xf numFmtId="38" fontId="3" fillId="3" borderId="82" xfId="0" applyNumberFormat="1" applyFont="1" applyFill="1" applyBorder="1" applyAlignment="1">
      <alignment horizontal="center" vertical="center"/>
    </xf>
    <xf numFmtId="176" fontId="24" fillId="3" borderId="38" xfId="2" applyNumberFormat="1" applyFont="1" applyFill="1" applyBorder="1" applyAlignment="1">
      <alignment horizontal="center" vertical="center"/>
    </xf>
    <xf numFmtId="176" fontId="24" fillId="3" borderId="85" xfId="2" applyNumberFormat="1" applyFont="1" applyFill="1" applyBorder="1" applyAlignment="1">
      <alignment horizontal="center" vertical="center"/>
    </xf>
    <xf numFmtId="176" fontId="24" fillId="3" borderId="37" xfId="2" applyNumberFormat="1" applyFont="1" applyFill="1" applyBorder="1" applyAlignment="1">
      <alignment horizontal="center" vertical="center"/>
    </xf>
    <xf numFmtId="38" fontId="16" fillId="3" borderId="37" xfId="0" applyNumberFormat="1" applyFont="1" applyFill="1" applyBorder="1" applyAlignment="1">
      <alignment horizontal="center" vertical="center"/>
    </xf>
    <xf numFmtId="38" fontId="0" fillId="6" borderId="78" xfId="1" applyFont="1" applyFill="1" applyBorder="1" applyAlignment="1">
      <alignment horizontal="center" vertical="center"/>
    </xf>
    <xf numFmtId="38" fontId="0" fillId="6" borderId="0" xfId="1" applyFont="1" applyFill="1" applyAlignment="1">
      <alignment horizontal="center" vertical="center"/>
    </xf>
    <xf numFmtId="38" fontId="0" fillId="6" borderId="82" xfId="1" applyFont="1" applyFill="1" applyBorder="1" applyAlignment="1">
      <alignment horizontal="center" vertical="center"/>
    </xf>
    <xf numFmtId="38" fontId="3" fillId="6" borderId="82" xfId="0" applyNumberFormat="1" applyFont="1" applyFill="1" applyBorder="1" applyAlignment="1">
      <alignment horizontal="center" vertical="center"/>
    </xf>
    <xf numFmtId="38" fontId="16" fillId="3" borderId="83" xfId="0" applyNumberFormat="1" applyFont="1" applyFill="1" applyBorder="1" applyAlignment="1">
      <alignment horizontal="center" vertical="center"/>
    </xf>
    <xf numFmtId="38" fontId="24" fillId="6" borderId="76" xfId="1" applyFont="1" applyFill="1" applyBorder="1" applyAlignment="1">
      <alignment horizontal="center" vertical="center"/>
    </xf>
    <xf numFmtId="38" fontId="24" fillId="6" borderId="77" xfId="1" applyFont="1" applyFill="1" applyBorder="1" applyAlignment="1">
      <alignment horizontal="center" vertical="center"/>
    </xf>
    <xf numFmtId="38" fontId="24" fillId="6" borderId="81" xfId="1" applyFont="1" applyFill="1" applyBorder="1" applyAlignment="1">
      <alignment horizontal="center" vertical="center"/>
    </xf>
    <xf numFmtId="38" fontId="16" fillId="6" borderId="81" xfId="0" applyNumberFormat="1" applyFont="1" applyFill="1" applyBorder="1" applyAlignment="1">
      <alignment horizontal="center" vertical="center"/>
    </xf>
    <xf numFmtId="38" fontId="24" fillId="7" borderId="78" xfId="1" applyFont="1" applyFill="1" applyBorder="1" applyAlignment="1">
      <alignment horizontal="center" vertical="center"/>
    </xf>
    <xf numFmtId="38" fontId="24" fillId="7" borderId="0" xfId="1" applyFont="1" applyFill="1" applyBorder="1" applyAlignment="1">
      <alignment horizontal="center" vertical="center"/>
    </xf>
    <xf numFmtId="38" fontId="24" fillId="7" borderId="82" xfId="1" applyFont="1" applyFill="1" applyBorder="1" applyAlignment="1">
      <alignment horizontal="center" vertical="center"/>
    </xf>
    <xf numFmtId="38" fontId="16" fillId="7" borderId="82" xfId="0" applyNumberFormat="1" applyFont="1" applyFill="1" applyBorder="1" applyAlignment="1">
      <alignment horizontal="center" vertical="center"/>
    </xf>
    <xf numFmtId="38" fontId="24" fillId="11" borderId="78" xfId="1" applyFont="1" applyFill="1" applyBorder="1" applyAlignment="1">
      <alignment horizontal="center" vertical="center"/>
    </xf>
    <xf numFmtId="38" fontId="24" fillId="11" borderId="0" xfId="1" applyFont="1" applyFill="1" applyBorder="1" applyAlignment="1">
      <alignment horizontal="center" vertical="center"/>
    </xf>
    <xf numFmtId="38" fontId="24" fillId="11" borderId="82" xfId="1" applyFont="1" applyFill="1" applyBorder="1" applyAlignment="1">
      <alignment horizontal="center" vertical="center"/>
    </xf>
    <xf numFmtId="38" fontId="16" fillId="11" borderId="82" xfId="1" applyFont="1" applyFill="1" applyBorder="1" applyAlignment="1">
      <alignment horizontal="center" vertical="center"/>
    </xf>
    <xf numFmtId="176" fontId="24" fillId="3" borderId="78" xfId="2" applyNumberFormat="1" applyFont="1" applyFill="1" applyBorder="1" applyAlignment="1">
      <alignment horizontal="center" vertical="center"/>
    </xf>
    <xf numFmtId="176" fontId="24" fillId="3" borderId="0" xfId="2" applyNumberFormat="1" applyFont="1" applyFill="1" applyBorder="1" applyAlignment="1">
      <alignment horizontal="center" vertical="center"/>
    </xf>
    <xf numFmtId="176" fontId="24" fillId="3" borderId="82" xfId="2" applyNumberFormat="1" applyFont="1" applyFill="1" applyBorder="1" applyAlignment="1">
      <alignment horizontal="center" vertical="center"/>
    </xf>
    <xf numFmtId="38" fontId="16" fillId="3" borderId="82" xfId="0" applyNumberFormat="1" applyFont="1" applyFill="1" applyBorder="1" applyAlignment="1">
      <alignment horizontal="center" vertical="center"/>
    </xf>
    <xf numFmtId="176" fontId="24" fillId="3" borderId="79" xfId="2" applyNumberFormat="1" applyFont="1" applyFill="1" applyBorder="1" applyAlignment="1">
      <alignment horizontal="center" vertical="center"/>
    </xf>
    <xf numFmtId="176" fontId="24" fillId="3" borderId="73" xfId="2" applyNumberFormat="1" applyFont="1" applyFill="1" applyBorder="1" applyAlignment="1">
      <alignment horizontal="center" vertical="center"/>
    </xf>
    <xf numFmtId="176" fontId="24" fillId="3" borderId="83" xfId="2" applyNumberFormat="1" applyFont="1" applyFill="1" applyBorder="1" applyAlignment="1">
      <alignment horizontal="center" vertical="center"/>
    </xf>
    <xf numFmtId="38" fontId="16" fillId="11" borderId="82" xfId="0" applyNumberFormat="1" applyFont="1" applyFill="1" applyBorder="1" applyAlignment="1">
      <alignment horizontal="center" vertical="center"/>
    </xf>
    <xf numFmtId="38" fontId="24" fillId="6" borderId="78" xfId="1" applyFont="1" applyFill="1" applyBorder="1" applyAlignment="1">
      <alignment horizontal="center" vertical="center"/>
    </xf>
    <xf numFmtId="38" fontId="24" fillId="6" borderId="0" xfId="1" applyFont="1" applyFill="1" applyBorder="1" applyAlignment="1">
      <alignment horizontal="center" vertical="center"/>
    </xf>
    <xf numFmtId="38" fontId="24" fillId="6" borderId="82" xfId="1" applyFont="1" applyFill="1" applyBorder="1" applyAlignment="1">
      <alignment horizontal="center" vertical="center"/>
    </xf>
    <xf numFmtId="38" fontId="16" fillId="6" borderId="82" xfId="0" applyNumberFormat="1" applyFont="1" applyFill="1" applyBorder="1" applyAlignment="1">
      <alignment horizontal="center" vertical="center"/>
    </xf>
    <xf numFmtId="38" fontId="0" fillId="0" borderId="76" xfId="1" applyFont="1" applyFill="1" applyBorder="1" applyAlignment="1">
      <alignment horizontal="center" vertical="center"/>
    </xf>
    <xf numFmtId="38" fontId="0" fillId="0" borderId="77" xfId="1" applyFont="1" applyFill="1" applyBorder="1" applyAlignment="1">
      <alignment horizontal="center" vertical="center"/>
    </xf>
    <xf numFmtId="38" fontId="0" fillId="0" borderId="81" xfId="1" applyFont="1" applyFill="1" applyBorder="1" applyAlignment="1">
      <alignment horizontal="center" vertical="center"/>
    </xf>
    <xf numFmtId="38" fontId="3" fillId="0" borderId="81" xfId="0" applyNumberFormat="1" applyFont="1" applyBorder="1" applyAlignment="1">
      <alignment horizontal="center" vertical="center"/>
    </xf>
    <xf numFmtId="38" fontId="0" fillId="0" borderId="78" xfId="1" applyFont="1" applyFill="1" applyBorder="1" applyAlignment="1">
      <alignment horizontal="center" vertical="center"/>
    </xf>
    <xf numFmtId="38" fontId="0" fillId="0" borderId="0" xfId="1" applyFont="1" applyFill="1" applyAlignment="1">
      <alignment horizontal="center" vertical="center"/>
    </xf>
    <xf numFmtId="38" fontId="0" fillId="0" borderId="82" xfId="1" applyFont="1" applyFill="1" applyBorder="1" applyAlignment="1">
      <alignment horizontal="center" vertical="center"/>
    </xf>
    <xf numFmtId="38" fontId="3" fillId="0" borderId="82" xfId="0" applyNumberFormat="1" applyFont="1" applyBorder="1" applyAlignment="1">
      <alignment horizontal="center" vertical="center"/>
    </xf>
    <xf numFmtId="176" fontId="0" fillId="0" borderId="78" xfId="2" applyNumberFormat="1" applyFont="1" applyFill="1" applyBorder="1" applyAlignment="1">
      <alignment horizontal="center" vertical="center"/>
    </xf>
    <xf numFmtId="176" fontId="0" fillId="0" borderId="0" xfId="2" applyNumberFormat="1" applyFont="1" applyFill="1" applyAlignment="1">
      <alignment horizontal="center" vertical="center"/>
    </xf>
    <xf numFmtId="176" fontId="0" fillId="0" borderId="82" xfId="2" applyNumberFormat="1" applyFont="1" applyFill="1" applyBorder="1" applyAlignment="1">
      <alignment horizontal="center" vertical="center"/>
    </xf>
    <xf numFmtId="176" fontId="24" fillId="0" borderId="38" xfId="2" applyNumberFormat="1" applyFont="1" applyFill="1" applyBorder="1" applyAlignment="1">
      <alignment horizontal="center" vertical="center"/>
    </xf>
    <xf numFmtId="176" fontId="24" fillId="0" borderId="85" xfId="2" applyNumberFormat="1" applyFont="1" applyFill="1" applyBorder="1" applyAlignment="1">
      <alignment horizontal="center" vertical="center"/>
    </xf>
    <xf numFmtId="176" fontId="24" fillId="0" borderId="37" xfId="2" applyNumberFormat="1" applyFont="1" applyFill="1" applyBorder="1" applyAlignment="1">
      <alignment horizontal="center" vertical="center"/>
    </xf>
    <xf numFmtId="38" fontId="3" fillId="0" borderId="37" xfId="0" applyNumberFormat="1" applyFont="1" applyBorder="1" applyAlignment="1">
      <alignment horizontal="center" vertical="center"/>
    </xf>
    <xf numFmtId="38" fontId="0" fillId="0" borderId="91" xfId="1" applyFont="1" applyFill="1" applyBorder="1" applyAlignment="1">
      <alignment horizontal="center" vertical="center"/>
    </xf>
    <xf numFmtId="38" fontId="0" fillId="0" borderId="92" xfId="1" applyFont="1" applyFill="1" applyBorder="1" applyAlignment="1">
      <alignment horizontal="center" vertical="center"/>
    </xf>
    <xf numFmtId="38" fontId="0" fillId="0" borderId="93" xfId="1" applyFont="1" applyFill="1" applyBorder="1" applyAlignment="1">
      <alignment horizontal="center" vertical="center"/>
    </xf>
    <xf numFmtId="38" fontId="3" fillId="0" borderId="93" xfId="0" applyNumberFormat="1" applyFont="1" applyBorder="1" applyAlignment="1">
      <alignment horizontal="center" vertical="center"/>
    </xf>
    <xf numFmtId="38" fontId="0" fillId="0" borderId="0" xfId="1" applyFont="1" applyFill="1" applyBorder="1" applyAlignment="1">
      <alignment horizontal="center" vertical="center"/>
    </xf>
    <xf numFmtId="176" fontId="0" fillId="0" borderId="0" xfId="2" applyNumberFormat="1" applyFont="1" applyFill="1" applyBorder="1" applyAlignment="1">
      <alignment horizontal="center" vertical="center"/>
    </xf>
    <xf numFmtId="176" fontId="24" fillId="0" borderId="79" xfId="2" applyNumberFormat="1" applyFont="1" applyFill="1" applyBorder="1" applyAlignment="1">
      <alignment horizontal="center" vertical="center"/>
    </xf>
    <xf numFmtId="176" fontId="24" fillId="0" borderId="73" xfId="2" applyNumberFormat="1" applyFont="1" applyFill="1" applyBorder="1" applyAlignment="1">
      <alignment horizontal="center" vertical="center"/>
    </xf>
    <xf numFmtId="176" fontId="24" fillId="0" borderId="83" xfId="2" applyNumberFormat="1" applyFont="1" applyFill="1" applyBorder="1" applyAlignment="1">
      <alignment horizontal="center" vertical="center"/>
    </xf>
    <xf numFmtId="38" fontId="3" fillId="0" borderId="83" xfId="0" applyNumberFormat="1" applyFont="1" applyBorder="1" applyAlignment="1">
      <alignment horizontal="center" vertical="center"/>
    </xf>
    <xf numFmtId="38" fontId="24" fillId="0" borderId="76" xfId="1" applyFont="1" applyFill="1" applyBorder="1" applyAlignment="1">
      <alignment horizontal="center" vertical="center"/>
    </xf>
    <xf numFmtId="38" fontId="24" fillId="0" borderId="77" xfId="1" applyFont="1" applyFill="1" applyBorder="1" applyAlignment="1">
      <alignment horizontal="center" vertical="center"/>
    </xf>
    <xf numFmtId="38" fontId="24" fillId="0" borderId="81" xfId="1" applyFont="1" applyFill="1" applyBorder="1" applyAlignment="1">
      <alignment horizontal="center" vertical="center"/>
    </xf>
    <xf numFmtId="38" fontId="16" fillId="0" borderId="81" xfId="0" applyNumberFormat="1" applyFont="1" applyBorder="1" applyAlignment="1">
      <alignment horizontal="center" vertical="center"/>
    </xf>
    <xf numFmtId="38" fontId="24" fillId="0" borderId="78" xfId="1" applyFont="1" applyFill="1" applyBorder="1" applyAlignment="1">
      <alignment horizontal="center" vertical="center"/>
    </xf>
    <xf numFmtId="38" fontId="24" fillId="0" borderId="0" xfId="1" applyFont="1" applyFill="1" applyBorder="1" applyAlignment="1">
      <alignment horizontal="center" vertical="center"/>
    </xf>
    <xf numFmtId="38" fontId="24" fillId="0" borderId="82" xfId="1" applyFont="1" applyFill="1" applyBorder="1" applyAlignment="1">
      <alignment horizontal="center" vertical="center"/>
    </xf>
    <xf numFmtId="38" fontId="16" fillId="0" borderId="82" xfId="0" applyNumberFormat="1" applyFont="1" applyBorder="1" applyAlignment="1">
      <alignment horizontal="center" vertical="center"/>
    </xf>
    <xf numFmtId="38" fontId="16" fillId="0" borderId="82" xfId="1" applyFont="1" applyBorder="1" applyAlignment="1">
      <alignment horizontal="center" vertical="center"/>
    </xf>
    <xf numFmtId="176" fontId="24" fillId="0" borderId="78" xfId="2" applyNumberFormat="1" applyFont="1" applyFill="1" applyBorder="1" applyAlignment="1">
      <alignment horizontal="center" vertical="center"/>
    </xf>
    <xf numFmtId="176" fontId="24" fillId="0" borderId="0" xfId="2" applyNumberFormat="1" applyFont="1" applyFill="1" applyBorder="1" applyAlignment="1">
      <alignment horizontal="center" vertical="center"/>
    </xf>
    <xf numFmtId="176" fontId="24" fillId="0" borderId="82" xfId="2" applyNumberFormat="1" applyFont="1" applyFill="1" applyBorder="1" applyAlignment="1">
      <alignment horizontal="center" vertical="center"/>
    </xf>
    <xf numFmtId="38" fontId="16" fillId="0" borderId="83" xfId="0" applyNumberFormat="1" applyFont="1" applyBorder="1" applyAlignment="1">
      <alignment horizontal="center" vertical="center"/>
    </xf>
    <xf numFmtId="38" fontId="16" fillId="0" borderId="71" xfId="0" applyNumberFormat="1" applyFont="1" applyBorder="1" applyAlignment="1">
      <alignment horizontal="center" vertical="center"/>
    </xf>
    <xf numFmtId="38" fontId="0" fillId="7" borderId="0" xfId="1" applyFont="1" applyFill="1" applyBorder="1" applyAlignment="1">
      <alignment horizontal="center" vertical="center"/>
    </xf>
    <xf numFmtId="176" fontId="0" fillId="3" borderId="0" xfId="2" applyNumberFormat="1" applyFont="1" applyFill="1" applyBorder="1" applyAlignment="1">
      <alignment horizontal="center" vertical="center"/>
    </xf>
    <xf numFmtId="38" fontId="0" fillId="6" borderId="0" xfId="1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26" fillId="10" borderId="76" xfId="0" applyFont="1" applyFill="1" applyBorder="1" applyAlignment="1">
      <alignment horizontal="center" vertical="center"/>
    </xf>
    <xf numFmtId="0" fontId="26" fillId="2" borderId="76" xfId="0" applyFont="1" applyFill="1" applyBorder="1" applyAlignment="1">
      <alignment horizontal="center" vertical="center"/>
    </xf>
    <xf numFmtId="0" fontId="3" fillId="5" borderId="77" xfId="0" applyFont="1" applyFill="1" applyBorder="1" applyAlignment="1">
      <alignment horizontal="center" vertical="center"/>
    </xf>
    <xf numFmtId="0" fontId="3" fillId="5" borderId="74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182" fontId="26" fillId="10" borderId="75" xfId="0" applyNumberFormat="1" applyFont="1" applyFill="1" applyBorder="1" applyAlignment="1">
      <alignment horizontal="center" vertical="center"/>
    </xf>
    <xf numFmtId="182" fontId="26" fillId="10" borderId="74" xfId="0" applyNumberFormat="1" applyFont="1" applyFill="1" applyBorder="1" applyAlignment="1">
      <alignment horizontal="center" vertical="center"/>
    </xf>
    <xf numFmtId="182" fontId="26" fillId="10" borderId="84" xfId="0" applyNumberFormat="1" applyFont="1" applyFill="1" applyBorder="1" applyAlignment="1">
      <alignment horizontal="center" vertical="center"/>
    </xf>
    <xf numFmtId="0" fontId="3" fillId="2" borderId="77" xfId="0" applyFont="1" applyFill="1" applyBorder="1" applyAlignment="1">
      <alignment horizontal="center" vertical="center"/>
    </xf>
    <xf numFmtId="0" fontId="3" fillId="2" borderId="90" xfId="0" applyFont="1" applyFill="1" applyBorder="1" applyAlignment="1">
      <alignment horizontal="center" vertical="center"/>
    </xf>
    <xf numFmtId="182" fontId="26" fillId="2" borderId="76" xfId="0" applyNumberFormat="1" applyFont="1" applyFill="1" applyBorder="1" applyAlignment="1">
      <alignment horizontal="center" vertical="center"/>
    </xf>
    <xf numFmtId="182" fontId="26" fillId="2" borderId="77" xfId="0" applyNumberFormat="1" applyFont="1" applyFill="1" applyBorder="1" applyAlignment="1">
      <alignment horizontal="center" vertical="center"/>
    </xf>
    <xf numFmtId="182" fontId="26" fillId="2" borderId="81" xfId="0" applyNumberFormat="1" applyFont="1" applyFill="1" applyBorder="1" applyAlignment="1">
      <alignment horizontal="center" vertical="center"/>
    </xf>
    <xf numFmtId="0" fontId="29" fillId="2" borderId="76" xfId="0" applyFont="1" applyFill="1" applyBorder="1" applyAlignment="1">
      <alignment horizontal="center" vertical="top"/>
    </xf>
    <xf numFmtId="182" fontId="26" fillId="5" borderId="75" xfId="0" applyNumberFormat="1" applyFont="1" applyFill="1" applyBorder="1" applyAlignment="1">
      <alignment horizontal="center" vertical="center"/>
    </xf>
    <xf numFmtId="182" fontId="26" fillId="5" borderId="74" xfId="0" applyNumberFormat="1" applyFont="1" applyFill="1" applyBorder="1" applyAlignment="1">
      <alignment horizontal="center" vertical="center"/>
    </xf>
    <xf numFmtId="182" fontId="26" fillId="5" borderId="84" xfId="0" applyNumberFormat="1" applyFont="1" applyFill="1" applyBorder="1" applyAlignment="1">
      <alignment horizontal="center" vertical="center"/>
    </xf>
    <xf numFmtId="38" fontId="0" fillId="0" borderId="76" xfId="1" applyFont="1" applyBorder="1" applyAlignment="1">
      <alignment horizontal="center" vertical="center"/>
    </xf>
    <xf numFmtId="38" fontId="0" fillId="0" borderId="77" xfId="1" applyFont="1" applyBorder="1" applyAlignment="1">
      <alignment horizontal="center" vertical="center"/>
    </xf>
    <xf numFmtId="38" fontId="0" fillId="0" borderId="81" xfId="1" applyFont="1" applyBorder="1" applyAlignment="1">
      <alignment horizontal="center" vertical="center"/>
    </xf>
    <xf numFmtId="38" fontId="0" fillId="0" borderId="78" xfId="1" applyFont="1" applyBorder="1" applyAlignment="1">
      <alignment horizontal="center" vertical="center"/>
    </xf>
    <xf numFmtId="38" fontId="0" fillId="0" borderId="82" xfId="1" applyFont="1" applyBorder="1" applyAlignment="1">
      <alignment horizontal="center" vertical="center"/>
    </xf>
    <xf numFmtId="38" fontId="16" fillId="3" borderId="38" xfId="1" applyFont="1" applyFill="1" applyBorder="1" applyAlignment="1">
      <alignment horizontal="center" vertical="center"/>
    </xf>
    <xf numFmtId="38" fontId="16" fillId="3" borderId="85" xfId="1" applyFont="1" applyFill="1" applyBorder="1" applyAlignment="1">
      <alignment horizontal="center" vertical="center"/>
    </xf>
    <xf numFmtId="38" fontId="16" fillId="3" borderId="37" xfId="1" applyFont="1" applyFill="1" applyBorder="1" applyAlignment="1">
      <alignment horizontal="center" vertical="center"/>
    </xf>
    <xf numFmtId="38" fontId="16" fillId="3" borderId="79" xfId="1" applyFont="1" applyFill="1" applyBorder="1" applyAlignment="1">
      <alignment horizontal="center" vertical="center"/>
    </xf>
    <xf numFmtId="38" fontId="16" fillId="3" borderId="73" xfId="1" applyFont="1" applyFill="1" applyBorder="1" applyAlignment="1">
      <alignment horizontal="center" vertical="center"/>
    </xf>
    <xf numFmtId="38" fontId="16" fillId="3" borderId="83" xfId="1" applyFont="1" applyFill="1" applyBorder="1" applyAlignment="1">
      <alignment horizontal="center" vertical="center"/>
    </xf>
    <xf numFmtId="38" fontId="3" fillId="3" borderId="38" xfId="1" applyFont="1" applyFill="1" applyBorder="1" applyAlignment="1">
      <alignment horizontal="center" vertical="center"/>
    </xf>
    <xf numFmtId="38" fontId="3" fillId="3" borderId="85" xfId="1" applyFont="1" applyFill="1" applyBorder="1" applyAlignment="1">
      <alignment horizontal="center" vertical="center"/>
    </xf>
    <xf numFmtId="38" fontId="3" fillId="3" borderId="37" xfId="1" applyFont="1" applyFill="1" applyBorder="1" applyAlignment="1">
      <alignment horizontal="center" vertical="center"/>
    </xf>
    <xf numFmtId="38" fontId="3" fillId="3" borderId="37" xfId="0" applyNumberFormat="1" applyFont="1" applyFill="1" applyBorder="1" applyAlignment="1">
      <alignment horizontal="center" vertical="center"/>
    </xf>
    <xf numFmtId="38" fontId="3" fillId="3" borderId="79" xfId="1" applyFont="1" applyFill="1" applyBorder="1" applyAlignment="1">
      <alignment horizontal="center" vertical="center"/>
    </xf>
    <xf numFmtId="38" fontId="3" fillId="3" borderId="73" xfId="1" applyFont="1" applyFill="1" applyBorder="1" applyAlignment="1">
      <alignment horizontal="center" vertical="center"/>
    </xf>
    <xf numFmtId="38" fontId="3" fillId="3" borderId="83" xfId="1" applyFont="1" applyFill="1" applyBorder="1" applyAlignment="1">
      <alignment horizontal="center" vertical="center"/>
    </xf>
    <xf numFmtId="38" fontId="3" fillId="3" borderId="83" xfId="0" applyNumberFormat="1" applyFont="1" applyFill="1" applyBorder="1" applyAlignment="1">
      <alignment horizontal="center" vertical="center"/>
    </xf>
    <xf numFmtId="0" fontId="30" fillId="2" borderId="76" xfId="0" applyFont="1" applyFill="1" applyBorder="1" applyAlignment="1">
      <alignment horizontal="center" vertical="top"/>
    </xf>
    <xf numFmtId="38" fontId="28" fillId="0" borderId="0" xfId="1" applyFont="1" applyAlignment="1">
      <alignment horizontal="center" vertical="center"/>
    </xf>
    <xf numFmtId="38" fontId="11" fillId="0" borderId="9" xfId="1" applyFont="1" applyFill="1" applyBorder="1" applyAlignment="1">
      <alignment horizontal="center" vertical="center" wrapText="1"/>
    </xf>
    <xf numFmtId="38" fontId="31" fillId="0" borderId="60" xfId="1" applyFont="1" applyFill="1" applyBorder="1" applyAlignment="1">
      <alignment horizontal="center" vertical="center" wrapText="1"/>
    </xf>
    <xf numFmtId="38" fontId="11" fillId="0" borderId="60" xfId="1" applyFont="1" applyFill="1" applyBorder="1" applyAlignment="1">
      <alignment horizontal="center" vertical="center" wrapText="1"/>
    </xf>
    <xf numFmtId="38" fontId="11" fillId="0" borderId="14" xfId="1" applyFont="1" applyFill="1" applyBorder="1" applyAlignment="1">
      <alignment horizontal="left" vertical="center" wrapText="1"/>
    </xf>
    <xf numFmtId="38" fontId="12" fillId="0" borderId="14" xfId="1" applyFont="1" applyFill="1" applyBorder="1" applyAlignment="1">
      <alignment horizontal="center" vertical="center" wrapText="1"/>
    </xf>
    <xf numFmtId="38" fontId="11" fillId="0" borderId="14" xfId="1" applyFont="1" applyFill="1" applyBorder="1" applyAlignment="1">
      <alignment horizontal="center" vertical="center" wrapText="1"/>
    </xf>
    <xf numFmtId="38" fontId="12" fillId="0" borderId="60" xfId="1" applyFont="1" applyFill="1" applyBorder="1" applyAlignment="1">
      <alignment horizontal="left" vertical="top" wrapText="1"/>
    </xf>
    <xf numFmtId="38" fontId="11" fillId="0" borderId="15" xfId="1" applyFont="1" applyFill="1" applyBorder="1" applyAlignment="1">
      <alignment horizontal="center" vertical="center" wrapText="1"/>
    </xf>
    <xf numFmtId="38" fontId="12" fillId="0" borderId="30" xfId="1" applyFont="1" applyFill="1" applyBorder="1" applyAlignment="1">
      <alignment horizontal="center" vertical="center" wrapText="1"/>
    </xf>
    <xf numFmtId="38" fontId="0" fillId="0" borderId="82" xfId="1" applyFont="1" applyFill="1" applyBorder="1" applyAlignment="1">
      <alignment horizontal="center" vertical="center" wrapText="1"/>
    </xf>
    <xf numFmtId="38" fontId="0" fillId="0" borderId="8" xfId="1" applyFont="1" applyFill="1" applyBorder="1" applyAlignment="1">
      <alignment horizontal="center" vertical="center" wrapText="1"/>
    </xf>
    <xf numFmtId="40" fontId="24" fillId="0" borderId="0" xfId="1" applyNumberFormat="1" applyFont="1" applyBorder="1" applyAlignment="1">
      <alignment horizontal="center" vertical="center"/>
    </xf>
    <xf numFmtId="38" fontId="15" fillId="0" borderId="14" xfId="1" applyFont="1" applyFill="1" applyBorder="1" applyAlignment="1">
      <alignment horizontal="center" vertical="center" wrapText="1"/>
    </xf>
    <xf numFmtId="38" fontId="34" fillId="0" borderId="14" xfId="1" applyFont="1" applyFill="1" applyBorder="1" applyAlignment="1">
      <alignment horizontal="center" vertical="center" wrapText="1"/>
    </xf>
    <xf numFmtId="38" fontId="13" fillId="0" borderId="14" xfId="1" applyFont="1" applyFill="1" applyBorder="1" applyAlignment="1">
      <alignment horizontal="center" vertical="center" wrapText="1"/>
    </xf>
    <xf numFmtId="38" fontId="4" fillId="0" borderId="78" xfId="1" applyFont="1" applyBorder="1" applyAlignment="1">
      <alignment horizontal="center" vertical="center"/>
    </xf>
    <xf numFmtId="38" fontId="25" fillId="0" borderId="73" xfId="0" applyNumberFormat="1" applyFont="1" applyBorder="1">
      <alignment vertical="center"/>
    </xf>
    <xf numFmtId="38" fontId="22" fillId="0" borderId="78" xfId="1" applyFont="1" applyBorder="1" applyAlignment="1">
      <alignment horizontal="center" vertical="center"/>
    </xf>
    <xf numFmtId="38" fontId="4" fillId="0" borderId="79" xfId="1" applyFont="1" applyBorder="1" applyAlignment="1">
      <alignment horizontal="center" vertical="center"/>
    </xf>
    <xf numFmtId="38" fontId="22" fillId="0" borderId="0" xfId="1" applyFont="1" applyBorder="1" applyAlignment="1">
      <alignment horizontal="center" vertical="center"/>
    </xf>
    <xf numFmtId="38" fontId="4" fillId="0" borderId="73" xfId="1" applyFont="1" applyBorder="1" applyAlignment="1">
      <alignment horizontal="center" vertical="center"/>
    </xf>
    <xf numFmtId="38" fontId="4" fillId="0" borderId="0" xfId="1" applyFont="1" applyBorder="1" applyAlignment="1">
      <alignment horizontal="center" vertical="center"/>
    </xf>
    <xf numFmtId="38" fontId="9" fillId="12" borderId="57" xfId="1" applyFont="1" applyFill="1" applyBorder="1" applyAlignment="1">
      <alignment horizontal="center" vertical="center"/>
    </xf>
    <xf numFmtId="38" fontId="9" fillId="12" borderId="56" xfId="1" applyFont="1" applyFill="1" applyBorder="1" applyAlignment="1">
      <alignment horizontal="center" vertical="center"/>
    </xf>
    <xf numFmtId="38" fontId="9" fillId="12" borderId="5" xfId="1" applyFont="1" applyFill="1" applyBorder="1" applyAlignment="1">
      <alignment horizontal="center" vertical="center"/>
    </xf>
    <xf numFmtId="38" fontId="9" fillId="12" borderId="6" xfId="1" applyFont="1" applyFill="1" applyBorder="1" applyAlignment="1">
      <alignment horizontal="center" vertical="center"/>
    </xf>
    <xf numFmtId="0" fontId="8" fillId="12" borderId="41" xfId="0" applyFont="1" applyFill="1" applyBorder="1" applyAlignment="1">
      <alignment horizontal="center" vertical="center"/>
    </xf>
    <xf numFmtId="0" fontId="8" fillId="12" borderId="69" xfId="0" applyFont="1" applyFill="1" applyBorder="1" applyAlignment="1">
      <alignment horizontal="center" vertical="center"/>
    </xf>
    <xf numFmtId="182" fontId="9" fillId="12" borderId="13" xfId="1" applyNumberFormat="1" applyFont="1" applyFill="1" applyBorder="1" applyAlignment="1">
      <alignment horizontal="center" vertical="center"/>
    </xf>
    <xf numFmtId="182" fontId="9" fillId="12" borderId="62" xfId="1" applyNumberFormat="1" applyFont="1" applyFill="1" applyBorder="1" applyAlignment="1">
      <alignment horizontal="center" vertical="center"/>
    </xf>
    <xf numFmtId="182" fontId="9" fillId="12" borderId="63" xfId="1" applyNumberFormat="1" applyFont="1" applyFill="1" applyBorder="1" applyAlignment="1">
      <alignment horizontal="center" vertical="center"/>
    </xf>
    <xf numFmtId="182" fontId="9" fillId="12" borderId="44" xfId="1" applyNumberFormat="1" applyFont="1" applyFill="1" applyBorder="1" applyAlignment="1">
      <alignment horizontal="center" vertical="center"/>
    </xf>
    <xf numFmtId="38" fontId="18" fillId="12" borderId="86" xfId="1" applyFont="1" applyFill="1" applyBorder="1" applyAlignment="1">
      <alignment horizontal="center" vertical="center"/>
    </xf>
    <xf numFmtId="9" fontId="18" fillId="12" borderId="66" xfId="2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38" fontId="4" fillId="0" borderId="78" xfId="1" applyFont="1" applyFill="1" applyBorder="1" applyAlignment="1">
      <alignment horizontal="center" vertical="center"/>
    </xf>
    <xf numFmtId="6" fontId="4" fillId="0" borderId="78" xfId="3" applyFont="1" applyBorder="1" applyAlignment="1">
      <alignment horizontal="center" vertical="center"/>
    </xf>
    <xf numFmtId="6" fontId="4" fillId="0" borderId="0" xfId="3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5" fillId="0" borderId="0" xfId="0" applyFont="1">
      <alignment vertical="center"/>
    </xf>
    <xf numFmtId="40" fontId="24" fillId="0" borderId="78" xfId="1" applyNumberFormat="1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24" fillId="0" borderId="0" xfId="0" applyFont="1">
      <alignment vertical="center"/>
    </xf>
    <xf numFmtId="40" fontId="4" fillId="0" borderId="78" xfId="1" applyNumberFormat="1" applyFont="1" applyFill="1" applyBorder="1" applyAlignment="1">
      <alignment horizontal="center" vertical="center"/>
    </xf>
    <xf numFmtId="40" fontId="4" fillId="0" borderId="0" xfId="1" applyNumberFormat="1" applyFont="1" applyFill="1" applyBorder="1" applyAlignment="1">
      <alignment horizontal="center" vertical="center"/>
    </xf>
    <xf numFmtId="38" fontId="4" fillId="0" borderId="82" xfId="1" applyFont="1" applyFill="1" applyBorder="1" applyAlignment="1">
      <alignment horizontal="center" vertical="center"/>
    </xf>
    <xf numFmtId="38" fontId="9" fillId="12" borderId="57" xfId="1" applyFont="1" applyFill="1" applyBorder="1" applyAlignment="1">
      <alignment horizontal="center" vertical="center"/>
    </xf>
    <xf numFmtId="38" fontId="9" fillId="12" borderId="56" xfId="1" applyFont="1" applyFill="1" applyBorder="1" applyAlignment="1">
      <alignment horizontal="center" vertical="center"/>
    </xf>
    <xf numFmtId="38" fontId="9" fillId="12" borderId="6" xfId="1" applyFont="1" applyFill="1" applyBorder="1" applyAlignment="1">
      <alignment horizontal="center" vertical="center"/>
    </xf>
    <xf numFmtId="0" fontId="5" fillId="0" borderId="40" xfId="0" applyFont="1" applyBorder="1" applyAlignment="1">
      <alignment horizontal="left" vertical="center" wrapText="1" indent="1"/>
    </xf>
    <xf numFmtId="0" fontId="5" fillId="0" borderId="46" xfId="0" applyFont="1" applyBorder="1" applyAlignment="1">
      <alignment horizontal="left" vertical="center" wrapText="1" indent="1"/>
    </xf>
    <xf numFmtId="0" fontId="5" fillId="0" borderId="41" xfId="0" applyFont="1" applyBorder="1" applyAlignment="1">
      <alignment horizontal="left" vertical="center" wrapText="1" indent="1"/>
    </xf>
    <xf numFmtId="0" fontId="5" fillId="0" borderId="47" xfId="0" applyFont="1" applyBorder="1" applyAlignment="1">
      <alignment horizontal="left" vertical="center" wrapText="1" indent="1"/>
    </xf>
    <xf numFmtId="38" fontId="9" fillId="12" borderId="5" xfId="1" applyFont="1" applyFill="1" applyBorder="1" applyAlignment="1">
      <alignment horizontal="center" vertical="center"/>
    </xf>
    <xf numFmtId="0" fontId="6" fillId="0" borderId="5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6" xfId="0" applyFont="1" applyBorder="1" applyAlignment="1">
      <alignment horizontal="center" vertical="center"/>
    </xf>
    <xf numFmtId="0" fontId="0" fillId="5" borderId="45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8" fillId="12" borderId="48" xfId="0" applyFont="1" applyFill="1" applyBorder="1" applyAlignment="1">
      <alignment horizontal="center" vertical="center" wrapText="1"/>
    </xf>
    <xf numFmtId="0" fontId="8" fillId="12" borderId="53" xfId="0" applyFont="1" applyFill="1" applyBorder="1" applyAlignment="1">
      <alignment horizontal="center" vertical="center"/>
    </xf>
    <xf numFmtId="0" fontId="8" fillId="12" borderId="41" xfId="0" applyFont="1" applyFill="1" applyBorder="1" applyAlignment="1">
      <alignment horizontal="center" vertical="center"/>
    </xf>
    <xf numFmtId="0" fontId="8" fillId="12" borderId="47" xfId="0" applyFont="1" applyFill="1" applyBorder="1" applyAlignment="1">
      <alignment horizontal="center" vertical="center"/>
    </xf>
    <xf numFmtId="38" fontId="8" fillId="12" borderId="48" xfId="1" applyFont="1" applyFill="1" applyBorder="1" applyAlignment="1">
      <alignment horizontal="center" vertical="center"/>
    </xf>
    <xf numFmtId="38" fontId="8" fillId="12" borderId="53" xfId="1" applyFont="1" applyFill="1" applyBorder="1" applyAlignment="1">
      <alignment horizontal="center" vertical="center"/>
    </xf>
    <xf numFmtId="38" fontId="8" fillId="12" borderId="41" xfId="1" applyFont="1" applyFill="1" applyBorder="1" applyAlignment="1">
      <alignment horizontal="center" vertical="center"/>
    </xf>
    <xf numFmtId="38" fontId="8" fillId="12" borderId="47" xfId="1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42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12" borderId="24" xfId="0" applyFont="1" applyFill="1" applyBorder="1" applyAlignment="1">
      <alignment horizontal="center" vertical="center"/>
    </xf>
    <xf numFmtId="0" fontId="10" fillId="12" borderId="65" xfId="0" applyFont="1" applyFill="1" applyBorder="1" applyAlignment="1">
      <alignment horizontal="center" vertical="center"/>
    </xf>
    <xf numFmtId="0" fontId="8" fillId="12" borderId="58" xfId="0" applyFont="1" applyFill="1" applyBorder="1" applyAlignment="1">
      <alignment horizontal="center" vertical="center"/>
    </xf>
    <xf numFmtId="0" fontId="8" fillId="12" borderId="59" xfId="0" applyFont="1" applyFill="1" applyBorder="1" applyAlignment="1">
      <alignment horizontal="center" vertical="center"/>
    </xf>
    <xf numFmtId="0" fontId="8" fillId="12" borderId="68" xfId="0" applyFont="1" applyFill="1" applyBorder="1" applyAlignment="1">
      <alignment horizontal="center" vertical="center"/>
    </xf>
    <xf numFmtId="0" fontId="5" fillId="0" borderId="66" xfId="0" applyFont="1" applyBorder="1" applyAlignment="1">
      <alignment horizontal="center" vertical="center"/>
    </xf>
    <xf numFmtId="0" fontId="5" fillId="0" borderId="67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56" xfId="0" applyFont="1" applyFill="1" applyBorder="1" applyAlignment="1">
      <alignment horizontal="center" vertical="center"/>
    </xf>
    <xf numFmtId="0" fontId="8" fillId="12" borderId="6" xfId="0" applyFont="1" applyFill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13" xfId="1" applyFont="1" applyBorder="1" applyAlignment="1">
      <alignment horizontal="center" vertical="center"/>
    </xf>
    <xf numFmtId="0" fontId="8" fillId="12" borderId="87" xfId="0" applyFont="1" applyFill="1" applyBorder="1" applyAlignment="1">
      <alignment horizontal="center" vertical="center"/>
    </xf>
    <xf numFmtId="0" fontId="8" fillId="12" borderId="88" xfId="0" applyFont="1" applyFill="1" applyBorder="1" applyAlignment="1">
      <alignment horizontal="center" vertical="center"/>
    </xf>
    <xf numFmtId="0" fontId="20" fillId="0" borderId="7" xfId="0" applyFont="1" applyBorder="1" applyAlignment="1">
      <alignment horizontal="center" vertical="center" wrapText="1"/>
    </xf>
    <xf numFmtId="0" fontId="20" fillId="0" borderId="9" xfId="0" applyFont="1" applyBorder="1" applyAlignment="1">
      <alignment horizontal="center" vertical="center" wrapText="1"/>
    </xf>
    <xf numFmtId="38" fontId="0" fillId="0" borderId="11" xfId="1" applyFont="1" applyBorder="1" applyAlignment="1">
      <alignment horizontal="center" vertical="center"/>
    </xf>
    <xf numFmtId="0" fontId="6" fillId="0" borderId="76" xfId="0" applyFont="1" applyBorder="1" applyAlignment="1">
      <alignment horizontal="center" vertical="center"/>
    </xf>
    <xf numFmtId="0" fontId="6" fillId="0" borderId="77" xfId="0" applyFont="1" applyBorder="1" applyAlignment="1">
      <alignment horizontal="center" vertical="center"/>
    </xf>
    <xf numFmtId="0" fontId="6" fillId="0" borderId="78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9" xfId="0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0" fillId="0" borderId="90" xfId="0" applyBorder="1" applyAlignment="1">
      <alignment horizontal="center" vertical="center"/>
    </xf>
    <xf numFmtId="0" fontId="3" fillId="2" borderId="80" xfId="0" applyFont="1" applyFill="1" applyBorder="1" applyAlignment="1">
      <alignment horizontal="center" vertical="center"/>
    </xf>
    <xf numFmtId="38" fontId="3" fillId="0" borderId="80" xfId="0" applyNumberFormat="1" applyFont="1" applyBorder="1" applyAlignment="1">
      <alignment horizontal="center" vertical="center"/>
    </xf>
    <xf numFmtId="0" fontId="3" fillId="5" borderId="80" xfId="0" applyFont="1" applyFill="1" applyBorder="1" applyAlignment="1">
      <alignment horizontal="center" vertical="center"/>
    </xf>
    <xf numFmtId="38" fontId="9" fillId="4" borderId="57" xfId="1" applyFont="1" applyFill="1" applyBorder="1" applyAlignment="1">
      <alignment horizontal="center" vertical="center"/>
    </xf>
    <xf numFmtId="38" fontId="9" fillId="4" borderId="56" xfId="1" applyFont="1" applyFill="1" applyBorder="1" applyAlignment="1">
      <alignment horizontal="center" vertical="center"/>
    </xf>
    <xf numFmtId="38" fontId="9" fillId="4" borderId="6" xfId="1" applyFont="1" applyFill="1" applyBorder="1" applyAlignment="1">
      <alignment horizontal="center" vertical="center"/>
    </xf>
    <xf numFmtId="38" fontId="9" fillId="4" borderId="5" xfId="1" applyFont="1" applyFill="1" applyBorder="1" applyAlignment="1">
      <alignment horizontal="center" vertical="center"/>
    </xf>
    <xf numFmtId="0" fontId="8" fillId="4" borderId="48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/>
    </xf>
    <xf numFmtId="0" fontId="8" fillId="4" borderId="41" xfId="0" applyFont="1" applyFill="1" applyBorder="1" applyAlignment="1">
      <alignment horizontal="center" vertical="center"/>
    </xf>
    <xf numFmtId="0" fontId="8" fillId="4" borderId="47" xfId="0" applyFont="1" applyFill="1" applyBorder="1" applyAlignment="1">
      <alignment horizontal="center" vertical="center"/>
    </xf>
    <xf numFmtId="38" fontId="8" fillId="4" borderId="48" xfId="1" applyFont="1" applyFill="1" applyBorder="1" applyAlignment="1">
      <alignment horizontal="center" vertical="center"/>
    </xf>
    <xf numFmtId="38" fontId="8" fillId="4" borderId="53" xfId="1" applyFont="1" applyFill="1" applyBorder="1" applyAlignment="1">
      <alignment horizontal="center" vertical="center"/>
    </xf>
    <xf numFmtId="38" fontId="8" fillId="4" borderId="41" xfId="1" applyFont="1" applyFill="1" applyBorder="1" applyAlignment="1">
      <alignment horizontal="center" vertical="center"/>
    </xf>
    <xf numFmtId="38" fontId="8" fillId="4" borderId="47" xfId="1" applyFont="1" applyFill="1" applyBorder="1" applyAlignment="1">
      <alignment horizontal="center" vertical="center"/>
    </xf>
    <xf numFmtId="0" fontId="10" fillId="4" borderId="24" xfId="0" applyFont="1" applyFill="1" applyBorder="1" applyAlignment="1">
      <alignment horizontal="center" vertical="center"/>
    </xf>
    <xf numFmtId="0" fontId="10" fillId="4" borderId="65" xfId="0" applyFont="1" applyFill="1" applyBorder="1" applyAlignment="1">
      <alignment horizontal="center" vertical="center"/>
    </xf>
    <xf numFmtId="0" fontId="8" fillId="4" borderId="58" xfId="0" applyFont="1" applyFill="1" applyBorder="1" applyAlignment="1">
      <alignment horizontal="center" vertical="center"/>
    </xf>
    <xf numFmtId="0" fontId="8" fillId="4" borderId="59" xfId="0" applyFont="1" applyFill="1" applyBorder="1" applyAlignment="1">
      <alignment horizontal="center" vertical="center"/>
    </xf>
    <xf numFmtId="0" fontId="8" fillId="4" borderId="68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8" fillId="4" borderId="56" xfId="0" applyFont="1" applyFill="1" applyBorder="1" applyAlignment="1">
      <alignment horizontal="center" vertical="center"/>
    </xf>
    <xf numFmtId="0" fontId="8" fillId="4" borderId="6" xfId="0" applyFont="1" applyFill="1" applyBorder="1" applyAlignment="1">
      <alignment horizontal="center" vertical="center"/>
    </xf>
    <xf numFmtId="0" fontId="8" fillId="4" borderId="87" xfId="0" applyFont="1" applyFill="1" applyBorder="1" applyAlignment="1">
      <alignment horizontal="center" vertical="center"/>
    </xf>
    <xf numFmtId="0" fontId="8" fillId="4" borderId="88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 wrapText="1"/>
    </xf>
    <xf numFmtId="0" fontId="19" fillId="0" borderId="9" xfId="0" applyFont="1" applyBorder="1" applyAlignment="1">
      <alignment horizontal="center" vertical="center" wrapText="1"/>
    </xf>
    <xf numFmtId="38" fontId="0" fillId="0" borderId="52" xfId="1" applyFont="1" applyFill="1" applyBorder="1" applyAlignment="1">
      <alignment horizontal="center" vertical="center" wrapText="1"/>
    </xf>
    <xf numFmtId="38" fontId="0" fillId="0" borderId="72" xfId="1" applyFont="1" applyFill="1" applyBorder="1" applyAlignment="1">
      <alignment horizontal="center" vertical="center" wrapText="1"/>
    </xf>
    <xf numFmtId="0" fontId="0" fillId="0" borderId="45" xfId="0" applyBorder="1" applyAlignment="1">
      <alignment horizontal="center" vertical="center"/>
    </xf>
    <xf numFmtId="0" fontId="0" fillId="0" borderId="45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38" fontId="9" fillId="12" borderId="89" xfId="1" applyFont="1" applyFill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0" fillId="0" borderId="95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</cellXfs>
  <cellStyles count="4">
    <cellStyle name="パーセント" xfId="2" builtinId="5"/>
    <cellStyle name="桁区切り" xfId="1" builtinId="6"/>
    <cellStyle name="通貨" xfId="3" builtinId="7"/>
    <cellStyle name="標準" xfId="0" builtinId="0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0E6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657225</xdr:colOff>
          <xdr:row>1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1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為替情報更新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76200</xdr:rowOff>
        </xdr:from>
        <xdr:to>
          <xdr:col>1</xdr:col>
          <xdr:colOff>657225</xdr:colOff>
          <xdr:row>1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1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為替情報更新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higashi/Box/&#26481;/000.%20&#20107;&#26989;&#35336;&#30011;&#38306;&#20418;/2026&#24180;5&#26376;&#26399;(&#31532;51&#26399;)%20&#21942;&#26989;&#35336;&#30011;/2026&#24180;5&#26376;&#26399;(&#31532;51&#26399;)%20&#21942;&#26989;&#25968;&#23383;%20&#36914;&#25431;&#31649;&#29702;&#36039;&#26009;R2(2025.07.31).xlsm" TargetMode="External"/><Relationship Id="rId2" Type="http://schemas.openxmlformats.org/officeDocument/2006/relationships/externalLinkPath" Target="file:///C:\Users\higashi\Box\&#26481;\000.%20&#20107;&#26989;&#35336;&#30011;&#38306;&#20418;\2026&#24180;5&#26376;&#26399;(&#31532;51&#26399;)%20&#21942;&#26989;&#35336;&#30011;\2026&#24180;5&#26376;&#26399;(&#31532;51&#26399;)%20&#21942;&#26989;&#25968;&#23383;%20&#36914;&#25431;&#31649;&#29702;&#36039;&#26009;R2(2025.07.31).xlsm" TargetMode="External"/><Relationship Id="rId1" Type="http://schemas.openxmlformats.org/officeDocument/2006/relationships/externalLinkPath" Target="/Users/higashi/Box/&#26481;/000.%20&#20107;&#26989;&#35336;&#30011;&#38306;&#20418;/2026&#24180;5&#26376;&#26399;(&#31532;51&#26399;)%20&#21942;&#26989;&#35336;&#30011;/2026&#24180;5&#26376;&#26399;(&#31532;51&#26399;)%20&#21942;&#26989;&#25968;&#23383;%20&#36914;&#25431;&#31649;&#29702;&#36039;&#26009;R2(2025.07.3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PL"/>
      <sheetName val="BS"/>
      <sheetName val="第50期販管費予算"/>
      <sheetName val="月次進捗"/>
      <sheetName val="計画集計"/>
      <sheetName val="実績集計"/>
      <sheetName val="松岡"/>
      <sheetName val="大谷"/>
      <sheetName val="宮本"/>
      <sheetName val="深串"/>
      <sheetName val="深串INV"/>
      <sheetName val="前川"/>
      <sheetName val="前川INV"/>
      <sheetName val="千葉"/>
      <sheetName val="Sheet1"/>
      <sheetName val="千葉INV"/>
      <sheetName val="中国"/>
      <sheetName val="中国INV"/>
      <sheetName val="VVR"/>
      <sheetName val="VVRINV"/>
      <sheetName val="新規1"/>
      <sheetName val="新規1INV"/>
      <sheetName val="新規2"/>
      <sheetName val="Sheet2"/>
      <sheetName val="新規2INV"/>
      <sheetName val="為替"/>
      <sheetName val="Macro"/>
      <sheetName val="2026年5月期(第51期) 営業数字 進捗管理資料R2(20"/>
    </sheetNames>
    <definedNames>
      <definedName name="Copy_MURC_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1043-5408-4229-8156-C1438236EEF7}">
  <sheetPr codeName="Sheet1"/>
  <dimension ref="A1:X97"/>
  <sheetViews>
    <sheetView showGridLines="0" zoomScale="55" zoomScaleNormal="55" workbookViewId="0">
      <selection activeCell="S14" sqref="S14"/>
    </sheetView>
  </sheetViews>
  <sheetFormatPr defaultRowHeight="18.75"/>
  <cols>
    <col min="2" max="3" width="9" style="1"/>
    <col min="4" max="4" width="11" style="1" bestFit="1" customWidth="1"/>
    <col min="5" max="16" width="13" style="1" customWidth="1"/>
    <col min="17" max="17" width="13" style="29" customWidth="1"/>
    <col min="19" max="19" width="11.125" customWidth="1"/>
    <col min="20" max="22" width="11.125" style="1" customWidth="1"/>
    <col min="23" max="24" width="11.125" customWidth="1"/>
  </cols>
  <sheetData>
    <row r="1" spans="1:24" ht="30">
      <c r="A1" s="64" t="s">
        <v>263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6"/>
    </row>
    <row r="2" spans="1:24" ht="25.5">
      <c r="A2" s="244" t="s">
        <v>15</v>
      </c>
      <c r="B2" s="354" t="s">
        <v>40</v>
      </c>
      <c r="C2" s="355" t="s">
        <v>39</v>
      </c>
      <c r="D2" s="356" t="s">
        <v>271</v>
      </c>
      <c r="E2" s="357">
        <v>45444</v>
      </c>
      <c r="F2" s="358">
        <v>45474</v>
      </c>
      <c r="G2" s="358">
        <v>45505</v>
      </c>
      <c r="H2" s="358">
        <v>45536</v>
      </c>
      <c r="I2" s="358">
        <v>45566</v>
      </c>
      <c r="J2" s="358">
        <v>45597</v>
      </c>
      <c r="K2" s="358">
        <v>45627</v>
      </c>
      <c r="L2" s="358">
        <v>45658</v>
      </c>
      <c r="M2" s="358">
        <v>45689</v>
      </c>
      <c r="N2" s="358">
        <v>45717</v>
      </c>
      <c r="O2" s="358">
        <v>45748</v>
      </c>
      <c r="P2" s="359">
        <v>45778</v>
      </c>
      <c r="Q2" s="222" t="s">
        <v>21</v>
      </c>
      <c r="S2" s="351" t="s">
        <v>292</v>
      </c>
    </row>
    <row r="3" spans="1:24">
      <c r="A3" s="223"/>
      <c r="B3" s="497" t="s">
        <v>47</v>
      </c>
      <c r="C3" s="48" t="s">
        <v>41</v>
      </c>
      <c r="D3" s="234" t="s">
        <v>265</v>
      </c>
      <c r="E3" s="264">
        <f>計画集計!F6</f>
        <v>899</v>
      </c>
      <c r="F3" s="265">
        <f>計画集計!G6</f>
        <v>760</v>
      </c>
      <c r="G3" s="265">
        <f>計画集計!H6</f>
        <v>1005</v>
      </c>
      <c r="H3" s="265">
        <f>計画集計!I6</f>
        <v>5260</v>
      </c>
      <c r="I3" s="265">
        <f>計画集計!J6</f>
        <v>4185</v>
      </c>
      <c r="J3" s="265">
        <f>計画集計!K6</f>
        <v>3890</v>
      </c>
      <c r="K3" s="265">
        <f>計画集計!L6</f>
        <v>2710</v>
      </c>
      <c r="L3" s="265">
        <f>計画集計!M6</f>
        <v>2761</v>
      </c>
      <c r="M3" s="265">
        <f>計画集計!N6</f>
        <v>4755</v>
      </c>
      <c r="N3" s="265">
        <f>計画集計!O6</f>
        <v>2850</v>
      </c>
      <c r="O3" s="265">
        <f>計画集計!P6</f>
        <v>3370</v>
      </c>
      <c r="P3" s="266">
        <f>計画集計!Q6</f>
        <v>4115</v>
      </c>
      <c r="Q3" s="267">
        <f>SUM(E3:P3)</f>
        <v>36560</v>
      </c>
    </row>
    <row r="4" spans="1:24">
      <c r="A4" s="223"/>
      <c r="B4" s="495"/>
      <c r="D4" s="237" t="s">
        <v>267</v>
      </c>
      <c r="E4" s="268">
        <f>実績集計!F6</f>
        <v>898.87099999999998</v>
      </c>
      <c r="F4" s="348">
        <f>実績集計!G6</f>
        <v>0</v>
      </c>
      <c r="G4" s="348">
        <f>実績集計!H6</f>
        <v>0</v>
      </c>
      <c r="H4" s="348">
        <f>実績集計!I6</f>
        <v>0</v>
      </c>
      <c r="I4" s="348">
        <f>実績集計!J6</f>
        <v>0</v>
      </c>
      <c r="J4" s="348">
        <f>実績集計!K6</f>
        <v>0</v>
      </c>
      <c r="K4" s="348">
        <f>実績集計!L6</f>
        <v>0</v>
      </c>
      <c r="L4" s="348">
        <f>実績集計!M6</f>
        <v>0</v>
      </c>
      <c r="M4" s="348">
        <f>実績集計!N6</f>
        <v>0</v>
      </c>
      <c r="N4" s="348">
        <f>実績集計!O6</f>
        <v>0</v>
      </c>
      <c r="O4" s="348">
        <f>実績集計!P6</f>
        <v>0</v>
      </c>
      <c r="P4" s="270">
        <f>実績集計!Q6</f>
        <v>0</v>
      </c>
      <c r="Q4" s="271">
        <f t="shared" ref="Q4:Q32" si="0">SUM(E4:P4)</f>
        <v>898.87099999999998</v>
      </c>
      <c r="S4" s="246" t="s">
        <v>277</v>
      </c>
      <c r="T4" s="247" t="s">
        <v>272</v>
      </c>
      <c r="U4" s="352" t="s">
        <v>279</v>
      </c>
      <c r="V4" s="248" t="s">
        <v>276</v>
      </c>
      <c r="W4" s="247" t="s">
        <v>280</v>
      </c>
      <c r="X4" s="248" t="s">
        <v>276</v>
      </c>
    </row>
    <row r="5" spans="1:24">
      <c r="A5" s="223"/>
      <c r="B5" s="495"/>
      <c r="D5" s="239" t="s">
        <v>17</v>
      </c>
      <c r="E5" s="272">
        <f>IFERROR(E4/E3,"")</f>
        <v>0.99985650723025576</v>
      </c>
      <c r="F5" s="349" t="str">
        <f>IFERROR(IF(F4=0,"",F4/F3),"")</f>
        <v/>
      </c>
      <c r="G5" s="349" t="str">
        <f t="shared" ref="G5:P5" si="1">IFERROR(IF(G4=0,"",G4/G3),"")</f>
        <v/>
      </c>
      <c r="H5" s="349" t="str">
        <f t="shared" si="1"/>
        <v/>
      </c>
      <c r="I5" s="349" t="str">
        <f t="shared" si="1"/>
        <v/>
      </c>
      <c r="J5" s="349" t="str">
        <f t="shared" si="1"/>
        <v/>
      </c>
      <c r="K5" s="349" t="str">
        <f t="shared" si="1"/>
        <v/>
      </c>
      <c r="L5" s="349" t="str">
        <f t="shared" si="1"/>
        <v/>
      </c>
      <c r="M5" s="349" t="str">
        <f t="shared" si="1"/>
        <v/>
      </c>
      <c r="N5" s="349" t="str">
        <f t="shared" si="1"/>
        <v/>
      </c>
      <c r="O5" s="349" t="str">
        <f t="shared" si="1"/>
        <v/>
      </c>
      <c r="P5" s="274" t="str">
        <f t="shared" si="1"/>
        <v/>
      </c>
      <c r="Q5" s="275"/>
      <c r="S5" s="249" t="s">
        <v>274</v>
      </c>
      <c r="T5" s="259">
        <f>SUM(Q3,Q7,Q11)</f>
        <v>169047</v>
      </c>
      <c r="U5" s="259">
        <f>SUM(Q4,Q8,Q12)</f>
        <v>8317.9709999999995</v>
      </c>
      <c r="V5" s="261">
        <f>U5/T5</f>
        <v>4.9205079060852898E-2</v>
      </c>
      <c r="W5" s="260">
        <f>Q37</f>
        <v>0</v>
      </c>
      <c r="X5" s="261">
        <f t="shared" ref="X5:X6" si="2">W5/T5</f>
        <v>0</v>
      </c>
    </row>
    <row r="6" spans="1:24" s="221" customFormat="1">
      <c r="A6" s="223"/>
      <c r="B6" s="495"/>
      <c r="C6" s="220"/>
      <c r="D6" s="240" t="s">
        <v>270</v>
      </c>
      <c r="E6" s="276">
        <f>E5</f>
        <v>0.99985650723025576</v>
      </c>
      <c r="F6" s="277" t="str">
        <f>IFERROR(IF(F4=0,"",SUM($E4:F4)/SUM($E3:F3)),"")</f>
        <v/>
      </c>
      <c r="G6" s="277" t="str">
        <f>IFERROR(IF(G4=0,"",SUM($E4:G4)/SUM($E3:G3)),"")</f>
        <v/>
      </c>
      <c r="H6" s="277" t="str">
        <f>IFERROR(IF(H4=0,"",SUM($E4:H4)/SUM($E3:H3)),"")</f>
        <v/>
      </c>
      <c r="I6" s="277" t="str">
        <f>IFERROR(IF(I4=0,"",SUM($E4:I4)/SUM($E3:I3)),"")</f>
        <v/>
      </c>
      <c r="J6" s="277" t="str">
        <f>IFERROR(IF(J4=0,"",SUM($E4:J4)/SUM($E3:J3)),"")</f>
        <v/>
      </c>
      <c r="K6" s="277" t="str">
        <f>IFERROR(IF(K4=0,"",SUM($E4:K4)/SUM($E3:K3)),"")</f>
        <v/>
      </c>
      <c r="L6" s="277" t="str">
        <f>IFERROR(IF(L4=0,"",SUM($E4:L4)/SUM($E3:L3)),"")</f>
        <v/>
      </c>
      <c r="M6" s="277" t="str">
        <f>IFERROR(IF(M4=0,"",SUM($E4:M4)/SUM($E3:M3)),"")</f>
        <v/>
      </c>
      <c r="N6" s="277" t="str">
        <f>IFERROR(IF(N4=0,"",SUM($E4:N4)/SUM($E3:N3)),"")</f>
        <v/>
      </c>
      <c r="O6" s="277" t="str">
        <f>IFERROR(IF(O4=0,"",SUM($E4:O4)/SUM($E3:O3)),"")</f>
        <v/>
      </c>
      <c r="P6" s="278" t="str">
        <f>IFERROR(IF(P4=0,"",SUM($E4:P4)/SUM($E3:P3)),"")</f>
        <v/>
      </c>
      <c r="Q6" s="279"/>
      <c r="S6" s="249" t="s">
        <v>275</v>
      </c>
      <c r="T6" s="262">
        <f>SUM(Q15,Q19,Q23,Q27,Q31)</f>
        <v>473930</v>
      </c>
      <c r="U6" s="262">
        <f ca="1">SUM(Q16,Q20,Q24,Q28,Q32)</f>
        <v>293902.95157829998</v>
      </c>
      <c r="V6" s="250">
        <f ca="1">U6/T6</f>
        <v>0.62014000290823534</v>
      </c>
      <c r="W6" s="3">
        <f>Q37</f>
        <v>0</v>
      </c>
      <c r="X6" s="250">
        <f t="shared" si="2"/>
        <v>0</v>
      </c>
    </row>
    <row r="7" spans="1:24">
      <c r="A7" s="223"/>
      <c r="B7" s="495"/>
      <c r="C7" s="1" t="s">
        <v>42</v>
      </c>
      <c r="D7" s="235" t="s">
        <v>265</v>
      </c>
      <c r="E7" s="280">
        <f>計画集計!F10</f>
        <v>10460</v>
      </c>
      <c r="F7" s="350">
        <f>計画集計!G10</f>
        <v>10460</v>
      </c>
      <c r="G7" s="350">
        <f>計画集計!H10</f>
        <v>10460</v>
      </c>
      <c r="H7" s="350">
        <f>計画集計!I10</f>
        <v>8760</v>
      </c>
      <c r="I7" s="350">
        <f>計画集計!J10</f>
        <v>8760</v>
      </c>
      <c r="J7" s="350">
        <f>計画集計!K10</f>
        <v>8760</v>
      </c>
      <c r="K7" s="350">
        <f>計画集計!L10</f>
        <v>8760</v>
      </c>
      <c r="L7" s="350">
        <f>計画集計!M10</f>
        <v>8760</v>
      </c>
      <c r="M7" s="350">
        <f>計画集計!N10</f>
        <v>8760</v>
      </c>
      <c r="N7" s="350">
        <f>計画集計!O10</f>
        <v>8760</v>
      </c>
      <c r="O7" s="350">
        <f>計画集計!P10</f>
        <v>8760</v>
      </c>
      <c r="P7" s="282">
        <f>計画集計!Q10</f>
        <v>8760</v>
      </c>
      <c r="Q7" s="283">
        <f t="shared" si="0"/>
        <v>110220</v>
      </c>
      <c r="S7" s="251" t="s">
        <v>273</v>
      </c>
      <c r="T7" s="263">
        <f>SUM(Q3,Q7,Q11,Q15,Q19,Q23,Q27,Q31)</f>
        <v>642977</v>
      </c>
      <c r="U7" s="263">
        <f ca="1">SUM(Q4,Q8,Q12,Q16,Q20,Q24,Q28,Q32)</f>
        <v>302220.92257829994</v>
      </c>
      <c r="V7" s="253">
        <f ca="1">U7/T7</f>
        <v>0.47003379993110167</v>
      </c>
      <c r="W7" s="252">
        <f>Q47</f>
        <v>0</v>
      </c>
      <c r="X7" s="253">
        <f>W7/T7</f>
        <v>0</v>
      </c>
    </row>
    <row r="8" spans="1:24">
      <c r="A8" s="223"/>
      <c r="B8" s="495"/>
      <c r="D8" s="237" t="s">
        <v>267</v>
      </c>
      <c r="E8" s="268">
        <f>実績集計!F10</f>
        <v>7419.1</v>
      </c>
      <c r="F8" s="348">
        <f>実績集計!G10</f>
        <v>0</v>
      </c>
      <c r="G8" s="348">
        <f>実績集計!H10</f>
        <v>0</v>
      </c>
      <c r="H8" s="348">
        <f>実績集計!I10</f>
        <v>0</v>
      </c>
      <c r="I8" s="348">
        <f>実績集計!J10</f>
        <v>0</v>
      </c>
      <c r="J8" s="348">
        <f>実績集計!K10</f>
        <v>0</v>
      </c>
      <c r="K8" s="348">
        <f>実績集計!L10</f>
        <v>0</v>
      </c>
      <c r="L8" s="348">
        <f>実績集計!M10</f>
        <v>0</v>
      </c>
      <c r="M8" s="348">
        <f>実績集計!N10</f>
        <v>0</v>
      </c>
      <c r="N8" s="348">
        <f>実績集計!O10</f>
        <v>0</v>
      </c>
      <c r="O8" s="348">
        <f>実績集計!P10</f>
        <v>0</v>
      </c>
      <c r="P8" s="270">
        <f>実績集計!Q10</f>
        <v>0</v>
      </c>
      <c r="Q8" s="271">
        <f t="shared" si="0"/>
        <v>7419.1</v>
      </c>
      <c r="S8" s="221"/>
      <c r="T8" s="221"/>
      <c r="U8" s="221"/>
      <c r="V8" s="221"/>
      <c r="W8" s="221"/>
      <c r="X8" s="221"/>
    </row>
    <row r="9" spans="1:24">
      <c r="A9" s="223"/>
      <c r="B9" s="495"/>
      <c r="D9" s="239" t="s">
        <v>17</v>
      </c>
      <c r="E9" s="272">
        <f>IFERROR(E8/E7,"")</f>
        <v>0.70928298279158708</v>
      </c>
      <c r="F9" s="349" t="str">
        <f>IFERROR(IF(F8=0,"",F8/F7),"")</f>
        <v/>
      </c>
      <c r="G9" s="349" t="str">
        <f t="shared" ref="G9" si="3">IFERROR(IF(G8=0,"",G8/G7),"")</f>
        <v/>
      </c>
      <c r="H9" s="349" t="str">
        <f t="shared" ref="H9" si="4">IFERROR(IF(H8=0,"",H8/H7),"")</f>
        <v/>
      </c>
      <c r="I9" s="349" t="str">
        <f t="shared" ref="I9" si="5">IFERROR(IF(I8=0,"",I8/I7),"")</f>
        <v/>
      </c>
      <c r="J9" s="349" t="str">
        <f t="shared" ref="J9" si="6">IFERROR(IF(J8=0,"",J8/J7),"")</f>
        <v/>
      </c>
      <c r="K9" s="349" t="str">
        <f t="shared" ref="K9" si="7">IFERROR(IF(K8=0,"",K8/K7),"")</f>
        <v/>
      </c>
      <c r="L9" s="349" t="str">
        <f t="shared" ref="L9" si="8">IFERROR(IF(L8=0,"",L8/L7),"")</f>
        <v/>
      </c>
      <c r="M9" s="349" t="str">
        <f t="shared" ref="M9" si="9">IFERROR(IF(M8=0,"",M8/M7),"")</f>
        <v/>
      </c>
      <c r="N9" s="349" t="str">
        <f t="shared" ref="N9" si="10">IFERROR(IF(N8=0,"",N8/N7),"")</f>
        <v/>
      </c>
      <c r="O9" s="349" t="str">
        <f t="shared" ref="O9" si="11">IFERROR(IF(O8=0,"",O8/O7),"")</f>
        <v/>
      </c>
      <c r="P9" s="274" t="str">
        <f t="shared" ref="P9" si="12">IFERROR(IF(P8=0,"",P8/P7),"")</f>
        <v/>
      </c>
      <c r="Q9" s="275"/>
      <c r="S9" s="254" t="s">
        <v>278</v>
      </c>
      <c r="T9" s="255" t="s">
        <v>272</v>
      </c>
      <c r="U9" s="353" t="s">
        <v>279</v>
      </c>
      <c r="V9" s="256" t="s">
        <v>276</v>
      </c>
      <c r="W9" s="255" t="s">
        <v>280</v>
      </c>
      <c r="X9" s="256" t="s">
        <v>276</v>
      </c>
    </row>
    <row r="10" spans="1:24" s="221" customFormat="1">
      <c r="A10" s="223"/>
      <c r="B10" s="495"/>
      <c r="C10" s="220"/>
      <c r="D10" s="240" t="s">
        <v>270</v>
      </c>
      <c r="E10" s="276">
        <f>E9</f>
        <v>0.70928298279158708</v>
      </c>
      <c r="F10" s="277" t="str">
        <f>IFERROR(IF(F8=0,"",SUM($E8:F8)/SUM($E7:F7)),"")</f>
        <v/>
      </c>
      <c r="G10" s="277" t="str">
        <f>IFERROR(IF(G8=0,"",SUM($E8:G8)/SUM($E7:G7)),"")</f>
        <v/>
      </c>
      <c r="H10" s="277" t="str">
        <f>IFERROR(IF(H8=0,"",SUM($E8:H8)/SUM($E7:H7)),"")</f>
        <v/>
      </c>
      <c r="I10" s="277" t="str">
        <f>IFERROR(IF(I8=0,"",SUM($E8:I8)/SUM($E7:I7)),"")</f>
        <v/>
      </c>
      <c r="J10" s="277" t="str">
        <f>IFERROR(IF(J8=0,"",SUM($E8:J8)/SUM($E7:J7)),"")</f>
        <v/>
      </c>
      <c r="K10" s="277" t="str">
        <f>IFERROR(IF(K8=0,"",SUM($E8:K8)/SUM($E7:K7)),"")</f>
        <v/>
      </c>
      <c r="L10" s="277" t="str">
        <f>IFERROR(IF(L8=0,"",SUM($E8:L8)/SUM($E7:L7)),"")</f>
        <v/>
      </c>
      <c r="M10" s="277" t="str">
        <f>IFERROR(IF(M8=0,"",SUM($E8:M8)/SUM($E7:M7)),"")</f>
        <v/>
      </c>
      <c r="N10" s="277" t="str">
        <f>IFERROR(IF(N8=0,"",SUM($E8:N8)/SUM($E7:N7)),"")</f>
        <v/>
      </c>
      <c r="O10" s="277" t="str">
        <f>IFERROR(IF(O8=0,"",SUM($E8:O8)/SUM($E7:O7)),"")</f>
        <v/>
      </c>
      <c r="P10" s="278" t="str">
        <f>IFERROR(IF(P8=0,"",SUM($E8:P8)/SUM($E7:P7)),"")</f>
        <v/>
      </c>
      <c r="Q10" s="279"/>
      <c r="S10" s="257" t="s">
        <v>274</v>
      </c>
      <c r="T10" s="259">
        <f>SUM(Q51,Q55,Q59)</f>
        <v>46134.39</v>
      </c>
      <c r="U10" s="259">
        <f>SUM(Q52,Q56,Q60)</f>
        <v>2418.3813199999995</v>
      </c>
      <c r="V10" s="261">
        <f>U10/T10</f>
        <v>5.2420359735980027E-2</v>
      </c>
      <c r="W10" s="260">
        <f>Q85</f>
        <v>0</v>
      </c>
      <c r="X10" s="261">
        <f>W10/T10</f>
        <v>0</v>
      </c>
    </row>
    <row r="11" spans="1:24">
      <c r="A11" s="223"/>
      <c r="B11" s="495"/>
      <c r="C11" s="1" t="s">
        <v>43</v>
      </c>
      <c r="D11" s="235" t="s">
        <v>265</v>
      </c>
      <c r="E11" s="280">
        <f>計画集計!F14</f>
        <v>2313</v>
      </c>
      <c r="F11" s="350">
        <f>計画集計!G14</f>
        <v>1390</v>
      </c>
      <c r="G11" s="350">
        <f>計画集計!H14</f>
        <v>1706</v>
      </c>
      <c r="H11" s="350">
        <f>計画集計!I14</f>
        <v>1326</v>
      </c>
      <c r="I11" s="350">
        <f>計画集計!J14</f>
        <v>1959</v>
      </c>
      <c r="J11" s="350">
        <f>計画集計!K14</f>
        <v>2544</v>
      </c>
      <c r="K11" s="350">
        <f>計画集計!L14</f>
        <v>3366</v>
      </c>
      <c r="L11" s="350">
        <f>計画集計!M14</f>
        <v>1513</v>
      </c>
      <c r="M11" s="350">
        <f>計画集計!N14</f>
        <v>1197</v>
      </c>
      <c r="N11" s="350">
        <f>計画集計!O14</f>
        <v>1726</v>
      </c>
      <c r="O11" s="350">
        <f>計画集計!P14</f>
        <v>1455</v>
      </c>
      <c r="P11" s="282">
        <f>計画集計!Q14</f>
        <v>1772</v>
      </c>
      <c r="Q11" s="283">
        <f t="shared" si="0"/>
        <v>22267</v>
      </c>
      <c r="S11" s="257" t="s">
        <v>275</v>
      </c>
      <c r="T11" s="262">
        <f>SUM(Q63,Q67,Q71,Q75,Q79)</f>
        <v>97000</v>
      </c>
      <c r="U11" s="262">
        <f ca="1">SUM(Q64,Q68,Q72,Q76,Q80)</f>
        <v>47807.242389549996</v>
      </c>
      <c r="V11" s="250">
        <f ca="1">U11/T11</f>
        <v>0.49285816896443296</v>
      </c>
      <c r="W11" s="208">
        <f>Q90</f>
        <v>0</v>
      </c>
      <c r="X11" s="250">
        <f t="shared" ref="X11" si="13">W11/T11</f>
        <v>0</v>
      </c>
    </row>
    <row r="12" spans="1:24">
      <c r="A12" s="223"/>
      <c r="B12" s="495"/>
      <c r="D12" s="237" t="s">
        <v>267</v>
      </c>
      <c r="E12" s="268">
        <f>実績集計!F14</f>
        <v>1112</v>
      </c>
      <c r="F12" s="348">
        <f>実績集計!G14</f>
        <v>0</v>
      </c>
      <c r="G12" s="348">
        <f>実績集計!H14</f>
        <v>0</v>
      </c>
      <c r="H12" s="348">
        <f>実績集計!I14</f>
        <v>0</v>
      </c>
      <c r="I12" s="348">
        <f>実績集計!J14</f>
        <v>0</v>
      </c>
      <c r="J12" s="348">
        <f>実績集計!K14</f>
        <v>0</v>
      </c>
      <c r="K12" s="348">
        <f>実績集計!L14</f>
        <v>0</v>
      </c>
      <c r="L12" s="348">
        <f>実績集計!M14</f>
        <v>0</v>
      </c>
      <c r="M12" s="348">
        <f>実績集計!N14</f>
        <v>0</v>
      </c>
      <c r="N12" s="348">
        <f>実績集計!O14</f>
        <v>0</v>
      </c>
      <c r="O12" s="348">
        <f>実績集計!P14</f>
        <v>0</v>
      </c>
      <c r="P12" s="270">
        <f>実績集計!Q14</f>
        <v>0</v>
      </c>
      <c r="Q12" s="271"/>
      <c r="S12" s="258" t="s">
        <v>273</v>
      </c>
      <c r="T12" s="263">
        <f>SUM(Q51,Q55,Q59,Q63,Q67,Q71,Q75,Q79)</f>
        <v>143134.39000000001</v>
      </c>
      <c r="U12" s="263">
        <f ca="1">SUM(Q52,Q56,Q60,Q64,Q68,Q72,Q76,Q80)</f>
        <v>50225.623709549996</v>
      </c>
      <c r="V12" s="253">
        <f ca="1">U12/T12</f>
        <v>0.35089836697910259</v>
      </c>
      <c r="W12" s="252">
        <f>Q95</f>
        <v>0</v>
      </c>
      <c r="X12" s="253">
        <f>W12/T12</f>
        <v>0</v>
      </c>
    </row>
    <row r="13" spans="1:24">
      <c r="A13" s="223"/>
      <c r="B13" s="495"/>
      <c r="D13" s="239" t="s">
        <v>17</v>
      </c>
      <c r="E13" s="272">
        <f>IFERROR(E12/E11,"")</f>
        <v>0.48076091655858194</v>
      </c>
      <c r="F13" s="349" t="str">
        <f>IFERROR(IF(F12=0,"",F12/F11),"")</f>
        <v/>
      </c>
      <c r="G13" s="349" t="str">
        <f t="shared" ref="G13" si="14">IFERROR(IF(G12=0,"",G12/G11),"")</f>
        <v/>
      </c>
      <c r="H13" s="349" t="str">
        <f t="shared" ref="H13" si="15">IFERROR(IF(H12=0,"",H12/H11),"")</f>
        <v/>
      </c>
      <c r="I13" s="349" t="str">
        <f t="shared" ref="I13" si="16">IFERROR(IF(I12=0,"",I12/I11),"")</f>
        <v/>
      </c>
      <c r="J13" s="349" t="str">
        <f t="shared" ref="J13" si="17">IFERROR(IF(J12=0,"",J12/J11),"")</f>
        <v/>
      </c>
      <c r="K13" s="349" t="str">
        <f t="shared" ref="K13" si="18">IFERROR(IF(K12=0,"",K12/K11),"")</f>
        <v/>
      </c>
      <c r="L13" s="349" t="str">
        <f t="shared" ref="L13" si="19">IFERROR(IF(L12=0,"",L12/L11),"")</f>
        <v/>
      </c>
      <c r="M13" s="349" t="str">
        <f t="shared" ref="M13" si="20">IFERROR(IF(M12=0,"",M12/M11),"")</f>
        <v/>
      </c>
      <c r="N13" s="349" t="str">
        <f t="shared" ref="N13" si="21">IFERROR(IF(N12=0,"",N12/N11),"")</f>
        <v/>
      </c>
      <c r="O13" s="349" t="str">
        <f t="shared" ref="O13" si="22">IFERROR(IF(O12=0,"",O12/O11),"")</f>
        <v/>
      </c>
      <c r="P13" s="274" t="str">
        <f t="shared" ref="P13" si="23">IFERROR(IF(P12=0,"",P12/P11),"")</f>
        <v/>
      </c>
      <c r="Q13" s="275"/>
    </row>
    <row r="14" spans="1:24" s="221" customFormat="1">
      <c r="A14" s="223"/>
      <c r="B14" s="496"/>
      <c r="C14" s="176"/>
      <c r="D14" s="241" t="s">
        <v>270</v>
      </c>
      <c r="E14" s="301">
        <f>E13</f>
        <v>0.48076091655858194</v>
      </c>
      <c r="F14" s="302" t="str">
        <f>IFERROR(IF(F12=0,"",SUM($E12:F12)/SUM($E11:F11)),"")</f>
        <v/>
      </c>
      <c r="G14" s="302" t="str">
        <f>IFERROR(IF(G12=0,"",SUM($E12:G12)/SUM($E11:G11)),"")</f>
        <v/>
      </c>
      <c r="H14" s="302" t="str">
        <f>IFERROR(IF(H12=0,"",SUM($E12:H12)/SUM($E11:H11)),"")</f>
        <v/>
      </c>
      <c r="I14" s="302" t="str">
        <f>IFERROR(IF(I12=0,"",SUM($E12:I12)/SUM($E11:I11)),"")</f>
        <v/>
      </c>
      <c r="J14" s="302" t="str">
        <f>IFERROR(IF(J12=0,"",SUM($E12:J12)/SUM($E11:J11)),"")</f>
        <v/>
      </c>
      <c r="K14" s="302" t="str">
        <f>IFERROR(IF(K12=0,"",SUM($E12:K12)/SUM($E11:K11)),"")</f>
        <v/>
      </c>
      <c r="L14" s="302" t="str">
        <f>IFERROR(IF(L12=0,"",SUM($E12:L12)/SUM($E11:L11)),"")</f>
        <v/>
      </c>
      <c r="M14" s="302" t="str">
        <f>IFERROR(IF(M12=0,"",SUM($E12:M12)/SUM($E11:M11)),"")</f>
        <v/>
      </c>
      <c r="N14" s="302" t="str">
        <f>IFERROR(IF(N12=0,"",SUM($E12:N12)/SUM($E11:N11)),"")</f>
        <v/>
      </c>
      <c r="O14" s="302" t="str">
        <f>IFERROR(IF(O12=0,"",SUM($E12:O12)/SUM($E11:O11)),"")</f>
        <v/>
      </c>
      <c r="P14" s="303" t="str">
        <f>IFERROR(IF(P12=0,"",SUM($E12:P12)/SUM($E11:P11)),"")</f>
        <v/>
      </c>
      <c r="Q14" s="284"/>
      <c r="T14" s="163"/>
      <c r="U14" s="163"/>
      <c r="V14" s="163"/>
    </row>
    <row r="15" spans="1:24">
      <c r="A15" s="223"/>
      <c r="B15" s="495" t="s">
        <v>48</v>
      </c>
      <c r="C15" s="1" t="s">
        <v>44</v>
      </c>
      <c r="D15" s="235" t="s">
        <v>265</v>
      </c>
      <c r="E15" s="280">
        <f>計画集計!F18</f>
        <v>9450</v>
      </c>
      <c r="F15" s="281">
        <f>計画集計!G18</f>
        <v>20980</v>
      </c>
      <c r="G15" s="281">
        <f>計画集計!H18</f>
        <v>14600</v>
      </c>
      <c r="H15" s="281">
        <f>計画集計!I18</f>
        <v>19910</v>
      </c>
      <c r="I15" s="281">
        <f>計画集計!J18</f>
        <v>15770</v>
      </c>
      <c r="J15" s="281">
        <f>計画集計!K18</f>
        <v>25830</v>
      </c>
      <c r="K15" s="281">
        <f>計画集計!L18</f>
        <v>22620</v>
      </c>
      <c r="L15" s="281">
        <f>計画集計!M18</f>
        <v>21220</v>
      </c>
      <c r="M15" s="281">
        <f>計画集計!N18</f>
        <v>26180</v>
      </c>
      <c r="N15" s="281">
        <f>計画集計!O18</f>
        <v>17070</v>
      </c>
      <c r="O15" s="281">
        <f>計画集計!P18</f>
        <v>22260</v>
      </c>
      <c r="P15" s="282">
        <f>計画集計!Q18</f>
        <v>29530</v>
      </c>
      <c r="Q15" s="283">
        <f t="shared" si="0"/>
        <v>245420</v>
      </c>
    </row>
    <row r="16" spans="1:24">
      <c r="A16" s="223"/>
      <c r="B16" s="495"/>
      <c r="D16" s="237" t="s">
        <v>267</v>
      </c>
      <c r="E16" s="268">
        <f ca="1">実績集計!F18</f>
        <v>9017.6241999999984</v>
      </c>
      <c r="F16" s="269">
        <f ca="1">実績集計!G18</f>
        <v>17298.51511</v>
      </c>
      <c r="G16" s="269">
        <f ca="1">実績集計!H18</f>
        <v>7122.9231300000001</v>
      </c>
      <c r="H16" s="269">
        <f ca="1">実績集計!I18</f>
        <v>18206.808700000001</v>
      </c>
      <c r="I16" s="269">
        <f ca="1">実績集計!J18</f>
        <v>13226.296549999999</v>
      </c>
      <c r="J16" s="269">
        <f ca="1">実績集計!K18</f>
        <v>9623.3984</v>
      </c>
      <c r="K16" s="269">
        <f ca="1">実績集計!L18</f>
        <v>33609.68172</v>
      </c>
      <c r="L16" s="269">
        <f ca="1">実績集計!M18</f>
        <v>4963.5486500000006</v>
      </c>
      <c r="M16" s="269">
        <f ca="1">実績集計!N18</f>
        <v>19227.041379999999</v>
      </c>
      <c r="N16" s="269">
        <f ca="1">実績集計!O18</f>
        <v>4204.5557600000002</v>
      </c>
      <c r="O16" s="269">
        <f ca="1">実績集計!P18</f>
        <v>0</v>
      </c>
      <c r="P16" s="270">
        <f ca="1">実績集計!Q18</f>
        <v>0</v>
      </c>
      <c r="Q16" s="271">
        <f t="shared" ca="1" si="0"/>
        <v>136500.39359999998</v>
      </c>
    </row>
    <row r="17" spans="1:22">
      <c r="A17" s="223"/>
      <c r="B17" s="495"/>
      <c r="D17" s="239" t="s">
        <v>17</v>
      </c>
      <c r="E17" s="272">
        <f ca="1">IFERROR(E16/E15,"")</f>
        <v>0.95424594708994692</v>
      </c>
      <c r="F17" s="273">
        <f ca="1">IFERROR(IF(F16=0,"",F16/F15),"")</f>
        <v>0.82452407578646336</v>
      </c>
      <c r="G17" s="273">
        <f t="shared" ref="G17" ca="1" si="24">IFERROR(IF(G16=0,"",G16/G15),"")</f>
        <v>0.48787144726027398</v>
      </c>
      <c r="H17" s="273">
        <f t="shared" ref="H17" ca="1" si="25">IFERROR(IF(H16=0,"",H16/H15),"")</f>
        <v>0.91445548468106486</v>
      </c>
      <c r="I17" s="273">
        <f t="shared" ref="I17" ca="1" si="26">IFERROR(IF(I16=0,"",I16/I15),"")</f>
        <v>0.83869984464172476</v>
      </c>
      <c r="J17" s="273">
        <f t="shared" ref="J17" ca="1" si="27">IFERROR(IF(J16=0,"",J16/J15),"")</f>
        <v>0.37256672086720866</v>
      </c>
      <c r="K17" s="273">
        <f t="shared" ref="K17" ca="1" si="28">IFERROR(IF(K16=0,"",K16/K15),"")</f>
        <v>1.4858391564986737</v>
      </c>
      <c r="L17" s="273">
        <f t="shared" ref="L17" ca="1" si="29">IFERROR(IF(L16=0,"",L16/L15),"")</f>
        <v>0.23390898444863339</v>
      </c>
      <c r="M17" s="273">
        <f t="shared" ref="M17" ca="1" si="30">IFERROR(IF(M16=0,"",M16/M15),"")</f>
        <v>0.73441716501145904</v>
      </c>
      <c r="N17" s="273">
        <f t="shared" ref="N17" ca="1" si="31">IFERROR(IF(N16=0,"",N16/N15),"")</f>
        <v>0.24631258113649679</v>
      </c>
      <c r="O17" s="273" t="str">
        <f t="shared" ref="O17" ca="1" si="32">IFERROR(IF(O16=0,"",O16/O15),"")</f>
        <v/>
      </c>
      <c r="P17" s="274" t="str">
        <f t="shared" ref="P17" ca="1" si="33">IFERROR(IF(P16=0,"",P16/P15),"")</f>
        <v/>
      </c>
      <c r="Q17" s="275"/>
    </row>
    <row r="18" spans="1:22" s="221" customFormat="1">
      <c r="A18" s="223"/>
      <c r="B18" s="495"/>
      <c r="C18" s="220"/>
      <c r="D18" s="240" t="s">
        <v>270</v>
      </c>
      <c r="E18" s="276">
        <f ca="1">E17</f>
        <v>0.95424594708994692</v>
      </c>
      <c r="F18" s="277">
        <f ca="1">IFERROR(IF(F16=0,"",SUM($E16:F16)/SUM($E15:F15)),"")</f>
        <v>0.86480904732172192</v>
      </c>
      <c r="G18" s="277">
        <f ca="1">IFERROR(IF(G16=0,"",SUM($E16:G16)/SUM($E15:G15)),"")</f>
        <v>0.74259521296913167</v>
      </c>
      <c r="H18" s="277">
        <f ca="1">IFERROR(IF(H16=0,"",SUM($E16:H16)/SUM($E15:H15)),"")</f>
        <v>0.79528597382198962</v>
      </c>
      <c r="I18" s="277">
        <f ca="1">IFERROR(IF(I16=0,"",SUM($E16:I16)/SUM($E15:I15)),"")</f>
        <v>0.80376864936191306</v>
      </c>
      <c r="J18" s="277">
        <f ca="1">IFERROR(IF(J16=0,"",SUM($E16:J16)/SUM($E15:J15)),"")</f>
        <v>0.6992262632813967</v>
      </c>
      <c r="K18" s="277">
        <f ca="1">IFERROR(IF(K16=0,"",SUM($E16:K16)/SUM($E15:K15)),"")</f>
        <v>0.83698705334468881</v>
      </c>
      <c r="L18" s="277">
        <f ca="1">IFERROR(IF(L16=0,"",SUM($E16:L16)/SUM($E15:L15)),"")</f>
        <v>0.75188719550472138</v>
      </c>
      <c r="M18" s="277">
        <f ca="1">IFERROR(IF(M16=0,"",SUM($E16:M16)/SUM($E15:M15)),"")</f>
        <v>0.74929677072949696</v>
      </c>
      <c r="N18" s="277">
        <f ca="1">IFERROR(IF(N16=0,"",SUM($E16:N16)/SUM($E15:N15)),"")</f>
        <v>0.70495477766874959</v>
      </c>
      <c r="O18" s="277" t="str">
        <f ca="1">IFERROR(IF(O16=0,"",SUM($E16:O16)/SUM($E15:O15)),"")</f>
        <v/>
      </c>
      <c r="P18" s="278" t="str">
        <f ca="1">IFERROR(IF(P16=0,"",SUM($E16:P16)/SUM($E15:P15)),"")</f>
        <v/>
      </c>
      <c r="Q18" s="279"/>
      <c r="T18" s="163"/>
      <c r="U18" s="163"/>
      <c r="V18" s="163"/>
    </row>
    <row r="19" spans="1:22">
      <c r="A19" s="223"/>
      <c r="B19" s="495"/>
      <c r="C19" s="1" t="s">
        <v>45</v>
      </c>
      <c r="D19" s="235" t="s">
        <v>265</v>
      </c>
      <c r="E19" s="280">
        <f>計画集計!F22</f>
        <v>10200</v>
      </c>
      <c r="F19" s="281">
        <f>計画集計!G22</f>
        <v>4400</v>
      </c>
      <c r="G19" s="281">
        <f>計画集計!H22</f>
        <v>11160</v>
      </c>
      <c r="H19" s="281">
        <f>計画集計!I22</f>
        <v>7180</v>
      </c>
      <c r="I19" s="281">
        <f>計画集計!J22</f>
        <v>11380</v>
      </c>
      <c r="J19" s="281">
        <f>計画集計!K22</f>
        <v>10940</v>
      </c>
      <c r="K19" s="281">
        <f>計画集計!L22</f>
        <v>6380</v>
      </c>
      <c r="L19" s="281">
        <f>計画集計!M22</f>
        <v>12050</v>
      </c>
      <c r="M19" s="281">
        <f>計画集計!N22</f>
        <v>10760</v>
      </c>
      <c r="N19" s="281">
        <f>計画集計!O22</f>
        <v>20030</v>
      </c>
      <c r="O19" s="281">
        <f>計画集計!P22</f>
        <v>10830</v>
      </c>
      <c r="P19" s="282">
        <f>計画集計!Q22</f>
        <v>15400</v>
      </c>
      <c r="Q19" s="283">
        <f t="shared" si="0"/>
        <v>130710</v>
      </c>
    </row>
    <row r="20" spans="1:22">
      <c r="A20" s="223"/>
      <c r="B20" s="495"/>
      <c r="D20" s="237" t="s">
        <v>267</v>
      </c>
      <c r="E20" s="268">
        <f ca="1">実績集計!F22</f>
        <v>8153.5476644</v>
      </c>
      <c r="F20" s="269">
        <f ca="1">実績集計!G22</f>
        <v>9481.221382300002</v>
      </c>
      <c r="G20" s="269">
        <f ca="1">実績集計!H22</f>
        <v>9795.3977555000001</v>
      </c>
      <c r="H20" s="269">
        <f ca="1">実績集計!I22</f>
        <v>11904.517695300001</v>
      </c>
      <c r="I20" s="269">
        <f ca="1">実績集計!J22</f>
        <v>16672.668205800001</v>
      </c>
      <c r="J20" s="269">
        <f ca="1">実績集計!K22</f>
        <v>12337.4797913</v>
      </c>
      <c r="K20" s="269">
        <f ca="1">実績集計!L22</f>
        <v>8223.0815820999997</v>
      </c>
      <c r="L20" s="269">
        <f ca="1">実績集計!M22</f>
        <v>5903.1986191999995</v>
      </c>
      <c r="M20" s="269">
        <f ca="1">実績集計!N22</f>
        <v>12402.9778768</v>
      </c>
      <c r="N20" s="269">
        <f ca="1">実績集計!O22</f>
        <v>13127.1689369</v>
      </c>
      <c r="O20" s="269">
        <f ca="1">実績集計!P22</f>
        <v>0</v>
      </c>
      <c r="P20" s="270">
        <f ca="1">実績集計!Q22</f>
        <v>0</v>
      </c>
      <c r="Q20" s="271">
        <f t="shared" ca="1" si="0"/>
        <v>108001.2595096</v>
      </c>
    </row>
    <row r="21" spans="1:22">
      <c r="A21" s="223"/>
      <c r="B21" s="495"/>
      <c r="D21" s="239" t="s">
        <v>17</v>
      </c>
      <c r="E21" s="272">
        <f ca="1">IFERROR(E20/E19,"")</f>
        <v>0.79936741807843137</v>
      </c>
      <c r="F21" s="273">
        <f ca="1">IFERROR(IF(F20=0,"",F20/F19),"")</f>
        <v>2.1548230414318188</v>
      </c>
      <c r="G21" s="273">
        <f t="shared" ref="G21" ca="1" si="34">IFERROR(IF(G20=0,"",G20/G19),"")</f>
        <v>0.87772381321684589</v>
      </c>
      <c r="H21" s="273">
        <f t="shared" ref="H21" ca="1" si="35">IFERROR(IF(H20=0,"",H20/H19),"")</f>
        <v>1.6580108210724236</v>
      </c>
      <c r="I21" s="273">
        <f t="shared" ref="I21" ca="1" si="36">IFERROR(IF(I20=0,"",I20/I19),"")</f>
        <v>1.4650850795957822</v>
      </c>
      <c r="J21" s="273">
        <f t="shared" ref="J21" ca="1" si="37">IFERROR(IF(J20=0,"",J20/J19),"")</f>
        <v>1.1277403831170019</v>
      </c>
      <c r="K21" s="273">
        <f t="shared" ref="K21" ca="1" si="38">IFERROR(IF(K20=0,"",K20/K19),"")</f>
        <v>1.2888842605172413</v>
      </c>
      <c r="L21" s="273">
        <f t="shared" ref="L21" ca="1" si="39">IFERROR(IF(L20=0,"",L20/L19),"")</f>
        <v>0.48989200159336094</v>
      </c>
      <c r="M21" s="273">
        <f t="shared" ref="M21" ca="1" si="40">IFERROR(IF(M20=0,"",M20/M19),"")</f>
        <v>1.1526931112267658</v>
      </c>
      <c r="N21" s="273">
        <f t="shared" ref="N21" ca="1" si="41">IFERROR(IF(N20=0,"",N20/N19),"")</f>
        <v>0.65537538376934601</v>
      </c>
      <c r="O21" s="273" t="str">
        <f t="shared" ref="O21" ca="1" si="42">IFERROR(IF(O20=0,"",O20/O19),"")</f>
        <v/>
      </c>
      <c r="P21" s="274" t="str">
        <f t="shared" ref="P21" ca="1" si="43">IFERROR(IF(P20=0,"",P20/P19),"")</f>
        <v/>
      </c>
      <c r="Q21" s="275"/>
    </row>
    <row r="22" spans="1:22" s="221" customFormat="1">
      <c r="A22" s="223"/>
      <c r="B22" s="495"/>
      <c r="C22" s="220"/>
      <c r="D22" s="240" t="s">
        <v>270</v>
      </c>
      <c r="E22" s="276">
        <f ca="1">E21</f>
        <v>0.79936741807843137</v>
      </c>
      <c r="F22" s="277">
        <f ca="1">IFERROR(IF(F20=0,"",SUM($E20:F20)/SUM($E19:F19)),"")</f>
        <v>1.2078608936095891</v>
      </c>
      <c r="G22" s="277">
        <f ca="1">IFERROR(IF(G20=0,"",SUM($E20:G20)/SUM($E19:G19)),"")</f>
        <v>1.0648356677872672</v>
      </c>
      <c r="H22" s="277">
        <f ca="1">IFERROR(IF(H20=0,"",SUM($E20:H20)/SUM($E19:H19)),"")</f>
        <v>1.1941312840771099</v>
      </c>
      <c r="I22" s="277">
        <f ca="1">IFERROR(IF(I20=0,"",SUM($E20:I20)/SUM($E19:I19)),"")</f>
        <v>1.2637038064824007</v>
      </c>
      <c r="J22" s="277">
        <f ca="1">IFERROR(IF(J20=0,"",SUM($E20:J20)/SUM($E19:J19)),"")</f>
        <v>1.2367866900941007</v>
      </c>
      <c r="K22" s="277">
        <f ca="1">IFERROR(IF(K20=0,"",SUM($E20:K20)/SUM($E19:K19)),"")</f>
        <v>1.2421790083825439</v>
      </c>
      <c r="L22" s="277">
        <f ca="1">IFERROR(IF(L20=0,"",SUM($E20:L20)/SUM($E19:L19)),"")</f>
        <v>1.119162880932284</v>
      </c>
      <c r="M22" s="277">
        <f ca="1">IFERROR(IF(M20=0,"",SUM($E20:M20)/SUM($E19:M19)),"")</f>
        <v>1.1234350571071641</v>
      </c>
      <c r="N22" s="277">
        <f ca="1">IFERROR(IF(N20=0,"",SUM($E20:N20)/SUM($E19:N19)),"")</f>
        <v>1.0337027135298622</v>
      </c>
      <c r="O22" s="277" t="str">
        <f ca="1">IFERROR(IF(O20=0,"",SUM($E20:O20)/SUM($E19:O19)),"")</f>
        <v/>
      </c>
      <c r="P22" s="278" t="str">
        <f ca="1">IFERROR(IF(P20=0,"",SUM($E20:P20)/SUM($E19:P19)),"")</f>
        <v/>
      </c>
      <c r="Q22" s="279"/>
      <c r="T22" s="163"/>
      <c r="U22" s="163"/>
      <c r="V22" s="163"/>
    </row>
    <row r="23" spans="1:22">
      <c r="A23" s="223"/>
      <c r="B23" s="495"/>
      <c r="C23" s="1" t="s">
        <v>46</v>
      </c>
      <c r="D23" s="235" t="s">
        <v>265</v>
      </c>
      <c r="E23" s="280">
        <f>計画集計!F26</f>
        <v>1590</v>
      </c>
      <c r="F23" s="281">
        <f>計画集計!G26</f>
        <v>9990</v>
      </c>
      <c r="G23" s="281">
        <f>計画集計!H26</f>
        <v>2980</v>
      </c>
      <c r="H23" s="281">
        <f>計画集計!I26</f>
        <v>3770</v>
      </c>
      <c r="I23" s="281">
        <f>計画集計!J26</f>
        <v>3640</v>
      </c>
      <c r="J23" s="281">
        <f>計画集計!K26</f>
        <v>3190</v>
      </c>
      <c r="K23" s="281">
        <f>計画集計!L26</f>
        <v>2710</v>
      </c>
      <c r="L23" s="281">
        <f>計画集計!M26</f>
        <v>1910</v>
      </c>
      <c r="M23" s="281">
        <f>計画集計!N26</f>
        <v>4250</v>
      </c>
      <c r="N23" s="281">
        <f>計画集計!O26</f>
        <v>8580</v>
      </c>
      <c r="O23" s="281">
        <f>計画集計!P26</f>
        <v>8670</v>
      </c>
      <c r="P23" s="282">
        <f>計画集計!Q26</f>
        <v>7710</v>
      </c>
      <c r="Q23" s="283">
        <f t="shared" si="0"/>
        <v>58990</v>
      </c>
    </row>
    <row r="24" spans="1:22">
      <c r="A24" s="223"/>
      <c r="B24" s="495"/>
      <c r="D24" s="237" t="s">
        <v>267</v>
      </c>
      <c r="E24" s="268">
        <f ca="1">実績集計!F26</f>
        <v>3409.7282526999998</v>
      </c>
      <c r="F24" s="269">
        <f ca="1">実績集計!G26</f>
        <v>2268.7809787000006</v>
      </c>
      <c r="G24" s="269">
        <f ca="1">実績集計!H26</f>
        <v>1377.7882357999999</v>
      </c>
      <c r="H24" s="269">
        <f ca="1">実績集計!I26</f>
        <v>2758.1339572000002</v>
      </c>
      <c r="I24" s="269">
        <f ca="1">実績集計!J26</f>
        <v>2793.5111713999995</v>
      </c>
      <c r="J24" s="269">
        <f ca="1">実績集計!K26</f>
        <v>3292.4142814000002</v>
      </c>
      <c r="K24" s="269">
        <f ca="1">実績集計!L26</f>
        <v>4289.0620260000005</v>
      </c>
      <c r="L24" s="269">
        <f ca="1">実績集計!M26</f>
        <v>4393.6214028000004</v>
      </c>
      <c r="M24" s="269">
        <f ca="1">実績集計!N26</f>
        <v>3967.5931086999994</v>
      </c>
      <c r="N24" s="269">
        <f ca="1">実績集計!O26</f>
        <v>0</v>
      </c>
      <c r="O24" s="269">
        <f ca="1">実績集計!P26</f>
        <v>0</v>
      </c>
      <c r="P24" s="270">
        <f ca="1">実績集計!Q26</f>
        <v>0</v>
      </c>
      <c r="Q24" s="271">
        <f t="shared" ca="1" si="0"/>
        <v>28550.633414699998</v>
      </c>
    </row>
    <row r="25" spans="1:22">
      <c r="A25" s="223"/>
      <c r="B25" s="495"/>
      <c r="D25" s="239" t="s">
        <v>17</v>
      </c>
      <c r="E25" s="272">
        <f ca="1">IFERROR(E24/E23,"")</f>
        <v>2.1444831777987421</v>
      </c>
      <c r="F25" s="273">
        <f ca="1">IFERROR(IF(F24=0,"",F24/F23),"")</f>
        <v>0.22710520307307314</v>
      </c>
      <c r="G25" s="273">
        <f t="shared" ref="G25" ca="1" si="44">IFERROR(IF(G24=0,"",G24/G23),"")</f>
        <v>0.46234504557046979</v>
      </c>
      <c r="H25" s="273">
        <f t="shared" ref="H25" ca="1" si="45">IFERROR(IF(H24=0,"",H24/H23),"")</f>
        <v>0.73160051915119373</v>
      </c>
      <c r="I25" s="273">
        <f t="shared" ref="I25" ca="1" si="46">IFERROR(IF(I24=0,"",I24/I23),"")</f>
        <v>0.76744812401098883</v>
      </c>
      <c r="J25" s="273">
        <f t="shared" ref="J25" ca="1" si="47">IFERROR(IF(J24=0,"",J24/J23),"")</f>
        <v>1.0321047904075236</v>
      </c>
      <c r="K25" s="273">
        <f t="shared" ref="K25" ca="1" si="48">IFERROR(IF(K24=0,"",K24/K23),"")</f>
        <v>1.5826797143911442</v>
      </c>
      <c r="L25" s="273">
        <f t="shared" ref="L25" ca="1" si="49">IFERROR(IF(L24=0,"",L24/L23),"")</f>
        <v>2.3003253417801051</v>
      </c>
      <c r="M25" s="273">
        <f t="shared" ref="M25" ca="1" si="50">IFERROR(IF(M24=0,"",M24/M23),"")</f>
        <v>0.93355131969411753</v>
      </c>
      <c r="N25" s="273" t="str">
        <f t="shared" ref="N25" ca="1" si="51">IFERROR(IF(N24=0,"",N24/N23),"")</f>
        <v/>
      </c>
      <c r="O25" s="273" t="str">
        <f t="shared" ref="O25" ca="1" si="52">IFERROR(IF(O24=0,"",O24/O23),"")</f>
        <v/>
      </c>
      <c r="P25" s="274" t="str">
        <f t="shared" ref="P25" ca="1" si="53">IFERROR(IF(P24=0,"",P24/P23),"")</f>
        <v/>
      </c>
      <c r="Q25" s="275"/>
    </row>
    <row r="26" spans="1:22" s="221" customFormat="1">
      <c r="A26" s="223"/>
      <c r="B26" s="495"/>
      <c r="C26" s="220"/>
      <c r="D26" s="240" t="s">
        <v>270</v>
      </c>
      <c r="E26" s="276">
        <f ca="1">E25</f>
        <v>2.1444831777987421</v>
      </c>
      <c r="F26" s="277">
        <f ca="1">IFERROR(IF(F24=0,"",SUM($E24:F24)/SUM($E23:F23)),"")</f>
        <v>0.49037212706390332</v>
      </c>
      <c r="G26" s="277">
        <f ca="1">IFERROR(IF(G24=0,"",SUM($E24:G24)/SUM($E23:G23)),"")</f>
        <v>0.48463581505494507</v>
      </c>
      <c r="H26" s="277">
        <f ca="1">IFERROR(IF(H24=0,"",SUM($E24:H24)/SUM($E23:H23)),"")</f>
        <v>0.53542997405346426</v>
      </c>
      <c r="I26" s="277">
        <f ca="1">IFERROR(IF(I24=0,"",SUM($E24:I24)/SUM($E23:I23)),"")</f>
        <v>0.57387085096950385</v>
      </c>
      <c r="J26" s="277">
        <f ca="1">IFERROR(IF(J24=0,"",SUM($E24:J24)/SUM($E23:J23)),"")</f>
        <v>0.63196966920508746</v>
      </c>
      <c r="K26" s="277">
        <f ca="1">IFERROR(IF(K24=0,"",SUM($E24:K24)/SUM($E23:K23)),"")</f>
        <v>0.72441402594904913</v>
      </c>
      <c r="L26" s="277">
        <f ca="1">IFERROR(IF(L24=0,"",SUM($E24:L24)/SUM($E23:L23)),"")</f>
        <v>0.82548825742108789</v>
      </c>
      <c r="M26" s="277">
        <f ca="1">IFERROR(IF(M24=0,"",SUM($E24:M24)/SUM($E23:M23)),"")</f>
        <v>0.83898423199235961</v>
      </c>
      <c r="N26" s="277" t="str">
        <f ca="1">IFERROR(IF(N24=0,"",SUM($E24:N24)/SUM($E23:N23)),"")</f>
        <v/>
      </c>
      <c r="O26" s="277" t="str">
        <f ca="1">IFERROR(IF(O24=0,"",SUM($E24:O24)/SUM($E23:O23)),"")</f>
        <v/>
      </c>
      <c r="P26" s="278" t="str">
        <f ca="1">IFERROR(IF(P24=0,"",SUM($E24:P24)/SUM($E23:P23)),"")</f>
        <v/>
      </c>
      <c r="Q26" s="279"/>
      <c r="T26" s="163"/>
      <c r="U26" s="163"/>
      <c r="V26" s="163"/>
    </row>
    <row r="27" spans="1:22">
      <c r="A27" s="223"/>
      <c r="B27" s="495"/>
      <c r="C27" s="1" t="s">
        <v>142</v>
      </c>
      <c r="D27" s="235" t="s">
        <v>265</v>
      </c>
      <c r="E27" s="280">
        <f>計画集計!F30</f>
        <v>1000</v>
      </c>
      <c r="F27" s="281">
        <f>計画集計!G30</f>
        <v>1520</v>
      </c>
      <c r="G27" s="281">
        <f>計画集計!H30</f>
        <v>1830</v>
      </c>
      <c r="H27" s="281">
        <f>計画集計!I30</f>
        <v>2400</v>
      </c>
      <c r="I27" s="281">
        <f>計画集計!J30</f>
        <v>2510</v>
      </c>
      <c r="J27" s="281">
        <f>計画集計!K30</f>
        <v>2960</v>
      </c>
      <c r="K27" s="281">
        <f>計画集計!L30</f>
        <v>1490</v>
      </c>
      <c r="L27" s="281">
        <f>計画集計!M30</f>
        <v>830</v>
      </c>
      <c r="M27" s="281">
        <f>計画集計!N30</f>
        <v>1160</v>
      </c>
      <c r="N27" s="281">
        <f>計画集計!O30</f>
        <v>2610</v>
      </c>
      <c r="O27" s="281">
        <f>計画集計!P30</f>
        <v>2020</v>
      </c>
      <c r="P27" s="282">
        <f>計画集計!Q30</f>
        <v>1650</v>
      </c>
      <c r="Q27" s="283">
        <f t="shared" si="0"/>
        <v>21980</v>
      </c>
    </row>
    <row r="28" spans="1:22">
      <c r="A28" s="223"/>
      <c r="B28" s="495"/>
      <c r="C28" s="1" t="s">
        <v>117</v>
      </c>
      <c r="D28" s="237" t="s">
        <v>267</v>
      </c>
      <c r="E28" s="268">
        <f ca="1">実績集計!F30</f>
        <v>3692.3487699999991</v>
      </c>
      <c r="F28" s="269">
        <f ca="1">実績集計!G30</f>
        <v>2252.5974499999998</v>
      </c>
      <c r="G28" s="269">
        <f ca="1">実績集計!H30</f>
        <v>1740.9210499999999</v>
      </c>
      <c r="H28" s="269">
        <f ca="1">実績集計!I30</f>
        <v>1587.0032999999999</v>
      </c>
      <c r="I28" s="269">
        <f ca="1">実績集計!J30</f>
        <v>1412.085</v>
      </c>
      <c r="J28" s="269">
        <f ca="1">実績集計!K30</f>
        <v>2369.7449999999999</v>
      </c>
      <c r="K28" s="269">
        <f ca="1">実績集計!L30</f>
        <v>949.17499999999995</v>
      </c>
      <c r="L28" s="269">
        <f ca="1">実績集計!M30</f>
        <v>154.94</v>
      </c>
      <c r="M28" s="269">
        <f ca="1">実績集計!N30</f>
        <v>136.88499999999999</v>
      </c>
      <c r="N28" s="269">
        <f ca="1">実績集計!O30</f>
        <v>0</v>
      </c>
      <c r="O28" s="269">
        <f ca="1">実績集計!P30</f>
        <v>0</v>
      </c>
      <c r="P28" s="270">
        <f ca="1">実績集計!Q30</f>
        <v>0</v>
      </c>
      <c r="Q28" s="271">
        <f t="shared" ca="1" si="0"/>
        <v>14295.700569999997</v>
      </c>
    </row>
    <row r="29" spans="1:22">
      <c r="A29" s="223"/>
      <c r="B29" s="495"/>
      <c r="D29" s="239" t="s">
        <v>17</v>
      </c>
      <c r="E29" s="272">
        <f ca="1">IFERROR(E28/E27,"")</f>
        <v>3.6923487699999993</v>
      </c>
      <c r="F29" s="273">
        <f ca="1">IFERROR(IF(F28=0,"",F28/F27),"")</f>
        <v>1.4819720065789472</v>
      </c>
      <c r="G29" s="273">
        <f t="shared" ref="G29" ca="1" si="54">IFERROR(IF(G28=0,"",G28/G27),"")</f>
        <v>0.95132297814207645</v>
      </c>
      <c r="H29" s="273">
        <f t="shared" ref="H29" ca="1" si="55">IFERROR(IF(H28=0,"",H28/H27),"")</f>
        <v>0.66125137499999997</v>
      </c>
      <c r="I29" s="273">
        <f t="shared" ref="I29" ca="1" si="56">IFERROR(IF(I28=0,"",I28/I27),"")</f>
        <v>0.56258366533864546</v>
      </c>
      <c r="J29" s="273">
        <f t="shared" ref="J29" ca="1" si="57">IFERROR(IF(J28=0,"",J28/J27),"")</f>
        <v>0.80058952702702701</v>
      </c>
      <c r="K29" s="273">
        <f t="shared" ref="K29" ca="1" si="58">IFERROR(IF(K28=0,"",K28/K27),"")</f>
        <v>0.63703020134228183</v>
      </c>
      <c r="L29" s="273">
        <f t="shared" ref="L29" ca="1" si="59">IFERROR(IF(L28=0,"",L28/L27),"")</f>
        <v>0.18667469879518073</v>
      </c>
      <c r="M29" s="273">
        <f t="shared" ref="M29" ca="1" si="60">IFERROR(IF(M28=0,"",M28/M27),"")</f>
        <v>0.11800431034482758</v>
      </c>
      <c r="N29" s="273" t="str">
        <f t="shared" ref="N29" ca="1" si="61">IFERROR(IF(N28=0,"",N28/N27),"")</f>
        <v/>
      </c>
      <c r="O29" s="273" t="str">
        <f t="shared" ref="O29" ca="1" si="62">IFERROR(IF(O28=0,"",O28/O27),"")</f>
        <v/>
      </c>
      <c r="P29" s="274" t="str">
        <f t="shared" ref="P29" ca="1" si="63">IFERROR(IF(P28=0,"",P28/P27),"")</f>
        <v/>
      </c>
      <c r="Q29" s="275"/>
    </row>
    <row r="30" spans="1:22" s="221" customFormat="1">
      <c r="A30" s="223"/>
      <c r="B30" s="495"/>
      <c r="C30" s="220"/>
      <c r="D30" s="240" t="s">
        <v>270</v>
      </c>
      <c r="E30" s="276">
        <f ca="1">E29</f>
        <v>3.6923487699999993</v>
      </c>
      <c r="F30" s="277">
        <f ca="1">IFERROR(IF(F28=0,"",SUM($E28:F28)/SUM($E27:F27)),"")</f>
        <v>2.3591056428571426</v>
      </c>
      <c r="G30" s="277">
        <f ca="1">IFERROR(IF(G28=0,"",SUM($E28:G28)/SUM($E27:G27)),"")</f>
        <v>1.7668660390804596</v>
      </c>
      <c r="H30" s="277">
        <f ca="1">IFERROR(IF(H28=0,"",SUM($E28:H28)/SUM($E27:H27)),"")</f>
        <v>1.3737586029629629</v>
      </c>
      <c r="I30" s="277">
        <f ca="1">IFERROR(IF(I28=0,"",SUM($E28:I28)/SUM($E27:I27)),"")</f>
        <v>1.1538828909287255</v>
      </c>
      <c r="J30" s="277">
        <f ca="1">IFERROR(IF(J28=0,"",SUM($E28:J28)/SUM($E27:J27)),"")</f>
        <v>1.0683061022913254</v>
      </c>
      <c r="K30" s="277">
        <f ca="1">IFERROR(IF(K28=0,"",SUM($E28:K28)/SUM($E27:K27)),"")</f>
        <v>1.0214351254558713</v>
      </c>
      <c r="L30" s="277">
        <f ca="1">IFERROR(IF(L28=0,"",SUM($E28:L28)/SUM($E27:L27)),"")</f>
        <v>0.97378373933975215</v>
      </c>
      <c r="M30" s="277">
        <f ca="1">IFERROR(IF(M28=0,"",SUM($E28:M28)/SUM($E27:M27)),"")</f>
        <v>0.91055417643312087</v>
      </c>
      <c r="N30" s="277" t="str">
        <f ca="1">IFERROR(IF(N28=0,"",SUM($E28:N28)/SUM($E27:N27)),"")</f>
        <v/>
      </c>
      <c r="O30" s="277" t="str">
        <f ca="1">IFERROR(IF(O28=0,"",SUM($E28:O28)/SUM($E27:O27)),"")</f>
        <v/>
      </c>
      <c r="P30" s="278" t="str">
        <f ca="1">IFERROR(IF(P28=0,"",SUM($E28:P28)/SUM($E27:P27)),"")</f>
        <v/>
      </c>
      <c r="Q30" s="279"/>
      <c r="T30" s="163"/>
      <c r="U30" s="163"/>
      <c r="V30" s="163"/>
    </row>
    <row r="31" spans="1:22">
      <c r="A31" s="223"/>
      <c r="B31" s="495"/>
      <c r="C31" s="1" t="s">
        <v>140</v>
      </c>
      <c r="D31" s="235" t="s">
        <v>264</v>
      </c>
      <c r="E31" s="280">
        <f>計画集計!F34</f>
        <v>2963.3333333333335</v>
      </c>
      <c r="F31" s="281">
        <f>計画集計!G34</f>
        <v>833.33333333333337</v>
      </c>
      <c r="G31" s="281">
        <f>計画集計!H34</f>
        <v>833.33333333333337</v>
      </c>
      <c r="H31" s="281">
        <f>計画集計!I34</f>
        <v>833.33333333333337</v>
      </c>
      <c r="I31" s="281">
        <f>計画集計!J34</f>
        <v>833.33333333333337</v>
      </c>
      <c r="J31" s="281">
        <f>計画集計!K34</f>
        <v>833.33333333333337</v>
      </c>
      <c r="K31" s="281">
        <f>計画集計!L34</f>
        <v>3033.3333333333335</v>
      </c>
      <c r="L31" s="281">
        <f>計画集計!M34</f>
        <v>833.33333333333337</v>
      </c>
      <c r="M31" s="281">
        <f>計画集計!N34</f>
        <v>833.33333333333337</v>
      </c>
      <c r="N31" s="281">
        <f>計画集計!O34</f>
        <v>833.33333333333337</v>
      </c>
      <c r="O31" s="281">
        <f>計画集計!P34</f>
        <v>833.33333333333337</v>
      </c>
      <c r="P31" s="282">
        <f>計画集計!Q34</f>
        <v>3333.3333333333335</v>
      </c>
      <c r="Q31" s="283">
        <f t="shared" si="0"/>
        <v>16830</v>
      </c>
    </row>
    <row r="32" spans="1:22">
      <c r="A32" s="223"/>
      <c r="B32" s="495"/>
      <c r="C32" s="1" t="s">
        <v>141</v>
      </c>
      <c r="D32" s="237" t="s">
        <v>266</v>
      </c>
      <c r="E32" s="268">
        <f ca="1">実績集計!F34</f>
        <v>2149.7171840000001</v>
      </c>
      <c r="F32" s="269">
        <f ca="1">実績集計!G34</f>
        <v>0</v>
      </c>
      <c r="G32" s="269">
        <f ca="1">実績集計!H34</f>
        <v>2275.3573000000001</v>
      </c>
      <c r="H32" s="269">
        <f ca="1">実績集計!I34</f>
        <v>0</v>
      </c>
      <c r="I32" s="269">
        <f ca="1">実績集計!J34</f>
        <v>0</v>
      </c>
      <c r="J32" s="269">
        <f ca="1">実績集計!K34</f>
        <v>0</v>
      </c>
      <c r="K32" s="269">
        <f ca="1">実績集計!L34</f>
        <v>0</v>
      </c>
      <c r="L32" s="269">
        <f ca="1">実績集計!M34</f>
        <v>2129.89</v>
      </c>
      <c r="M32" s="269">
        <f ca="1">実績集計!N34</f>
        <v>0</v>
      </c>
      <c r="N32" s="269">
        <f ca="1">実績集計!O34</f>
        <v>0</v>
      </c>
      <c r="O32" s="269">
        <f ca="1">実績集計!P34</f>
        <v>0</v>
      </c>
      <c r="P32" s="270">
        <f ca="1">実績集計!Q34</f>
        <v>0</v>
      </c>
      <c r="Q32" s="271">
        <f t="shared" ca="1" si="0"/>
        <v>6554.9644840000001</v>
      </c>
    </row>
    <row r="33" spans="1:22">
      <c r="A33" s="223"/>
      <c r="B33" s="495"/>
      <c r="D33" s="239" t="s">
        <v>268</v>
      </c>
      <c r="E33" s="272">
        <f ca="1">IFERROR(E32/E31,"")</f>
        <v>0.72543886974128236</v>
      </c>
      <c r="F33" s="273" t="str">
        <f ca="1">IFERROR(IF(F32=0,"",F32/F31),"")</f>
        <v/>
      </c>
      <c r="G33" s="273">
        <f t="shared" ref="G33" ca="1" si="64">IFERROR(IF(G32=0,"",G32/G31),"")</f>
        <v>2.7304287600000001</v>
      </c>
      <c r="H33" s="273" t="str">
        <f t="shared" ref="H33" ca="1" si="65">IFERROR(IF(H32=0,"",H32/H31),"")</f>
        <v/>
      </c>
      <c r="I33" s="273" t="str">
        <f t="shared" ref="I33" ca="1" si="66">IFERROR(IF(I32=0,"",I32/I31),"")</f>
        <v/>
      </c>
      <c r="J33" s="273" t="str">
        <f t="shared" ref="J33" ca="1" si="67">IFERROR(IF(J32=0,"",J32/J31),"")</f>
        <v/>
      </c>
      <c r="K33" s="273" t="str">
        <f t="shared" ref="K33" ca="1" si="68">IFERROR(IF(K32=0,"",K32/K31),"")</f>
        <v/>
      </c>
      <c r="L33" s="273">
        <f t="shared" ref="L33" ca="1" si="69">IFERROR(IF(L32=0,"",L32/L31),"")</f>
        <v>2.5558679999999998</v>
      </c>
      <c r="M33" s="273" t="str">
        <f t="shared" ref="M33" ca="1" si="70">IFERROR(IF(M32=0,"",M32/M31),"")</f>
        <v/>
      </c>
      <c r="N33" s="273" t="str">
        <f t="shared" ref="N33" ca="1" si="71">IFERROR(IF(N32=0,"",N32/N31),"")</f>
        <v/>
      </c>
      <c r="O33" s="273" t="str">
        <f t="shared" ref="O33" ca="1" si="72">IFERROR(IF(O32=0,"",O32/O31),"")</f>
        <v/>
      </c>
      <c r="P33" s="274" t="str">
        <f t="shared" ref="P33" ca="1" si="73">IFERROR(IF(P32=0,"",P32/P31),"")</f>
        <v/>
      </c>
      <c r="Q33" s="275"/>
    </row>
    <row r="34" spans="1:22" s="221" customFormat="1">
      <c r="A34" s="223"/>
      <c r="B34" s="496"/>
      <c r="C34" s="176"/>
      <c r="D34" s="241" t="s">
        <v>269</v>
      </c>
      <c r="E34" s="276">
        <f ca="1">E33</f>
        <v>0.72543886974128236</v>
      </c>
      <c r="F34" s="277" t="str">
        <f ca="1">IFERROR(IF(F32=0,"",SUM($E32:F32)/SUM($E31:F31)),"")</f>
        <v/>
      </c>
      <c r="G34" s="277">
        <f ca="1">IFERROR(IF(G32=0,"",SUM($E32:G32)/SUM($E31:G31)),"")</f>
        <v>0.9557396293736502</v>
      </c>
      <c r="H34" s="277" t="str">
        <f ca="1">IFERROR(IF(H32=0,"",SUM($E32:H32)/SUM($E31:H31)),"")</f>
        <v/>
      </c>
      <c r="I34" s="277" t="str">
        <f ca="1">IFERROR(IF(I32=0,"",SUM($E32:I32)/SUM($E31:I31)),"")</f>
        <v/>
      </c>
      <c r="J34" s="277" t="str">
        <f ca="1">IFERROR(IF(J32=0,"",SUM($E32:J32)/SUM($E31:J31)),"")</f>
        <v/>
      </c>
      <c r="K34" s="277" t="str">
        <f ca="1">IFERROR(IF(K32=0,"",SUM($E32:K32)/SUM($E31:K31)),"")</f>
        <v/>
      </c>
      <c r="L34" s="277">
        <f ca="1">IFERROR(IF(L32=0,"",SUM($E32:L32)/SUM($E31:L31)),"")</f>
        <v>0.59608649445286455</v>
      </c>
      <c r="M34" s="277" t="str">
        <f ca="1">IFERROR(IF(M32=0,"",SUM($E32:M32)/SUM($E31:M31)),"")</f>
        <v/>
      </c>
      <c r="N34" s="277" t="str">
        <f ca="1">IFERROR(IF(N32=0,"",SUM($E32:N32)/SUM($E31:N31)),"")</f>
        <v/>
      </c>
      <c r="O34" s="277" t="str">
        <f ca="1">IFERROR(IF(O32=0,"",SUM($E32:O32)/SUM($E31:O31)),"")</f>
        <v/>
      </c>
      <c r="P34" s="278" t="str">
        <f ca="1">IFERROR(IF(P32=0,"",SUM($E32:P32)/SUM($E31:P31)),"")</f>
        <v/>
      </c>
      <c r="Q34" s="284"/>
      <c r="T34" s="163"/>
      <c r="U34" s="163"/>
      <c r="V34" s="163"/>
    </row>
    <row r="35" spans="1:22" s="221" customFormat="1">
      <c r="A35" s="157"/>
      <c r="B35" s="491" t="s">
        <v>281</v>
      </c>
      <c r="C35" s="490"/>
      <c r="D35" s="236" t="s">
        <v>284</v>
      </c>
      <c r="E35" s="285">
        <f>SUM(E3,E7,E11)</f>
        <v>13672</v>
      </c>
      <c r="F35" s="286">
        <f t="shared" ref="F35:P35" si="74">SUM(F3,F7,F11)</f>
        <v>12610</v>
      </c>
      <c r="G35" s="286">
        <f t="shared" si="74"/>
        <v>13171</v>
      </c>
      <c r="H35" s="286">
        <f t="shared" si="74"/>
        <v>15346</v>
      </c>
      <c r="I35" s="286">
        <f t="shared" si="74"/>
        <v>14904</v>
      </c>
      <c r="J35" s="286">
        <f t="shared" si="74"/>
        <v>15194</v>
      </c>
      <c r="K35" s="286">
        <f t="shared" si="74"/>
        <v>14836</v>
      </c>
      <c r="L35" s="286">
        <f t="shared" si="74"/>
        <v>13034</v>
      </c>
      <c r="M35" s="286">
        <f t="shared" si="74"/>
        <v>14712</v>
      </c>
      <c r="N35" s="286">
        <f t="shared" si="74"/>
        <v>13336</v>
      </c>
      <c r="O35" s="286">
        <f t="shared" si="74"/>
        <v>13585</v>
      </c>
      <c r="P35" s="287">
        <f t="shared" si="74"/>
        <v>14647</v>
      </c>
      <c r="Q35" s="288">
        <f>SUM(E35:P35)</f>
        <v>169047</v>
      </c>
      <c r="T35" s="163"/>
      <c r="U35" s="163"/>
      <c r="V35" s="163"/>
    </row>
    <row r="36" spans="1:22" s="221" customFormat="1">
      <c r="A36" s="157"/>
      <c r="B36" s="491"/>
      <c r="C36" s="492"/>
      <c r="D36" s="238" t="s">
        <v>286</v>
      </c>
      <c r="E36" s="289">
        <f>SUM(E4,E8,E12)</f>
        <v>9429.9709999999995</v>
      </c>
      <c r="F36" s="290">
        <f t="shared" ref="F36:P36" si="75">SUM(F4,F8,F12)</f>
        <v>0</v>
      </c>
      <c r="G36" s="290">
        <f t="shared" si="75"/>
        <v>0</v>
      </c>
      <c r="H36" s="290">
        <f t="shared" si="75"/>
        <v>0</v>
      </c>
      <c r="I36" s="290">
        <f t="shared" si="75"/>
        <v>0</v>
      </c>
      <c r="J36" s="290">
        <f t="shared" si="75"/>
        <v>0</v>
      </c>
      <c r="K36" s="290">
        <f t="shared" si="75"/>
        <v>0</v>
      </c>
      <c r="L36" s="290">
        <f t="shared" si="75"/>
        <v>0</v>
      </c>
      <c r="M36" s="290">
        <f t="shared" si="75"/>
        <v>0</v>
      </c>
      <c r="N36" s="290">
        <f t="shared" si="75"/>
        <v>0</v>
      </c>
      <c r="O36" s="290">
        <f t="shared" si="75"/>
        <v>0</v>
      </c>
      <c r="P36" s="291">
        <f t="shared" si="75"/>
        <v>0</v>
      </c>
      <c r="Q36" s="292">
        <f>SUM(E36:P36)</f>
        <v>9429.9709999999995</v>
      </c>
      <c r="T36" s="163"/>
      <c r="U36" s="163"/>
      <c r="V36" s="163"/>
    </row>
    <row r="37" spans="1:22" s="221" customFormat="1">
      <c r="A37" s="157"/>
      <c r="B37" s="491"/>
      <c r="C37" s="492"/>
      <c r="D37" s="243" t="s">
        <v>285</v>
      </c>
      <c r="E37" s="293"/>
      <c r="F37" s="294"/>
      <c r="G37" s="294"/>
      <c r="H37" s="294"/>
      <c r="I37" s="294"/>
      <c r="J37" s="294"/>
      <c r="K37" s="294"/>
      <c r="L37" s="294"/>
      <c r="M37" s="294"/>
      <c r="N37" s="294"/>
      <c r="O37" s="294"/>
      <c r="P37" s="295"/>
      <c r="Q37" s="296">
        <f>SUM(E37:P37)</f>
        <v>0</v>
      </c>
      <c r="T37" s="163"/>
      <c r="U37" s="163"/>
      <c r="V37" s="163"/>
    </row>
    <row r="38" spans="1:22" s="221" customFormat="1">
      <c r="A38" s="157"/>
      <c r="B38" s="491"/>
      <c r="C38" s="492"/>
      <c r="D38" s="242" t="s">
        <v>287</v>
      </c>
      <c r="E38" s="297">
        <f>IFERROR(IF(E36=0,"",IF(E37="",E36/E35,E37/E35)),"")</f>
        <v>0.6897287156231714</v>
      </c>
      <c r="F38" s="298" t="str">
        <f t="shared" ref="F38:P38" si="76">IFERROR(IF(F36=0,"",IF(F37="",F36/F35,F37/F35)),"")</f>
        <v/>
      </c>
      <c r="G38" s="298" t="str">
        <f t="shared" si="76"/>
        <v/>
      </c>
      <c r="H38" s="298" t="str">
        <f t="shared" si="76"/>
        <v/>
      </c>
      <c r="I38" s="298" t="str">
        <f t="shared" si="76"/>
        <v/>
      </c>
      <c r="J38" s="298" t="str">
        <f t="shared" si="76"/>
        <v/>
      </c>
      <c r="K38" s="298" t="str">
        <f t="shared" si="76"/>
        <v/>
      </c>
      <c r="L38" s="298" t="str">
        <f t="shared" si="76"/>
        <v/>
      </c>
      <c r="M38" s="298" t="str">
        <f t="shared" si="76"/>
        <v/>
      </c>
      <c r="N38" s="298" t="str">
        <f t="shared" si="76"/>
        <v/>
      </c>
      <c r="O38" s="298" t="str">
        <f t="shared" si="76"/>
        <v/>
      </c>
      <c r="P38" s="299" t="str">
        <f t="shared" si="76"/>
        <v/>
      </c>
      <c r="Q38" s="300"/>
      <c r="T38" s="163"/>
      <c r="U38" s="163"/>
      <c r="V38" s="163"/>
    </row>
    <row r="39" spans="1:22" s="221" customFormat="1">
      <c r="A39" s="157"/>
      <c r="B39" s="493"/>
      <c r="C39" s="494"/>
      <c r="D39" s="241" t="s">
        <v>288</v>
      </c>
      <c r="E39" s="301">
        <f>E38</f>
        <v>0.6897287156231714</v>
      </c>
      <c r="F39" s="302">
        <f>IFERROR(IF(F37="",SUM($E36:F36)/SUM($E35:F35),SUM($E37:F37)/SUM($E35:F35)),"")</f>
        <v>0.35879959668213984</v>
      </c>
      <c r="G39" s="302">
        <f>IFERROR(IF(G37="",SUM($E36:G36)/SUM($E35:G35),SUM($E37:G37)/SUM($E35:G35)),"")</f>
        <v>0.23901784401693152</v>
      </c>
      <c r="H39" s="302">
        <f>IFERROR(IF(H37="",SUM($E36:H36)/SUM($E35:H35),SUM($E37:H37)/SUM($E35:H35)),"")</f>
        <v>0.17208290297268197</v>
      </c>
      <c r="I39" s="302">
        <f>IFERROR(IF(I37="",SUM($E36:I36)/SUM($E35:I35),SUM($E37:I37)/SUM($E35:I35)),"")</f>
        <v>0.13528787857050628</v>
      </c>
      <c r="J39" s="302">
        <f>IFERROR(IF(J37="",SUM($E36:J36)/SUM($E35:J35),SUM($E37:J37)/SUM($E35:J35)),"")</f>
        <v>0.11107543258301235</v>
      </c>
      <c r="K39" s="302">
        <f>IFERROR(IF(K37="",SUM($E36:K36)/SUM($E35:K35),SUM($E37:K37)/SUM($E35:K35)),"")</f>
        <v>9.4552164278623924E-2</v>
      </c>
      <c r="L39" s="302">
        <f>IFERROR(IF(L37="",SUM($E36:L36)/SUM($E35:L35),SUM($E37:L37)/SUM($E35:L35)),"")</f>
        <v>8.362349800916935E-2</v>
      </c>
      <c r="M39" s="302">
        <f>IFERROR(IF(M37="",SUM($E36:M36)/SUM($E35:M35),SUM($E37:M37)/SUM($E35:M35)),"")</f>
        <v>7.3972740608257037E-2</v>
      </c>
      <c r="N39" s="302">
        <f>IFERROR(IF(N37="",SUM($E36:N36)/SUM($E35:N35),SUM($E37:N37)/SUM($E35:N35)),"")</f>
        <v>6.6967091574051063E-2</v>
      </c>
      <c r="O39" s="302">
        <f>IFERROR(IF(O37="",SUM($E36:O36)/SUM($E35:O35),SUM($E37:O37)/SUM($E35:O35)),"")</f>
        <v>6.1074941709844559E-2</v>
      </c>
      <c r="P39" s="303">
        <f>IFERROR(IF(P37="",SUM($E36:P36)/SUM($E35:P35),SUM($E37:P37)/SUM($E35:P35)),"")</f>
        <v>5.5783131318509052E-2</v>
      </c>
      <c r="Q39" s="284"/>
      <c r="T39" s="163"/>
      <c r="U39" s="163"/>
      <c r="V39" s="163"/>
    </row>
    <row r="40" spans="1:22" s="221" customFormat="1">
      <c r="A40" s="157"/>
      <c r="B40" s="489" t="s">
        <v>282</v>
      </c>
      <c r="C40" s="490"/>
      <c r="D40" s="236" t="s">
        <v>284</v>
      </c>
      <c r="E40" s="285">
        <f>SUM(E15,E19,E23,E27,E31)</f>
        <v>25203.333333333332</v>
      </c>
      <c r="F40" s="286">
        <f t="shared" ref="F40:P40" si="77">SUM(F15,F19,F23,F27,F31)</f>
        <v>37723.333333333336</v>
      </c>
      <c r="G40" s="286">
        <f t="shared" si="77"/>
        <v>31403.333333333332</v>
      </c>
      <c r="H40" s="286">
        <f t="shared" si="77"/>
        <v>34093.333333333336</v>
      </c>
      <c r="I40" s="286">
        <f t="shared" si="77"/>
        <v>34133.333333333336</v>
      </c>
      <c r="J40" s="286">
        <f t="shared" si="77"/>
        <v>43753.333333333336</v>
      </c>
      <c r="K40" s="286">
        <f t="shared" si="77"/>
        <v>36233.333333333336</v>
      </c>
      <c r="L40" s="286">
        <f t="shared" si="77"/>
        <v>36843.333333333336</v>
      </c>
      <c r="M40" s="286">
        <f t="shared" si="77"/>
        <v>43183.333333333336</v>
      </c>
      <c r="N40" s="286">
        <f t="shared" si="77"/>
        <v>49123.333333333336</v>
      </c>
      <c r="O40" s="286">
        <f t="shared" si="77"/>
        <v>44613.333333333336</v>
      </c>
      <c r="P40" s="287">
        <f t="shared" si="77"/>
        <v>57623.333333333336</v>
      </c>
      <c r="Q40" s="288">
        <f>SUM(E40:P40)</f>
        <v>473929.99999999994</v>
      </c>
      <c r="T40" s="163"/>
      <c r="U40" s="163"/>
      <c r="V40" s="163"/>
    </row>
    <row r="41" spans="1:22" s="221" customFormat="1">
      <c r="A41" s="157"/>
      <c r="B41" s="491"/>
      <c r="C41" s="492"/>
      <c r="D41" s="238" t="s">
        <v>286</v>
      </c>
      <c r="E41" s="289">
        <f ca="1">SUM(E16,E20,E24,E28,E32)</f>
        <v>26422.9660711</v>
      </c>
      <c r="F41" s="290">
        <f t="shared" ref="F41:P41" ca="1" si="78">SUM(F16,F20,F24,F28,F32)</f>
        <v>31301.114921000004</v>
      </c>
      <c r="G41" s="290">
        <f t="shared" ca="1" si="78"/>
        <v>22312.3874713</v>
      </c>
      <c r="H41" s="290">
        <f t="shared" ca="1" si="78"/>
        <v>34456.463652500002</v>
      </c>
      <c r="I41" s="290">
        <f t="shared" ca="1" si="78"/>
        <v>34104.5609272</v>
      </c>
      <c r="J41" s="290">
        <f t="shared" ca="1" si="78"/>
        <v>27623.037472699998</v>
      </c>
      <c r="K41" s="290">
        <f t="shared" ca="1" si="78"/>
        <v>47071.000328100003</v>
      </c>
      <c r="L41" s="290">
        <f t="shared" ca="1" si="78"/>
        <v>17545.198672000002</v>
      </c>
      <c r="M41" s="290">
        <f t="shared" ca="1" si="78"/>
        <v>35734.497365499999</v>
      </c>
      <c r="N41" s="290">
        <f t="shared" ca="1" si="78"/>
        <v>17331.724696900001</v>
      </c>
      <c r="O41" s="290">
        <f t="shared" ca="1" si="78"/>
        <v>0</v>
      </c>
      <c r="P41" s="291">
        <f t="shared" ca="1" si="78"/>
        <v>0</v>
      </c>
      <c r="Q41" s="292">
        <f ca="1">SUM(E41:P41)</f>
        <v>293902.95157829998</v>
      </c>
      <c r="T41" s="163"/>
      <c r="U41" s="163"/>
      <c r="V41" s="163"/>
    </row>
    <row r="42" spans="1:22" s="221" customFormat="1">
      <c r="A42" s="157"/>
      <c r="B42" s="491"/>
      <c r="C42" s="492"/>
      <c r="D42" s="243" t="s">
        <v>285</v>
      </c>
      <c r="E42" s="293"/>
      <c r="F42" s="294"/>
      <c r="G42" s="294"/>
      <c r="H42" s="294"/>
      <c r="I42" s="294"/>
      <c r="J42" s="294"/>
      <c r="K42" s="294"/>
      <c r="L42" s="294"/>
      <c r="M42" s="294"/>
      <c r="N42" s="294"/>
      <c r="O42" s="294"/>
      <c r="P42" s="295"/>
      <c r="Q42" s="304">
        <f>SUM(E42:P42)</f>
        <v>0</v>
      </c>
      <c r="T42" s="163"/>
      <c r="U42" s="163"/>
      <c r="V42" s="163"/>
    </row>
    <row r="43" spans="1:22" s="221" customFormat="1">
      <c r="A43" s="157"/>
      <c r="B43" s="491"/>
      <c r="C43" s="492"/>
      <c r="D43" s="242" t="s">
        <v>287</v>
      </c>
      <c r="E43" s="297">
        <f ca="1">IFERROR(IF(E41=0,"",IF(E42="",E41/E40,E42/E40)),"")</f>
        <v>1.0483917234929243</v>
      </c>
      <c r="F43" s="298">
        <f t="shared" ref="F43" ca="1" si="79">IFERROR(IF(F41=0,"",IF(F42="",F41/F40,F42/F40)),"")</f>
        <v>0.82975474739772026</v>
      </c>
      <c r="G43" s="298">
        <f t="shared" ref="G43" ca="1" si="80">IFERROR(IF(G41=0,"",IF(G42="",G41/G40,G42/G40)),"")</f>
        <v>0.71051016255068467</v>
      </c>
      <c r="H43" s="298">
        <f t="shared" ref="H43" ca="1" si="81">IFERROR(IF(H41=0,"",IF(H42="",H41/H40,H42/H40)),"")</f>
        <v>1.0106510652864684</v>
      </c>
      <c r="I43" s="298">
        <f t="shared" ref="I43" ca="1" si="82">IFERROR(IF(I41=0,"",IF(I42="",I41/I40,I42/I40)),"")</f>
        <v>0.99915705841406244</v>
      </c>
      <c r="J43" s="298">
        <f t="shared" ref="J43" ca="1" si="83">IFERROR(IF(J41=0,"",IF(J42="",J41/J40,J42/J40)),"")</f>
        <v>0.63133561190080745</v>
      </c>
      <c r="K43" s="298">
        <f t="shared" ref="K43" ca="1" si="84">IFERROR(IF(K41=0,"",IF(K42="",K41/K40,K42/K40)),"")</f>
        <v>1.29910764474977</v>
      </c>
      <c r="L43" s="298">
        <f t="shared" ref="L43" ca="1" si="85">IFERROR(IF(L41=0,"",IF(L42="",L41/L40,L42/L40)),"")</f>
        <v>0.47621094739889624</v>
      </c>
      <c r="M43" s="298">
        <f t="shared" ref="M43" ca="1" si="86">IFERROR(IF(M41=0,"",IF(M42="",M41/M40,M42/M40)),"")</f>
        <v>0.82750669314164405</v>
      </c>
      <c r="N43" s="298">
        <f t="shared" ref="N43" ca="1" si="87">IFERROR(IF(N41=0,"",IF(N42="",N41/N40,N42/N40)),"")</f>
        <v>0.35282061539458504</v>
      </c>
      <c r="O43" s="298" t="str">
        <f t="shared" ref="O43" ca="1" si="88">IFERROR(IF(O41=0,"",IF(O42="",O41/O40,O42/O40)),"")</f>
        <v/>
      </c>
      <c r="P43" s="299" t="str">
        <f t="shared" ref="P43" ca="1" si="89">IFERROR(IF(P41=0,"",IF(P42="",P41/P40,P42/P40)),"")</f>
        <v/>
      </c>
      <c r="Q43" s="300"/>
      <c r="T43" s="163"/>
      <c r="U43" s="163"/>
      <c r="V43" s="163"/>
    </row>
    <row r="44" spans="1:22" s="221" customFormat="1">
      <c r="A44" s="157"/>
      <c r="B44" s="493"/>
      <c r="C44" s="494"/>
      <c r="D44" s="241" t="s">
        <v>288</v>
      </c>
      <c r="E44" s="301">
        <f ca="1">E43</f>
        <v>1.0483917234929243</v>
      </c>
      <c r="F44" s="302">
        <f ca="1">IFERROR(IF(F42="",SUM($E41:F41)/SUM($E40:F40),SUM($E42:F42)/SUM($E40:F40)),"")</f>
        <v>0.91732303727248643</v>
      </c>
      <c r="G44" s="302">
        <f ca="1">IFERROR(IF(G42="",SUM($E41:G41)/SUM($E40:G40),SUM($E42:G42)/SUM($E40:G40)),"")</f>
        <v>0.84847310996925684</v>
      </c>
      <c r="H44" s="302">
        <f ca="1">IFERROR(IF(H42="",SUM($E41:H41)/SUM($E40:H40),SUM($E42:H42)/SUM($E40:H40)),"")</f>
        <v>0.8915274907148234</v>
      </c>
      <c r="I44" s="302">
        <f ca="1">IFERROR(IF(I42="",SUM($E41:I41)/SUM($E40:I40),SUM($E42:I42)/SUM($E40:I40)),"")</f>
        <v>0.91412733842413918</v>
      </c>
      <c r="J44" s="302">
        <f ca="1">IFERROR(IF(J42="",SUM($E41:J41)/SUM($E40:J40),SUM($E42:J42)/SUM($E40:J40)),"")</f>
        <v>0.85415409100770667</v>
      </c>
      <c r="K44" s="302">
        <f ca="1">IFERROR(IF(K42="",SUM($E41:K41)/SUM($E40:K40),SUM($E42:K42)/SUM($E40:K40)),"")</f>
        <v>0.92062530754875405</v>
      </c>
      <c r="L44" s="302">
        <f ca="1">IFERROR(IF(L42="",SUM($E41:L41)/SUM($E40:L40),SUM($E42:L42)/SUM($E40:L40)),"")</f>
        <v>0.86201940983547287</v>
      </c>
      <c r="M44" s="302">
        <f ca="1">IFERROR(IF(M42="",SUM($E41:M41)/SUM($E40:M40),SUM($E42:M42)/SUM($E40:M40)),"")</f>
        <v>0.85739909750255749</v>
      </c>
      <c r="N44" s="302">
        <f ca="1">IFERROR(IF(N42="",SUM($E41:N41)/SUM($E40:N40),SUM($E42:N42)/SUM($E40:N40)),"")</f>
        <v>0.79071354049476272</v>
      </c>
      <c r="O44" s="302">
        <f ca="1">IFERROR(IF(O42="",SUM($E41:O41)/SUM($E40:O40),SUM($E42:O42)/SUM($E40:O40)),"")</f>
        <v>0.70597704795735516</v>
      </c>
      <c r="P44" s="303">
        <f ca="1">IFERROR(IF(P42="",SUM($E41:P41)/SUM($E40:P40),SUM($E42:P42)/SUM($E40:P40)),"")</f>
        <v>0.62014000290823545</v>
      </c>
      <c r="Q44" s="284"/>
      <c r="T44" s="163"/>
      <c r="U44" s="163"/>
      <c r="V44" s="163"/>
    </row>
    <row r="45" spans="1:22" s="221" customFormat="1">
      <c r="A45" s="157"/>
      <c r="B45" s="489" t="s">
        <v>283</v>
      </c>
      <c r="C45" s="490"/>
      <c r="D45" s="236" t="s">
        <v>284</v>
      </c>
      <c r="E45" s="305">
        <f>SUM(E35,E40)</f>
        <v>38875.333333333328</v>
      </c>
      <c r="F45" s="306">
        <f t="shared" ref="F45:P45" si="90">SUM(F35,F40)</f>
        <v>50333.333333333336</v>
      </c>
      <c r="G45" s="306">
        <f t="shared" si="90"/>
        <v>44574.333333333328</v>
      </c>
      <c r="H45" s="306">
        <f t="shared" si="90"/>
        <v>49439.333333333336</v>
      </c>
      <c r="I45" s="306">
        <f t="shared" si="90"/>
        <v>49037.333333333336</v>
      </c>
      <c r="J45" s="306">
        <f t="shared" si="90"/>
        <v>58947.333333333336</v>
      </c>
      <c r="K45" s="306">
        <f t="shared" si="90"/>
        <v>51069.333333333336</v>
      </c>
      <c r="L45" s="306">
        <f t="shared" si="90"/>
        <v>49877.333333333336</v>
      </c>
      <c r="M45" s="306">
        <f t="shared" si="90"/>
        <v>57895.333333333336</v>
      </c>
      <c r="N45" s="306">
        <f t="shared" si="90"/>
        <v>62459.333333333336</v>
      </c>
      <c r="O45" s="306">
        <f t="shared" si="90"/>
        <v>58198.333333333336</v>
      </c>
      <c r="P45" s="307">
        <f t="shared" si="90"/>
        <v>72270.333333333343</v>
      </c>
      <c r="Q45" s="308">
        <f>SUM(E45:P45)</f>
        <v>642977</v>
      </c>
      <c r="T45" s="163"/>
      <c r="U45" s="163"/>
      <c r="V45" s="163"/>
    </row>
    <row r="46" spans="1:22" s="221" customFormat="1">
      <c r="A46" s="157"/>
      <c r="B46" s="491"/>
      <c r="C46" s="492"/>
      <c r="D46" s="238" t="s">
        <v>286</v>
      </c>
      <c r="E46" s="289">
        <f ca="1">SUM(E36,E41)</f>
        <v>35852.937071100001</v>
      </c>
      <c r="F46" s="290">
        <f t="shared" ref="F46:P46" ca="1" si="91">SUM(F36,F41)</f>
        <v>31301.114921000004</v>
      </c>
      <c r="G46" s="290">
        <f t="shared" ca="1" si="91"/>
        <v>22312.3874713</v>
      </c>
      <c r="H46" s="290">
        <f t="shared" ca="1" si="91"/>
        <v>34456.463652500002</v>
      </c>
      <c r="I46" s="290">
        <f t="shared" ca="1" si="91"/>
        <v>34104.5609272</v>
      </c>
      <c r="J46" s="290">
        <f t="shared" ca="1" si="91"/>
        <v>27623.037472699998</v>
      </c>
      <c r="K46" s="290">
        <f t="shared" ca="1" si="91"/>
        <v>47071.000328100003</v>
      </c>
      <c r="L46" s="290">
        <f t="shared" ca="1" si="91"/>
        <v>17545.198672000002</v>
      </c>
      <c r="M46" s="290">
        <f t="shared" ca="1" si="91"/>
        <v>35734.497365499999</v>
      </c>
      <c r="N46" s="290">
        <f t="shared" ca="1" si="91"/>
        <v>17331.724696900001</v>
      </c>
      <c r="O46" s="290">
        <f t="shared" ca="1" si="91"/>
        <v>0</v>
      </c>
      <c r="P46" s="291">
        <f t="shared" ca="1" si="91"/>
        <v>0</v>
      </c>
      <c r="Q46" s="292">
        <f ca="1">SUM(E46:P46)</f>
        <v>303332.9225783</v>
      </c>
      <c r="T46" s="163"/>
      <c r="U46" s="163"/>
      <c r="V46" s="163"/>
    </row>
    <row r="47" spans="1:22" s="221" customFormat="1">
      <c r="A47" s="157"/>
      <c r="B47" s="491"/>
      <c r="C47" s="492"/>
      <c r="D47" s="243" t="s">
        <v>285</v>
      </c>
      <c r="E47" s="293"/>
      <c r="F47" s="294"/>
      <c r="G47" s="294"/>
      <c r="H47" s="294"/>
      <c r="I47" s="294"/>
      <c r="J47" s="294"/>
      <c r="K47" s="294"/>
      <c r="L47" s="294"/>
      <c r="M47" s="294"/>
      <c r="N47" s="294"/>
      <c r="O47" s="294"/>
      <c r="P47" s="295"/>
      <c r="Q47" s="304">
        <f>SUM(E47:P47)</f>
        <v>0</v>
      </c>
      <c r="T47" s="163"/>
      <c r="U47" s="163"/>
      <c r="V47" s="163"/>
    </row>
    <row r="48" spans="1:22" s="221" customFormat="1">
      <c r="A48" s="157"/>
      <c r="B48" s="491"/>
      <c r="C48" s="492"/>
      <c r="D48" s="242" t="s">
        <v>287</v>
      </c>
      <c r="E48" s="297">
        <f ca="1">IFERROR(IF(E46=0,"",IF(E47="",E46/E45,E47/E45)),"")</f>
        <v>0.92225413898530362</v>
      </c>
      <c r="F48" s="298">
        <f t="shared" ref="F48" ca="1" si="92">IFERROR(IF(F46=0,"",IF(F47="",F46/F45,F47/F45)),"")</f>
        <v>0.62187645538410596</v>
      </c>
      <c r="G48" s="298">
        <f t="shared" ref="G48" ca="1" si="93">IFERROR(IF(G46=0,"",IF(G47="",G46/G45,G47/G45)),"")</f>
        <v>0.50056581451134063</v>
      </c>
      <c r="H48" s="298">
        <f t="shared" ref="H48" ca="1" si="94">IFERROR(IF(H46=0,"",IF(H47="",H46/H45,H47/H45)),"")</f>
        <v>0.69694434227470703</v>
      </c>
      <c r="I48" s="298">
        <f t="shared" ref="I48" ca="1" si="95">IFERROR(IF(I46=0,"",IF(I47="",I46/I45,I47/I45)),"")</f>
        <v>0.69548155678394685</v>
      </c>
      <c r="J48" s="298">
        <f t="shared" ref="J48" ca="1" si="96">IFERROR(IF(J46=0,"",IF(J47="",J46/J45,J47/J45)),"")</f>
        <v>0.4686053789150767</v>
      </c>
      <c r="K48" s="298">
        <f t="shared" ref="K48" ca="1" si="97">IFERROR(IF(K46=0,"",IF(K47="",K46/K45,K47/K45)),"")</f>
        <v>0.92170775014555373</v>
      </c>
      <c r="L48" s="298">
        <f t="shared" ref="L48" ca="1" si="98">IFERROR(IF(L46=0,"",IF(L47="",L46/L45,L47/L45)),"")</f>
        <v>0.35176697508554322</v>
      </c>
      <c r="M48" s="298">
        <f t="shared" ref="M48" ca="1" si="99">IFERROR(IF(M46=0,"",IF(M47="",M46/M45,M47/M45)),"")</f>
        <v>0.61722586792545164</v>
      </c>
      <c r="N48" s="298">
        <f t="shared" ref="N48" ca="1" si="100">IFERROR(IF(N46=0,"",IF(N47="",N46/N45,N47/N45)),"")</f>
        <v>0.27748814743833322</v>
      </c>
      <c r="O48" s="298" t="str">
        <f t="shared" ref="O48" ca="1" si="101">IFERROR(IF(O46=0,"",IF(O47="",O46/O45,O47/O45)),"")</f>
        <v/>
      </c>
      <c r="P48" s="299" t="str">
        <f t="shared" ref="P48" ca="1" si="102">IFERROR(IF(P46=0,"",IF(P47="",P46/P45,P47/P45)),"")</f>
        <v/>
      </c>
      <c r="Q48" s="300"/>
      <c r="T48" s="163"/>
      <c r="U48" s="163"/>
      <c r="V48" s="163"/>
    </row>
    <row r="49" spans="1:22" s="221" customFormat="1">
      <c r="A49" s="157"/>
      <c r="B49" s="493"/>
      <c r="C49" s="494"/>
      <c r="D49" s="241" t="s">
        <v>288</v>
      </c>
      <c r="E49" s="301">
        <f ca="1">E48</f>
        <v>0.92225413898530362</v>
      </c>
      <c r="F49" s="302">
        <f ca="1">IFERROR(IF(F47="",SUM($E46:F46)/SUM($E45:F45),SUM($E47:F47)/SUM($E45:F45)),"")</f>
        <v>0.75277497693161366</v>
      </c>
      <c r="G49" s="302">
        <f ca="1">IFERROR(IF(G47="",SUM($E46:G46)/SUM($E45:G45),SUM($E47:G47)/SUM($E45:G45)),"")</f>
        <v>0.66874296034174752</v>
      </c>
      <c r="H49" s="302">
        <f ca="1">IFERROR(IF(H47="",SUM($E46:H46)/SUM($E45:H45),SUM($E47:H47)/SUM($E45:H45)),"")</f>
        <v>0.67635260866615599</v>
      </c>
      <c r="I49" s="302">
        <f ca="1">IFERROR(IF(I47="",SUM($E46:I46)/SUM($E45:I45),SUM($E47:I47)/SUM($E45:I45)),"")</f>
        <v>0.68039133230091609</v>
      </c>
      <c r="J49" s="302">
        <f ca="1">IFERROR(IF(J47="",SUM($E46:J46)/SUM($E45:J45),SUM($E47:J47)/SUM($E45:J45)),"")</f>
        <v>0.63752073787992736</v>
      </c>
      <c r="K49" s="302">
        <f ca="1">IFERROR(IF(K47="",SUM($E46:K46)/SUM($E45:K45),SUM($E47:K47)/SUM($E45:K45)),"")</f>
        <v>0.67992285524824492</v>
      </c>
      <c r="L49" s="302">
        <f ca="1">IFERROR(IF(L47="",SUM($E46:L46)/SUM($E45:L45),SUM($E47:L47)/SUM($E45:L45)),"")</f>
        <v>0.63818528752563841</v>
      </c>
      <c r="M49" s="302">
        <f ca="1">IFERROR(IF(M47="",SUM($E46:M46)/SUM($E45:M45),SUM($E47:M47)/SUM($E45:M45)),"")</f>
        <v>0.63548901982095296</v>
      </c>
      <c r="N49" s="302">
        <f ca="1">IFERROR(IF(N47="",SUM($E46:N46)/SUM($E45:N45),SUM($E47:N47)/SUM($E45:N45)),"")</f>
        <v>0.59185949349434974</v>
      </c>
      <c r="O49" s="302">
        <f ca="1">IFERROR(IF(O47="",SUM($E46:O46)/SUM($E45:O45),SUM($E47:O47)/SUM($E45:O45)),"")</f>
        <v>0.531504081334778</v>
      </c>
      <c r="P49" s="303">
        <f ca="1">IFERROR(IF(P47="",SUM($E46:P46)/SUM($E45:P45),SUM($E47:P47)/SUM($E45:P45)),"")</f>
        <v>0.47176325526154123</v>
      </c>
      <c r="Q49" s="300"/>
      <c r="T49" s="163"/>
      <c r="U49" s="163"/>
      <c r="V49" s="163"/>
    </row>
    <row r="50" spans="1:22" ht="25.5">
      <c r="A50" s="245" t="s">
        <v>16</v>
      </c>
      <c r="B50" s="360" t="s">
        <v>40</v>
      </c>
      <c r="C50" s="360" t="s">
        <v>39</v>
      </c>
      <c r="D50" s="361" t="s">
        <v>114</v>
      </c>
      <c r="E50" s="362">
        <v>45444</v>
      </c>
      <c r="F50" s="363">
        <v>45474</v>
      </c>
      <c r="G50" s="363">
        <v>45505</v>
      </c>
      <c r="H50" s="363">
        <v>45536</v>
      </c>
      <c r="I50" s="363">
        <v>45566</v>
      </c>
      <c r="J50" s="363">
        <v>45597</v>
      </c>
      <c r="K50" s="363">
        <v>45627</v>
      </c>
      <c r="L50" s="363">
        <v>45658</v>
      </c>
      <c r="M50" s="363">
        <v>45689</v>
      </c>
      <c r="N50" s="363">
        <v>45717</v>
      </c>
      <c r="O50" s="363">
        <v>45748</v>
      </c>
      <c r="P50" s="364">
        <v>45778</v>
      </c>
      <c r="Q50" s="56" t="s">
        <v>21</v>
      </c>
    </row>
    <row r="51" spans="1:22">
      <c r="A51" s="224"/>
      <c r="B51" s="497" t="s">
        <v>47</v>
      </c>
      <c r="C51" s="48" t="s">
        <v>41</v>
      </c>
      <c r="D51" s="228" t="s">
        <v>265</v>
      </c>
      <c r="E51" s="309">
        <f>計画集計!F39</f>
        <v>209</v>
      </c>
      <c r="F51" s="310">
        <f>計画集計!G39</f>
        <v>185.40999999999994</v>
      </c>
      <c r="G51" s="310">
        <f>計画集計!H39</f>
        <v>242.08999999999992</v>
      </c>
      <c r="H51" s="310">
        <f>計画集計!I39</f>
        <v>1303.71</v>
      </c>
      <c r="I51" s="310">
        <f>計画集計!J39</f>
        <v>1444.3999999999999</v>
      </c>
      <c r="J51" s="310">
        <f>計画集計!K39</f>
        <v>1198.6199999999999</v>
      </c>
      <c r="K51" s="310">
        <f>計画集計!L39</f>
        <v>710.4</v>
      </c>
      <c r="L51" s="310">
        <f>計画集計!M39</f>
        <v>914.92</v>
      </c>
      <c r="M51" s="310">
        <f>計画集計!N39</f>
        <v>1070.3499999999999</v>
      </c>
      <c r="N51" s="310">
        <f>計画集計!O39</f>
        <v>939.72</v>
      </c>
      <c r="O51" s="310">
        <f>計画集計!P39</f>
        <v>720.04</v>
      </c>
      <c r="P51" s="311">
        <f>計画集計!Q39</f>
        <v>1291.73</v>
      </c>
      <c r="Q51" s="312">
        <f>SUM(E51:P51)</f>
        <v>10230.39</v>
      </c>
    </row>
    <row r="52" spans="1:22">
      <c r="A52" s="224"/>
      <c r="B52" s="495"/>
      <c r="D52" s="229" t="s">
        <v>267</v>
      </c>
      <c r="E52" s="313">
        <f>実績集計!F39</f>
        <v>208.48131999999993</v>
      </c>
      <c r="F52" s="328">
        <f>実績集計!G39</f>
        <v>0</v>
      </c>
      <c r="G52" s="328">
        <f>実績集計!H39</f>
        <v>0</v>
      </c>
      <c r="H52" s="328">
        <f>実績集計!I39</f>
        <v>0</v>
      </c>
      <c r="I52" s="328">
        <f>実績集計!J39</f>
        <v>0</v>
      </c>
      <c r="J52" s="328">
        <f>実績集計!K39</f>
        <v>0</v>
      </c>
      <c r="K52" s="328">
        <f>実績集計!L39</f>
        <v>0</v>
      </c>
      <c r="L52" s="328">
        <f>実績集計!M39</f>
        <v>0</v>
      </c>
      <c r="M52" s="328">
        <f>実績集計!N39</f>
        <v>0</v>
      </c>
      <c r="N52" s="328">
        <f>実績集計!O39</f>
        <v>0</v>
      </c>
      <c r="O52" s="328">
        <f>実績集計!P39</f>
        <v>0</v>
      </c>
      <c r="P52" s="315">
        <f>実績集計!Q39</f>
        <v>0</v>
      </c>
      <c r="Q52" s="316">
        <f t="shared" ref="Q52" si="103">SUM(E52:P52)</f>
        <v>208.48131999999993</v>
      </c>
    </row>
    <row r="53" spans="1:22">
      <c r="A53" s="224"/>
      <c r="B53" s="495"/>
      <c r="D53" s="229" t="s">
        <v>17</v>
      </c>
      <c r="E53" s="317">
        <f>IFERROR(E52/E51,"")</f>
        <v>0.99751827751196132</v>
      </c>
      <c r="F53" s="329" t="str">
        <f>IFERROR(IF(F52=0,"",F52/F51),"")</f>
        <v/>
      </c>
      <c r="G53" s="329" t="str">
        <f t="shared" ref="G53" si="104">IFERROR(IF(G52=0,"",G52/G51),"")</f>
        <v/>
      </c>
      <c r="H53" s="329" t="str">
        <f t="shared" ref="H53" si="105">IFERROR(IF(H52=0,"",H52/H51),"")</f>
        <v/>
      </c>
      <c r="I53" s="329" t="str">
        <f t="shared" ref="I53" si="106">IFERROR(IF(I52=0,"",I52/I51),"")</f>
        <v/>
      </c>
      <c r="J53" s="329" t="str">
        <f t="shared" ref="J53" si="107">IFERROR(IF(J52=0,"",J52/J51),"")</f>
        <v/>
      </c>
      <c r="K53" s="329" t="str">
        <f t="shared" ref="K53" si="108">IFERROR(IF(K52=0,"",K52/K51),"")</f>
        <v/>
      </c>
      <c r="L53" s="329" t="str">
        <f t="shared" ref="L53" si="109">IFERROR(IF(L52=0,"",L52/L51),"")</f>
        <v/>
      </c>
      <c r="M53" s="329" t="str">
        <f t="shared" ref="M53" si="110">IFERROR(IF(M52=0,"",M52/M51),"")</f>
        <v/>
      </c>
      <c r="N53" s="329" t="str">
        <f t="shared" ref="N53" si="111">IFERROR(IF(N52=0,"",N52/N51),"")</f>
        <v/>
      </c>
      <c r="O53" s="329" t="str">
        <f t="shared" ref="O53" si="112">IFERROR(IF(O52=0,"",O52/O51),"")</f>
        <v/>
      </c>
      <c r="P53" s="319" t="str">
        <f t="shared" ref="P53" si="113">IFERROR(IF(P52=0,"",P52/P51),"")</f>
        <v/>
      </c>
      <c r="Q53" s="316"/>
    </row>
    <row r="54" spans="1:22" s="221" customFormat="1">
      <c r="A54" s="224"/>
      <c r="B54" s="495"/>
      <c r="C54" s="220"/>
      <c r="D54" s="230" t="s">
        <v>270</v>
      </c>
      <c r="E54" s="320">
        <f>E53</f>
        <v>0.99751827751196132</v>
      </c>
      <c r="F54" s="321" t="str">
        <f>IFERROR(IF(F52=0,"",SUM($E52:F52)/SUM($E51:F51)),"")</f>
        <v/>
      </c>
      <c r="G54" s="321" t="str">
        <f>IFERROR(IF(G52=0,"",SUM($E52:G52)/SUM($E51:G51)),"")</f>
        <v/>
      </c>
      <c r="H54" s="321" t="str">
        <f>IFERROR(IF(H52=0,"",SUM($E52:H52)/SUM($E51:H51)),"")</f>
        <v/>
      </c>
      <c r="I54" s="321" t="str">
        <f>IFERROR(IF(I52=0,"",SUM($E52:I52)/SUM($E51:I51)),"")</f>
        <v/>
      </c>
      <c r="J54" s="321" t="str">
        <f>IFERROR(IF(J52=0,"",SUM($E52:J52)/SUM($E51:J51)),"")</f>
        <v/>
      </c>
      <c r="K54" s="321" t="str">
        <f>IFERROR(IF(K52=0,"",SUM($E52:K52)/SUM($E51:K51)),"")</f>
        <v/>
      </c>
      <c r="L54" s="321" t="str">
        <f>IFERROR(IF(L52=0,"",SUM($E52:L52)/SUM($E51:L51)),"")</f>
        <v/>
      </c>
      <c r="M54" s="321" t="str">
        <f>IFERROR(IF(M52=0,"",SUM($E52:M52)/SUM($E51:M51)),"")</f>
        <v/>
      </c>
      <c r="N54" s="321" t="str">
        <f>IFERROR(IF(N52=0,"",SUM($E52:N52)/SUM($E51:N51)),"")</f>
        <v/>
      </c>
      <c r="O54" s="321" t="str">
        <f>IFERROR(IF(O52=0,"",SUM($E52:O52)/SUM($E51:O51)),"")</f>
        <v/>
      </c>
      <c r="P54" s="322" t="str">
        <f>IFERROR(IF(P52=0,"",SUM($E52:P52)/SUM($E51:P51)),"")</f>
        <v/>
      </c>
      <c r="Q54" s="323"/>
      <c r="T54" s="163"/>
      <c r="U54" s="163"/>
      <c r="V54" s="163"/>
    </row>
    <row r="55" spans="1:22">
      <c r="A55" s="224"/>
      <c r="B55" s="495"/>
      <c r="C55" s="1" t="s">
        <v>42</v>
      </c>
      <c r="D55" s="229" t="s">
        <v>265</v>
      </c>
      <c r="E55" s="313">
        <f>計画集計!F43</f>
        <v>2824</v>
      </c>
      <c r="F55" s="328">
        <f>計画集計!G43</f>
        <v>2824</v>
      </c>
      <c r="G55" s="328">
        <f>計画集計!H43</f>
        <v>2824</v>
      </c>
      <c r="H55" s="328">
        <f>計画集計!I43</f>
        <v>2174</v>
      </c>
      <c r="I55" s="328">
        <f>計画集計!J43</f>
        <v>2174</v>
      </c>
      <c r="J55" s="328">
        <f>計画集計!K43</f>
        <v>2174</v>
      </c>
      <c r="K55" s="328">
        <f>計画集計!L43</f>
        <v>2174</v>
      </c>
      <c r="L55" s="328">
        <f>計画集計!M43</f>
        <v>2174</v>
      </c>
      <c r="M55" s="328">
        <f>計画集計!N43</f>
        <v>2174</v>
      </c>
      <c r="N55" s="328">
        <f>計画集計!O43</f>
        <v>2174</v>
      </c>
      <c r="O55" s="328">
        <f>計画集計!P43</f>
        <v>2174</v>
      </c>
      <c r="P55" s="315">
        <f>計画集計!Q43</f>
        <v>2174</v>
      </c>
      <c r="Q55" s="316">
        <f t="shared" ref="Q55:Q56" si="114">SUM(E55:P55)</f>
        <v>28038</v>
      </c>
    </row>
    <row r="56" spans="1:22">
      <c r="A56" s="224"/>
      <c r="B56" s="495"/>
      <c r="D56" s="229" t="s">
        <v>267</v>
      </c>
      <c r="E56" s="313">
        <f>実績集計!F43</f>
        <v>1741.8999999999999</v>
      </c>
      <c r="F56" s="328">
        <f>実績集計!G43</f>
        <v>0</v>
      </c>
      <c r="G56" s="328">
        <f>実績集計!H43</f>
        <v>0</v>
      </c>
      <c r="H56" s="328">
        <f>実績集計!I43</f>
        <v>0</v>
      </c>
      <c r="I56" s="328">
        <f>実績集計!J43</f>
        <v>0</v>
      </c>
      <c r="J56" s="328">
        <f>実績集計!K43</f>
        <v>0</v>
      </c>
      <c r="K56" s="328">
        <f>実績集計!L43</f>
        <v>0</v>
      </c>
      <c r="L56" s="328">
        <f>実績集計!M43</f>
        <v>0</v>
      </c>
      <c r="M56" s="328">
        <f>実績集計!N43</f>
        <v>0</v>
      </c>
      <c r="N56" s="328">
        <f>実績集計!O43</f>
        <v>0</v>
      </c>
      <c r="O56" s="328">
        <f>実績集計!P43</f>
        <v>0</v>
      </c>
      <c r="P56" s="315">
        <f>実績集計!Q43</f>
        <v>0</v>
      </c>
      <c r="Q56" s="316">
        <f t="shared" si="114"/>
        <v>1741.8999999999999</v>
      </c>
    </row>
    <row r="57" spans="1:22">
      <c r="A57" s="224"/>
      <c r="B57" s="495"/>
      <c r="D57" s="229" t="s">
        <v>17</v>
      </c>
      <c r="E57" s="317">
        <f>IFERROR(E56/E55,"")</f>
        <v>0.61682011331444753</v>
      </c>
      <c r="F57" s="329" t="str">
        <f>IFERROR(IF(F56=0,"",F56/F55),"")</f>
        <v/>
      </c>
      <c r="G57" s="329" t="str">
        <f t="shared" ref="G57" si="115">IFERROR(IF(G56=0,"",G56/G55),"")</f>
        <v/>
      </c>
      <c r="H57" s="329" t="str">
        <f t="shared" ref="H57" si="116">IFERROR(IF(H56=0,"",H56/H55),"")</f>
        <v/>
      </c>
      <c r="I57" s="329" t="str">
        <f t="shared" ref="I57" si="117">IFERROR(IF(I56=0,"",I56/I55),"")</f>
        <v/>
      </c>
      <c r="J57" s="329" t="str">
        <f t="shared" ref="J57" si="118">IFERROR(IF(J56=0,"",J56/J55),"")</f>
        <v/>
      </c>
      <c r="K57" s="329" t="str">
        <f t="shared" ref="K57" si="119">IFERROR(IF(K56=0,"",K56/K55),"")</f>
        <v/>
      </c>
      <c r="L57" s="329" t="str">
        <f t="shared" ref="L57" si="120">IFERROR(IF(L56=0,"",L56/L55),"")</f>
        <v/>
      </c>
      <c r="M57" s="329" t="str">
        <f t="shared" ref="M57" si="121">IFERROR(IF(M56=0,"",M56/M55),"")</f>
        <v/>
      </c>
      <c r="N57" s="329" t="str">
        <f t="shared" ref="N57" si="122">IFERROR(IF(N56=0,"",N56/N55),"")</f>
        <v/>
      </c>
      <c r="O57" s="329" t="str">
        <f t="shared" ref="O57" si="123">IFERROR(IF(O56=0,"",O56/O55),"")</f>
        <v/>
      </c>
      <c r="P57" s="319" t="str">
        <f t="shared" ref="P57" si="124">IFERROR(IF(P56=0,"",P56/P55),"")</f>
        <v/>
      </c>
      <c r="Q57" s="316"/>
    </row>
    <row r="58" spans="1:22" s="221" customFormat="1">
      <c r="A58" s="224"/>
      <c r="B58" s="495"/>
      <c r="C58" s="220"/>
      <c r="D58" s="230" t="s">
        <v>270</v>
      </c>
      <c r="E58" s="320">
        <f>E57</f>
        <v>0.61682011331444753</v>
      </c>
      <c r="F58" s="321" t="str">
        <f>IFERROR(IF(F56=0,"",SUM($E56:F56)/SUM($E55:F55)),"")</f>
        <v/>
      </c>
      <c r="G58" s="321" t="str">
        <f>IFERROR(IF(G56=0,"",SUM($E56:G56)/SUM($E55:G55)),"")</f>
        <v/>
      </c>
      <c r="H58" s="321" t="str">
        <f>IFERROR(IF(H56=0,"",SUM($E56:H56)/SUM($E55:H55)),"")</f>
        <v/>
      </c>
      <c r="I58" s="321" t="str">
        <f>IFERROR(IF(I56=0,"",SUM($E56:I56)/SUM($E55:I55)),"")</f>
        <v/>
      </c>
      <c r="J58" s="321" t="str">
        <f>IFERROR(IF(J56=0,"",SUM($E56:J56)/SUM($E55:J55)),"")</f>
        <v/>
      </c>
      <c r="K58" s="321" t="str">
        <f>IFERROR(IF(K56=0,"",SUM($E56:K56)/SUM($E55:K55)),"")</f>
        <v/>
      </c>
      <c r="L58" s="321" t="str">
        <f>IFERROR(IF(L56=0,"",SUM($E56:L56)/SUM($E55:L55)),"")</f>
        <v/>
      </c>
      <c r="M58" s="321" t="str">
        <f>IFERROR(IF(M56=0,"",SUM($E56:M56)/SUM($E55:M55)),"")</f>
        <v/>
      </c>
      <c r="N58" s="321" t="str">
        <f>IFERROR(IF(N56=0,"",SUM($E56:N56)/SUM($E55:N55)),"")</f>
        <v/>
      </c>
      <c r="O58" s="321" t="str">
        <f>IFERROR(IF(O56=0,"",SUM($E56:O56)/SUM($E55:O55)),"")</f>
        <v/>
      </c>
      <c r="P58" s="322" t="str">
        <f>IFERROR(IF(P56=0,"",SUM($E56:P56)/SUM($E55:P55)),"")</f>
        <v/>
      </c>
      <c r="Q58" s="323"/>
      <c r="T58" s="163"/>
      <c r="U58" s="163"/>
      <c r="V58" s="163"/>
    </row>
    <row r="59" spans="1:22">
      <c r="A59" s="224"/>
      <c r="B59" s="495"/>
      <c r="C59" s="1" t="s">
        <v>43</v>
      </c>
      <c r="D59" s="229" t="s">
        <v>265</v>
      </c>
      <c r="E59" s="313">
        <f>計画集計!F47</f>
        <v>793</v>
      </c>
      <c r="F59" s="328">
        <f>計画集計!G47</f>
        <v>549</v>
      </c>
      <c r="G59" s="328">
        <f>計画集計!H47</f>
        <v>650</v>
      </c>
      <c r="H59" s="328">
        <f>計画集計!I47</f>
        <v>505</v>
      </c>
      <c r="I59" s="328">
        <f>計画集計!J47</f>
        <v>738</v>
      </c>
      <c r="J59" s="328">
        <f>計画集計!K47</f>
        <v>902</v>
      </c>
      <c r="K59" s="328">
        <f>計画集計!L47</f>
        <v>1093</v>
      </c>
      <c r="L59" s="328">
        <f>計画集計!M47</f>
        <v>522</v>
      </c>
      <c r="M59" s="328">
        <f>計画集計!N47</f>
        <v>435</v>
      </c>
      <c r="N59" s="328">
        <f>計画集計!O47</f>
        <v>569</v>
      </c>
      <c r="O59" s="328">
        <f>計画集計!P47</f>
        <v>507</v>
      </c>
      <c r="P59" s="315">
        <f>計画集計!Q47</f>
        <v>603</v>
      </c>
      <c r="Q59" s="316">
        <f t="shared" ref="Q59:Q60" si="125">SUM(E59:P59)</f>
        <v>7866</v>
      </c>
    </row>
    <row r="60" spans="1:22">
      <c r="A60" s="224"/>
      <c r="B60" s="495"/>
      <c r="D60" s="229" t="s">
        <v>267</v>
      </c>
      <c r="E60" s="313">
        <f>実績集計!F47</f>
        <v>468</v>
      </c>
      <c r="F60" s="328">
        <f>実績集計!G47</f>
        <v>0</v>
      </c>
      <c r="G60" s="328">
        <f>実績集計!H47</f>
        <v>0</v>
      </c>
      <c r="H60" s="328">
        <f>実績集計!I47</f>
        <v>0</v>
      </c>
      <c r="I60" s="328">
        <f>実績集計!J47</f>
        <v>0</v>
      </c>
      <c r="J60" s="328">
        <f>実績集計!K47</f>
        <v>0</v>
      </c>
      <c r="K60" s="328">
        <f>実績集計!L47</f>
        <v>0</v>
      </c>
      <c r="L60" s="328">
        <f>実績集計!M47</f>
        <v>0</v>
      </c>
      <c r="M60" s="328">
        <f>実績集計!N47</f>
        <v>0</v>
      </c>
      <c r="N60" s="328">
        <f>実績集計!O47</f>
        <v>0</v>
      </c>
      <c r="O60" s="328">
        <f>実績集計!P47</f>
        <v>0</v>
      </c>
      <c r="P60" s="315">
        <f>実績集計!Q47</f>
        <v>0</v>
      </c>
      <c r="Q60" s="316">
        <f t="shared" si="125"/>
        <v>468</v>
      </c>
    </row>
    <row r="61" spans="1:22">
      <c r="A61" s="224"/>
      <c r="B61" s="495"/>
      <c r="D61" s="229" t="s">
        <v>17</v>
      </c>
      <c r="E61" s="317">
        <f>IFERROR(E60/E59,"")</f>
        <v>0.5901639344262295</v>
      </c>
      <c r="F61" s="329" t="str">
        <f>IFERROR(IF(F60=0,"",F60/F59),"")</f>
        <v/>
      </c>
      <c r="G61" s="329" t="str">
        <f t="shared" ref="G61" si="126">IFERROR(IF(G60=0,"",G60/G59),"")</f>
        <v/>
      </c>
      <c r="H61" s="329" t="str">
        <f t="shared" ref="H61" si="127">IFERROR(IF(H60=0,"",H60/H59),"")</f>
        <v/>
      </c>
      <c r="I61" s="329" t="str">
        <f t="shared" ref="I61" si="128">IFERROR(IF(I60=0,"",I60/I59),"")</f>
        <v/>
      </c>
      <c r="J61" s="329" t="str">
        <f t="shared" ref="J61" si="129">IFERROR(IF(J60=0,"",J60/J59),"")</f>
        <v/>
      </c>
      <c r="K61" s="329" t="str">
        <f t="shared" ref="K61" si="130">IFERROR(IF(K60=0,"",K60/K59),"")</f>
        <v/>
      </c>
      <c r="L61" s="329" t="str">
        <f t="shared" ref="L61" si="131">IFERROR(IF(L60=0,"",L60/L59),"")</f>
        <v/>
      </c>
      <c r="M61" s="329" t="str">
        <f t="shared" ref="M61" si="132">IFERROR(IF(M60=0,"",M60/M59),"")</f>
        <v/>
      </c>
      <c r="N61" s="329" t="str">
        <f t="shared" ref="N61" si="133">IFERROR(IF(N60=0,"",N60/N59),"")</f>
        <v/>
      </c>
      <c r="O61" s="329" t="str">
        <f t="shared" ref="O61" si="134">IFERROR(IF(O60=0,"",O60/O59),"")</f>
        <v/>
      </c>
      <c r="P61" s="319" t="str">
        <f t="shared" ref="P61" si="135">IFERROR(IF(P60=0,"",P60/P59),"")</f>
        <v/>
      </c>
      <c r="Q61" s="316"/>
    </row>
    <row r="62" spans="1:22" s="221" customFormat="1">
      <c r="A62" s="224"/>
      <c r="B62" s="496"/>
      <c r="C62" s="176"/>
      <c r="D62" s="227" t="s">
        <v>270</v>
      </c>
      <c r="E62" s="330">
        <f>E61</f>
        <v>0.5901639344262295</v>
      </c>
      <c r="F62" s="331" t="str">
        <f>IFERROR(IF(F60=0,"",SUM($E60:F60)/SUM($E59:F59)),"")</f>
        <v/>
      </c>
      <c r="G62" s="331" t="str">
        <f>IFERROR(IF(G60=0,"",SUM($E60:G60)/SUM($E59:G59)),"")</f>
        <v/>
      </c>
      <c r="H62" s="331" t="str">
        <f>IFERROR(IF(H60=0,"",SUM($E60:H60)/SUM($E59:H59)),"")</f>
        <v/>
      </c>
      <c r="I62" s="331" t="str">
        <f>IFERROR(IF(I60=0,"",SUM($E60:I60)/SUM($E59:I59)),"")</f>
        <v/>
      </c>
      <c r="J62" s="331" t="str">
        <f>IFERROR(IF(J60=0,"",SUM($E60:J60)/SUM($E59:J59)),"")</f>
        <v/>
      </c>
      <c r="K62" s="331" t="str">
        <f>IFERROR(IF(K60=0,"",SUM($E60:K60)/SUM($E59:K59)),"")</f>
        <v/>
      </c>
      <c r="L62" s="331" t="str">
        <f>IFERROR(IF(L60=0,"",SUM($E60:L60)/SUM($E59:L59)),"")</f>
        <v/>
      </c>
      <c r="M62" s="331" t="str">
        <f>IFERROR(IF(M60=0,"",SUM($E60:M60)/SUM($E59:M59)),"")</f>
        <v/>
      </c>
      <c r="N62" s="331" t="str">
        <f>IFERROR(IF(N60=0,"",SUM($E60:N60)/SUM($E59:N59)),"")</f>
        <v/>
      </c>
      <c r="O62" s="331" t="str">
        <f>IFERROR(IF(O60=0,"",SUM($E60:O60)/SUM($E59:O59)),"")</f>
        <v/>
      </c>
      <c r="P62" s="332" t="str">
        <f>IFERROR(IF(P60=0,"",SUM($E60:P60)/SUM($E59:P59)),"")</f>
        <v/>
      </c>
      <c r="Q62" s="333"/>
      <c r="T62" s="163"/>
      <c r="U62" s="163"/>
      <c r="V62" s="163"/>
    </row>
    <row r="63" spans="1:22">
      <c r="A63" s="224"/>
      <c r="B63" s="495" t="s">
        <v>48</v>
      </c>
      <c r="C63" s="1" t="s">
        <v>44</v>
      </c>
      <c r="D63" s="229" t="s">
        <v>265</v>
      </c>
      <c r="E63" s="313">
        <f>計画集計!F51</f>
        <v>2030</v>
      </c>
      <c r="F63" s="314">
        <f>計画集計!G51</f>
        <v>4500</v>
      </c>
      <c r="G63" s="314">
        <f>計画集計!H51</f>
        <v>2450</v>
      </c>
      <c r="H63" s="314">
        <f>計画集計!I51</f>
        <v>3300</v>
      </c>
      <c r="I63" s="314">
        <f>計画集計!J51</f>
        <v>2780</v>
      </c>
      <c r="J63" s="314">
        <f>計画集計!K51</f>
        <v>4090</v>
      </c>
      <c r="K63" s="314">
        <f>計画集計!L51</f>
        <v>4040</v>
      </c>
      <c r="L63" s="314">
        <f>計画集計!M51</f>
        <v>3960</v>
      </c>
      <c r="M63" s="314">
        <f>計画集計!N51</f>
        <v>3300</v>
      </c>
      <c r="N63" s="314">
        <f>計画集計!O51</f>
        <v>3290</v>
      </c>
      <c r="O63" s="314">
        <f>計画集計!P51</f>
        <v>3500</v>
      </c>
      <c r="P63" s="315">
        <f>計画集計!Q51</f>
        <v>5570</v>
      </c>
      <c r="Q63" s="316">
        <f>SUM(E63:P63)</f>
        <v>42810</v>
      </c>
    </row>
    <row r="64" spans="1:22">
      <c r="A64" s="224"/>
      <c r="B64" s="495"/>
      <c r="D64" s="229" t="s">
        <v>267</v>
      </c>
      <c r="E64" s="313">
        <f ca="1">実績集計!F51</f>
        <v>1198.0541999999994</v>
      </c>
      <c r="F64" s="314">
        <f ca="1">実績集計!G51</f>
        <v>2861.2271100000007</v>
      </c>
      <c r="G64" s="314">
        <f ca="1">実績集計!H51</f>
        <v>1533.1831299999999</v>
      </c>
      <c r="H64" s="314">
        <f ca="1">実績集計!I51</f>
        <v>2460.6387000000004</v>
      </c>
      <c r="I64" s="314">
        <f ca="1">実績集計!J51</f>
        <v>2186.2535499999994</v>
      </c>
      <c r="J64" s="314">
        <f ca="1">実績集計!K51</f>
        <v>1806.2084000000004</v>
      </c>
      <c r="K64" s="314">
        <f ca="1">実績集計!L51</f>
        <v>5103.7117200000012</v>
      </c>
      <c r="L64" s="314">
        <f ca="1">実績集計!M51</f>
        <v>1308.9036500000007</v>
      </c>
      <c r="M64" s="314">
        <f ca="1">実績集計!N51</f>
        <v>3385.051379999999</v>
      </c>
      <c r="N64" s="314">
        <f ca="1">実績集計!O51</f>
        <v>948.25175999999988</v>
      </c>
      <c r="O64" s="314">
        <f ca="1">実績集計!P51</f>
        <v>0</v>
      </c>
      <c r="P64" s="315">
        <f ca="1">実績集計!Q51</f>
        <v>0</v>
      </c>
      <c r="Q64" s="316">
        <f t="shared" ref="Q64" ca="1" si="136">SUM(E64:P64)</f>
        <v>22791.4836</v>
      </c>
    </row>
    <row r="65" spans="1:22">
      <c r="A65" s="224"/>
      <c r="B65" s="495"/>
      <c r="D65" s="229" t="s">
        <v>17</v>
      </c>
      <c r="E65" s="317">
        <f ca="1">IFERROR(E64/E63,"")</f>
        <v>0.59017448275862039</v>
      </c>
      <c r="F65" s="318">
        <f ca="1">IFERROR(IF(F64=0,"",F64/F63),"")</f>
        <v>0.63582824666666682</v>
      </c>
      <c r="G65" s="318">
        <f t="shared" ref="G65" ca="1" si="137">IFERROR(IF(G64=0,"",G64/G63),"")</f>
        <v>0.62578903265306118</v>
      </c>
      <c r="H65" s="318">
        <f t="shared" ref="H65" ca="1" si="138">IFERROR(IF(H64=0,"",H64/H63),"")</f>
        <v>0.74564809090909101</v>
      </c>
      <c r="I65" s="318">
        <f t="shared" ref="I65" ca="1" si="139">IFERROR(IF(I64=0,"",I64/I63),"")</f>
        <v>0.78642214028776958</v>
      </c>
      <c r="J65" s="318">
        <f t="shared" ref="J65" ca="1" si="140">IFERROR(IF(J64=0,"",J64/J63),"")</f>
        <v>0.44161574572127149</v>
      </c>
      <c r="K65" s="318">
        <f t="shared" ref="K65" ca="1" si="141">IFERROR(IF(K64=0,"",K64/K63),"")</f>
        <v>1.26329498019802</v>
      </c>
      <c r="L65" s="318">
        <f t="shared" ref="L65" ca="1" si="142">IFERROR(IF(L64=0,"",L64/L63),"")</f>
        <v>0.33053122474747493</v>
      </c>
      <c r="M65" s="318">
        <f t="shared" ref="M65" ca="1" si="143">IFERROR(IF(M64=0,"",M64/M63),"")</f>
        <v>1.0257731454545451</v>
      </c>
      <c r="N65" s="318">
        <f t="shared" ref="N65" ca="1" si="144">IFERROR(IF(N64=0,"",N64/N63),"")</f>
        <v>0.28822241945288751</v>
      </c>
      <c r="O65" s="318" t="str">
        <f t="shared" ref="O65" ca="1" si="145">IFERROR(IF(O64=0,"",O64/O63),"")</f>
        <v/>
      </c>
      <c r="P65" s="319" t="str">
        <f t="shared" ref="P65" ca="1" si="146">IFERROR(IF(P64=0,"",P64/P63),"")</f>
        <v/>
      </c>
      <c r="Q65" s="316"/>
    </row>
    <row r="66" spans="1:22" s="221" customFormat="1">
      <c r="A66" s="224"/>
      <c r="B66" s="495"/>
      <c r="C66" s="220"/>
      <c r="D66" s="230" t="s">
        <v>270</v>
      </c>
      <c r="E66" s="320">
        <f ca="1">E65</f>
        <v>0.59017448275862039</v>
      </c>
      <c r="F66" s="321">
        <f ca="1">IFERROR(IF(F64=0,"",SUM($E64:F64)/SUM($E63:F63)),"")</f>
        <v>0.62163572894333852</v>
      </c>
      <c r="G66" s="321">
        <f ca="1">IFERROR(IF(G64=0,"",SUM($E64:G64)/SUM($E63:G63)),"")</f>
        <v>0.62276886859688196</v>
      </c>
      <c r="H66" s="321">
        <f ca="1">IFERROR(IF(H64=0,"",SUM($E64:H64)/SUM($E63:H63)),"")</f>
        <v>0.65579015798045603</v>
      </c>
      <c r="I66" s="321">
        <f ca="1">IFERROR(IF(I64=0,"",SUM($E64:I64)/SUM($E63:I63)),"")</f>
        <v>0.67990416268260301</v>
      </c>
      <c r="J66" s="321">
        <f ca="1">IFERROR(IF(J64=0,"",SUM($E64:J64)/SUM($E63:J63)),"")</f>
        <v>0.62901123185378593</v>
      </c>
      <c r="K66" s="321">
        <f ca="1">IFERROR(IF(K64=0,"",SUM($E64:K64)/SUM($E63:K63)),"")</f>
        <v>0.73951172100043139</v>
      </c>
      <c r="L66" s="321">
        <f ca="1">IFERROR(IF(L64=0,"",SUM($E64:L64)/SUM($E63:L63)),"")</f>
        <v>0.67985931712707193</v>
      </c>
      <c r="M66" s="321">
        <f ca="1">IFERROR(IF(M64=0,"",SUM($E64:M64)/SUM($E63:M63)),"")</f>
        <v>0.71734751527093599</v>
      </c>
      <c r="N66" s="321">
        <f ca="1">IFERROR(IF(N64=0,"",SUM($E64:N64)/SUM($E63:N63)),"")</f>
        <v>0.67550336692353286</v>
      </c>
      <c r="O66" s="321" t="str">
        <f ca="1">IFERROR(IF(O64=0,"",SUM($E64:O64)/SUM($E63:O63)),"")</f>
        <v/>
      </c>
      <c r="P66" s="322" t="str">
        <f ca="1">IFERROR(IF(P64=0,"",SUM($E64:P64)/SUM($E63:P63)),"")</f>
        <v/>
      </c>
      <c r="Q66" s="323"/>
      <c r="T66" s="163"/>
      <c r="U66" s="163"/>
      <c r="V66" s="163"/>
    </row>
    <row r="67" spans="1:22">
      <c r="A67" s="224"/>
      <c r="B67" s="495"/>
      <c r="C67" s="1" t="s">
        <v>45</v>
      </c>
      <c r="D67" s="229" t="s">
        <v>265</v>
      </c>
      <c r="E67" s="313">
        <f>計画集計!F55</f>
        <v>740</v>
      </c>
      <c r="F67" s="314">
        <f>計画集計!G55</f>
        <v>320</v>
      </c>
      <c r="G67" s="314">
        <f>計画集計!H55</f>
        <v>630</v>
      </c>
      <c r="H67" s="314">
        <f>計画集計!I55</f>
        <v>530</v>
      </c>
      <c r="I67" s="314">
        <f>計画集計!J55</f>
        <v>750</v>
      </c>
      <c r="J67" s="314">
        <f>計画集計!K55</f>
        <v>860</v>
      </c>
      <c r="K67" s="314">
        <f>計画集計!L55</f>
        <v>430</v>
      </c>
      <c r="L67" s="314">
        <f>計画集計!M55</f>
        <v>820</v>
      </c>
      <c r="M67" s="314">
        <f>計画集計!N55</f>
        <v>630</v>
      </c>
      <c r="N67" s="314">
        <f>計画集計!O55</f>
        <v>11850</v>
      </c>
      <c r="O67" s="314">
        <f>計画集計!P55</f>
        <v>690</v>
      </c>
      <c r="P67" s="315">
        <f>計画集計!Q55</f>
        <v>960</v>
      </c>
      <c r="Q67" s="316">
        <f t="shared" ref="Q67:Q68" si="147">SUM(E67:P67)</f>
        <v>19210</v>
      </c>
    </row>
    <row r="68" spans="1:22">
      <c r="A68" s="224"/>
      <c r="B68" s="495"/>
      <c r="D68" s="229" t="s">
        <v>267</v>
      </c>
      <c r="E68" s="313">
        <f ca="1">実績集計!F55</f>
        <v>771.58308629999988</v>
      </c>
      <c r="F68" s="314">
        <f ca="1">実績集計!G55</f>
        <v>967.45357690000117</v>
      </c>
      <c r="G68" s="314">
        <f ca="1">実績集計!H55</f>
        <v>1094.8427112999993</v>
      </c>
      <c r="H68" s="314">
        <f ca="1">実績集計!I55</f>
        <v>1248.5720699999993</v>
      </c>
      <c r="I68" s="314">
        <f ca="1">実績集計!J55</f>
        <v>1616.2252860000003</v>
      </c>
      <c r="J68" s="314">
        <f ca="1">実績集計!K55</f>
        <v>1268.1355535000002</v>
      </c>
      <c r="K68" s="314">
        <f ca="1">実績集計!L55</f>
        <v>755.93464159999837</v>
      </c>
      <c r="L68" s="314">
        <f ca="1">実績集計!M55</f>
        <v>512.66084389999946</v>
      </c>
      <c r="M68" s="314">
        <f ca="1">実績集計!N55</f>
        <v>1175.9101818000008</v>
      </c>
      <c r="N68" s="314">
        <f ca="1">実績集計!O55</f>
        <v>1191.7009353000008</v>
      </c>
      <c r="O68" s="314">
        <f ca="1">実績集計!P55</f>
        <v>0</v>
      </c>
      <c r="P68" s="315">
        <f ca="1">実績集計!Q55</f>
        <v>0</v>
      </c>
      <c r="Q68" s="316">
        <f t="shared" ca="1" si="147"/>
        <v>10603.018886600001</v>
      </c>
    </row>
    <row r="69" spans="1:22">
      <c r="A69" s="224"/>
      <c r="B69" s="495"/>
      <c r="D69" s="229" t="s">
        <v>17</v>
      </c>
      <c r="E69" s="317">
        <f ca="1">IFERROR(E68/E67,"")</f>
        <v>1.0426798463513511</v>
      </c>
      <c r="F69" s="318">
        <f ca="1">IFERROR(IF(F68=0,"",F68/F67),"")</f>
        <v>3.0232924278125037</v>
      </c>
      <c r="G69" s="318">
        <f t="shared" ref="G69" ca="1" si="148">IFERROR(IF(G68=0,"",G68/G67),"")</f>
        <v>1.7378455734920624</v>
      </c>
      <c r="H69" s="318">
        <f t="shared" ref="H69" ca="1" si="149">IFERROR(IF(H68=0,"",H68/H67),"")</f>
        <v>2.3557963584905646</v>
      </c>
      <c r="I69" s="318">
        <f t="shared" ref="I69" ca="1" si="150">IFERROR(IF(I68=0,"",I68/I67),"")</f>
        <v>2.1549670480000005</v>
      </c>
      <c r="J69" s="318">
        <f t="shared" ref="J69" ca="1" si="151">IFERROR(IF(J68=0,"",J68/J67),"")</f>
        <v>1.4745762250000003</v>
      </c>
      <c r="K69" s="318">
        <f t="shared" ref="K69" ca="1" si="152">IFERROR(IF(K68=0,"",K68/K67),"")</f>
        <v>1.7579875386046473</v>
      </c>
      <c r="L69" s="318">
        <f t="shared" ref="L69" ca="1" si="153">IFERROR(IF(L68=0,"",L68/L67),"")</f>
        <v>0.62519615109756033</v>
      </c>
      <c r="M69" s="318">
        <f t="shared" ref="M69" ca="1" si="154">IFERROR(IF(M68=0,"",M68/M67),"")</f>
        <v>1.8665240980952393</v>
      </c>
      <c r="N69" s="318">
        <f t="shared" ref="N69" ca="1" si="155">IFERROR(IF(N68=0,"",N68/N67),"")</f>
        <v>0.10056547977215197</v>
      </c>
      <c r="O69" s="318" t="str">
        <f t="shared" ref="O69" ca="1" si="156">IFERROR(IF(O68=0,"",O68/O67),"")</f>
        <v/>
      </c>
      <c r="P69" s="319" t="str">
        <f t="shared" ref="P69" ca="1" si="157">IFERROR(IF(P68=0,"",P68/P67),"")</f>
        <v/>
      </c>
      <c r="Q69" s="316"/>
    </row>
    <row r="70" spans="1:22" s="221" customFormat="1">
      <c r="A70" s="224"/>
      <c r="B70" s="495"/>
      <c r="C70" s="220"/>
      <c r="D70" s="230" t="s">
        <v>270</v>
      </c>
      <c r="E70" s="320">
        <f ca="1">E69</f>
        <v>1.0426798463513511</v>
      </c>
      <c r="F70" s="321">
        <f ca="1">IFERROR(IF(F68=0,"",SUM($E68:F68)/SUM($E67:F67)),"")</f>
        <v>1.6406006256603782</v>
      </c>
      <c r="G70" s="321">
        <f ca="1">IFERROR(IF(G68=0,"",SUM($E68:G68)/SUM($E67:G67)),"")</f>
        <v>1.6768517008875741</v>
      </c>
      <c r="H70" s="321">
        <f ca="1">IFERROR(IF(H68=0,"",SUM($E68:H68)/SUM($E67:H67)),"")</f>
        <v>1.8389420921171169</v>
      </c>
      <c r="I70" s="321">
        <f ca="1">IFERROR(IF(I68=0,"",SUM($E68:I68)/SUM($E67:I67)),"")</f>
        <v>1.9187463739057238</v>
      </c>
      <c r="J70" s="321">
        <f ca="1">IFERROR(IF(J68=0,"",SUM($E68:J68)/SUM($E67:J67)),"")</f>
        <v>1.8190110402088773</v>
      </c>
      <c r="K70" s="321">
        <f ca="1">IFERROR(IF(K68=0,"",SUM($E68:K68)/SUM($E67:K67)),"")</f>
        <v>1.812851390985915</v>
      </c>
      <c r="L70" s="321">
        <f ca="1">IFERROR(IF(L68=0,"",SUM($E68:L68)/SUM($E67:L67)),"")</f>
        <v>1.621143261712598</v>
      </c>
      <c r="M70" s="321">
        <f ca="1">IFERROR(IF(M68=0,"",SUM($E68:M68)/SUM($E67:M67)),"")</f>
        <v>1.6482168040805603</v>
      </c>
      <c r="N70" s="321">
        <f ca="1">IFERROR(IF(N68=0,"",SUM($E68:N68)/SUM($E67:N67)),"")</f>
        <v>0.60381656529612759</v>
      </c>
      <c r="O70" s="321" t="str">
        <f ca="1">IFERROR(IF(O68=0,"",SUM($E68:O68)/SUM($E67:O67)),"")</f>
        <v/>
      </c>
      <c r="P70" s="322" t="str">
        <f ca="1">IFERROR(IF(P68=0,"",SUM($E68:P68)/SUM($E67:P67)),"")</f>
        <v/>
      </c>
      <c r="Q70" s="323"/>
      <c r="T70" s="163"/>
      <c r="U70" s="163"/>
      <c r="V70" s="163"/>
    </row>
    <row r="71" spans="1:22">
      <c r="A71" s="224"/>
      <c r="B71" s="495"/>
      <c r="C71" s="1" t="s">
        <v>46</v>
      </c>
      <c r="D71" s="229" t="s">
        <v>265</v>
      </c>
      <c r="E71" s="313">
        <f>計画集計!F59</f>
        <v>640</v>
      </c>
      <c r="F71" s="314">
        <f>計画集計!G59</f>
        <v>4310</v>
      </c>
      <c r="G71" s="314">
        <f>計画集計!H59</f>
        <v>1050</v>
      </c>
      <c r="H71" s="314">
        <f>計画集計!I59</f>
        <v>1440</v>
      </c>
      <c r="I71" s="314">
        <f>計画集計!J59</f>
        <v>1500</v>
      </c>
      <c r="J71" s="314">
        <f>計画集計!K59</f>
        <v>1150</v>
      </c>
      <c r="K71" s="314">
        <f>計画集計!L59</f>
        <v>1030</v>
      </c>
      <c r="L71" s="314">
        <f>計画集計!M59</f>
        <v>770</v>
      </c>
      <c r="M71" s="314">
        <f>計画集計!N59</f>
        <v>1810</v>
      </c>
      <c r="N71" s="314">
        <f>計画集計!O59</f>
        <v>3460</v>
      </c>
      <c r="O71" s="314">
        <f>計画集計!P59</f>
        <v>2840</v>
      </c>
      <c r="P71" s="315">
        <f>計画集計!Q59</f>
        <v>2990</v>
      </c>
      <c r="Q71" s="316">
        <f t="shared" ref="Q71:Q72" si="158">SUM(E71:P71)</f>
        <v>22990</v>
      </c>
    </row>
    <row r="72" spans="1:22">
      <c r="A72" s="224"/>
      <c r="B72" s="495"/>
      <c r="D72" s="229" t="s">
        <v>267</v>
      </c>
      <c r="E72" s="313">
        <f ca="1">実績集計!F59</f>
        <v>1165.7852526999995</v>
      </c>
      <c r="F72" s="314">
        <f ca="1">実績集計!G59</f>
        <v>1009.1689787000004</v>
      </c>
      <c r="G72" s="314">
        <f ca="1">実績集計!H59</f>
        <v>618.89723580000009</v>
      </c>
      <c r="H72" s="314">
        <f ca="1">実績集計!I59</f>
        <v>1177.2895572</v>
      </c>
      <c r="I72" s="314">
        <f ca="1">実績集計!J59</f>
        <v>937.05317139999977</v>
      </c>
      <c r="J72" s="314">
        <f ca="1">実績集計!K59</f>
        <v>1150.5212813999999</v>
      </c>
      <c r="K72" s="314">
        <f ca="1">実績集計!L59</f>
        <v>1740.0340260000007</v>
      </c>
      <c r="L72" s="314">
        <f ca="1">実績集計!M59</f>
        <v>1801.0354028000002</v>
      </c>
      <c r="M72" s="314">
        <f ca="1">実績集計!N59</f>
        <v>1347.3581086999993</v>
      </c>
      <c r="N72" s="314">
        <f ca="1">実績集計!O59</f>
        <v>0</v>
      </c>
      <c r="O72" s="314">
        <f ca="1">実績集計!P59</f>
        <v>0</v>
      </c>
      <c r="P72" s="315">
        <f ca="1">実績集計!Q59</f>
        <v>0</v>
      </c>
      <c r="Q72" s="316">
        <f t="shared" ca="1" si="158"/>
        <v>10947.143014699999</v>
      </c>
    </row>
    <row r="73" spans="1:22">
      <c r="A73" s="224"/>
      <c r="B73" s="495"/>
      <c r="D73" s="229" t="s">
        <v>17</v>
      </c>
      <c r="E73" s="317">
        <f ca="1">IFERROR(E72/E71,"")</f>
        <v>1.8215394573437493</v>
      </c>
      <c r="F73" s="318">
        <f ca="1">IFERROR(IF(F72=0,"",F72/F71),"")</f>
        <v>0.23414593473317874</v>
      </c>
      <c r="G73" s="318">
        <f t="shared" ref="G73" ca="1" si="159">IFERROR(IF(G72=0,"",G72/G71),"")</f>
        <v>0.58942593885714289</v>
      </c>
      <c r="H73" s="318">
        <f t="shared" ref="H73" ca="1" si="160">IFERROR(IF(H72=0,"",H72/H71),"")</f>
        <v>0.81756219249999995</v>
      </c>
      <c r="I73" s="318">
        <f t="shared" ref="I73" ca="1" si="161">IFERROR(IF(I72=0,"",I72/I71),"")</f>
        <v>0.62470211426666655</v>
      </c>
      <c r="J73" s="318">
        <f t="shared" ref="J73" ca="1" si="162">IFERROR(IF(J72=0,"",J72/J71),"")</f>
        <v>1.000453288173913</v>
      </c>
      <c r="K73" s="318">
        <f t="shared" ref="K73" ca="1" si="163">IFERROR(IF(K72=0,"",K72/K71),"")</f>
        <v>1.6893534233009715</v>
      </c>
      <c r="L73" s="318">
        <f t="shared" ref="L73" ca="1" si="164">IFERROR(IF(L72=0,"",L72/L71),"")</f>
        <v>2.339007016623377</v>
      </c>
      <c r="M73" s="318">
        <f t="shared" ref="M73" ca="1" si="165">IFERROR(IF(M72=0,"",M72/M71),"")</f>
        <v>0.74439674513812115</v>
      </c>
      <c r="N73" s="318" t="str">
        <f t="shared" ref="N73" ca="1" si="166">IFERROR(IF(N72=0,"",N72/N71),"")</f>
        <v/>
      </c>
      <c r="O73" s="318" t="str">
        <f t="shared" ref="O73" ca="1" si="167">IFERROR(IF(O72=0,"",O72/O71),"")</f>
        <v/>
      </c>
      <c r="P73" s="319" t="str">
        <f t="shared" ref="P73" ca="1" si="168">IFERROR(IF(P72=0,"",P72/P71),"")</f>
        <v/>
      </c>
      <c r="Q73" s="316"/>
    </row>
    <row r="74" spans="1:22" s="221" customFormat="1">
      <c r="A74" s="224"/>
      <c r="B74" s="495"/>
      <c r="C74" s="220"/>
      <c r="D74" s="230" t="s">
        <v>270</v>
      </c>
      <c r="E74" s="320">
        <f ca="1">E73</f>
        <v>1.8215394573437493</v>
      </c>
      <c r="F74" s="321">
        <f ca="1">IFERROR(IF(F72=0,"",SUM($E72:F72)/SUM($E71:F71)),"")</f>
        <v>0.4393846932121212</v>
      </c>
      <c r="G74" s="321">
        <f ca="1">IFERROR(IF(G72=0,"",SUM($E72:G72)/SUM($E71:G71)),"")</f>
        <v>0.46564191120000004</v>
      </c>
      <c r="H74" s="321">
        <f ca="1">IFERROR(IF(H72=0,"",SUM($E72:H72)/SUM($E71:H71)),"")</f>
        <v>0.53375551403225807</v>
      </c>
      <c r="I74" s="321">
        <f ca="1">IFERROR(IF(I72=0,"",SUM($E72:I72)/SUM($E71:I71)),"")</f>
        <v>0.54901501071588366</v>
      </c>
      <c r="J74" s="321">
        <f ca="1">IFERROR(IF(J72=0,"",SUM($E72:J72)/SUM($E71:J71)),"")</f>
        <v>0.60046734164519322</v>
      </c>
      <c r="K74" s="321">
        <f ca="1">IFERROR(IF(K72=0,"",SUM($E72:K72)/SUM($E71:K71)),"")</f>
        <v>0.70132639417266196</v>
      </c>
      <c r="L74" s="321">
        <f ca="1">IFERROR(IF(L72=0,"",SUM($E72:L72)/SUM($E71:L71)),"")</f>
        <v>0.80738308713204376</v>
      </c>
      <c r="M74" s="321">
        <f ca="1">IFERROR(IF(M72=0,"",SUM($E72:M72)/SUM($E71:M71)),"")</f>
        <v>0.79906153391970802</v>
      </c>
      <c r="N74" s="321" t="str">
        <f ca="1">IFERROR(IF(N72=0,"",SUM($E72:N72)/SUM($E71:N71)),"")</f>
        <v/>
      </c>
      <c r="O74" s="321" t="str">
        <f ca="1">IFERROR(IF(O72=0,"",SUM($E72:O72)/SUM($E71:O71)),"")</f>
        <v/>
      </c>
      <c r="P74" s="322" t="str">
        <f ca="1">IFERROR(IF(P72=0,"",SUM($E72:P72)/SUM($E71:P71)),"")</f>
        <v/>
      </c>
      <c r="Q74" s="323"/>
      <c r="T74" s="163"/>
      <c r="U74" s="163"/>
      <c r="V74" s="163"/>
    </row>
    <row r="75" spans="1:22">
      <c r="A75" s="224"/>
      <c r="B75" s="495"/>
      <c r="C75" s="1" t="s">
        <v>142</v>
      </c>
      <c r="D75" s="229" t="s">
        <v>265</v>
      </c>
      <c r="E75" s="313">
        <f>計画集計!F63</f>
        <v>420</v>
      </c>
      <c r="F75" s="314">
        <f>計画集計!G63</f>
        <v>470</v>
      </c>
      <c r="G75" s="314">
        <f>計画集計!H63</f>
        <v>900</v>
      </c>
      <c r="H75" s="314">
        <f>計画集計!I63</f>
        <v>1240</v>
      </c>
      <c r="I75" s="314">
        <f>計画集計!J63</f>
        <v>1620</v>
      </c>
      <c r="J75" s="314">
        <f>計画集計!K63</f>
        <v>1960</v>
      </c>
      <c r="K75" s="314">
        <f>計画集計!L63</f>
        <v>520</v>
      </c>
      <c r="L75" s="314">
        <f>計画集計!M63</f>
        <v>360</v>
      </c>
      <c r="M75" s="314">
        <f>計画集計!N63</f>
        <v>450</v>
      </c>
      <c r="N75" s="314">
        <f>計画集計!O63</f>
        <v>770</v>
      </c>
      <c r="O75" s="314">
        <f>計画集計!P63</f>
        <v>950</v>
      </c>
      <c r="P75" s="315">
        <f>計画集計!Q63</f>
        <v>750</v>
      </c>
      <c r="Q75" s="316">
        <f t="shared" ref="Q75:Q76" si="169">SUM(E75:P75)</f>
        <v>10410</v>
      </c>
    </row>
    <row r="76" spans="1:22">
      <c r="A76" s="224"/>
      <c r="B76" s="495"/>
      <c r="C76" s="1" t="s">
        <v>117</v>
      </c>
      <c r="D76" s="229" t="s">
        <v>267</v>
      </c>
      <c r="E76" s="313">
        <f ca="1">実績集計!F63</f>
        <v>641.23277003999942</v>
      </c>
      <c r="F76" s="314">
        <f ca="1">実績集計!G63</f>
        <v>435.36445010999978</v>
      </c>
      <c r="G76" s="314">
        <f ca="1">実績集計!H63</f>
        <v>382.15405009999984</v>
      </c>
      <c r="H76" s="314">
        <f ca="1">実績集計!I63</f>
        <v>386.09429999999986</v>
      </c>
      <c r="I76" s="314">
        <f ca="1">実績集計!J63</f>
        <v>356.62000000000012</v>
      </c>
      <c r="J76" s="314">
        <f ca="1">実績集計!K63</f>
        <v>597.05999999999995</v>
      </c>
      <c r="K76" s="314">
        <f ca="1">実績集計!L63</f>
        <v>251.19099999999992</v>
      </c>
      <c r="L76" s="314">
        <f ca="1">実績集計!M63</f>
        <v>39.004999999999995</v>
      </c>
      <c r="M76" s="314">
        <f ca="1">実績集計!N63</f>
        <v>35.728999999999985</v>
      </c>
      <c r="N76" s="314">
        <f ca="1">実績集計!O63</f>
        <v>0</v>
      </c>
      <c r="O76" s="314">
        <f ca="1">実績集計!P63</f>
        <v>0</v>
      </c>
      <c r="P76" s="315">
        <f ca="1">実績集計!Q63</f>
        <v>0</v>
      </c>
      <c r="Q76" s="316">
        <f t="shared" ca="1" si="169"/>
        <v>3124.4505702499982</v>
      </c>
    </row>
    <row r="77" spans="1:22">
      <c r="A77" s="224"/>
      <c r="B77" s="495"/>
      <c r="D77" s="229" t="s">
        <v>17</v>
      </c>
      <c r="E77" s="317">
        <f ca="1">IFERROR(E76/E75,"")</f>
        <v>1.5267446905714273</v>
      </c>
      <c r="F77" s="318">
        <f ca="1">IFERROR(IF(F76=0,"",F76/F75),"")</f>
        <v>0.92630734065957399</v>
      </c>
      <c r="G77" s="318">
        <f t="shared" ref="G77" ca="1" si="170">IFERROR(IF(G76=0,"",G76/G75),"")</f>
        <v>0.42461561122222202</v>
      </c>
      <c r="H77" s="318">
        <f t="shared" ref="H77" ca="1" si="171">IFERROR(IF(H76=0,"",H76/H75),"")</f>
        <v>0.31136637096774183</v>
      </c>
      <c r="I77" s="318">
        <f t="shared" ref="I77" ca="1" si="172">IFERROR(IF(I76=0,"",I76/I75),"")</f>
        <v>0.22013580246913589</v>
      </c>
      <c r="J77" s="318">
        <f t="shared" ref="J77" ca="1" si="173">IFERROR(IF(J76=0,"",J76/J75),"")</f>
        <v>0.30462244897959179</v>
      </c>
      <c r="K77" s="318">
        <f t="shared" ref="K77" ca="1" si="174">IFERROR(IF(K76=0,"",K76/K75),"")</f>
        <v>0.48305961538461523</v>
      </c>
      <c r="L77" s="318">
        <f t="shared" ref="L77" ca="1" si="175">IFERROR(IF(L76=0,"",L76/L75),"")</f>
        <v>0.10834722222222221</v>
      </c>
      <c r="M77" s="318">
        <f t="shared" ref="M77" ca="1" si="176">IFERROR(IF(M76=0,"",M76/M75),"")</f>
        <v>7.9397777777777748E-2</v>
      </c>
      <c r="N77" s="318" t="str">
        <f t="shared" ref="N77" ca="1" si="177">IFERROR(IF(N76=0,"",N76/N75),"")</f>
        <v/>
      </c>
      <c r="O77" s="318" t="str">
        <f t="shared" ref="O77" ca="1" si="178">IFERROR(IF(O76=0,"",O76/O75),"")</f>
        <v/>
      </c>
      <c r="P77" s="319" t="str">
        <f t="shared" ref="P77" ca="1" si="179">IFERROR(IF(P76=0,"",P76/P75),"")</f>
        <v/>
      </c>
      <c r="Q77" s="316"/>
    </row>
    <row r="78" spans="1:22" s="221" customFormat="1">
      <c r="A78" s="224"/>
      <c r="B78" s="495"/>
      <c r="C78" s="220"/>
      <c r="D78" s="230" t="s">
        <v>270</v>
      </c>
      <c r="E78" s="320">
        <f ca="1">E77</f>
        <v>1.5267446905714273</v>
      </c>
      <c r="F78" s="321">
        <f ca="1">IFERROR(IF(F76=0,"",SUM($E76:F76)/SUM($E75:F75)),"")</f>
        <v>1.2096597979213475</v>
      </c>
      <c r="G78" s="321">
        <f ca="1">IFERROR(IF(G76=0,"",SUM($E76:G76)/SUM($E75:G75)),"")</f>
        <v>0.81494484371508324</v>
      </c>
      <c r="H78" s="321">
        <f ca="1">IFERROR(IF(H76=0,"",SUM($E76:H76)/SUM($E75:H75)),"")</f>
        <v>0.60885992417491708</v>
      </c>
      <c r="I78" s="321">
        <f ca="1">IFERROR(IF(I76=0,"",SUM($E76:I76)/SUM($E75:I75)),"")</f>
        <v>0.47343345596774161</v>
      </c>
      <c r="J78" s="321">
        <f ca="1">IFERROR(IF(J76=0,"",SUM($E76:J76)/SUM($E75:J75)),"")</f>
        <v>0.4233775446671707</v>
      </c>
      <c r="K78" s="321">
        <f ca="1">IFERROR(IF(K76=0,"",SUM($E76:K76)/SUM($E75:K75)),"")</f>
        <v>0.42773023425666173</v>
      </c>
      <c r="L78" s="321">
        <f ca="1">IFERROR(IF(L76=0,"",SUM($E76:L76)/SUM($E75:L75)),"")</f>
        <v>0.41237938187583423</v>
      </c>
      <c r="M78" s="321">
        <f ca="1">IFERROR(IF(M76=0,"",SUM($E76:M76)/SUM($E75:M75)),"")</f>
        <v>0.39350762849496201</v>
      </c>
      <c r="N78" s="321" t="str">
        <f ca="1">IFERROR(IF(N76=0,"",SUM($E76:N76)/SUM($E75:N75)),"")</f>
        <v/>
      </c>
      <c r="O78" s="321" t="str">
        <f ca="1">IFERROR(IF(O76=0,"",SUM($E76:O76)/SUM($E75:O75)),"")</f>
        <v/>
      </c>
      <c r="P78" s="322" t="str">
        <f ca="1">IFERROR(IF(P76=0,"",SUM($E76:P76)/SUM($E75:P75)),"")</f>
        <v/>
      </c>
      <c r="Q78" s="323"/>
      <c r="T78" s="163"/>
      <c r="U78" s="163"/>
      <c r="V78" s="163"/>
    </row>
    <row r="79" spans="1:22">
      <c r="A79" s="224"/>
      <c r="B79" s="495"/>
      <c r="C79" s="231" t="s">
        <v>140</v>
      </c>
      <c r="D79" s="233" t="s">
        <v>264</v>
      </c>
      <c r="E79" s="324">
        <f>計画集計!F67</f>
        <v>210</v>
      </c>
      <c r="F79" s="325">
        <f>計画集計!G67</f>
        <v>100</v>
      </c>
      <c r="G79" s="325">
        <f>計画集計!H67</f>
        <v>100</v>
      </c>
      <c r="H79" s="325">
        <f>計画集計!I67</f>
        <v>100</v>
      </c>
      <c r="I79" s="325">
        <f>計画集計!J67</f>
        <v>100</v>
      </c>
      <c r="J79" s="325">
        <f>計画集計!K67</f>
        <v>100</v>
      </c>
      <c r="K79" s="325">
        <f>計画集計!L67</f>
        <v>220</v>
      </c>
      <c r="L79" s="325">
        <f>計画集計!M67</f>
        <v>100</v>
      </c>
      <c r="M79" s="325">
        <f>計画集計!N67</f>
        <v>100</v>
      </c>
      <c r="N79" s="325">
        <f>計画集計!O67</f>
        <v>100</v>
      </c>
      <c r="O79" s="325">
        <f>計画集計!P67</f>
        <v>100</v>
      </c>
      <c r="P79" s="326">
        <f>計画集計!Q67</f>
        <v>250</v>
      </c>
      <c r="Q79" s="327">
        <f t="shared" ref="Q79:Q80" si="180">SUM(E79:P79)</f>
        <v>1580</v>
      </c>
    </row>
    <row r="80" spans="1:22">
      <c r="A80" s="224"/>
      <c r="B80" s="495"/>
      <c r="C80" s="1" t="s">
        <v>141</v>
      </c>
      <c r="D80" s="229" t="s">
        <v>266</v>
      </c>
      <c r="E80" s="313">
        <f ca="1">実績集計!F67</f>
        <v>112.29118399999994</v>
      </c>
      <c r="F80" s="328">
        <f ca="1">実績集計!G67</f>
        <v>0</v>
      </c>
      <c r="G80" s="328">
        <f ca="1">実績集計!H67</f>
        <v>118.31513400000034</v>
      </c>
      <c r="H80" s="328">
        <f ca="1">実績集計!I67</f>
        <v>0</v>
      </c>
      <c r="I80" s="328">
        <f ca="1">実績集計!J67</f>
        <v>0</v>
      </c>
      <c r="J80" s="328">
        <f ca="1">実績集計!K67</f>
        <v>0</v>
      </c>
      <c r="K80" s="328">
        <f ca="1">実績集計!L67</f>
        <v>0</v>
      </c>
      <c r="L80" s="328">
        <f ca="1">実績集計!M67</f>
        <v>110.53999999999996</v>
      </c>
      <c r="M80" s="328">
        <f ca="1">実績集計!N67</f>
        <v>0</v>
      </c>
      <c r="N80" s="328">
        <f ca="1">実績集計!O67</f>
        <v>0</v>
      </c>
      <c r="O80" s="328">
        <f ca="1">実績集計!P67</f>
        <v>0</v>
      </c>
      <c r="P80" s="315">
        <f ca="1">実績集計!Q67</f>
        <v>0</v>
      </c>
      <c r="Q80" s="316">
        <f t="shared" ca="1" si="180"/>
        <v>341.14631800000024</v>
      </c>
    </row>
    <row r="81" spans="1:22">
      <c r="A81" s="224"/>
      <c r="B81" s="495"/>
      <c r="D81" s="229" t="s">
        <v>268</v>
      </c>
      <c r="E81" s="317">
        <f ca="1">IFERROR(E80/E79,"")</f>
        <v>0.53471992380952349</v>
      </c>
      <c r="F81" s="329" t="str">
        <f ca="1">IFERROR(IF(F80=0,"",F80/F79),"")</f>
        <v/>
      </c>
      <c r="G81" s="329">
        <f t="shared" ref="G81" ca="1" si="181">IFERROR(IF(G80=0,"",G80/G79),"")</f>
        <v>1.1831513400000033</v>
      </c>
      <c r="H81" s="329" t="str">
        <f t="shared" ref="H81" ca="1" si="182">IFERROR(IF(H80=0,"",H80/H79),"")</f>
        <v/>
      </c>
      <c r="I81" s="329" t="str">
        <f t="shared" ref="I81" ca="1" si="183">IFERROR(IF(I80=0,"",I80/I79),"")</f>
        <v/>
      </c>
      <c r="J81" s="329" t="str">
        <f t="shared" ref="J81" ca="1" si="184">IFERROR(IF(J80=0,"",J80/J79),"")</f>
        <v/>
      </c>
      <c r="K81" s="329" t="str">
        <f t="shared" ref="K81" ca="1" si="185">IFERROR(IF(K80=0,"",K80/K79),"")</f>
        <v/>
      </c>
      <c r="L81" s="329">
        <f t="shared" ref="L81" ca="1" si="186">IFERROR(IF(L80=0,"",L80/L79),"")</f>
        <v>1.1053999999999997</v>
      </c>
      <c r="M81" s="329" t="str">
        <f t="shared" ref="M81" ca="1" si="187">IFERROR(IF(M80=0,"",M80/M79),"")</f>
        <v/>
      </c>
      <c r="N81" s="329" t="str">
        <f t="shared" ref="N81" ca="1" si="188">IFERROR(IF(N80=0,"",N80/N79),"")</f>
        <v/>
      </c>
      <c r="O81" s="329" t="str">
        <f t="shared" ref="O81" ca="1" si="189">IFERROR(IF(O80=0,"",O80/O79),"")</f>
        <v/>
      </c>
      <c r="P81" s="319" t="str">
        <f t="shared" ref="P81" ca="1" si="190">IFERROR(IF(P80=0,"",P80/P79),"")</f>
        <v/>
      </c>
      <c r="Q81" s="316"/>
    </row>
    <row r="82" spans="1:22" s="221" customFormat="1">
      <c r="A82" s="224"/>
      <c r="B82" s="496"/>
      <c r="C82" s="176"/>
      <c r="D82" s="227" t="s">
        <v>269</v>
      </c>
      <c r="E82" s="330">
        <f ca="1">E81</f>
        <v>0.53471992380952349</v>
      </c>
      <c r="F82" s="331" t="str">
        <f ca="1">IFERROR(IF(F80=0,"",SUM($E80:F80)/SUM($E79:F79)),"")</f>
        <v/>
      </c>
      <c r="G82" s="331">
        <f ca="1">IFERROR(IF(G80=0,"",SUM($E80:G80)/SUM($E79:G79)),"")</f>
        <v>0.56245443414634211</v>
      </c>
      <c r="H82" s="331" t="str">
        <f ca="1">IFERROR(IF(H80=0,"",SUM($E80:H80)/SUM($E79:H79)),"")</f>
        <v/>
      </c>
      <c r="I82" s="331" t="str">
        <f ca="1">IFERROR(IF(I80=0,"",SUM($E80:I80)/SUM($E79:I79)),"")</f>
        <v/>
      </c>
      <c r="J82" s="331" t="str">
        <f ca="1">IFERROR(IF(J80=0,"",SUM($E80:J80)/SUM($E79:J79)),"")</f>
        <v/>
      </c>
      <c r="K82" s="331" t="str">
        <f ca="1">IFERROR(IF(K80=0,"",SUM($E80:K80)/SUM($E79:K79)),"")</f>
        <v/>
      </c>
      <c r="L82" s="331">
        <f ca="1">IFERROR(IF(L80=0,"",SUM($E80:L80)/SUM($E79:L79)),"")</f>
        <v>0.33121001747572837</v>
      </c>
      <c r="M82" s="331" t="str">
        <f ca="1">IFERROR(IF(M80=0,"",SUM($E80:M80)/SUM($E79:M79)),"")</f>
        <v/>
      </c>
      <c r="N82" s="331" t="str">
        <f ca="1">IFERROR(IF(N80=0,"",SUM($E80:N80)/SUM($E79:N79)),"")</f>
        <v/>
      </c>
      <c r="O82" s="331" t="str">
        <f ca="1">IFERROR(IF(O80=0,"",SUM($E80:O80)/SUM($E79:O79)),"")</f>
        <v/>
      </c>
      <c r="P82" s="332" t="str">
        <f ca="1">IFERROR(IF(P80=0,"",SUM($E80:P80)/SUM($E79:P79)),"")</f>
        <v/>
      </c>
      <c r="Q82" s="333"/>
      <c r="T82" s="163"/>
      <c r="U82" s="163"/>
      <c r="V82" s="163"/>
    </row>
    <row r="83" spans="1:22">
      <c r="A83" s="224"/>
      <c r="B83" s="489" t="s">
        <v>281</v>
      </c>
      <c r="C83" s="490"/>
      <c r="D83" s="225" t="s">
        <v>284</v>
      </c>
      <c r="E83" s="334">
        <f>SUM(E51,E55,E59)</f>
        <v>3826</v>
      </c>
      <c r="F83" s="335">
        <f t="shared" ref="F83:P83" si="191">SUM(F51,F55,F59)</f>
        <v>3558.41</v>
      </c>
      <c r="G83" s="335">
        <f t="shared" si="191"/>
        <v>3716.09</v>
      </c>
      <c r="H83" s="335">
        <f t="shared" si="191"/>
        <v>3982.71</v>
      </c>
      <c r="I83" s="335">
        <f t="shared" si="191"/>
        <v>4356.3999999999996</v>
      </c>
      <c r="J83" s="335">
        <f t="shared" si="191"/>
        <v>4274.62</v>
      </c>
      <c r="K83" s="335">
        <f t="shared" si="191"/>
        <v>3977.4</v>
      </c>
      <c r="L83" s="335">
        <f t="shared" si="191"/>
        <v>3610.92</v>
      </c>
      <c r="M83" s="335">
        <f t="shared" si="191"/>
        <v>3679.35</v>
      </c>
      <c r="N83" s="335">
        <f t="shared" si="191"/>
        <v>3682.7200000000003</v>
      </c>
      <c r="O83" s="335">
        <f t="shared" si="191"/>
        <v>3401.04</v>
      </c>
      <c r="P83" s="336">
        <f t="shared" si="191"/>
        <v>4068.73</v>
      </c>
      <c r="Q83" s="337">
        <f>SUM(E83:P83)</f>
        <v>46134.390000000007</v>
      </c>
    </row>
    <row r="84" spans="1:22">
      <c r="A84" s="224"/>
      <c r="B84" s="491"/>
      <c r="C84" s="492"/>
      <c r="D84" s="226" t="s">
        <v>286</v>
      </c>
      <c r="E84" s="338">
        <f>SUM(E52,E56,E60)</f>
        <v>2418.3813199999995</v>
      </c>
      <c r="F84" s="339">
        <f t="shared" ref="F84:P84" si="192">SUM(F52,F56,F60)</f>
        <v>0</v>
      </c>
      <c r="G84" s="339">
        <f t="shared" si="192"/>
        <v>0</v>
      </c>
      <c r="H84" s="339">
        <f t="shared" si="192"/>
        <v>0</v>
      </c>
      <c r="I84" s="339">
        <f t="shared" si="192"/>
        <v>0</v>
      </c>
      <c r="J84" s="339">
        <f t="shared" si="192"/>
        <v>0</v>
      </c>
      <c r="K84" s="339">
        <f t="shared" si="192"/>
        <v>0</v>
      </c>
      <c r="L84" s="339">
        <f t="shared" si="192"/>
        <v>0</v>
      </c>
      <c r="M84" s="339">
        <f t="shared" si="192"/>
        <v>0</v>
      </c>
      <c r="N84" s="339">
        <f t="shared" si="192"/>
        <v>0</v>
      </c>
      <c r="O84" s="339">
        <f t="shared" si="192"/>
        <v>0</v>
      </c>
      <c r="P84" s="340">
        <f t="shared" si="192"/>
        <v>0</v>
      </c>
      <c r="Q84" s="341">
        <f>SUM(E84:P84)</f>
        <v>2418.3813199999995</v>
      </c>
    </row>
    <row r="85" spans="1:22">
      <c r="A85" s="224"/>
      <c r="B85" s="491"/>
      <c r="C85" s="492"/>
      <c r="D85" s="226" t="s">
        <v>285</v>
      </c>
      <c r="E85" s="338"/>
      <c r="F85" s="339"/>
      <c r="G85" s="339"/>
      <c r="H85" s="339"/>
      <c r="I85" s="339"/>
      <c r="J85" s="339"/>
      <c r="K85" s="339"/>
      <c r="L85" s="339"/>
      <c r="M85" s="339"/>
      <c r="N85" s="339"/>
      <c r="O85" s="339"/>
      <c r="P85" s="340"/>
      <c r="Q85" s="342">
        <f>SUM(E85:P85)</f>
        <v>0</v>
      </c>
    </row>
    <row r="86" spans="1:22">
      <c r="A86" s="224"/>
      <c r="B86" s="491"/>
      <c r="C86" s="492"/>
      <c r="D86" s="226" t="s">
        <v>287</v>
      </c>
      <c r="E86" s="343">
        <f>IFERROR(IF(E84=0,"",IF(E85="",E84/E83,E85/E83)),"")</f>
        <v>0.63209130162049121</v>
      </c>
      <c r="F86" s="344" t="str">
        <f t="shared" ref="F86" si="193">IFERROR(IF(F84=0,"",IF(F85="",F84/F83,F85/F83)),"")</f>
        <v/>
      </c>
      <c r="G86" s="344" t="str">
        <f t="shared" ref="G86" si="194">IFERROR(IF(G84=0,"",IF(G85="",G84/G83,G85/G83)),"")</f>
        <v/>
      </c>
      <c r="H86" s="344" t="str">
        <f t="shared" ref="H86" si="195">IFERROR(IF(H84=0,"",IF(H85="",H84/H83,H85/H83)),"")</f>
        <v/>
      </c>
      <c r="I86" s="344" t="str">
        <f t="shared" ref="I86" si="196">IFERROR(IF(I84=0,"",IF(I85="",I84/I83,I85/I83)),"")</f>
        <v/>
      </c>
      <c r="J86" s="344" t="str">
        <f t="shared" ref="J86" si="197">IFERROR(IF(J84=0,"",IF(J85="",J84/J83,J85/J83)),"")</f>
        <v/>
      </c>
      <c r="K86" s="344" t="str">
        <f t="shared" ref="K86" si="198">IFERROR(IF(K84=0,"",IF(K85="",K84/K83,K85/K83)),"")</f>
        <v/>
      </c>
      <c r="L86" s="344" t="str">
        <f t="shared" ref="L86" si="199">IFERROR(IF(L84=0,"",IF(L85="",L84/L83,L85/L83)),"")</f>
        <v/>
      </c>
      <c r="M86" s="344" t="str">
        <f t="shared" ref="M86" si="200">IFERROR(IF(M84=0,"",IF(M85="",M84/M83,M85/M83)),"")</f>
        <v/>
      </c>
      <c r="N86" s="344" t="str">
        <f t="shared" ref="N86" si="201">IFERROR(IF(N84=0,"",IF(N85="",N84/N83,N85/N83)),"")</f>
        <v/>
      </c>
      <c r="O86" s="344" t="str">
        <f t="shared" ref="O86" si="202">IFERROR(IF(O84=0,"",IF(O85="",O84/O83,O85/O83)),"")</f>
        <v/>
      </c>
      <c r="P86" s="345" t="str">
        <f t="shared" ref="P86" si="203">IFERROR(IF(P84=0,"",IF(P85="",P84/P83,P85/P83)),"")</f>
        <v/>
      </c>
      <c r="Q86" s="341"/>
    </row>
    <row r="87" spans="1:22">
      <c r="A87" s="224"/>
      <c r="B87" s="493"/>
      <c r="C87" s="494"/>
      <c r="D87" s="227" t="s">
        <v>288</v>
      </c>
      <c r="E87" s="330">
        <f>E86</f>
        <v>0.63209130162049121</v>
      </c>
      <c r="F87" s="331">
        <f>IFERROR(IF(F85="",SUM($E84:F84)/SUM($E83:F83),SUM($E85:F85)/SUM($E83:F83)),"")</f>
        <v>0.32749824562828983</v>
      </c>
      <c r="G87" s="331">
        <f>IFERROR(IF(G85="",SUM($E84:G84)/SUM($E83:G83),SUM($E85:G85)/SUM($E83:G83)),"")</f>
        <v>0.21786237737038869</v>
      </c>
      <c r="H87" s="331">
        <f>IFERROR(IF(H85="",SUM($E84:H84)/SUM($E83:H83),SUM($E85:H85)/SUM($E83:H83)),"")</f>
        <v>0.16033598418373807</v>
      </c>
      <c r="I87" s="331">
        <f>IFERROR(IF(I85="",SUM($E84:I84)/SUM($E83:I83),SUM($E85:I85)/SUM($E83:I83)),"")</f>
        <v>0.12440482705157148</v>
      </c>
      <c r="J87" s="331">
        <f>IFERROR(IF(J85="",SUM($E84:J84)/SUM($E83:J83),SUM($E85:J85)/SUM($E83:J83)),"")</f>
        <v>0.10198017477269974</v>
      </c>
      <c r="K87" s="331">
        <f>IFERROR(IF(K85="",SUM($E84:K84)/SUM($E83:K83),SUM($E85:K85)/SUM($E83:K83)),"")</f>
        <v>8.7332573777708256E-2</v>
      </c>
      <c r="L87" s="331">
        <f>IFERROR(IF(L85="",SUM($E84:L84)/SUM($E83:L83),SUM($E85:L85)/SUM($E83:L83)),"")</f>
        <v>7.725828470843428E-2</v>
      </c>
      <c r="M87" s="331">
        <f>IFERROR(IF(M85="",SUM($E84:M84)/SUM($E83:M83),SUM($E85:M85)/SUM($E83:M83)),"")</f>
        <v>6.9132360449260882E-2</v>
      </c>
      <c r="N87" s="331">
        <f>IFERROR(IF(N85="",SUM($E84:N84)/SUM($E83:N83),SUM($E85:N85)/SUM($E83:N83)),"")</f>
        <v>6.2547655194852544E-2</v>
      </c>
      <c r="O87" s="331">
        <f>IFERROR(IF(O85="",SUM($E84:O84)/SUM($E83:O83),SUM($E85:O85)/SUM($E83:O83)),"")</f>
        <v>5.7490630599876462E-2</v>
      </c>
      <c r="P87" s="332">
        <f>IFERROR(IF(P85="",SUM($E84:P84)/SUM($E83:P83),SUM($E85:P85)/SUM($E83:P83)),"")</f>
        <v>5.242035973598002E-2</v>
      </c>
      <c r="Q87" s="346"/>
    </row>
    <row r="88" spans="1:22">
      <c r="A88" s="224"/>
      <c r="B88" s="489" t="s">
        <v>282</v>
      </c>
      <c r="C88" s="490"/>
      <c r="D88" s="225" t="s">
        <v>284</v>
      </c>
      <c r="E88" s="334">
        <f>SUM(E63,E67,E71,E75,E79)</f>
        <v>4040</v>
      </c>
      <c r="F88" s="335">
        <f t="shared" ref="F88:P88" si="204">SUM(F63,F67,F71,F75,F79)</f>
        <v>9700</v>
      </c>
      <c r="G88" s="335">
        <f t="shared" si="204"/>
        <v>5130</v>
      </c>
      <c r="H88" s="335">
        <f t="shared" si="204"/>
        <v>6610</v>
      </c>
      <c r="I88" s="335">
        <f t="shared" si="204"/>
        <v>6750</v>
      </c>
      <c r="J88" s="335">
        <f t="shared" si="204"/>
        <v>8160</v>
      </c>
      <c r="K88" s="335">
        <f t="shared" si="204"/>
        <v>6240</v>
      </c>
      <c r="L88" s="335">
        <f t="shared" si="204"/>
        <v>6010</v>
      </c>
      <c r="M88" s="335">
        <f t="shared" si="204"/>
        <v>6290</v>
      </c>
      <c r="N88" s="335">
        <f t="shared" si="204"/>
        <v>19470</v>
      </c>
      <c r="O88" s="335">
        <f t="shared" si="204"/>
        <v>8080</v>
      </c>
      <c r="P88" s="336">
        <f t="shared" si="204"/>
        <v>10520</v>
      </c>
      <c r="Q88" s="337">
        <f>SUM(E88:P88)</f>
        <v>97000</v>
      </c>
    </row>
    <row r="89" spans="1:22">
      <c r="A89" s="224"/>
      <c r="B89" s="491"/>
      <c r="C89" s="492"/>
      <c r="D89" s="226" t="s">
        <v>286</v>
      </c>
      <c r="E89" s="338">
        <f ca="1">SUM(E64,E68,E72,E76,E80)</f>
        <v>3888.9464930399986</v>
      </c>
      <c r="F89" s="339">
        <f t="shared" ref="F89:P89" ca="1" si="205">SUM(F64,F68,F72,F76,F80)</f>
        <v>5273.2141157100023</v>
      </c>
      <c r="G89" s="339">
        <f t="shared" ca="1" si="205"/>
        <v>3747.3922611999997</v>
      </c>
      <c r="H89" s="339">
        <f t="shared" ca="1" si="205"/>
        <v>5272.5946271999992</v>
      </c>
      <c r="I89" s="339">
        <f t="shared" ca="1" si="205"/>
        <v>5096.1520073999991</v>
      </c>
      <c r="J89" s="339">
        <f t="shared" ca="1" si="205"/>
        <v>4821.9252348999999</v>
      </c>
      <c r="K89" s="339">
        <f t="shared" ca="1" si="205"/>
        <v>7850.8713875999993</v>
      </c>
      <c r="L89" s="339">
        <f t="shared" ca="1" si="205"/>
        <v>3772.1448967000006</v>
      </c>
      <c r="M89" s="339">
        <f t="shared" ca="1" si="205"/>
        <v>5944.0486704999994</v>
      </c>
      <c r="N89" s="339">
        <f t="shared" ca="1" si="205"/>
        <v>2139.9526953000004</v>
      </c>
      <c r="O89" s="339">
        <f t="shared" ca="1" si="205"/>
        <v>0</v>
      </c>
      <c r="P89" s="340">
        <f t="shared" ca="1" si="205"/>
        <v>0</v>
      </c>
      <c r="Q89" s="341">
        <f ca="1">SUM(E89:P89)</f>
        <v>47807.242389550003</v>
      </c>
    </row>
    <row r="90" spans="1:22">
      <c r="A90" s="224"/>
      <c r="B90" s="491"/>
      <c r="C90" s="492"/>
      <c r="D90" s="226" t="s">
        <v>285</v>
      </c>
      <c r="E90" s="338"/>
      <c r="F90" s="339"/>
      <c r="G90" s="339"/>
      <c r="H90" s="339"/>
      <c r="I90" s="339"/>
      <c r="J90" s="339"/>
      <c r="K90" s="339"/>
      <c r="L90" s="339"/>
      <c r="M90" s="339"/>
      <c r="N90" s="339"/>
      <c r="O90" s="339"/>
      <c r="P90" s="340"/>
      <c r="Q90" s="341">
        <f>SUM(E90:P90)</f>
        <v>0</v>
      </c>
    </row>
    <row r="91" spans="1:22">
      <c r="A91" s="224"/>
      <c r="B91" s="491"/>
      <c r="C91" s="492"/>
      <c r="D91" s="226" t="s">
        <v>287</v>
      </c>
      <c r="E91" s="343">
        <f ca="1">IFERROR(IF(E89=0,"",IF(E90="",E89/E88,E90/E88)),"")</f>
        <v>0.96261051807920761</v>
      </c>
      <c r="F91" s="344">
        <f t="shared" ref="F91" ca="1" si="206">IFERROR(IF(F89=0,"",IF(F90="",F89/F88,F90/F88)),"")</f>
        <v>0.54363032120721677</v>
      </c>
      <c r="G91" s="344">
        <f t="shared" ref="G91" ca="1" si="207">IFERROR(IF(G89=0,"",IF(G90="",G89/G88,G90/G88)),"")</f>
        <v>0.73048582089668612</v>
      </c>
      <c r="H91" s="344">
        <f t="shared" ref="H91" ca="1" si="208">IFERROR(IF(H89=0,"",IF(H90="",H89/H88,H90/H88)),"")</f>
        <v>0.7976693838426625</v>
      </c>
      <c r="I91" s="344">
        <f t="shared" ref="I91" ca="1" si="209">IFERROR(IF(I89=0,"",IF(I90="",I89/I88,I90/I88)),"")</f>
        <v>0.75498548257777764</v>
      </c>
      <c r="J91" s="344">
        <f t="shared" ref="J91" ca="1" si="210">IFERROR(IF(J89=0,"",IF(J90="",J89/J88,J90/J88)),"")</f>
        <v>0.59092221015931368</v>
      </c>
      <c r="K91" s="344">
        <f t="shared" ref="K91" ca="1" si="211">IFERROR(IF(K89=0,"",IF(K90="",K89/K88,K90/K88)),"")</f>
        <v>1.2581524659615384</v>
      </c>
      <c r="L91" s="344">
        <f t="shared" ref="L91" ca="1" si="212">IFERROR(IF(L89=0,"",IF(L90="",L89/L88,L90/L88)),"")</f>
        <v>0.62764474154742111</v>
      </c>
      <c r="M91" s="344">
        <f t="shared" ref="M91" ca="1" si="213">IFERROR(IF(M89=0,"",IF(M90="",M89/M88,M90/M88)),"")</f>
        <v>0.94499978863275025</v>
      </c>
      <c r="N91" s="344">
        <f t="shared" ref="N91" ca="1" si="214">IFERROR(IF(N89=0,"",IF(N90="",N89/N88,N90/N88)),"")</f>
        <v>0.10991025656394456</v>
      </c>
      <c r="O91" s="344" t="str">
        <f t="shared" ref="O91" ca="1" si="215">IFERROR(IF(O89=0,"",IF(O90="",O89/O88,O90/O88)),"")</f>
        <v/>
      </c>
      <c r="P91" s="345" t="str">
        <f t="shared" ref="P91" ca="1" si="216">IFERROR(IF(P89=0,"",IF(P90="",P89/P88,P90/P88)),"")</f>
        <v/>
      </c>
      <c r="Q91" s="341"/>
    </row>
    <row r="92" spans="1:22">
      <c r="A92" s="224"/>
      <c r="B92" s="493"/>
      <c r="C92" s="494"/>
      <c r="D92" s="227" t="s">
        <v>288</v>
      </c>
      <c r="E92" s="330">
        <f ca="1">E91</f>
        <v>0.96261051807920761</v>
      </c>
      <c r="F92" s="331">
        <f ca="1">IFERROR(IF(F90="",SUM($E89:F89)/SUM($E88:F88),SUM($E90:F90)/SUM($E88:F88)),"")</f>
        <v>0.66682391621179038</v>
      </c>
      <c r="G92" s="331">
        <f ca="1">IFERROR(IF(G90="",SUM($E89:G89)/SUM($E88:G88),SUM($E90:G90)/SUM($E88:G88)),"")</f>
        <v>0.68413104769210387</v>
      </c>
      <c r="H92" s="331">
        <f ca="1">IFERROR(IF(H90="",SUM($E89:H89)/SUM($E88:H88),SUM($E90:H90)/SUM($E88:H88)),"")</f>
        <v>0.71358506660714283</v>
      </c>
      <c r="I92" s="331">
        <f ca="1">IFERROR(IF(I90="",SUM($E89:I89)/SUM($E88:I88),SUM($E90:I90)/SUM($E88:I88)),"")</f>
        <v>0.72225564705398693</v>
      </c>
      <c r="J92" s="331">
        <f ca="1">IFERROR(IF(J90="",SUM($E89:J89)/SUM($E88:J88),SUM($E90:J90)/SUM($E88:J88)),"")</f>
        <v>0.69572232580960636</v>
      </c>
      <c r="K92" s="331">
        <f ca="1">IFERROR(IF(K90="",SUM($E89:K89)/SUM($E88:K88),SUM($E90:K90)/SUM($E88:K88)),"")</f>
        <v>0.77098640632747151</v>
      </c>
      <c r="L92" s="331">
        <f ca="1">IFERROR(IF(L90="",SUM($E89:L89)/SUM($E88:L88),SUM($E90:L90)/SUM($E88:L88)),"")</f>
        <v>0.75462084011683128</v>
      </c>
      <c r="M92" s="331">
        <f ca="1">IFERROR(IF(M90="",SUM($E89:M89)/SUM($E88:M88),SUM($E90:M90)/SUM($E88:M88)),"")</f>
        <v>0.77494128108348892</v>
      </c>
      <c r="N92" s="331">
        <f ca="1">IFERROR(IF(N90="",SUM($E89:N89)/SUM($E88:N88),SUM($E90:N90)/SUM($E88:N88)),"")</f>
        <v>0.60978625496875005</v>
      </c>
      <c r="O92" s="331">
        <f ca="1">IFERROR(IF(O90="",SUM($E89:O89)/SUM($E88:O88),SUM($E90:O90)/SUM($E88:O88)),"")</f>
        <v>0.55281270108175307</v>
      </c>
      <c r="P92" s="332">
        <f ca="1">IFERROR(IF(P90="",SUM($E89:P89)/SUM($E88:P88),SUM($E90:P90)/SUM($E88:P88)),"")</f>
        <v>0.49285816896443302</v>
      </c>
      <c r="Q92" s="346"/>
    </row>
    <row r="93" spans="1:22">
      <c r="A93" s="224"/>
      <c r="B93" s="489" t="s">
        <v>283</v>
      </c>
      <c r="C93" s="490"/>
      <c r="D93" s="225" t="s">
        <v>284</v>
      </c>
      <c r="E93" s="338">
        <f>SUM(E83,E88)</f>
        <v>7866</v>
      </c>
      <c r="F93" s="339">
        <f t="shared" ref="F93:P93" si="217">SUM(F83,F88)</f>
        <v>13258.41</v>
      </c>
      <c r="G93" s="339">
        <f t="shared" si="217"/>
        <v>8846.09</v>
      </c>
      <c r="H93" s="339">
        <f t="shared" si="217"/>
        <v>10592.71</v>
      </c>
      <c r="I93" s="339">
        <f t="shared" si="217"/>
        <v>11106.4</v>
      </c>
      <c r="J93" s="339">
        <f t="shared" si="217"/>
        <v>12434.619999999999</v>
      </c>
      <c r="K93" s="339">
        <f t="shared" si="217"/>
        <v>10217.4</v>
      </c>
      <c r="L93" s="339">
        <f t="shared" si="217"/>
        <v>9620.92</v>
      </c>
      <c r="M93" s="339">
        <f t="shared" si="217"/>
        <v>9969.35</v>
      </c>
      <c r="N93" s="339">
        <f t="shared" si="217"/>
        <v>23152.720000000001</v>
      </c>
      <c r="O93" s="339">
        <f t="shared" si="217"/>
        <v>11481.04</v>
      </c>
      <c r="P93" s="340">
        <f t="shared" si="217"/>
        <v>14588.73</v>
      </c>
      <c r="Q93" s="341">
        <f>SUM(E93:P93)</f>
        <v>143134.39000000001</v>
      </c>
    </row>
    <row r="94" spans="1:22">
      <c r="A94" s="224"/>
      <c r="B94" s="491"/>
      <c r="C94" s="492"/>
      <c r="D94" s="226" t="s">
        <v>286</v>
      </c>
      <c r="E94" s="338">
        <f ca="1">SUM(E84,E89)</f>
        <v>6307.3278130399976</v>
      </c>
      <c r="F94" s="339">
        <f t="shared" ref="F94:P94" ca="1" si="218">SUM(F84,F89)</f>
        <v>5273.2141157100023</v>
      </c>
      <c r="G94" s="339">
        <f t="shared" ca="1" si="218"/>
        <v>3747.3922611999997</v>
      </c>
      <c r="H94" s="339">
        <f t="shared" ca="1" si="218"/>
        <v>5272.5946271999992</v>
      </c>
      <c r="I94" s="339">
        <f t="shared" ca="1" si="218"/>
        <v>5096.1520073999991</v>
      </c>
      <c r="J94" s="339">
        <f t="shared" ca="1" si="218"/>
        <v>4821.9252348999999</v>
      </c>
      <c r="K94" s="339">
        <f t="shared" ca="1" si="218"/>
        <v>7850.8713875999993</v>
      </c>
      <c r="L94" s="339">
        <f t="shared" ca="1" si="218"/>
        <v>3772.1448967000006</v>
      </c>
      <c r="M94" s="339">
        <f t="shared" ca="1" si="218"/>
        <v>5944.0486704999994</v>
      </c>
      <c r="N94" s="339">
        <f t="shared" ca="1" si="218"/>
        <v>2139.9526953000004</v>
      </c>
      <c r="O94" s="339">
        <f t="shared" ca="1" si="218"/>
        <v>0</v>
      </c>
      <c r="P94" s="340">
        <f t="shared" ca="1" si="218"/>
        <v>0</v>
      </c>
      <c r="Q94" s="341">
        <f ca="1">SUM(E94:P94)</f>
        <v>50225.623709550004</v>
      </c>
    </row>
    <row r="95" spans="1:22">
      <c r="A95" s="224"/>
      <c r="B95" s="491"/>
      <c r="C95" s="492"/>
      <c r="D95" s="226" t="s">
        <v>285</v>
      </c>
      <c r="E95" s="338"/>
      <c r="F95" s="339"/>
      <c r="G95" s="339"/>
      <c r="H95" s="339"/>
      <c r="I95" s="339"/>
      <c r="J95" s="339"/>
      <c r="K95" s="339"/>
      <c r="L95" s="339"/>
      <c r="M95" s="339"/>
      <c r="N95" s="339"/>
      <c r="O95" s="339"/>
      <c r="P95" s="340"/>
      <c r="Q95" s="341">
        <f>SUM(E95:P95)</f>
        <v>0</v>
      </c>
    </row>
    <row r="96" spans="1:22">
      <c r="A96" s="224"/>
      <c r="B96" s="491"/>
      <c r="C96" s="492"/>
      <c r="D96" s="226" t="s">
        <v>287</v>
      </c>
      <c r="E96" s="343">
        <f ca="1">IFERROR(IF(E94=0,"",IF(E95="",E94/E93,E95/E93)),"")</f>
        <v>0.80184691241291606</v>
      </c>
      <c r="F96" s="344">
        <f t="shared" ref="F96" ca="1" si="219">IFERROR(IF(F94=0,"",IF(F95="",F94/F93,F95/F93)),"")</f>
        <v>0.39772598039357676</v>
      </c>
      <c r="G96" s="344">
        <f t="shared" ref="G96" ca="1" si="220">IFERROR(IF(G94=0,"",IF(G95="",G94/G93,G95/G93)),"")</f>
        <v>0.42362131305469419</v>
      </c>
      <c r="H96" s="344">
        <f t="shared" ref="H96" ca="1" si="221">IFERROR(IF(H94=0,"",IF(H95="",H94/H93,H95/H93)),"")</f>
        <v>0.49775691274470835</v>
      </c>
      <c r="I96" s="344">
        <f t="shared" ref="I96" ca="1" si="222">IFERROR(IF(I94=0,"",IF(I95="",I94/I93,I95/I93)),"")</f>
        <v>0.45884823231650212</v>
      </c>
      <c r="J96" s="344">
        <f t="shared" ref="J96" ca="1" si="223">IFERROR(IF(J94=0,"",IF(J95="",J94/J93,J95/J93)),"")</f>
        <v>0.3877822752042282</v>
      </c>
      <c r="K96" s="344">
        <f t="shared" ref="K96" ca="1" si="224">IFERROR(IF(K94=0,"",IF(K95="",K94/K93,K95/K93)),"")</f>
        <v>0.76838250314169942</v>
      </c>
      <c r="L96" s="344">
        <f t="shared" ref="L96" ca="1" si="225">IFERROR(IF(L94=0,"",IF(L95="",L94/L93,L95/L93)),"")</f>
        <v>0.39207735816325262</v>
      </c>
      <c r="M96" s="344">
        <f t="shared" ref="M96" ca="1" si="226">IFERROR(IF(M94=0,"",IF(M95="",M94/M93,M95/M93)),"")</f>
        <v>0.59623231910806618</v>
      </c>
      <c r="N96" s="344">
        <f t="shared" ref="N96" ca="1" si="227">IFERROR(IF(N94=0,"",IF(N95="",N94/N93,N95/N93)),"")</f>
        <v>9.2427701596183964E-2</v>
      </c>
      <c r="O96" s="344" t="str">
        <f t="shared" ref="O96" ca="1" si="228">IFERROR(IF(O94=0,"",IF(O95="",O94/O93,O95/O93)),"")</f>
        <v/>
      </c>
      <c r="P96" s="345" t="str">
        <f t="shared" ref="P96" ca="1" si="229">IFERROR(IF(P94=0,"",IF(P95="",P94/P93,P95/P93)),"")</f>
        <v/>
      </c>
      <c r="Q96" s="341"/>
    </row>
    <row r="97" spans="1:17">
      <c r="A97" s="232"/>
      <c r="B97" s="493"/>
      <c r="C97" s="494"/>
      <c r="D97" s="227" t="s">
        <v>288</v>
      </c>
      <c r="E97" s="330">
        <f ca="1">E96</f>
        <v>0.80184691241291606</v>
      </c>
      <c r="F97" s="331">
        <f ca="1">IFERROR(IF(F95="",SUM($E94:F94)/SUM($E93:F93),SUM($E95:F95)/SUM($E93:F93)),"")</f>
        <v>0.54820664476546332</v>
      </c>
      <c r="G97" s="331">
        <f ca="1">IFERROR(IF(G95="",SUM($E94:G94)/SUM($E93:G93),SUM($E95:G95)/SUM($E93:G93)),"")</f>
        <v>0.51143404981398377</v>
      </c>
      <c r="H97" s="331">
        <f ca="1">IFERROR(IF(H95="",SUM($E94:H94)/SUM($E93:H93),SUM($E95:H95)/SUM($E93:H93)),"")</f>
        <v>0.50786239099790176</v>
      </c>
      <c r="I97" s="331">
        <f ca="1">IFERROR(IF(I95="",SUM($E94:I94)/SUM($E93:I93),SUM($E95:I95)/SUM($E93:I93)),"")</f>
        <v>0.49732678114949969</v>
      </c>
      <c r="J97" s="331">
        <f ca="1">IFERROR(IF(J95="",SUM($E94:J94)/SUM($E93:J93),SUM($E95:J95)/SUM($E93:J93)),"")</f>
        <v>0.47607788221541703</v>
      </c>
      <c r="K97" s="331">
        <f ca="1">IFERROR(IF(K95="",SUM($E94:K94)/SUM($E93:K93),SUM($E95:K95)/SUM($E93:K93)),"")</f>
        <v>0.51626259336683011</v>
      </c>
      <c r="L97" s="331">
        <f ca="1">IFERROR(IF(L95="",SUM($E94:L94)/SUM($E93:L93),SUM($E95:L95)/SUM($E93:L93)),"")</f>
        <v>0.50202933248692116</v>
      </c>
      <c r="M97" s="331">
        <f ca="1">IFERROR(IF(M95="",SUM($E94:M94)/SUM($E93:M93),SUM($E95:M95)/SUM($E93:M93)),"")</f>
        <v>0.51202958319712411</v>
      </c>
      <c r="N97" s="331">
        <f ca="1">IFERROR(IF(N95="",SUM($E94:N94)/SUM($E93:N93),SUM($E95:N95)/SUM($E93:N93)),"")</f>
        <v>0.42904187199813237</v>
      </c>
      <c r="O97" s="331">
        <f ca="1">IFERROR(IF(O95="",SUM($E94:O94)/SUM($E93:O93),SUM($E95:O95)/SUM($E93:O93)),"")</f>
        <v>0.39072204934456756</v>
      </c>
      <c r="P97" s="332">
        <f ca="1">IFERROR(IF(P95="",SUM($E94:P94)/SUM($E93:P93),SUM($E95:P95)/SUM($E93:P93)),"")</f>
        <v>0.35089836697910265</v>
      </c>
      <c r="Q97" s="347"/>
    </row>
  </sheetData>
  <mergeCells count="10">
    <mergeCell ref="B83:C87"/>
    <mergeCell ref="B88:C92"/>
    <mergeCell ref="B93:C97"/>
    <mergeCell ref="B15:B34"/>
    <mergeCell ref="B3:B14"/>
    <mergeCell ref="B51:B62"/>
    <mergeCell ref="B63:B82"/>
    <mergeCell ref="B45:C49"/>
    <mergeCell ref="B40:C44"/>
    <mergeCell ref="B35:C39"/>
  </mergeCells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8EDD1-39D9-47AB-AD0B-E8B62FFE4356}">
  <sheetPr codeName="Sheet2">
    <tabColor theme="6" tint="0.79998168889431442"/>
  </sheetPr>
  <dimension ref="A1:X67"/>
  <sheetViews>
    <sheetView showGridLines="0" zoomScale="70" zoomScaleNormal="70" workbookViewId="0">
      <selection activeCell="S14" sqref="S14"/>
    </sheetView>
  </sheetViews>
  <sheetFormatPr defaultRowHeight="18.75"/>
  <cols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0" width="13.25" style="29" customWidth="1"/>
  </cols>
  <sheetData>
    <row r="1" spans="1:24" ht="30">
      <c r="A1" s="64" t="s">
        <v>143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4" ht="25.5">
      <c r="A2" s="244" t="s">
        <v>112</v>
      </c>
      <c r="B2" s="355" t="s">
        <v>40</v>
      </c>
      <c r="C2" s="355" t="s">
        <v>39</v>
      </c>
      <c r="D2" s="355" t="s">
        <v>114</v>
      </c>
      <c r="E2" s="355" t="s">
        <v>115</v>
      </c>
      <c r="F2" s="366">
        <v>45444</v>
      </c>
      <c r="G2" s="367">
        <v>45474</v>
      </c>
      <c r="H2" s="367">
        <v>45505</v>
      </c>
      <c r="I2" s="367">
        <v>45536</v>
      </c>
      <c r="J2" s="367">
        <v>45566</v>
      </c>
      <c r="K2" s="367">
        <v>45597</v>
      </c>
      <c r="L2" s="367">
        <v>45627</v>
      </c>
      <c r="M2" s="367">
        <v>45658</v>
      </c>
      <c r="N2" s="367">
        <v>45689</v>
      </c>
      <c r="O2" s="367">
        <v>45717</v>
      </c>
      <c r="P2" s="367">
        <v>45748</v>
      </c>
      <c r="Q2" s="368">
        <v>45778</v>
      </c>
      <c r="R2" s="110" t="s">
        <v>103</v>
      </c>
      <c r="S2" s="111" t="s">
        <v>109</v>
      </c>
      <c r="T2" s="111" t="s">
        <v>110</v>
      </c>
    </row>
    <row r="3" spans="1:24">
      <c r="A3" s="157"/>
      <c r="B3" s="53" t="s">
        <v>47</v>
      </c>
      <c r="C3" s="48" t="s">
        <v>41</v>
      </c>
      <c r="D3" s="48" t="s">
        <v>49</v>
      </c>
      <c r="E3" s="48" t="s">
        <v>51</v>
      </c>
      <c r="F3" s="369">
        <f>松岡!E7</f>
        <v>429</v>
      </c>
      <c r="G3" s="370">
        <f>松岡!F7</f>
        <v>460</v>
      </c>
      <c r="H3" s="370">
        <f>松岡!G7</f>
        <v>560</v>
      </c>
      <c r="I3" s="370">
        <f>松岡!H7</f>
        <v>1210</v>
      </c>
      <c r="J3" s="370">
        <f>松岡!I7</f>
        <v>2195</v>
      </c>
      <c r="K3" s="370">
        <f>松岡!J7</f>
        <v>1280</v>
      </c>
      <c r="L3" s="370">
        <f>松岡!K7</f>
        <v>400</v>
      </c>
      <c r="M3" s="370">
        <f>松岡!L7</f>
        <v>426</v>
      </c>
      <c r="N3" s="370">
        <f>松岡!M7</f>
        <v>2465</v>
      </c>
      <c r="O3" s="370">
        <f>松岡!N7</f>
        <v>700</v>
      </c>
      <c r="P3" s="370">
        <f>松岡!O7</f>
        <v>1045</v>
      </c>
      <c r="Q3" s="371">
        <f>松岡!P7</f>
        <v>1175</v>
      </c>
      <c r="R3" s="312">
        <f>SUM(F3:Q3)</f>
        <v>12345</v>
      </c>
      <c r="S3" s="51">
        <f>SUM(R6,R10,R14,R18,R22,R26,R30)</f>
        <v>626147</v>
      </c>
      <c r="T3" s="51">
        <f>R34</f>
        <v>16830</v>
      </c>
      <c r="V3" s="155">
        <f>SUM(R7,R8,R15,R16,R17,R31,R32,R33)</f>
        <v>353450</v>
      </c>
      <c r="W3" t="s">
        <v>166</v>
      </c>
      <c r="X3">
        <f>V3/$V$6</f>
        <v>0.54970862099266382</v>
      </c>
    </row>
    <row r="4" spans="1:24">
      <c r="A4" s="157"/>
      <c r="B4" s="54"/>
      <c r="D4" s="1" t="s">
        <v>94</v>
      </c>
      <c r="E4" s="1" t="s">
        <v>51</v>
      </c>
      <c r="F4" s="372">
        <f>松岡!E17</f>
        <v>470</v>
      </c>
      <c r="G4" s="2">
        <f>松岡!F17</f>
        <v>300</v>
      </c>
      <c r="H4" s="2">
        <f>松岡!G17</f>
        <v>445</v>
      </c>
      <c r="I4" s="2">
        <f>松岡!H17</f>
        <v>2150</v>
      </c>
      <c r="J4" s="2">
        <f>松岡!I17</f>
        <v>290</v>
      </c>
      <c r="K4" s="2">
        <f>松岡!J17</f>
        <v>910</v>
      </c>
      <c r="L4" s="2">
        <f>松岡!K17</f>
        <v>410</v>
      </c>
      <c r="M4" s="2">
        <f>松岡!L17</f>
        <v>635</v>
      </c>
      <c r="N4" s="2">
        <f>松岡!M17</f>
        <v>390</v>
      </c>
      <c r="O4" s="2">
        <f>松岡!N17</f>
        <v>450</v>
      </c>
      <c r="P4" s="2">
        <f>松岡!O17</f>
        <v>425</v>
      </c>
      <c r="Q4" s="373">
        <f>松岡!P17</f>
        <v>940</v>
      </c>
      <c r="R4" s="316">
        <f t="shared" ref="R4:R33" si="0">SUM(F4:Q4)</f>
        <v>7815</v>
      </c>
      <c r="S4" s="49"/>
      <c r="V4" s="155">
        <f>SUM(R4,R5,R9,R19,R23,R24,R25,R27,R28,R29,R11)</f>
        <v>159742</v>
      </c>
      <c r="W4" t="s">
        <v>167</v>
      </c>
      <c r="X4">
        <f>V4/$V$6</f>
        <v>0.24844123506750632</v>
      </c>
    </row>
    <row r="5" spans="1:24">
      <c r="A5" s="157"/>
      <c r="B5" s="54"/>
      <c r="D5" s="1" t="s">
        <v>53</v>
      </c>
      <c r="E5" s="1" t="s">
        <v>52</v>
      </c>
      <c r="F5" s="372">
        <f>松岡!E27</f>
        <v>0</v>
      </c>
      <c r="G5" s="2">
        <f>松岡!F27</f>
        <v>0</v>
      </c>
      <c r="H5" s="2">
        <f>松岡!G27</f>
        <v>0</v>
      </c>
      <c r="I5" s="2">
        <f>松岡!H27</f>
        <v>1900</v>
      </c>
      <c r="J5" s="2">
        <f>松岡!I27</f>
        <v>1700</v>
      </c>
      <c r="K5" s="2">
        <f>松岡!J27</f>
        <v>1700</v>
      </c>
      <c r="L5" s="2">
        <f>松岡!K27</f>
        <v>1900</v>
      </c>
      <c r="M5" s="2">
        <f>松岡!L27</f>
        <v>1700</v>
      </c>
      <c r="N5" s="2">
        <f>松岡!M27</f>
        <v>1900</v>
      </c>
      <c r="O5" s="2">
        <f>松岡!N27</f>
        <v>1700</v>
      </c>
      <c r="P5" s="2">
        <f>松岡!O27</f>
        <v>1900</v>
      </c>
      <c r="Q5" s="373">
        <f>松岡!P27</f>
        <v>2000</v>
      </c>
      <c r="R5" s="316">
        <f t="shared" si="0"/>
        <v>16400</v>
      </c>
      <c r="S5" s="500" t="s">
        <v>111</v>
      </c>
      <c r="T5" s="500"/>
      <c r="V5" s="155">
        <f>SUM(R3,R20,R21)</f>
        <v>129785</v>
      </c>
      <c r="W5" t="s">
        <v>168</v>
      </c>
      <c r="X5">
        <f>V5/$V$6</f>
        <v>0.20185014393982989</v>
      </c>
    </row>
    <row r="6" spans="1:24" s="45" customFormat="1" ht="18" customHeight="1">
      <c r="A6" s="157"/>
      <c r="B6" s="55"/>
      <c r="C6" s="52"/>
      <c r="D6" s="52"/>
      <c r="E6" s="60" t="s">
        <v>103</v>
      </c>
      <c r="F6" s="374">
        <f>SUM(F3:F5)</f>
        <v>899</v>
      </c>
      <c r="G6" s="375">
        <f t="shared" ref="G6:R6" si="1">SUM(G3:G5)</f>
        <v>760</v>
      </c>
      <c r="H6" s="375">
        <f t="shared" si="1"/>
        <v>1005</v>
      </c>
      <c r="I6" s="375">
        <f t="shared" si="1"/>
        <v>5260</v>
      </c>
      <c r="J6" s="375">
        <f t="shared" si="1"/>
        <v>4185</v>
      </c>
      <c r="K6" s="375">
        <f t="shared" si="1"/>
        <v>3890</v>
      </c>
      <c r="L6" s="375">
        <f t="shared" si="1"/>
        <v>2710</v>
      </c>
      <c r="M6" s="375">
        <f t="shared" si="1"/>
        <v>2761</v>
      </c>
      <c r="N6" s="375">
        <f t="shared" si="1"/>
        <v>4755</v>
      </c>
      <c r="O6" s="375">
        <f t="shared" si="1"/>
        <v>2850</v>
      </c>
      <c r="P6" s="375">
        <f t="shared" si="1"/>
        <v>3370</v>
      </c>
      <c r="Q6" s="376">
        <f t="shared" si="1"/>
        <v>4115</v>
      </c>
      <c r="R6" s="279">
        <f t="shared" si="1"/>
        <v>36560</v>
      </c>
      <c r="S6" s="499">
        <f>S3+T3</f>
        <v>642977</v>
      </c>
      <c r="T6" s="499"/>
      <c r="V6" s="156">
        <f>SUM(V3:V5)</f>
        <v>642977</v>
      </c>
    </row>
    <row r="7" spans="1:24">
      <c r="A7" s="157"/>
      <c r="B7" s="54" t="s">
        <v>47</v>
      </c>
      <c r="C7" s="1" t="s">
        <v>42</v>
      </c>
      <c r="D7" s="1" t="s">
        <v>100</v>
      </c>
      <c r="E7" s="1" t="s">
        <v>54</v>
      </c>
      <c r="F7" s="372">
        <f>大谷!E7</f>
        <v>2020</v>
      </c>
      <c r="G7" s="2">
        <f>大谷!F7</f>
        <v>2020</v>
      </c>
      <c r="H7" s="2">
        <f>大谷!G7</f>
        <v>2020</v>
      </c>
      <c r="I7" s="2">
        <f>大谷!H7</f>
        <v>2020</v>
      </c>
      <c r="J7" s="2">
        <f>大谷!I7</f>
        <v>2020</v>
      </c>
      <c r="K7" s="2">
        <f>大谷!J7</f>
        <v>2020</v>
      </c>
      <c r="L7" s="2">
        <f>大谷!K7</f>
        <v>2020</v>
      </c>
      <c r="M7" s="2">
        <f>大谷!L7</f>
        <v>2020</v>
      </c>
      <c r="N7" s="2">
        <f>大谷!M7</f>
        <v>2020</v>
      </c>
      <c r="O7" s="2">
        <f>大谷!N7</f>
        <v>2020</v>
      </c>
      <c r="P7" s="2">
        <f>大谷!O7</f>
        <v>2020</v>
      </c>
      <c r="Q7" s="373">
        <f>大谷!P7</f>
        <v>2020</v>
      </c>
      <c r="R7" s="316">
        <f t="shared" si="0"/>
        <v>24240</v>
      </c>
      <c r="S7" s="49"/>
    </row>
    <row r="8" spans="1:24">
      <c r="A8" s="157"/>
      <c r="B8" s="54"/>
      <c r="D8" s="1" t="s">
        <v>100</v>
      </c>
      <c r="E8" s="1" t="s">
        <v>88</v>
      </c>
      <c r="F8" s="372">
        <f>大谷!E17</f>
        <v>5580</v>
      </c>
      <c r="G8" s="2">
        <f>大谷!F17</f>
        <v>5580</v>
      </c>
      <c r="H8" s="2">
        <f>大谷!G17</f>
        <v>5580</v>
      </c>
      <c r="I8" s="2">
        <f>大谷!H17</f>
        <v>5580</v>
      </c>
      <c r="J8" s="2">
        <f>大谷!I17</f>
        <v>5580</v>
      </c>
      <c r="K8" s="2">
        <f>大谷!J17</f>
        <v>5580</v>
      </c>
      <c r="L8" s="2">
        <f>大谷!K17</f>
        <v>5580</v>
      </c>
      <c r="M8" s="2">
        <f>大谷!L17</f>
        <v>5580</v>
      </c>
      <c r="N8" s="2">
        <f>大谷!M17</f>
        <v>5580</v>
      </c>
      <c r="O8" s="2">
        <f>大谷!N17</f>
        <v>5580</v>
      </c>
      <c r="P8" s="2">
        <f>大谷!O17</f>
        <v>5580</v>
      </c>
      <c r="Q8" s="373">
        <f>大谷!P17</f>
        <v>5580</v>
      </c>
      <c r="R8" s="316">
        <f t="shared" si="0"/>
        <v>66960</v>
      </c>
      <c r="S8" s="49"/>
      <c r="V8" s="155">
        <f>SUM(R18,R22,R26,R30,R34)</f>
        <v>473930</v>
      </c>
      <c r="W8" t="s">
        <v>169</v>
      </c>
      <c r="X8">
        <f>V8/$V$10</f>
        <v>0.73708701866474224</v>
      </c>
    </row>
    <row r="9" spans="1:24">
      <c r="A9" s="157"/>
      <c r="B9" s="54"/>
      <c r="D9" s="1" t="s">
        <v>94</v>
      </c>
      <c r="E9" s="1" t="s">
        <v>55</v>
      </c>
      <c r="F9" s="372">
        <f>大谷!E27</f>
        <v>2860</v>
      </c>
      <c r="G9" s="2">
        <f>大谷!F27</f>
        <v>2860</v>
      </c>
      <c r="H9" s="2">
        <f>大谷!G27</f>
        <v>2860</v>
      </c>
      <c r="I9" s="2">
        <f>大谷!H27</f>
        <v>1160</v>
      </c>
      <c r="J9" s="2">
        <f>大谷!I27</f>
        <v>1160</v>
      </c>
      <c r="K9" s="2">
        <f>大谷!J27</f>
        <v>1160</v>
      </c>
      <c r="L9" s="2">
        <f>大谷!K27</f>
        <v>1160</v>
      </c>
      <c r="M9" s="2">
        <f>大谷!L27</f>
        <v>1160</v>
      </c>
      <c r="N9" s="2">
        <f>大谷!M27</f>
        <v>1160</v>
      </c>
      <c r="O9" s="2">
        <f>大谷!N27</f>
        <v>1160</v>
      </c>
      <c r="P9" s="2">
        <f>大谷!O27</f>
        <v>1160</v>
      </c>
      <c r="Q9" s="373">
        <f>大谷!P27</f>
        <v>1160</v>
      </c>
      <c r="R9" s="316">
        <f t="shared" si="0"/>
        <v>19020</v>
      </c>
      <c r="S9" s="49"/>
      <c r="V9" s="155">
        <f>SUM(R6,R10,R14)</f>
        <v>169047</v>
      </c>
      <c r="W9" t="s">
        <v>170</v>
      </c>
      <c r="X9">
        <f>V9/$V$10</f>
        <v>0.2629129813352577</v>
      </c>
    </row>
    <row r="10" spans="1:24" s="45" customFormat="1" ht="18" customHeight="1">
      <c r="A10" s="157"/>
      <c r="B10" s="55"/>
      <c r="C10" s="52"/>
      <c r="D10" s="52"/>
      <c r="E10" s="60" t="s">
        <v>103</v>
      </c>
      <c r="F10" s="374">
        <f>SUM(F7:F9)</f>
        <v>10460</v>
      </c>
      <c r="G10" s="375">
        <f t="shared" ref="G10" si="2">SUM(G7:G9)</f>
        <v>10460</v>
      </c>
      <c r="H10" s="375">
        <f t="shared" ref="H10" si="3">SUM(H7:H9)</f>
        <v>10460</v>
      </c>
      <c r="I10" s="375">
        <f t="shared" ref="I10" si="4">SUM(I7:I9)</f>
        <v>8760</v>
      </c>
      <c r="J10" s="375">
        <f t="shared" ref="J10" si="5">SUM(J7:J9)</f>
        <v>8760</v>
      </c>
      <c r="K10" s="375">
        <f t="shared" ref="K10" si="6">SUM(K7:K9)</f>
        <v>8760</v>
      </c>
      <c r="L10" s="375">
        <f t="shared" ref="L10" si="7">SUM(L7:L9)</f>
        <v>8760</v>
      </c>
      <c r="M10" s="375">
        <f t="shared" ref="M10" si="8">SUM(M7:M9)</f>
        <v>8760</v>
      </c>
      <c r="N10" s="375">
        <f t="shared" ref="N10" si="9">SUM(N7:N9)</f>
        <v>8760</v>
      </c>
      <c r="O10" s="375">
        <f t="shared" ref="O10" si="10">SUM(O7:O9)</f>
        <v>8760</v>
      </c>
      <c r="P10" s="375">
        <f t="shared" ref="P10" si="11">SUM(P7:P9)</f>
        <v>8760</v>
      </c>
      <c r="Q10" s="376">
        <f t="shared" ref="Q10" si="12">SUM(Q7:Q9)</f>
        <v>8760</v>
      </c>
      <c r="R10" s="279">
        <f t="shared" ref="R10" si="13">SUM(R7:R9)</f>
        <v>110220</v>
      </c>
      <c r="S10" s="49"/>
      <c r="T10" s="29"/>
      <c r="V10" s="156">
        <f>SUM(V8:V9)</f>
        <v>642977</v>
      </c>
    </row>
    <row r="11" spans="1:24">
      <c r="A11" s="157"/>
      <c r="B11" s="54" t="s">
        <v>47</v>
      </c>
      <c r="C11" s="1" t="s">
        <v>43</v>
      </c>
      <c r="D11" s="1" t="s">
        <v>94</v>
      </c>
      <c r="E11" s="1" t="s">
        <v>50</v>
      </c>
      <c r="F11" s="372">
        <f>宮本!E7</f>
        <v>2313</v>
      </c>
      <c r="G11" s="2">
        <f>宮本!F7</f>
        <v>1390</v>
      </c>
      <c r="H11" s="2">
        <f>宮本!G7</f>
        <v>1706</v>
      </c>
      <c r="I11" s="2">
        <f>宮本!H7</f>
        <v>1326</v>
      </c>
      <c r="J11" s="2">
        <f>宮本!I7</f>
        <v>1959</v>
      </c>
      <c r="K11" s="2">
        <f>宮本!J7</f>
        <v>2544</v>
      </c>
      <c r="L11" s="2">
        <f>宮本!K7</f>
        <v>3366</v>
      </c>
      <c r="M11" s="2">
        <f>宮本!L7</f>
        <v>1513</v>
      </c>
      <c r="N11" s="2">
        <f>宮本!M7</f>
        <v>1197</v>
      </c>
      <c r="O11" s="2">
        <f>宮本!N7</f>
        <v>1726</v>
      </c>
      <c r="P11" s="2">
        <f>宮本!O7</f>
        <v>1455</v>
      </c>
      <c r="Q11" s="373">
        <f>宮本!P7</f>
        <v>1772</v>
      </c>
      <c r="R11" s="316">
        <f t="shared" si="0"/>
        <v>22267</v>
      </c>
      <c r="S11" s="49"/>
    </row>
    <row r="12" spans="1:24">
      <c r="A12" s="157"/>
      <c r="B12" s="54"/>
      <c r="F12" s="372"/>
      <c r="G12" s="2"/>
      <c r="H12" s="2"/>
      <c r="I12" s="2"/>
      <c r="J12" s="2"/>
      <c r="K12" s="2"/>
      <c r="L12" s="2"/>
      <c r="M12" s="2"/>
      <c r="N12" s="2"/>
      <c r="O12" s="2"/>
      <c r="P12" s="2"/>
      <c r="Q12" s="373"/>
      <c r="R12" s="316"/>
      <c r="S12" s="49"/>
    </row>
    <row r="13" spans="1:24">
      <c r="A13" s="157"/>
      <c r="B13" s="54"/>
      <c r="F13" s="372"/>
      <c r="G13" s="2"/>
      <c r="H13" s="2"/>
      <c r="I13" s="2"/>
      <c r="J13" s="2"/>
      <c r="K13" s="2"/>
      <c r="L13" s="2"/>
      <c r="M13" s="2"/>
      <c r="N13" s="2"/>
      <c r="O13" s="2"/>
      <c r="P13" s="2"/>
      <c r="Q13" s="373"/>
      <c r="R13" s="316"/>
      <c r="S13" s="49"/>
    </row>
    <row r="14" spans="1:24" s="45" customFormat="1" ht="18" customHeight="1">
      <c r="A14" s="157"/>
      <c r="B14" s="55"/>
      <c r="C14" s="52"/>
      <c r="D14" s="52"/>
      <c r="E14" s="60" t="s">
        <v>103</v>
      </c>
      <c r="F14" s="374">
        <f>SUM(F11:F13)</f>
        <v>2313</v>
      </c>
      <c r="G14" s="375">
        <f t="shared" ref="G14" si="14">SUM(G11:G13)</f>
        <v>1390</v>
      </c>
      <c r="H14" s="375">
        <f t="shared" ref="H14" si="15">SUM(H11:H13)</f>
        <v>1706</v>
      </c>
      <c r="I14" s="375">
        <f t="shared" ref="I14" si="16">SUM(I11:I13)</f>
        <v>1326</v>
      </c>
      <c r="J14" s="375">
        <f t="shared" ref="J14" si="17">SUM(J11:J13)</f>
        <v>1959</v>
      </c>
      <c r="K14" s="375">
        <f t="shared" ref="K14" si="18">SUM(K11:K13)</f>
        <v>2544</v>
      </c>
      <c r="L14" s="375">
        <f t="shared" ref="L14" si="19">SUM(L11:L13)</f>
        <v>3366</v>
      </c>
      <c r="M14" s="375">
        <f t="shared" ref="M14" si="20">SUM(M11:M13)</f>
        <v>1513</v>
      </c>
      <c r="N14" s="375">
        <f t="shared" ref="N14" si="21">SUM(N11:N13)</f>
        <v>1197</v>
      </c>
      <c r="O14" s="375">
        <f t="shared" ref="O14" si="22">SUM(O11:O13)</f>
        <v>1726</v>
      </c>
      <c r="P14" s="375">
        <f t="shared" ref="P14" si="23">SUM(P11:P13)</f>
        <v>1455</v>
      </c>
      <c r="Q14" s="376">
        <f t="shared" ref="Q14" si="24">SUM(Q11:Q13)</f>
        <v>1772</v>
      </c>
      <c r="R14" s="279">
        <f t="shared" ref="R14" si="25">SUM(R11:R13)</f>
        <v>22267</v>
      </c>
      <c r="S14" s="49"/>
      <c r="T14" s="29"/>
    </row>
    <row r="15" spans="1:24">
      <c r="A15" s="157"/>
      <c r="B15" s="54" t="s">
        <v>48</v>
      </c>
      <c r="C15" s="1" t="s">
        <v>44</v>
      </c>
      <c r="D15" s="1" t="s">
        <v>98</v>
      </c>
      <c r="E15" s="1" t="s">
        <v>86</v>
      </c>
      <c r="F15" s="372">
        <f>深串!E7</f>
        <v>0</v>
      </c>
      <c r="G15" s="2">
        <f>深串!F7</f>
        <v>160</v>
      </c>
      <c r="H15" s="2">
        <f>深串!G7</f>
        <v>170</v>
      </c>
      <c r="I15" s="2">
        <f>深串!H7</f>
        <v>3690</v>
      </c>
      <c r="J15" s="2">
        <f>深串!I7</f>
        <v>12060</v>
      </c>
      <c r="K15" s="2">
        <f>深串!J7</f>
        <v>6260</v>
      </c>
      <c r="L15" s="2">
        <f>深串!K7</f>
        <v>6540</v>
      </c>
      <c r="M15" s="2">
        <f>深串!L7</f>
        <v>6260</v>
      </c>
      <c r="N15" s="2">
        <f>深串!M7</f>
        <v>6290</v>
      </c>
      <c r="O15" s="2">
        <f>深串!N7</f>
        <v>6540</v>
      </c>
      <c r="P15" s="2">
        <f>深串!O7</f>
        <v>9520</v>
      </c>
      <c r="Q15" s="373">
        <f>深串!P7</f>
        <v>12510</v>
      </c>
      <c r="R15" s="316">
        <f t="shared" si="0"/>
        <v>70000</v>
      </c>
      <c r="S15" s="49"/>
    </row>
    <row r="16" spans="1:24">
      <c r="A16" s="157"/>
      <c r="B16" s="54"/>
      <c r="D16" s="1" t="s">
        <v>98</v>
      </c>
      <c r="E16" s="1" t="s">
        <v>87</v>
      </c>
      <c r="F16" s="372">
        <f>深串!E17</f>
        <v>3010</v>
      </c>
      <c r="G16" s="2">
        <f>深串!F17</f>
        <v>2370</v>
      </c>
      <c r="H16" s="2">
        <f>深串!G17</f>
        <v>4840</v>
      </c>
      <c r="I16" s="2">
        <f>深串!H17</f>
        <v>2380</v>
      </c>
      <c r="J16" s="2">
        <f>深串!I17</f>
        <v>110</v>
      </c>
      <c r="K16" s="2">
        <f>深串!J17</f>
        <v>8140</v>
      </c>
      <c r="L16" s="2">
        <f>深串!K17</f>
        <v>5320</v>
      </c>
      <c r="M16" s="2">
        <f>深串!L17</f>
        <v>4320</v>
      </c>
      <c r="N16" s="2">
        <f>深串!M17</f>
        <v>9860</v>
      </c>
      <c r="O16" s="2">
        <f>深串!N17</f>
        <v>3690</v>
      </c>
      <c r="P16" s="2">
        <f>深串!O17</f>
        <v>2530</v>
      </c>
      <c r="Q16" s="373">
        <f>深串!P17</f>
        <v>3850</v>
      </c>
      <c r="R16" s="316">
        <f t="shared" si="0"/>
        <v>50420</v>
      </c>
      <c r="S16" s="49"/>
    </row>
    <row r="17" spans="1:20">
      <c r="A17" s="157"/>
      <c r="B17" s="54"/>
      <c r="D17" s="1" t="s">
        <v>99</v>
      </c>
      <c r="E17" s="1" t="s">
        <v>88</v>
      </c>
      <c r="F17" s="372">
        <f>深串!E27</f>
        <v>6440</v>
      </c>
      <c r="G17" s="2">
        <f>深串!F27</f>
        <v>18450</v>
      </c>
      <c r="H17" s="2">
        <f>深串!G27</f>
        <v>9590</v>
      </c>
      <c r="I17" s="2">
        <f>深串!H27</f>
        <v>13840</v>
      </c>
      <c r="J17" s="2">
        <f>深串!I27</f>
        <v>3600</v>
      </c>
      <c r="K17" s="2">
        <f>深串!J27</f>
        <v>11430</v>
      </c>
      <c r="L17" s="2">
        <f>深串!K27</f>
        <v>10760</v>
      </c>
      <c r="M17" s="2">
        <f>深串!L27</f>
        <v>10640</v>
      </c>
      <c r="N17" s="2">
        <f>深串!M27</f>
        <v>10030</v>
      </c>
      <c r="O17" s="2">
        <f>深串!N27</f>
        <v>6840</v>
      </c>
      <c r="P17" s="2">
        <f>深串!O27</f>
        <v>10210</v>
      </c>
      <c r="Q17" s="373">
        <f>深串!P27</f>
        <v>13170</v>
      </c>
      <c r="R17" s="316">
        <f t="shared" si="0"/>
        <v>125000</v>
      </c>
      <c r="S17" s="49"/>
    </row>
    <row r="18" spans="1:20" s="45" customFormat="1" ht="18" customHeight="1">
      <c r="A18" s="157"/>
      <c r="B18" s="55"/>
      <c r="C18" s="52"/>
      <c r="D18" s="52"/>
      <c r="E18" s="60" t="s">
        <v>103</v>
      </c>
      <c r="F18" s="374">
        <f>SUM(F15:F17)</f>
        <v>9450</v>
      </c>
      <c r="G18" s="375">
        <f t="shared" ref="G18" si="26">SUM(G15:G17)</f>
        <v>20980</v>
      </c>
      <c r="H18" s="375">
        <f t="shared" ref="H18" si="27">SUM(H15:H17)</f>
        <v>14600</v>
      </c>
      <c r="I18" s="375">
        <f t="shared" ref="I18" si="28">SUM(I15:I17)</f>
        <v>19910</v>
      </c>
      <c r="J18" s="375">
        <f t="shared" ref="J18" si="29">SUM(J15:J17)</f>
        <v>15770</v>
      </c>
      <c r="K18" s="375">
        <f t="shared" ref="K18" si="30">SUM(K15:K17)</f>
        <v>25830</v>
      </c>
      <c r="L18" s="375">
        <f t="shared" ref="L18" si="31">SUM(L15:L17)</f>
        <v>22620</v>
      </c>
      <c r="M18" s="375">
        <f t="shared" ref="M18" si="32">SUM(M15:M17)</f>
        <v>21220</v>
      </c>
      <c r="N18" s="375">
        <f t="shared" ref="N18" si="33">SUM(N15:N17)</f>
        <v>26180</v>
      </c>
      <c r="O18" s="375">
        <f t="shared" ref="O18" si="34">SUM(O15:O17)</f>
        <v>17070</v>
      </c>
      <c r="P18" s="375">
        <f t="shared" ref="P18" si="35">SUM(P15:P17)</f>
        <v>22260</v>
      </c>
      <c r="Q18" s="376">
        <f t="shared" ref="Q18" si="36">SUM(Q15:Q17)</f>
        <v>29530</v>
      </c>
      <c r="R18" s="279">
        <f t="shared" ref="R18" si="37">SUM(R15:R17)</f>
        <v>245420</v>
      </c>
      <c r="S18" s="49"/>
      <c r="T18" s="29"/>
    </row>
    <row r="19" spans="1:20">
      <c r="A19" s="157"/>
      <c r="B19" s="54" t="s">
        <v>48</v>
      </c>
      <c r="C19" s="1" t="s">
        <v>45</v>
      </c>
      <c r="D19" s="1" t="s">
        <v>94</v>
      </c>
      <c r="E19" s="1" t="s">
        <v>95</v>
      </c>
      <c r="F19" s="372">
        <f>前川!E7</f>
        <v>1850</v>
      </c>
      <c r="G19" s="2">
        <f>前川!F7</f>
        <v>830</v>
      </c>
      <c r="H19" s="2">
        <f>前川!G7</f>
        <v>1160</v>
      </c>
      <c r="I19" s="2">
        <f>前川!H7</f>
        <v>1290</v>
      </c>
      <c r="J19" s="2">
        <f>前川!I7</f>
        <v>1540</v>
      </c>
      <c r="K19" s="2">
        <f>前川!J7</f>
        <v>2200</v>
      </c>
      <c r="L19" s="2">
        <f>前川!K7</f>
        <v>880</v>
      </c>
      <c r="M19" s="2">
        <f>前川!L7</f>
        <v>860</v>
      </c>
      <c r="N19" s="2">
        <f>前川!M7</f>
        <v>150</v>
      </c>
      <c r="O19" s="2">
        <f>前川!N7</f>
        <v>1010</v>
      </c>
      <c r="P19" s="2">
        <f>前川!O7</f>
        <v>660</v>
      </c>
      <c r="Q19" s="373">
        <f>前川!P7</f>
        <v>840</v>
      </c>
      <c r="R19" s="316">
        <f t="shared" si="0"/>
        <v>13270</v>
      </c>
      <c r="S19" s="49"/>
    </row>
    <row r="20" spans="1:20">
      <c r="A20" s="157"/>
      <c r="B20" s="54"/>
      <c r="D20" s="1" t="s">
        <v>49</v>
      </c>
      <c r="E20" s="1" t="s">
        <v>101</v>
      </c>
      <c r="F20" s="372">
        <f>前川!E17</f>
        <v>2930</v>
      </c>
      <c r="G20" s="2">
        <f>前川!F17</f>
        <v>2040</v>
      </c>
      <c r="H20" s="2">
        <f>前川!G17</f>
        <v>2280</v>
      </c>
      <c r="I20" s="2">
        <f>前川!H17</f>
        <v>2630</v>
      </c>
      <c r="J20" s="2">
        <f>前川!I17</f>
        <v>2150</v>
      </c>
      <c r="K20" s="2">
        <f>前川!J17</f>
        <v>5660</v>
      </c>
      <c r="L20" s="2">
        <f>前川!K17</f>
        <v>2540</v>
      </c>
      <c r="M20" s="2">
        <f>前川!L17</f>
        <v>3340</v>
      </c>
      <c r="N20" s="2">
        <f>前川!M17</f>
        <v>1810</v>
      </c>
      <c r="O20" s="2">
        <f>前川!N17</f>
        <v>4480</v>
      </c>
      <c r="P20" s="2">
        <f>前川!O17</f>
        <v>3610</v>
      </c>
      <c r="Q20" s="373">
        <f>前川!P17</f>
        <v>1990</v>
      </c>
      <c r="R20" s="316">
        <f t="shared" si="0"/>
        <v>35460</v>
      </c>
      <c r="S20" s="49"/>
    </row>
    <row r="21" spans="1:20">
      <c r="A21" s="157"/>
      <c r="B21" s="54"/>
      <c r="D21" s="1" t="s">
        <v>96</v>
      </c>
      <c r="E21" s="1" t="s">
        <v>102</v>
      </c>
      <c r="F21" s="372">
        <f>前川!E27</f>
        <v>5420</v>
      </c>
      <c r="G21" s="2">
        <f>前川!F27</f>
        <v>1530</v>
      </c>
      <c r="H21" s="2">
        <f>前川!G27</f>
        <v>7720</v>
      </c>
      <c r="I21" s="2">
        <f>前川!H27</f>
        <v>3260</v>
      </c>
      <c r="J21" s="2">
        <f>前川!I27</f>
        <v>7690</v>
      </c>
      <c r="K21" s="2">
        <f>前川!J27</f>
        <v>3080</v>
      </c>
      <c r="L21" s="2">
        <f>前川!K27</f>
        <v>2960</v>
      </c>
      <c r="M21" s="2">
        <f>前川!L27</f>
        <v>7850</v>
      </c>
      <c r="N21" s="2">
        <f>前川!M27</f>
        <v>8800</v>
      </c>
      <c r="O21" s="2">
        <f>前川!N27</f>
        <v>14540</v>
      </c>
      <c r="P21" s="2">
        <f>前川!O27</f>
        <v>6560</v>
      </c>
      <c r="Q21" s="373">
        <f>前川!P27</f>
        <v>12570</v>
      </c>
      <c r="R21" s="316">
        <f t="shared" si="0"/>
        <v>81980</v>
      </c>
      <c r="S21" s="49"/>
    </row>
    <row r="22" spans="1:20" s="45" customFormat="1" ht="18" customHeight="1">
      <c r="A22" s="157"/>
      <c r="B22" s="55"/>
      <c r="C22" s="52"/>
      <c r="D22" s="52"/>
      <c r="E22" s="60" t="s">
        <v>103</v>
      </c>
      <c r="F22" s="374">
        <f>SUM(F19:F21)</f>
        <v>10200</v>
      </c>
      <c r="G22" s="375">
        <f t="shared" ref="G22" si="38">SUM(G19:G21)</f>
        <v>4400</v>
      </c>
      <c r="H22" s="375">
        <f t="shared" ref="H22" si="39">SUM(H19:H21)</f>
        <v>11160</v>
      </c>
      <c r="I22" s="375">
        <f t="shared" ref="I22" si="40">SUM(I19:I21)</f>
        <v>7180</v>
      </c>
      <c r="J22" s="375">
        <f t="shared" ref="J22" si="41">SUM(J19:J21)</f>
        <v>11380</v>
      </c>
      <c r="K22" s="375">
        <f t="shared" ref="K22" si="42">SUM(K19:K21)</f>
        <v>10940</v>
      </c>
      <c r="L22" s="375">
        <f t="shared" ref="L22" si="43">SUM(L19:L21)</f>
        <v>6380</v>
      </c>
      <c r="M22" s="375">
        <f t="shared" ref="M22" si="44">SUM(M19:M21)</f>
        <v>12050</v>
      </c>
      <c r="N22" s="375">
        <f t="shared" ref="N22" si="45">SUM(N19:N21)</f>
        <v>10760</v>
      </c>
      <c r="O22" s="375">
        <f t="shared" ref="O22" si="46">SUM(O19:O21)</f>
        <v>20030</v>
      </c>
      <c r="P22" s="375">
        <f t="shared" ref="P22" si="47">SUM(P19:P21)</f>
        <v>10830</v>
      </c>
      <c r="Q22" s="376">
        <f t="shared" ref="Q22" si="48">SUM(Q19:Q21)</f>
        <v>15400</v>
      </c>
      <c r="R22" s="279">
        <f t="shared" ref="R22" si="49">SUM(R19:R21)</f>
        <v>130710</v>
      </c>
      <c r="S22" s="49"/>
      <c r="T22" s="29"/>
    </row>
    <row r="23" spans="1:20">
      <c r="A23" s="157"/>
      <c r="B23" s="54" t="s">
        <v>48</v>
      </c>
      <c r="C23" s="1" t="s">
        <v>46</v>
      </c>
      <c r="D23" s="1" t="s">
        <v>94</v>
      </c>
      <c r="E23" s="1" t="s">
        <v>101</v>
      </c>
      <c r="F23" s="372">
        <f>千葉!E7</f>
        <v>840</v>
      </c>
      <c r="G23" s="2">
        <f>千葉!F7</f>
        <v>9240</v>
      </c>
      <c r="H23" s="2">
        <f>千葉!G7</f>
        <v>2230</v>
      </c>
      <c r="I23" s="2">
        <f>千葉!H7</f>
        <v>3020</v>
      </c>
      <c r="J23" s="2">
        <f>千葉!I7</f>
        <v>2890</v>
      </c>
      <c r="K23" s="2">
        <f>千葉!J7</f>
        <v>2440</v>
      </c>
      <c r="L23" s="2">
        <f>千葉!K7</f>
        <v>1960</v>
      </c>
      <c r="M23" s="2">
        <f>千葉!L7</f>
        <v>1160</v>
      </c>
      <c r="N23" s="2">
        <f>千葉!M7</f>
        <v>3500</v>
      </c>
      <c r="O23" s="2">
        <f>千葉!N7</f>
        <v>7830</v>
      </c>
      <c r="P23" s="2">
        <f>千葉!O7</f>
        <v>7920</v>
      </c>
      <c r="Q23" s="373">
        <f>千葉!P7</f>
        <v>6960</v>
      </c>
      <c r="R23" s="316">
        <f t="shared" si="0"/>
        <v>49990</v>
      </c>
      <c r="S23" s="49"/>
    </row>
    <row r="24" spans="1:20">
      <c r="A24" s="157"/>
      <c r="B24" s="54"/>
      <c r="D24" s="1" t="s">
        <v>94</v>
      </c>
      <c r="E24" s="1" t="s">
        <v>102</v>
      </c>
      <c r="F24" s="372">
        <f>千葉!E17</f>
        <v>330</v>
      </c>
      <c r="G24" s="2">
        <f>千葉!F17</f>
        <v>330</v>
      </c>
      <c r="H24" s="2">
        <f>千葉!G17</f>
        <v>330</v>
      </c>
      <c r="I24" s="2">
        <f>千葉!H17</f>
        <v>330</v>
      </c>
      <c r="J24" s="2">
        <f>千葉!I17</f>
        <v>330</v>
      </c>
      <c r="K24" s="2">
        <f>千葉!J17</f>
        <v>330</v>
      </c>
      <c r="L24" s="2">
        <f>千葉!K17</f>
        <v>330</v>
      </c>
      <c r="M24" s="2">
        <f>千葉!L17</f>
        <v>330</v>
      </c>
      <c r="N24" s="2">
        <f>千葉!M17</f>
        <v>330</v>
      </c>
      <c r="O24" s="2">
        <f>千葉!N17</f>
        <v>330</v>
      </c>
      <c r="P24" s="2">
        <f>千葉!O17</f>
        <v>330</v>
      </c>
      <c r="Q24" s="373">
        <f>千葉!P17</f>
        <v>330</v>
      </c>
      <c r="R24" s="316">
        <f t="shared" si="0"/>
        <v>3960</v>
      </c>
      <c r="S24" s="49"/>
    </row>
    <row r="25" spans="1:20">
      <c r="A25" s="157"/>
      <c r="B25" s="54"/>
      <c r="D25" s="1" t="s">
        <v>94</v>
      </c>
      <c r="E25" s="1" t="s">
        <v>118</v>
      </c>
      <c r="F25" s="372">
        <f>千葉!E27</f>
        <v>420</v>
      </c>
      <c r="G25" s="2">
        <f>千葉!F27</f>
        <v>420</v>
      </c>
      <c r="H25" s="2">
        <f>千葉!G27</f>
        <v>420</v>
      </c>
      <c r="I25" s="2">
        <f>千葉!H27</f>
        <v>420</v>
      </c>
      <c r="J25" s="2">
        <f>千葉!I27</f>
        <v>420</v>
      </c>
      <c r="K25" s="2">
        <f>千葉!J27</f>
        <v>420</v>
      </c>
      <c r="L25" s="2">
        <f>千葉!K27</f>
        <v>420</v>
      </c>
      <c r="M25" s="2">
        <f>千葉!L27</f>
        <v>420</v>
      </c>
      <c r="N25" s="2">
        <f>千葉!M27</f>
        <v>420</v>
      </c>
      <c r="O25" s="2">
        <f>千葉!N27</f>
        <v>420</v>
      </c>
      <c r="P25" s="2">
        <f>千葉!O27</f>
        <v>420</v>
      </c>
      <c r="Q25" s="373">
        <f>千葉!P27</f>
        <v>420</v>
      </c>
      <c r="R25" s="316">
        <f t="shared" si="0"/>
        <v>5040</v>
      </c>
      <c r="S25" s="49"/>
    </row>
    <row r="26" spans="1:20" s="45" customFormat="1" ht="18" customHeight="1">
      <c r="A26" s="157"/>
      <c r="B26" s="55"/>
      <c r="C26" s="52"/>
      <c r="D26" s="52"/>
      <c r="E26" s="60" t="s">
        <v>103</v>
      </c>
      <c r="F26" s="374">
        <f>SUM(F23:F25)</f>
        <v>1590</v>
      </c>
      <c r="G26" s="375">
        <f t="shared" ref="G26" si="50">SUM(G23:G25)</f>
        <v>9990</v>
      </c>
      <c r="H26" s="375">
        <f t="shared" ref="H26" si="51">SUM(H23:H25)</f>
        <v>2980</v>
      </c>
      <c r="I26" s="375">
        <f t="shared" ref="I26" si="52">SUM(I23:I25)</f>
        <v>3770</v>
      </c>
      <c r="J26" s="375">
        <f t="shared" ref="J26" si="53">SUM(J23:J25)</f>
        <v>3640</v>
      </c>
      <c r="K26" s="375">
        <f t="shared" ref="K26" si="54">SUM(K23:K25)</f>
        <v>3190</v>
      </c>
      <c r="L26" s="375">
        <f t="shared" ref="L26" si="55">SUM(L23:L25)</f>
        <v>2710</v>
      </c>
      <c r="M26" s="375">
        <f t="shared" ref="M26" si="56">SUM(M23:M25)</f>
        <v>1910</v>
      </c>
      <c r="N26" s="375">
        <f t="shared" ref="N26" si="57">SUM(N23:N25)</f>
        <v>4250</v>
      </c>
      <c r="O26" s="375">
        <f t="shared" ref="O26" si="58">SUM(O23:O25)</f>
        <v>8580</v>
      </c>
      <c r="P26" s="375">
        <f t="shared" ref="P26" si="59">SUM(P23:P25)</f>
        <v>8670</v>
      </c>
      <c r="Q26" s="376">
        <f t="shared" ref="Q26" si="60">SUM(Q23:Q25)</f>
        <v>7710</v>
      </c>
      <c r="R26" s="279">
        <f t="shared" ref="R26" si="61">SUM(R23:R25)</f>
        <v>58990</v>
      </c>
      <c r="S26" s="49"/>
      <c r="T26" s="29"/>
    </row>
    <row r="27" spans="1:20">
      <c r="A27" s="157"/>
      <c r="B27" s="54" t="s">
        <v>48</v>
      </c>
      <c r="C27" s="1" t="s">
        <v>142</v>
      </c>
      <c r="D27" s="1" t="s">
        <v>94</v>
      </c>
      <c r="E27" s="1" t="s">
        <v>86</v>
      </c>
      <c r="F27" s="372">
        <f>中国!E7</f>
        <v>280</v>
      </c>
      <c r="G27" s="2">
        <f>中国!F7</f>
        <v>560</v>
      </c>
      <c r="H27" s="2">
        <f>中国!G7</f>
        <v>450</v>
      </c>
      <c r="I27" s="2">
        <f>中国!H7</f>
        <v>890</v>
      </c>
      <c r="J27" s="2">
        <f>中国!I7</f>
        <v>510</v>
      </c>
      <c r="K27" s="2">
        <f>中国!J7</f>
        <v>440</v>
      </c>
      <c r="L27" s="2">
        <f>中国!K7</f>
        <v>550</v>
      </c>
      <c r="M27" s="2">
        <f>中国!L7</f>
        <v>330</v>
      </c>
      <c r="N27" s="2">
        <f>中国!M7</f>
        <v>350</v>
      </c>
      <c r="O27" s="2">
        <f>中国!N7</f>
        <v>980</v>
      </c>
      <c r="P27" s="2">
        <f>中国!O7</f>
        <v>480</v>
      </c>
      <c r="Q27" s="373">
        <f>中国!P7</f>
        <v>480</v>
      </c>
      <c r="R27" s="316">
        <f t="shared" si="0"/>
        <v>6300</v>
      </c>
      <c r="S27" s="49"/>
    </row>
    <row r="28" spans="1:20">
      <c r="A28" s="157"/>
      <c r="B28" s="54"/>
      <c r="C28" s="1" t="s">
        <v>142</v>
      </c>
      <c r="D28" s="1" t="s">
        <v>94</v>
      </c>
      <c r="E28" s="1" t="s">
        <v>97</v>
      </c>
      <c r="F28" s="372">
        <f>中国!E17</f>
        <v>450</v>
      </c>
      <c r="G28" s="2">
        <f>中国!F17</f>
        <v>730</v>
      </c>
      <c r="H28" s="2">
        <f>中国!G17</f>
        <v>700</v>
      </c>
      <c r="I28" s="2">
        <f>中国!H17</f>
        <v>530</v>
      </c>
      <c r="J28" s="2">
        <f>中国!I17</f>
        <v>600</v>
      </c>
      <c r="K28" s="2">
        <f>中国!J17</f>
        <v>790</v>
      </c>
      <c r="L28" s="2">
        <f>中国!K17</f>
        <v>660</v>
      </c>
      <c r="M28" s="2">
        <f>中国!L17</f>
        <v>240</v>
      </c>
      <c r="N28" s="2">
        <f>中国!M17</f>
        <v>510</v>
      </c>
      <c r="O28" s="2">
        <f>中国!N17</f>
        <v>1310</v>
      </c>
      <c r="P28" s="2">
        <f>中国!O17</f>
        <v>850</v>
      </c>
      <c r="Q28" s="373">
        <f>中国!P17</f>
        <v>620</v>
      </c>
      <c r="R28" s="316">
        <f t="shared" si="0"/>
        <v>7990</v>
      </c>
      <c r="S28" s="49"/>
    </row>
    <row r="29" spans="1:20">
      <c r="A29" s="157"/>
      <c r="B29" s="54"/>
      <c r="C29" s="1" t="s">
        <v>117</v>
      </c>
      <c r="D29" s="1" t="s">
        <v>94</v>
      </c>
      <c r="E29" s="1" t="s">
        <v>117</v>
      </c>
      <c r="F29" s="372">
        <f>VVR!E7</f>
        <v>270</v>
      </c>
      <c r="G29" s="2">
        <f>VVR!F7</f>
        <v>230</v>
      </c>
      <c r="H29" s="2">
        <f>VVR!G7</f>
        <v>680</v>
      </c>
      <c r="I29" s="2">
        <f>VVR!H7</f>
        <v>980</v>
      </c>
      <c r="J29" s="2">
        <f>VVR!I7</f>
        <v>1400</v>
      </c>
      <c r="K29" s="2">
        <f>VVR!J7</f>
        <v>1730</v>
      </c>
      <c r="L29" s="2">
        <f>VVR!K7</f>
        <v>280</v>
      </c>
      <c r="M29" s="2">
        <f>VVR!L7</f>
        <v>260</v>
      </c>
      <c r="N29" s="2">
        <f>VVR!M7</f>
        <v>300</v>
      </c>
      <c r="O29" s="2">
        <f>VVR!N7</f>
        <v>320</v>
      </c>
      <c r="P29" s="2">
        <f>VVR!O7</f>
        <v>690</v>
      </c>
      <c r="Q29" s="373">
        <f>VVR!P7</f>
        <v>550</v>
      </c>
      <c r="R29" s="316">
        <f t="shared" si="0"/>
        <v>7690</v>
      </c>
      <c r="S29" s="49"/>
    </row>
    <row r="30" spans="1:20" s="45" customFormat="1" ht="18" customHeight="1">
      <c r="A30" s="157"/>
      <c r="B30" s="55"/>
      <c r="C30" s="52"/>
      <c r="D30" s="52"/>
      <c r="E30" s="60" t="s">
        <v>103</v>
      </c>
      <c r="F30" s="374">
        <f>SUM(F27:F29)</f>
        <v>1000</v>
      </c>
      <c r="G30" s="375">
        <f t="shared" ref="G30" si="62">SUM(G27:G29)</f>
        <v>1520</v>
      </c>
      <c r="H30" s="375">
        <f t="shared" ref="H30" si="63">SUM(H27:H29)</f>
        <v>1830</v>
      </c>
      <c r="I30" s="375">
        <f t="shared" ref="I30" si="64">SUM(I27:I29)</f>
        <v>2400</v>
      </c>
      <c r="J30" s="375">
        <f t="shared" ref="J30" si="65">SUM(J27:J29)</f>
        <v>2510</v>
      </c>
      <c r="K30" s="375">
        <f t="shared" ref="K30" si="66">SUM(K27:K29)</f>
        <v>2960</v>
      </c>
      <c r="L30" s="375">
        <f t="shared" ref="L30" si="67">SUM(L27:L29)</f>
        <v>1490</v>
      </c>
      <c r="M30" s="375">
        <f t="shared" ref="M30" si="68">SUM(M27:M29)</f>
        <v>830</v>
      </c>
      <c r="N30" s="375">
        <f t="shared" ref="N30" si="69">SUM(N27:N29)</f>
        <v>1160</v>
      </c>
      <c r="O30" s="375">
        <f t="shared" ref="O30" si="70">SUM(O27:O29)</f>
        <v>2610</v>
      </c>
      <c r="P30" s="375">
        <f t="shared" ref="P30" si="71">SUM(P27:P29)</f>
        <v>2020</v>
      </c>
      <c r="Q30" s="376">
        <f t="shared" ref="Q30" si="72">SUM(Q27:Q29)</f>
        <v>1650</v>
      </c>
      <c r="R30" s="279">
        <f t="shared" ref="R30" si="73">SUM(R27:R29)</f>
        <v>21980</v>
      </c>
      <c r="S30" s="49"/>
      <c r="T30" s="29"/>
    </row>
    <row r="31" spans="1:20">
      <c r="A31" s="157"/>
      <c r="B31" s="54" t="s">
        <v>48</v>
      </c>
      <c r="C31" s="1" t="s">
        <v>140</v>
      </c>
      <c r="D31" s="1" t="s">
        <v>135</v>
      </c>
      <c r="E31" s="1" t="s">
        <v>75</v>
      </c>
      <c r="F31" s="372">
        <f>新規1!E7</f>
        <v>2130</v>
      </c>
      <c r="G31" s="2">
        <f>新規1!F7</f>
        <v>0</v>
      </c>
      <c r="H31" s="2">
        <f>新規1!G7</f>
        <v>0</v>
      </c>
      <c r="I31" s="2">
        <f>新規1!H7</f>
        <v>0</v>
      </c>
      <c r="J31" s="2">
        <f>新規1!I7</f>
        <v>0</v>
      </c>
      <c r="K31" s="2">
        <f>新規1!J7</f>
        <v>0</v>
      </c>
      <c r="L31" s="2">
        <f>新規1!K7</f>
        <v>2200</v>
      </c>
      <c r="M31" s="2">
        <f>新規1!L7</f>
        <v>0</v>
      </c>
      <c r="N31" s="2">
        <f>新規1!M7</f>
        <v>0</v>
      </c>
      <c r="O31" s="2">
        <f>新規1!N7</f>
        <v>0</v>
      </c>
      <c r="P31" s="2">
        <f>新規1!O7</f>
        <v>0</v>
      </c>
      <c r="Q31" s="373">
        <f>新規1!P7</f>
        <v>2500</v>
      </c>
      <c r="R31" s="316">
        <f t="shared" si="0"/>
        <v>6830</v>
      </c>
      <c r="S31" s="49"/>
    </row>
    <row r="32" spans="1:20">
      <c r="A32" s="157"/>
      <c r="B32" s="54"/>
      <c r="C32" s="1" t="s">
        <v>140</v>
      </c>
      <c r="D32" s="1" t="s">
        <v>104</v>
      </c>
      <c r="E32" s="1" t="s">
        <v>52</v>
      </c>
      <c r="F32" s="372">
        <f>新規1!E17</f>
        <v>833.33333333333337</v>
      </c>
      <c r="G32" s="2">
        <f>新規1!F17</f>
        <v>833.33333333333337</v>
      </c>
      <c r="H32" s="2">
        <f>新規1!G17</f>
        <v>833.33333333333337</v>
      </c>
      <c r="I32" s="2">
        <f>新規1!H17</f>
        <v>833.33333333333337</v>
      </c>
      <c r="J32" s="2">
        <f>新規1!I17</f>
        <v>833.33333333333337</v>
      </c>
      <c r="K32" s="2">
        <f>新規1!J17</f>
        <v>833.33333333333337</v>
      </c>
      <c r="L32" s="2">
        <f>新規1!K17</f>
        <v>833.33333333333337</v>
      </c>
      <c r="M32" s="2">
        <f>新規1!L17</f>
        <v>833.33333333333337</v>
      </c>
      <c r="N32" s="2">
        <f>新規1!M17</f>
        <v>833.33333333333337</v>
      </c>
      <c r="O32" s="2">
        <f>新規1!N17</f>
        <v>833.33333333333337</v>
      </c>
      <c r="P32" s="2">
        <f>新規1!O17</f>
        <v>833.33333333333337</v>
      </c>
      <c r="Q32" s="373">
        <f>新規1!P17</f>
        <v>833.33333333333337</v>
      </c>
      <c r="R32" s="316">
        <f t="shared" si="0"/>
        <v>10000</v>
      </c>
      <c r="S32" s="49"/>
    </row>
    <row r="33" spans="1:20">
      <c r="A33" s="157"/>
      <c r="B33" s="54"/>
      <c r="C33" s="1" t="s">
        <v>141</v>
      </c>
      <c r="D33" s="1" t="s">
        <v>136</v>
      </c>
      <c r="E33" s="1" t="s">
        <v>137</v>
      </c>
      <c r="F33" s="372">
        <f>新規2!E27</f>
        <v>0</v>
      </c>
      <c r="G33" s="2">
        <f>新規2!F27</f>
        <v>0</v>
      </c>
      <c r="H33" s="2">
        <f>新規2!G27</f>
        <v>0</v>
      </c>
      <c r="I33" s="2">
        <f>新規2!H27</f>
        <v>0</v>
      </c>
      <c r="J33" s="2">
        <f>新規2!I27</f>
        <v>0</v>
      </c>
      <c r="K33" s="2">
        <f>新規2!J27</f>
        <v>0</v>
      </c>
      <c r="L33" s="2">
        <f>新規2!K27</f>
        <v>0</v>
      </c>
      <c r="M33" s="2">
        <f>新規2!L27</f>
        <v>0</v>
      </c>
      <c r="N33" s="2">
        <f>新規2!M27</f>
        <v>0</v>
      </c>
      <c r="O33" s="2">
        <f>新規2!N27</f>
        <v>0</v>
      </c>
      <c r="P33" s="2">
        <f>新規2!O27</f>
        <v>0</v>
      </c>
      <c r="Q33" s="373">
        <f>新規2!P27</f>
        <v>0</v>
      </c>
      <c r="R33" s="316">
        <f t="shared" si="0"/>
        <v>0</v>
      </c>
      <c r="S33" s="49"/>
    </row>
    <row r="34" spans="1:20" s="45" customFormat="1" ht="18" customHeight="1">
      <c r="A34" s="158"/>
      <c r="B34" s="50"/>
      <c r="C34" s="46"/>
      <c r="D34" s="46"/>
      <c r="E34" s="61" t="s">
        <v>103</v>
      </c>
      <c r="F34" s="377">
        <f>SUM(F31:F33)</f>
        <v>2963.3333333333335</v>
      </c>
      <c r="G34" s="378">
        <f t="shared" ref="G34" si="74">SUM(G31:G33)</f>
        <v>833.33333333333337</v>
      </c>
      <c r="H34" s="378">
        <f t="shared" ref="H34" si="75">SUM(H31:H33)</f>
        <v>833.33333333333337</v>
      </c>
      <c r="I34" s="378">
        <f t="shared" ref="I34" si="76">SUM(I31:I33)</f>
        <v>833.33333333333337</v>
      </c>
      <c r="J34" s="378">
        <f t="shared" ref="J34" si="77">SUM(J31:J33)</f>
        <v>833.33333333333337</v>
      </c>
      <c r="K34" s="378">
        <f t="shared" ref="K34" si="78">SUM(K31:K33)</f>
        <v>833.33333333333337</v>
      </c>
      <c r="L34" s="378">
        <f t="shared" ref="L34" si="79">SUM(L31:L33)</f>
        <v>3033.3333333333335</v>
      </c>
      <c r="M34" s="378">
        <f t="shared" ref="M34" si="80">SUM(M31:M33)</f>
        <v>833.33333333333337</v>
      </c>
      <c r="N34" s="378">
        <f t="shared" ref="N34" si="81">SUM(N31:N33)</f>
        <v>833.33333333333337</v>
      </c>
      <c r="O34" s="378">
        <f t="shared" ref="O34" si="82">SUM(O31:O33)</f>
        <v>833.33333333333337</v>
      </c>
      <c r="P34" s="378">
        <f t="shared" ref="P34" si="83">SUM(P31:P33)</f>
        <v>833.33333333333337</v>
      </c>
      <c r="Q34" s="379">
        <f t="shared" ref="Q34" si="84">SUM(Q31:Q33)</f>
        <v>3333.3333333333335</v>
      </c>
      <c r="R34" s="284">
        <f t="shared" ref="R34" si="85">SUM(R31:R33)</f>
        <v>16830</v>
      </c>
      <c r="S34" s="49"/>
      <c r="T34" s="29"/>
    </row>
    <row r="35" spans="1:20" ht="25.5">
      <c r="A35" s="365" t="s">
        <v>113</v>
      </c>
      <c r="B35" s="360" t="s">
        <v>40</v>
      </c>
      <c r="C35" s="360" t="s">
        <v>39</v>
      </c>
      <c r="D35" s="360" t="s">
        <v>114</v>
      </c>
      <c r="E35" s="360" t="s">
        <v>115</v>
      </c>
      <c r="F35" s="362">
        <v>45444</v>
      </c>
      <c r="G35" s="363">
        <v>45474</v>
      </c>
      <c r="H35" s="363">
        <v>45505</v>
      </c>
      <c r="I35" s="363">
        <v>45536</v>
      </c>
      <c r="J35" s="363">
        <v>45566</v>
      </c>
      <c r="K35" s="363">
        <v>45597</v>
      </c>
      <c r="L35" s="363">
        <v>45627</v>
      </c>
      <c r="M35" s="363">
        <v>45658</v>
      </c>
      <c r="N35" s="363">
        <v>45689</v>
      </c>
      <c r="O35" s="363">
        <v>45717</v>
      </c>
      <c r="P35" s="363">
        <v>45748</v>
      </c>
      <c r="Q35" s="364">
        <v>45778</v>
      </c>
      <c r="R35" s="56" t="s">
        <v>21</v>
      </c>
      <c r="S35" s="57" t="s">
        <v>109</v>
      </c>
      <c r="T35" s="57" t="s">
        <v>110</v>
      </c>
    </row>
    <row r="36" spans="1:20">
      <c r="A36" s="159"/>
      <c r="B36" s="53" t="s">
        <v>47</v>
      </c>
      <c r="C36" s="48" t="s">
        <v>41</v>
      </c>
      <c r="D36" s="48" t="s">
        <v>49</v>
      </c>
      <c r="E36" s="48" t="s">
        <v>51</v>
      </c>
      <c r="F36" s="369">
        <f>松岡!E13</f>
        <v>49</v>
      </c>
      <c r="G36" s="370">
        <f>松岡!F13</f>
        <v>110.10999999999996</v>
      </c>
      <c r="H36" s="370">
        <f>松岡!G13</f>
        <v>129.85999999999996</v>
      </c>
      <c r="I36" s="370">
        <f>松岡!H13</f>
        <v>303.70999999999992</v>
      </c>
      <c r="J36" s="370">
        <f>松岡!I13</f>
        <v>718.39999999999986</v>
      </c>
      <c r="K36" s="370">
        <f>松岡!J13</f>
        <v>320.20999999999992</v>
      </c>
      <c r="L36" s="370">
        <f>松岡!K13</f>
        <v>100.39999999999998</v>
      </c>
      <c r="M36" s="370">
        <f>松岡!L13</f>
        <v>105</v>
      </c>
      <c r="N36" s="370">
        <f>松岡!M13</f>
        <v>620.31999999999994</v>
      </c>
      <c r="O36" s="370">
        <f>松岡!N13</f>
        <v>174.63</v>
      </c>
      <c r="P36" s="370">
        <f>松岡!O13</f>
        <v>259.62</v>
      </c>
      <c r="Q36" s="371">
        <f>松岡!P13</f>
        <v>298.66999999999996</v>
      </c>
      <c r="R36" s="312">
        <f>SUM(F36:Q36)</f>
        <v>3189.9299999999994</v>
      </c>
      <c r="S36" s="51">
        <f>SUM(R39,R43,R47,R51,R55,R59,R63)</f>
        <v>141554.39000000001</v>
      </c>
      <c r="T36" s="51">
        <f>R67</f>
        <v>1580</v>
      </c>
    </row>
    <row r="37" spans="1:20">
      <c r="A37" s="159"/>
      <c r="B37" s="54"/>
      <c r="D37" s="1" t="s">
        <v>94</v>
      </c>
      <c r="E37" s="1" t="s">
        <v>51</v>
      </c>
      <c r="F37" s="372">
        <f>松岡!E23</f>
        <v>160</v>
      </c>
      <c r="G37" s="2">
        <f>松岡!F23</f>
        <v>75.299999999999983</v>
      </c>
      <c r="H37" s="2">
        <f>松岡!G23</f>
        <v>112.22999999999996</v>
      </c>
      <c r="I37" s="2">
        <f>松岡!H23</f>
        <v>650</v>
      </c>
      <c r="J37" s="2">
        <f>松岡!I23</f>
        <v>76</v>
      </c>
      <c r="K37" s="2">
        <f>松岡!J23</f>
        <v>228.40999999999997</v>
      </c>
      <c r="L37" s="2">
        <f>松岡!K23</f>
        <v>260</v>
      </c>
      <c r="M37" s="2">
        <f>松岡!L23</f>
        <v>159.91999999999996</v>
      </c>
      <c r="N37" s="2">
        <f>松岡!M23</f>
        <v>100.02999999999997</v>
      </c>
      <c r="O37" s="2">
        <f>松岡!N23</f>
        <v>115.08999999999997</v>
      </c>
      <c r="P37" s="2">
        <f>松岡!O23</f>
        <v>110.41999999999996</v>
      </c>
      <c r="Q37" s="373">
        <f>松岡!P23</f>
        <v>253.05999999999995</v>
      </c>
      <c r="R37" s="316">
        <f t="shared" ref="R37:R38" si="86">SUM(F37:Q37)</f>
        <v>2300.46</v>
      </c>
      <c r="S37" s="49"/>
    </row>
    <row r="38" spans="1:20">
      <c r="A38" s="159"/>
      <c r="B38" s="54"/>
      <c r="D38" s="1" t="s">
        <v>53</v>
      </c>
      <c r="E38" s="1" t="s">
        <v>52</v>
      </c>
      <c r="F38" s="372">
        <f>松岡!E33</f>
        <v>0</v>
      </c>
      <c r="G38" s="2">
        <f>松岡!F33</f>
        <v>0</v>
      </c>
      <c r="H38" s="2">
        <f>松岡!G33</f>
        <v>0</v>
      </c>
      <c r="I38" s="2">
        <f>松岡!H33</f>
        <v>350</v>
      </c>
      <c r="J38" s="2">
        <f>松岡!I33</f>
        <v>650</v>
      </c>
      <c r="K38" s="2">
        <f>松岡!J33</f>
        <v>650</v>
      </c>
      <c r="L38" s="2">
        <f>松岡!K33</f>
        <v>350</v>
      </c>
      <c r="M38" s="2">
        <f>松岡!L33</f>
        <v>650</v>
      </c>
      <c r="N38" s="2">
        <f>松岡!M33</f>
        <v>350</v>
      </c>
      <c r="O38" s="2">
        <f>松岡!N33</f>
        <v>650</v>
      </c>
      <c r="P38" s="2">
        <f>松岡!O33</f>
        <v>350</v>
      </c>
      <c r="Q38" s="373">
        <f>松岡!P33</f>
        <v>740</v>
      </c>
      <c r="R38" s="316">
        <f t="shared" si="86"/>
        <v>4740</v>
      </c>
      <c r="S38" s="498" t="s">
        <v>111</v>
      </c>
      <c r="T38" s="498"/>
    </row>
    <row r="39" spans="1:20">
      <c r="A39" s="159"/>
      <c r="B39" s="55"/>
      <c r="C39" s="52"/>
      <c r="D39" s="52"/>
      <c r="E39" s="62" t="s">
        <v>21</v>
      </c>
      <c r="F39" s="380">
        <f>SUM(F36:F38)</f>
        <v>209</v>
      </c>
      <c r="G39" s="381">
        <f t="shared" ref="G39:R39" si="87">SUM(G36:G38)</f>
        <v>185.40999999999994</v>
      </c>
      <c r="H39" s="381">
        <f t="shared" si="87"/>
        <v>242.08999999999992</v>
      </c>
      <c r="I39" s="381">
        <f t="shared" si="87"/>
        <v>1303.71</v>
      </c>
      <c r="J39" s="381">
        <f t="shared" si="87"/>
        <v>1444.3999999999999</v>
      </c>
      <c r="K39" s="381">
        <f t="shared" si="87"/>
        <v>1198.6199999999999</v>
      </c>
      <c r="L39" s="381">
        <f t="shared" si="87"/>
        <v>710.4</v>
      </c>
      <c r="M39" s="381">
        <f t="shared" si="87"/>
        <v>914.92</v>
      </c>
      <c r="N39" s="381">
        <f t="shared" si="87"/>
        <v>1070.3499999999999</v>
      </c>
      <c r="O39" s="381">
        <f t="shared" si="87"/>
        <v>939.72</v>
      </c>
      <c r="P39" s="381">
        <f t="shared" si="87"/>
        <v>720.04</v>
      </c>
      <c r="Q39" s="382">
        <f t="shared" si="87"/>
        <v>1291.73</v>
      </c>
      <c r="R39" s="383">
        <f t="shared" si="87"/>
        <v>10230.39</v>
      </c>
      <c r="S39" s="499">
        <f>S36+T36</f>
        <v>143134.39000000001</v>
      </c>
      <c r="T39" s="499"/>
    </row>
    <row r="40" spans="1:20">
      <c r="A40" s="159"/>
      <c r="B40" s="54" t="s">
        <v>47</v>
      </c>
      <c r="C40" s="1" t="s">
        <v>42</v>
      </c>
      <c r="D40" s="1" t="s">
        <v>100</v>
      </c>
      <c r="E40" s="1" t="s">
        <v>54</v>
      </c>
      <c r="F40" s="372">
        <f>大谷!E13</f>
        <v>303</v>
      </c>
      <c r="G40" s="2">
        <f>大谷!F13</f>
        <v>303</v>
      </c>
      <c r="H40" s="2">
        <f>大谷!G13</f>
        <v>303</v>
      </c>
      <c r="I40" s="2">
        <f>大谷!H13</f>
        <v>303</v>
      </c>
      <c r="J40" s="2">
        <f>大谷!I13</f>
        <v>303</v>
      </c>
      <c r="K40" s="2">
        <f>大谷!J13</f>
        <v>303</v>
      </c>
      <c r="L40" s="2">
        <f>大谷!K13</f>
        <v>303</v>
      </c>
      <c r="M40" s="2">
        <f>大谷!L13</f>
        <v>303</v>
      </c>
      <c r="N40" s="2">
        <f>大谷!M13</f>
        <v>303</v>
      </c>
      <c r="O40" s="2">
        <f>大谷!N13</f>
        <v>303</v>
      </c>
      <c r="P40" s="2">
        <f>大谷!O13</f>
        <v>303</v>
      </c>
      <c r="Q40" s="373">
        <f>大谷!P13</f>
        <v>303</v>
      </c>
      <c r="R40" s="316">
        <f t="shared" ref="R40:R42" si="88">SUM(F40:Q40)</f>
        <v>3636</v>
      </c>
      <c r="S40" s="49"/>
    </row>
    <row r="41" spans="1:20">
      <c r="A41" s="159"/>
      <c r="B41" s="54"/>
      <c r="D41" s="1" t="s">
        <v>100</v>
      </c>
      <c r="E41" s="1" t="s">
        <v>53</v>
      </c>
      <c r="F41" s="372">
        <f>大谷!E23</f>
        <v>1421</v>
      </c>
      <c r="G41" s="2">
        <f>大谷!F23</f>
        <v>1421</v>
      </c>
      <c r="H41" s="2">
        <f>大谷!G23</f>
        <v>1421</v>
      </c>
      <c r="I41" s="2">
        <f>大谷!H23</f>
        <v>1421</v>
      </c>
      <c r="J41" s="2">
        <f>大谷!I23</f>
        <v>1421</v>
      </c>
      <c r="K41" s="2">
        <f>大谷!J23</f>
        <v>1421</v>
      </c>
      <c r="L41" s="2">
        <f>大谷!K23</f>
        <v>1421</v>
      </c>
      <c r="M41" s="2">
        <f>大谷!L23</f>
        <v>1421</v>
      </c>
      <c r="N41" s="2">
        <f>大谷!M23</f>
        <v>1421</v>
      </c>
      <c r="O41" s="2">
        <f>大谷!N23</f>
        <v>1421</v>
      </c>
      <c r="P41" s="2">
        <f>大谷!O23</f>
        <v>1421</v>
      </c>
      <c r="Q41" s="373">
        <f>大谷!P23</f>
        <v>1421</v>
      </c>
      <c r="R41" s="316">
        <f t="shared" si="88"/>
        <v>17052</v>
      </c>
      <c r="S41" s="49"/>
    </row>
    <row r="42" spans="1:20">
      <c r="A42" s="159"/>
      <c r="B42" s="54"/>
      <c r="D42" s="1" t="s">
        <v>94</v>
      </c>
      <c r="E42" s="1" t="s">
        <v>55</v>
      </c>
      <c r="F42" s="372">
        <f>大谷!E33</f>
        <v>1100</v>
      </c>
      <c r="G42" s="2">
        <f>大谷!F33</f>
        <v>1100</v>
      </c>
      <c r="H42" s="2">
        <f>大谷!G33</f>
        <v>1100</v>
      </c>
      <c r="I42" s="2">
        <f>大谷!H33</f>
        <v>450</v>
      </c>
      <c r="J42" s="2">
        <f>大谷!I33</f>
        <v>450</v>
      </c>
      <c r="K42" s="2">
        <f>大谷!J33</f>
        <v>450</v>
      </c>
      <c r="L42" s="2">
        <f>大谷!K33</f>
        <v>450</v>
      </c>
      <c r="M42" s="2">
        <f>大谷!L33</f>
        <v>450</v>
      </c>
      <c r="N42" s="2">
        <f>大谷!M33</f>
        <v>450</v>
      </c>
      <c r="O42" s="2">
        <f>大谷!N33</f>
        <v>450</v>
      </c>
      <c r="P42" s="2">
        <f>大谷!O33</f>
        <v>450</v>
      </c>
      <c r="Q42" s="373">
        <f>大谷!P33</f>
        <v>450</v>
      </c>
      <c r="R42" s="316">
        <f t="shared" si="88"/>
        <v>7350</v>
      </c>
      <c r="S42" s="49"/>
    </row>
    <row r="43" spans="1:20">
      <c r="A43" s="159"/>
      <c r="B43" s="55"/>
      <c r="C43" s="52"/>
      <c r="D43" s="52"/>
      <c r="E43" s="62" t="s">
        <v>21</v>
      </c>
      <c r="F43" s="380">
        <f>SUM(F40:F42)</f>
        <v>2824</v>
      </c>
      <c r="G43" s="381">
        <f t="shared" ref="G43:R43" si="89">SUM(G40:G42)</f>
        <v>2824</v>
      </c>
      <c r="H43" s="381">
        <f t="shared" si="89"/>
        <v>2824</v>
      </c>
      <c r="I43" s="381">
        <f t="shared" si="89"/>
        <v>2174</v>
      </c>
      <c r="J43" s="381">
        <f t="shared" si="89"/>
        <v>2174</v>
      </c>
      <c r="K43" s="381">
        <f t="shared" si="89"/>
        <v>2174</v>
      </c>
      <c r="L43" s="381">
        <f t="shared" si="89"/>
        <v>2174</v>
      </c>
      <c r="M43" s="381">
        <f t="shared" si="89"/>
        <v>2174</v>
      </c>
      <c r="N43" s="381">
        <f t="shared" si="89"/>
        <v>2174</v>
      </c>
      <c r="O43" s="381">
        <f t="shared" si="89"/>
        <v>2174</v>
      </c>
      <c r="P43" s="381">
        <f t="shared" si="89"/>
        <v>2174</v>
      </c>
      <c r="Q43" s="382">
        <f t="shared" si="89"/>
        <v>2174</v>
      </c>
      <c r="R43" s="383">
        <f t="shared" si="89"/>
        <v>28038</v>
      </c>
      <c r="S43" s="49"/>
    </row>
    <row r="44" spans="1:20">
      <c r="A44" s="159"/>
      <c r="B44" s="54" t="s">
        <v>47</v>
      </c>
      <c r="C44" s="1" t="s">
        <v>43</v>
      </c>
      <c r="D44" s="1" t="s">
        <v>138</v>
      </c>
      <c r="E44" s="1" t="s">
        <v>139</v>
      </c>
      <c r="F44" s="372">
        <f>宮本!E13</f>
        <v>793</v>
      </c>
      <c r="G44" s="2">
        <f>宮本!F13</f>
        <v>549</v>
      </c>
      <c r="H44" s="2">
        <f>宮本!G13</f>
        <v>650</v>
      </c>
      <c r="I44" s="2">
        <f>宮本!H13</f>
        <v>505</v>
      </c>
      <c r="J44" s="2">
        <f>宮本!I13</f>
        <v>738</v>
      </c>
      <c r="K44" s="2">
        <f>宮本!J13</f>
        <v>902</v>
      </c>
      <c r="L44" s="2">
        <f>宮本!K13</f>
        <v>1093</v>
      </c>
      <c r="M44" s="2">
        <f>宮本!L13</f>
        <v>522</v>
      </c>
      <c r="N44" s="2">
        <f>宮本!M13</f>
        <v>435</v>
      </c>
      <c r="O44" s="2">
        <f>宮本!N13</f>
        <v>569</v>
      </c>
      <c r="P44" s="2">
        <f>宮本!O13</f>
        <v>507</v>
      </c>
      <c r="Q44" s="373">
        <f>宮本!P13</f>
        <v>603</v>
      </c>
      <c r="R44" s="316">
        <f t="shared" ref="R44:R46" si="90">SUM(F44:Q44)</f>
        <v>7866</v>
      </c>
      <c r="S44" s="49"/>
    </row>
    <row r="45" spans="1:20">
      <c r="A45" s="159"/>
      <c r="B45" s="54"/>
      <c r="F45" s="372">
        <f>宮本!E23</f>
        <v>0</v>
      </c>
      <c r="G45" s="2">
        <f>宮本!F23</f>
        <v>0</v>
      </c>
      <c r="H45" s="2">
        <f>宮本!G23</f>
        <v>0</v>
      </c>
      <c r="I45" s="2">
        <f>宮本!H23</f>
        <v>0</v>
      </c>
      <c r="J45" s="2">
        <f>宮本!I23</f>
        <v>0</v>
      </c>
      <c r="K45" s="2">
        <f>宮本!J23</f>
        <v>0</v>
      </c>
      <c r="L45" s="2">
        <f>宮本!K23</f>
        <v>0</v>
      </c>
      <c r="M45" s="2">
        <f>宮本!L23</f>
        <v>0</v>
      </c>
      <c r="N45" s="2">
        <f>宮本!M23</f>
        <v>0</v>
      </c>
      <c r="O45" s="2">
        <f>宮本!N23</f>
        <v>0</v>
      </c>
      <c r="P45" s="2">
        <f>宮本!O23</f>
        <v>0</v>
      </c>
      <c r="Q45" s="373">
        <f>宮本!P23</f>
        <v>0</v>
      </c>
      <c r="R45" s="316">
        <f t="shared" si="90"/>
        <v>0</v>
      </c>
      <c r="S45" s="49"/>
    </row>
    <row r="46" spans="1:20">
      <c r="A46" s="159"/>
      <c r="B46" s="54"/>
      <c r="F46" s="372">
        <f>宮本!E33</f>
        <v>0</v>
      </c>
      <c r="G46" s="2">
        <f>宮本!F33</f>
        <v>0</v>
      </c>
      <c r="H46" s="2">
        <f>宮本!G33</f>
        <v>0</v>
      </c>
      <c r="I46" s="2">
        <f>宮本!H33</f>
        <v>0</v>
      </c>
      <c r="J46" s="2">
        <f>宮本!I33</f>
        <v>0</v>
      </c>
      <c r="K46" s="2">
        <f>宮本!J33</f>
        <v>0</v>
      </c>
      <c r="L46" s="2">
        <f>宮本!K33</f>
        <v>0</v>
      </c>
      <c r="M46" s="2">
        <f>宮本!L33</f>
        <v>0</v>
      </c>
      <c r="N46" s="2">
        <f>宮本!M33</f>
        <v>0</v>
      </c>
      <c r="O46" s="2">
        <f>宮本!N33</f>
        <v>0</v>
      </c>
      <c r="P46" s="2">
        <f>宮本!O33</f>
        <v>0</v>
      </c>
      <c r="Q46" s="373">
        <f>宮本!P33</f>
        <v>0</v>
      </c>
      <c r="R46" s="316">
        <f t="shared" si="90"/>
        <v>0</v>
      </c>
      <c r="S46" s="49"/>
    </row>
    <row r="47" spans="1:20">
      <c r="A47" s="159"/>
      <c r="B47" s="55"/>
      <c r="C47" s="52"/>
      <c r="D47" s="52"/>
      <c r="E47" s="62" t="s">
        <v>21</v>
      </c>
      <c r="F47" s="380">
        <f>SUM(F44:F46)</f>
        <v>793</v>
      </c>
      <c r="G47" s="381">
        <f t="shared" ref="G47:R47" si="91">SUM(G44:G46)</f>
        <v>549</v>
      </c>
      <c r="H47" s="381">
        <f t="shared" si="91"/>
        <v>650</v>
      </c>
      <c r="I47" s="381">
        <f t="shared" si="91"/>
        <v>505</v>
      </c>
      <c r="J47" s="381">
        <f t="shared" si="91"/>
        <v>738</v>
      </c>
      <c r="K47" s="381">
        <f t="shared" si="91"/>
        <v>902</v>
      </c>
      <c r="L47" s="381">
        <f t="shared" si="91"/>
        <v>1093</v>
      </c>
      <c r="M47" s="381">
        <f t="shared" si="91"/>
        <v>522</v>
      </c>
      <c r="N47" s="381">
        <f t="shared" si="91"/>
        <v>435</v>
      </c>
      <c r="O47" s="381">
        <f t="shared" si="91"/>
        <v>569</v>
      </c>
      <c r="P47" s="381">
        <f t="shared" si="91"/>
        <v>507</v>
      </c>
      <c r="Q47" s="382">
        <f t="shared" si="91"/>
        <v>603</v>
      </c>
      <c r="R47" s="383">
        <f t="shared" si="91"/>
        <v>7866</v>
      </c>
      <c r="S47" s="49"/>
    </row>
    <row r="48" spans="1:20">
      <c r="A48" s="159"/>
      <c r="B48" s="54" t="s">
        <v>48</v>
      </c>
      <c r="C48" s="1" t="s">
        <v>44</v>
      </c>
      <c r="D48" s="1" t="s">
        <v>98</v>
      </c>
      <c r="E48" s="1" t="s">
        <v>75</v>
      </c>
      <c r="F48" s="372">
        <f>深串!E13</f>
        <v>0</v>
      </c>
      <c r="G48" s="2">
        <f>深串!F13</f>
        <v>20</v>
      </c>
      <c r="H48" s="2">
        <f>深串!G13</f>
        <v>20</v>
      </c>
      <c r="I48" s="2">
        <f>深串!H13</f>
        <v>480</v>
      </c>
      <c r="J48" s="2">
        <f>深串!I13</f>
        <v>1570</v>
      </c>
      <c r="K48" s="2">
        <f>深串!J13</f>
        <v>810</v>
      </c>
      <c r="L48" s="2">
        <f>深串!K13</f>
        <v>850</v>
      </c>
      <c r="M48" s="2">
        <f>深串!L13</f>
        <v>810</v>
      </c>
      <c r="N48" s="2">
        <f>深串!M13</f>
        <v>820</v>
      </c>
      <c r="O48" s="2">
        <f>深串!N13</f>
        <v>850</v>
      </c>
      <c r="P48" s="2">
        <f>深串!O13</f>
        <v>1240</v>
      </c>
      <c r="Q48" s="373">
        <f>深串!P13</f>
        <v>1630</v>
      </c>
      <c r="R48" s="316">
        <f>SUM(F48:Q48)</f>
        <v>9100</v>
      </c>
      <c r="S48" s="49"/>
    </row>
    <row r="49" spans="1:19">
      <c r="A49" s="159"/>
      <c r="B49" s="54"/>
      <c r="D49" s="1" t="s">
        <v>98</v>
      </c>
      <c r="E49" s="1" t="s">
        <v>87</v>
      </c>
      <c r="F49" s="372">
        <f>深串!E23</f>
        <v>130</v>
      </c>
      <c r="G49" s="2">
        <f>深串!F23</f>
        <v>210</v>
      </c>
      <c r="H49" s="2">
        <f>深串!G23</f>
        <v>500</v>
      </c>
      <c r="I49" s="2">
        <f>深串!H23</f>
        <v>230</v>
      </c>
      <c r="J49" s="2">
        <f>深串!I23</f>
        <v>10</v>
      </c>
      <c r="K49" s="2">
        <f>深串!J23</f>
        <v>620</v>
      </c>
      <c r="L49" s="2">
        <f>深串!K23</f>
        <v>490</v>
      </c>
      <c r="M49" s="2">
        <f>深串!L23</f>
        <v>240</v>
      </c>
      <c r="N49" s="2">
        <f>深串!M23</f>
        <v>650</v>
      </c>
      <c r="O49" s="2">
        <f>深串!N23</f>
        <v>200</v>
      </c>
      <c r="P49" s="2">
        <f>深串!O23</f>
        <v>130</v>
      </c>
      <c r="Q49" s="373">
        <f>深串!P23</f>
        <v>300</v>
      </c>
      <c r="R49" s="316">
        <f t="shared" ref="R49:R50" si="92">SUM(F49:Q49)</f>
        <v>3710</v>
      </c>
      <c r="S49" s="49"/>
    </row>
    <row r="50" spans="1:19">
      <c r="A50" s="159"/>
      <c r="B50" s="54"/>
      <c r="D50" s="1" t="s">
        <v>99</v>
      </c>
      <c r="E50" s="1" t="s">
        <v>53</v>
      </c>
      <c r="F50" s="372">
        <f>深串!E33</f>
        <v>1900</v>
      </c>
      <c r="G50" s="2">
        <f>深串!F33</f>
        <v>4270</v>
      </c>
      <c r="H50" s="2">
        <f>深串!G33</f>
        <v>1930</v>
      </c>
      <c r="I50" s="2">
        <f>深串!H33</f>
        <v>2590</v>
      </c>
      <c r="J50" s="2">
        <f>深串!I33</f>
        <v>1200</v>
      </c>
      <c r="K50" s="2">
        <f>深串!J33</f>
        <v>2660</v>
      </c>
      <c r="L50" s="2">
        <f>深串!K33</f>
        <v>2700</v>
      </c>
      <c r="M50" s="2">
        <f>深串!L33</f>
        <v>2910</v>
      </c>
      <c r="N50" s="2">
        <f>深串!M33</f>
        <v>1830</v>
      </c>
      <c r="O50" s="2">
        <f>深串!N33</f>
        <v>2240</v>
      </c>
      <c r="P50" s="2">
        <f>深串!O33</f>
        <v>2130</v>
      </c>
      <c r="Q50" s="373">
        <f>深串!P33</f>
        <v>3640</v>
      </c>
      <c r="R50" s="316">
        <f t="shared" si="92"/>
        <v>30000</v>
      </c>
      <c r="S50" s="49"/>
    </row>
    <row r="51" spans="1:19">
      <c r="A51" s="159"/>
      <c r="B51" s="55"/>
      <c r="C51" s="52"/>
      <c r="D51" s="52"/>
      <c r="E51" s="62" t="s">
        <v>21</v>
      </c>
      <c r="F51" s="380">
        <f>SUM(F48:F50)</f>
        <v>2030</v>
      </c>
      <c r="G51" s="381">
        <f t="shared" ref="G51:Q51" si="93">SUM(G48:G50)</f>
        <v>4500</v>
      </c>
      <c r="H51" s="381">
        <f t="shared" si="93"/>
        <v>2450</v>
      </c>
      <c r="I51" s="381">
        <f t="shared" si="93"/>
        <v>3300</v>
      </c>
      <c r="J51" s="381">
        <f t="shared" si="93"/>
        <v>2780</v>
      </c>
      <c r="K51" s="381">
        <f t="shared" si="93"/>
        <v>4090</v>
      </c>
      <c r="L51" s="381">
        <f t="shared" si="93"/>
        <v>4040</v>
      </c>
      <c r="M51" s="381">
        <f t="shared" si="93"/>
        <v>3960</v>
      </c>
      <c r="N51" s="381">
        <f t="shared" si="93"/>
        <v>3300</v>
      </c>
      <c r="O51" s="381">
        <f t="shared" si="93"/>
        <v>3290</v>
      </c>
      <c r="P51" s="381">
        <f t="shared" si="93"/>
        <v>3500</v>
      </c>
      <c r="Q51" s="382">
        <f t="shared" si="93"/>
        <v>5570</v>
      </c>
      <c r="R51" s="383">
        <f>SUM(R48:R50)</f>
        <v>42810</v>
      </c>
      <c r="S51" s="49"/>
    </row>
    <row r="52" spans="1:19">
      <c r="A52" s="159"/>
      <c r="B52" s="54" t="s">
        <v>48</v>
      </c>
      <c r="C52" s="1" t="s">
        <v>45</v>
      </c>
      <c r="D52" s="1" t="s">
        <v>94</v>
      </c>
      <c r="E52" s="1" t="s">
        <v>95</v>
      </c>
      <c r="F52" s="372">
        <f>前川!E13</f>
        <v>370</v>
      </c>
      <c r="G52" s="2">
        <f>前川!F13</f>
        <v>160</v>
      </c>
      <c r="H52" s="2">
        <f>前川!G13</f>
        <v>230</v>
      </c>
      <c r="I52" s="2">
        <f>前川!H13</f>
        <v>260</v>
      </c>
      <c r="J52" s="2">
        <f>前川!I13</f>
        <v>360</v>
      </c>
      <c r="K52" s="2">
        <f>前川!J13</f>
        <v>430</v>
      </c>
      <c r="L52" s="2">
        <f>前川!K13</f>
        <v>180</v>
      </c>
      <c r="M52" s="2">
        <f>前川!L13</f>
        <v>160</v>
      </c>
      <c r="N52" s="2">
        <f>前川!M13</f>
        <v>30</v>
      </c>
      <c r="O52" s="2">
        <f>前川!N13</f>
        <v>200</v>
      </c>
      <c r="P52" s="2">
        <f>前川!O13</f>
        <v>140</v>
      </c>
      <c r="Q52" s="373">
        <f>前川!P13</f>
        <v>150</v>
      </c>
      <c r="R52" s="316">
        <f t="shared" ref="R52:R54" si="94">SUM(F52:Q52)</f>
        <v>2670</v>
      </c>
      <c r="S52" s="49"/>
    </row>
    <row r="53" spans="1:19">
      <c r="A53" s="159"/>
      <c r="B53" s="54"/>
      <c r="D53" s="1" t="s">
        <v>49</v>
      </c>
      <c r="E53" s="1" t="s">
        <v>101</v>
      </c>
      <c r="F53" s="372">
        <f>前川!E23</f>
        <v>180</v>
      </c>
      <c r="G53" s="2">
        <f>前川!F23</f>
        <v>100</v>
      </c>
      <c r="H53" s="2">
        <f>前川!G23</f>
        <v>135</v>
      </c>
      <c r="I53" s="2">
        <f>前川!H23</f>
        <v>155</v>
      </c>
      <c r="J53" s="2">
        <f>前川!I23</f>
        <v>125</v>
      </c>
      <c r="K53" s="2">
        <f>前川!J23</f>
        <v>325</v>
      </c>
      <c r="L53" s="2">
        <f>前川!K23</f>
        <v>145</v>
      </c>
      <c r="M53" s="2">
        <f>前川!L23</f>
        <v>235</v>
      </c>
      <c r="N53" s="2">
        <f>前川!M23</f>
        <v>115</v>
      </c>
      <c r="O53" s="2">
        <f>前川!N23</f>
        <v>255</v>
      </c>
      <c r="P53" s="2">
        <f>前川!O23</f>
        <v>205</v>
      </c>
      <c r="Q53" s="373">
        <f>前川!P23</f>
        <v>135</v>
      </c>
      <c r="R53" s="316">
        <f t="shared" si="94"/>
        <v>2110</v>
      </c>
      <c r="S53" s="49"/>
    </row>
    <row r="54" spans="1:19">
      <c r="A54" s="159"/>
      <c r="B54" s="54"/>
      <c r="D54" s="1" t="s">
        <v>49</v>
      </c>
      <c r="E54" s="1" t="s">
        <v>102</v>
      </c>
      <c r="F54" s="372">
        <f>前川!E33</f>
        <v>190</v>
      </c>
      <c r="G54" s="2">
        <f>前川!F33</f>
        <v>60</v>
      </c>
      <c r="H54" s="2">
        <f>前川!G33</f>
        <v>265</v>
      </c>
      <c r="I54" s="2">
        <f>前川!H33</f>
        <v>115</v>
      </c>
      <c r="J54" s="2">
        <f>前川!I33</f>
        <v>265</v>
      </c>
      <c r="K54" s="2">
        <f>前川!J33</f>
        <v>105</v>
      </c>
      <c r="L54" s="2">
        <f>前川!K33</f>
        <v>105</v>
      </c>
      <c r="M54" s="2">
        <f>前川!L33</f>
        <v>425</v>
      </c>
      <c r="N54" s="2">
        <f>前川!M33</f>
        <v>485</v>
      </c>
      <c r="O54" s="2">
        <f>前川!N33</f>
        <v>11395</v>
      </c>
      <c r="P54" s="2">
        <f>前川!O33</f>
        <v>345</v>
      </c>
      <c r="Q54" s="373">
        <f>前川!P33</f>
        <v>675</v>
      </c>
      <c r="R54" s="316">
        <f t="shared" si="94"/>
        <v>14430</v>
      </c>
      <c r="S54" s="49"/>
    </row>
    <row r="55" spans="1:19">
      <c r="A55" s="159"/>
      <c r="B55" s="55"/>
      <c r="C55" s="52"/>
      <c r="D55" s="52"/>
      <c r="E55" s="62" t="s">
        <v>21</v>
      </c>
      <c r="F55" s="380">
        <f>SUM(F52:F54)</f>
        <v>740</v>
      </c>
      <c r="G55" s="381">
        <f t="shared" ref="G55:Q55" si="95">SUM(G52:G54)</f>
        <v>320</v>
      </c>
      <c r="H55" s="381">
        <f t="shared" si="95"/>
        <v>630</v>
      </c>
      <c r="I55" s="381">
        <f t="shared" si="95"/>
        <v>530</v>
      </c>
      <c r="J55" s="381">
        <f t="shared" si="95"/>
        <v>750</v>
      </c>
      <c r="K55" s="381">
        <f t="shared" si="95"/>
        <v>860</v>
      </c>
      <c r="L55" s="381">
        <f t="shared" si="95"/>
        <v>430</v>
      </c>
      <c r="M55" s="381">
        <f t="shared" si="95"/>
        <v>820</v>
      </c>
      <c r="N55" s="381">
        <f t="shared" si="95"/>
        <v>630</v>
      </c>
      <c r="O55" s="381">
        <f t="shared" si="95"/>
        <v>11850</v>
      </c>
      <c r="P55" s="381">
        <f t="shared" si="95"/>
        <v>690</v>
      </c>
      <c r="Q55" s="382">
        <f t="shared" si="95"/>
        <v>960</v>
      </c>
      <c r="R55" s="383">
        <f>SUM(R52:R54)</f>
        <v>19210</v>
      </c>
      <c r="S55" s="49"/>
    </row>
    <row r="56" spans="1:19">
      <c r="A56" s="159"/>
      <c r="B56" s="54" t="s">
        <v>48</v>
      </c>
      <c r="C56" s="1" t="s">
        <v>46</v>
      </c>
      <c r="D56" s="1" t="s">
        <v>94</v>
      </c>
      <c r="E56" s="1" t="s">
        <v>101</v>
      </c>
      <c r="F56" s="372">
        <f>千葉!E13</f>
        <v>390</v>
      </c>
      <c r="G56" s="2">
        <f>千葉!F13</f>
        <v>4060</v>
      </c>
      <c r="H56" s="2">
        <f>千葉!G13</f>
        <v>800</v>
      </c>
      <c r="I56" s="2">
        <f>千葉!H13</f>
        <v>1190</v>
      </c>
      <c r="J56" s="2">
        <f>千葉!I13</f>
        <v>1250</v>
      </c>
      <c r="K56" s="2">
        <f>千葉!J13</f>
        <v>900</v>
      </c>
      <c r="L56" s="2">
        <f>千葉!K13</f>
        <v>780</v>
      </c>
      <c r="M56" s="2">
        <f>千葉!L13</f>
        <v>520</v>
      </c>
      <c r="N56" s="2">
        <f>千葉!M13</f>
        <v>1560</v>
      </c>
      <c r="O56" s="2">
        <f>千葉!N13</f>
        <v>3210</v>
      </c>
      <c r="P56" s="2">
        <f>千葉!O13</f>
        <v>2590</v>
      </c>
      <c r="Q56" s="373">
        <f>千葉!P13</f>
        <v>2740</v>
      </c>
      <c r="R56" s="316">
        <f t="shared" ref="R56:R58" si="96">SUM(F56:Q56)</f>
        <v>19990</v>
      </c>
      <c r="S56" s="49"/>
    </row>
    <row r="57" spans="1:19">
      <c r="A57" s="159"/>
      <c r="B57" s="54"/>
      <c r="D57" s="1" t="s">
        <v>94</v>
      </c>
      <c r="E57" s="1" t="s">
        <v>102</v>
      </c>
      <c r="F57" s="372">
        <f>千葉!E23</f>
        <v>100</v>
      </c>
      <c r="G57" s="2">
        <f>千葉!F23</f>
        <v>100</v>
      </c>
      <c r="H57" s="2">
        <f>千葉!G23</f>
        <v>100</v>
      </c>
      <c r="I57" s="2">
        <f>千葉!H23</f>
        <v>100</v>
      </c>
      <c r="J57" s="2">
        <f>千葉!I23</f>
        <v>100</v>
      </c>
      <c r="K57" s="2">
        <f>千葉!J23</f>
        <v>100</v>
      </c>
      <c r="L57" s="2">
        <f>千葉!K23</f>
        <v>100</v>
      </c>
      <c r="M57" s="2">
        <f>千葉!L23</f>
        <v>100</v>
      </c>
      <c r="N57" s="2">
        <f>千葉!M23</f>
        <v>100</v>
      </c>
      <c r="O57" s="2">
        <f>千葉!N23</f>
        <v>100</v>
      </c>
      <c r="P57" s="2">
        <f>千葉!O23</f>
        <v>100</v>
      </c>
      <c r="Q57" s="373">
        <f>千葉!P23</f>
        <v>100</v>
      </c>
      <c r="R57" s="316">
        <f t="shared" si="96"/>
        <v>1200</v>
      </c>
      <c r="S57" s="49"/>
    </row>
    <row r="58" spans="1:19">
      <c r="A58" s="159"/>
      <c r="B58" s="54"/>
      <c r="D58" s="1" t="s">
        <v>94</v>
      </c>
      <c r="E58" s="1" t="s">
        <v>118</v>
      </c>
      <c r="F58" s="372">
        <f>千葉!E33</f>
        <v>150</v>
      </c>
      <c r="G58" s="2">
        <f>千葉!F33</f>
        <v>150</v>
      </c>
      <c r="H58" s="2">
        <f>千葉!G33</f>
        <v>150</v>
      </c>
      <c r="I58" s="2">
        <f>千葉!H33</f>
        <v>150</v>
      </c>
      <c r="J58" s="2">
        <f>千葉!I33</f>
        <v>150</v>
      </c>
      <c r="K58" s="2">
        <f>千葉!J33</f>
        <v>150</v>
      </c>
      <c r="L58" s="2">
        <f>千葉!K33</f>
        <v>150</v>
      </c>
      <c r="M58" s="2">
        <f>千葉!L33</f>
        <v>150</v>
      </c>
      <c r="N58" s="2">
        <f>千葉!M33</f>
        <v>150</v>
      </c>
      <c r="O58" s="2">
        <f>千葉!N33</f>
        <v>150</v>
      </c>
      <c r="P58" s="2">
        <f>千葉!O33</f>
        <v>150</v>
      </c>
      <c r="Q58" s="373">
        <f>千葉!P33</f>
        <v>150</v>
      </c>
      <c r="R58" s="316">
        <f t="shared" si="96"/>
        <v>1800</v>
      </c>
      <c r="S58" s="49"/>
    </row>
    <row r="59" spans="1:19">
      <c r="A59" s="159"/>
      <c r="B59" s="55"/>
      <c r="C59" s="52"/>
      <c r="D59" s="52"/>
      <c r="E59" s="62" t="s">
        <v>21</v>
      </c>
      <c r="F59" s="380">
        <f>SUM(F56:F58)</f>
        <v>640</v>
      </c>
      <c r="G59" s="381">
        <f t="shared" ref="G59:R59" si="97">SUM(G56:G58)</f>
        <v>4310</v>
      </c>
      <c r="H59" s="381">
        <f t="shared" si="97"/>
        <v>1050</v>
      </c>
      <c r="I59" s="381">
        <f t="shared" si="97"/>
        <v>1440</v>
      </c>
      <c r="J59" s="381">
        <f t="shared" si="97"/>
        <v>1500</v>
      </c>
      <c r="K59" s="381">
        <f t="shared" si="97"/>
        <v>1150</v>
      </c>
      <c r="L59" s="381">
        <f t="shared" si="97"/>
        <v>1030</v>
      </c>
      <c r="M59" s="381">
        <f t="shared" si="97"/>
        <v>770</v>
      </c>
      <c r="N59" s="381">
        <f t="shared" si="97"/>
        <v>1810</v>
      </c>
      <c r="O59" s="381">
        <f t="shared" si="97"/>
        <v>3460</v>
      </c>
      <c r="P59" s="381">
        <f t="shared" si="97"/>
        <v>2840</v>
      </c>
      <c r="Q59" s="382">
        <f t="shared" si="97"/>
        <v>2990</v>
      </c>
      <c r="R59" s="383">
        <f t="shared" si="97"/>
        <v>22990</v>
      </c>
      <c r="S59" s="49"/>
    </row>
    <row r="60" spans="1:19">
      <c r="A60" s="159"/>
      <c r="B60" s="54" t="s">
        <v>48</v>
      </c>
      <c r="C60" s="1" t="s">
        <v>142</v>
      </c>
      <c r="D60" s="1" t="s">
        <v>94</v>
      </c>
      <c r="E60" s="1" t="s">
        <v>75</v>
      </c>
      <c r="F60" s="372">
        <f>中国!E13</f>
        <v>50</v>
      </c>
      <c r="G60" s="2">
        <f>中国!F13</f>
        <v>90</v>
      </c>
      <c r="H60" s="2">
        <f>中国!G13</f>
        <v>80</v>
      </c>
      <c r="I60" s="2">
        <f>中国!H13</f>
        <v>150</v>
      </c>
      <c r="J60" s="2">
        <f>中国!I13</f>
        <v>90</v>
      </c>
      <c r="K60" s="2">
        <f>中国!J13</f>
        <v>60</v>
      </c>
      <c r="L60" s="2">
        <f>中国!K13</f>
        <v>100</v>
      </c>
      <c r="M60" s="2">
        <f>中国!L13</f>
        <v>50</v>
      </c>
      <c r="N60" s="2">
        <f>中国!M13</f>
        <v>40</v>
      </c>
      <c r="O60" s="2">
        <f>中国!N13</f>
        <v>160</v>
      </c>
      <c r="P60" s="2">
        <f>中国!O13</f>
        <v>70</v>
      </c>
      <c r="Q60" s="373">
        <f>中国!P13</f>
        <v>70</v>
      </c>
      <c r="R60" s="316">
        <f t="shared" ref="R60:R62" si="98">SUM(F60:Q60)</f>
        <v>1010</v>
      </c>
      <c r="S60" s="49"/>
    </row>
    <row r="61" spans="1:19">
      <c r="A61" s="159"/>
      <c r="B61" s="54"/>
      <c r="C61" s="1" t="s">
        <v>142</v>
      </c>
      <c r="D61" s="1" t="s">
        <v>94</v>
      </c>
      <c r="E61" s="1" t="s">
        <v>97</v>
      </c>
      <c r="F61" s="372">
        <f>中国!E23</f>
        <v>100</v>
      </c>
      <c r="G61" s="2">
        <f>中国!F23</f>
        <v>150</v>
      </c>
      <c r="H61" s="2">
        <f>中国!G23</f>
        <v>140</v>
      </c>
      <c r="I61" s="2">
        <f>中国!H23</f>
        <v>110</v>
      </c>
      <c r="J61" s="2">
        <f>中国!I23</f>
        <v>130</v>
      </c>
      <c r="K61" s="2">
        <f>中国!J23</f>
        <v>170</v>
      </c>
      <c r="L61" s="2">
        <f>中国!K23</f>
        <v>140</v>
      </c>
      <c r="M61" s="2">
        <f>中国!L23</f>
        <v>50</v>
      </c>
      <c r="N61" s="2">
        <f>中国!M23</f>
        <v>110</v>
      </c>
      <c r="O61" s="2">
        <f>中国!N23</f>
        <v>290</v>
      </c>
      <c r="P61" s="2">
        <f>中国!O23</f>
        <v>190</v>
      </c>
      <c r="Q61" s="373">
        <f>中国!P23</f>
        <v>130</v>
      </c>
      <c r="R61" s="316">
        <f t="shared" si="98"/>
        <v>1710</v>
      </c>
      <c r="S61" s="49"/>
    </row>
    <row r="62" spans="1:19">
      <c r="A62" s="159"/>
      <c r="B62" s="54"/>
      <c r="C62" s="1" t="s">
        <v>117</v>
      </c>
      <c r="D62" s="1" t="s">
        <v>94</v>
      </c>
      <c r="E62" s="1" t="s">
        <v>117</v>
      </c>
      <c r="F62" s="372">
        <f>VVR!E13</f>
        <v>270</v>
      </c>
      <c r="G62" s="2">
        <f>VVR!F13</f>
        <v>230</v>
      </c>
      <c r="H62" s="2">
        <f>VVR!G13</f>
        <v>680</v>
      </c>
      <c r="I62" s="2">
        <f>VVR!H13</f>
        <v>980</v>
      </c>
      <c r="J62" s="2">
        <f>VVR!I13</f>
        <v>1400</v>
      </c>
      <c r="K62" s="2">
        <f>VVR!J13</f>
        <v>1730</v>
      </c>
      <c r="L62" s="2">
        <f>VVR!K13</f>
        <v>280</v>
      </c>
      <c r="M62" s="2">
        <f>VVR!L13</f>
        <v>260</v>
      </c>
      <c r="N62" s="2">
        <f>VVR!M13</f>
        <v>300</v>
      </c>
      <c r="O62" s="2">
        <f>VVR!N13</f>
        <v>320</v>
      </c>
      <c r="P62" s="2">
        <f>VVR!O13</f>
        <v>690</v>
      </c>
      <c r="Q62" s="373">
        <f>VVR!P13</f>
        <v>550</v>
      </c>
      <c r="R62" s="316">
        <f t="shared" si="98"/>
        <v>7690</v>
      </c>
      <c r="S62" s="49"/>
    </row>
    <row r="63" spans="1:19">
      <c r="A63" s="159"/>
      <c r="B63" s="55"/>
      <c r="C63" s="52"/>
      <c r="D63" s="52"/>
      <c r="E63" s="62" t="s">
        <v>21</v>
      </c>
      <c r="F63" s="380">
        <f>SUM(F60:F62)</f>
        <v>420</v>
      </c>
      <c r="G63" s="381">
        <f t="shared" ref="G63:R63" si="99">SUM(G60:G62)</f>
        <v>470</v>
      </c>
      <c r="H63" s="381">
        <f t="shared" si="99"/>
        <v>900</v>
      </c>
      <c r="I63" s="381">
        <f t="shared" si="99"/>
        <v>1240</v>
      </c>
      <c r="J63" s="381">
        <f t="shared" si="99"/>
        <v>1620</v>
      </c>
      <c r="K63" s="381">
        <f t="shared" si="99"/>
        <v>1960</v>
      </c>
      <c r="L63" s="381">
        <f t="shared" si="99"/>
        <v>520</v>
      </c>
      <c r="M63" s="381">
        <f t="shared" si="99"/>
        <v>360</v>
      </c>
      <c r="N63" s="381">
        <f t="shared" si="99"/>
        <v>450</v>
      </c>
      <c r="O63" s="381">
        <f t="shared" si="99"/>
        <v>770</v>
      </c>
      <c r="P63" s="381">
        <f t="shared" si="99"/>
        <v>950</v>
      </c>
      <c r="Q63" s="382">
        <f t="shared" si="99"/>
        <v>750</v>
      </c>
      <c r="R63" s="383">
        <f t="shared" si="99"/>
        <v>10410</v>
      </c>
      <c r="S63" s="49"/>
    </row>
    <row r="64" spans="1:19">
      <c r="A64" s="159"/>
      <c r="B64" s="54" t="s">
        <v>48</v>
      </c>
      <c r="C64" s="1" t="s">
        <v>140</v>
      </c>
      <c r="D64" s="1" t="s">
        <v>135</v>
      </c>
      <c r="E64" s="1" t="s">
        <v>75</v>
      </c>
      <c r="F64" s="372">
        <f>新規1!E13</f>
        <v>110</v>
      </c>
      <c r="G64" s="2">
        <f>新規1!F13</f>
        <v>0</v>
      </c>
      <c r="H64" s="2">
        <f>新規1!G13</f>
        <v>0</v>
      </c>
      <c r="I64" s="2">
        <f>新規1!H13</f>
        <v>0</v>
      </c>
      <c r="J64" s="2">
        <f>新規1!I13</f>
        <v>0</v>
      </c>
      <c r="K64" s="2">
        <f>新規1!J13</f>
        <v>0</v>
      </c>
      <c r="L64" s="2">
        <f>新規1!K13</f>
        <v>120</v>
      </c>
      <c r="M64" s="2">
        <f>新規1!L13</f>
        <v>0</v>
      </c>
      <c r="N64" s="2">
        <f>新規1!M13</f>
        <v>0</v>
      </c>
      <c r="O64" s="2">
        <f>新規1!N13</f>
        <v>0</v>
      </c>
      <c r="P64" s="2">
        <f>新規1!O13</f>
        <v>0</v>
      </c>
      <c r="Q64" s="373">
        <f>新規1!P13</f>
        <v>150</v>
      </c>
      <c r="R64" s="316">
        <f t="shared" ref="R64:R66" si="100">SUM(F64:Q64)</f>
        <v>380</v>
      </c>
      <c r="S64" s="49"/>
    </row>
    <row r="65" spans="1:19">
      <c r="A65" s="159"/>
      <c r="B65" s="54"/>
      <c r="C65" s="1" t="s">
        <v>140</v>
      </c>
      <c r="D65" s="1" t="s">
        <v>104</v>
      </c>
      <c r="E65" s="1" t="s">
        <v>52</v>
      </c>
      <c r="F65" s="372">
        <f>新規1!E23</f>
        <v>100</v>
      </c>
      <c r="G65" s="2">
        <f>新規1!F23</f>
        <v>100</v>
      </c>
      <c r="H65" s="2">
        <f>新規1!G23</f>
        <v>100</v>
      </c>
      <c r="I65" s="2">
        <f>新規1!H23</f>
        <v>100</v>
      </c>
      <c r="J65" s="2">
        <f>新規1!I23</f>
        <v>100</v>
      </c>
      <c r="K65" s="2">
        <f>新規1!J23</f>
        <v>100</v>
      </c>
      <c r="L65" s="2">
        <f>新規1!K23</f>
        <v>100</v>
      </c>
      <c r="M65" s="2">
        <f>新規1!L23</f>
        <v>100</v>
      </c>
      <c r="N65" s="2">
        <f>新規1!M23</f>
        <v>100</v>
      </c>
      <c r="O65" s="2">
        <f>新規1!N23</f>
        <v>100</v>
      </c>
      <c r="P65" s="2">
        <f>新規1!O23</f>
        <v>100</v>
      </c>
      <c r="Q65" s="373">
        <f>新規1!P23</f>
        <v>100</v>
      </c>
      <c r="R65" s="316">
        <f t="shared" si="100"/>
        <v>1200</v>
      </c>
      <c r="S65" s="49"/>
    </row>
    <row r="66" spans="1:19">
      <c r="A66" s="159"/>
      <c r="B66" s="54"/>
      <c r="C66" s="1" t="s">
        <v>141</v>
      </c>
      <c r="D66" s="1" t="s">
        <v>136</v>
      </c>
      <c r="E66" s="1" t="s">
        <v>137</v>
      </c>
      <c r="F66" s="372">
        <f>新規2!E33</f>
        <v>0</v>
      </c>
      <c r="G66" s="2">
        <f>新規2!F33</f>
        <v>0</v>
      </c>
      <c r="H66" s="2">
        <f>新規2!G33</f>
        <v>0</v>
      </c>
      <c r="I66" s="2">
        <f>新規2!H33</f>
        <v>0</v>
      </c>
      <c r="J66" s="2">
        <f>新規2!I33</f>
        <v>0</v>
      </c>
      <c r="K66" s="2">
        <f>新規2!J33</f>
        <v>0</v>
      </c>
      <c r="L66" s="2">
        <f>新規2!K33</f>
        <v>0</v>
      </c>
      <c r="M66" s="2">
        <f>新規2!L33</f>
        <v>0</v>
      </c>
      <c r="N66" s="2">
        <f>新規2!M33</f>
        <v>0</v>
      </c>
      <c r="O66" s="2">
        <f>新規2!N33</f>
        <v>0</v>
      </c>
      <c r="P66" s="2">
        <f>新規2!O33</f>
        <v>0</v>
      </c>
      <c r="Q66" s="373">
        <f>新規2!P33</f>
        <v>0</v>
      </c>
      <c r="R66" s="316">
        <f t="shared" si="100"/>
        <v>0</v>
      </c>
      <c r="S66" s="49"/>
    </row>
    <row r="67" spans="1:19">
      <c r="A67" s="160"/>
      <c r="B67" s="50"/>
      <c r="C67" s="46"/>
      <c r="D67" s="46"/>
      <c r="E67" s="63" t="s">
        <v>21</v>
      </c>
      <c r="F67" s="384">
        <f>SUM(F64:F66)</f>
        <v>210</v>
      </c>
      <c r="G67" s="385">
        <f t="shared" ref="G67:R67" si="101">SUM(G64:G66)</f>
        <v>100</v>
      </c>
      <c r="H67" s="385">
        <f t="shared" si="101"/>
        <v>100</v>
      </c>
      <c r="I67" s="385">
        <f t="shared" si="101"/>
        <v>100</v>
      </c>
      <c r="J67" s="385">
        <f t="shared" si="101"/>
        <v>100</v>
      </c>
      <c r="K67" s="385">
        <f t="shared" si="101"/>
        <v>100</v>
      </c>
      <c r="L67" s="385">
        <f t="shared" si="101"/>
        <v>220</v>
      </c>
      <c r="M67" s="385">
        <f t="shared" si="101"/>
        <v>100</v>
      </c>
      <c r="N67" s="385">
        <f t="shared" si="101"/>
        <v>100</v>
      </c>
      <c r="O67" s="385">
        <f t="shared" si="101"/>
        <v>100</v>
      </c>
      <c r="P67" s="385">
        <f t="shared" si="101"/>
        <v>100</v>
      </c>
      <c r="Q67" s="386">
        <f t="shared" si="101"/>
        <v>250</v>
      </c>
      <c r="R67" s="387">
        <f t="shared" si="101"/>
        <v>1580</v>
      </c>
      <c r="S67" s="49"/>
    </row>
  </sheetData>
  <mergeCells count="4">
    <mergeCell ref="S38:T38"/>
    <mergeCell ref="S39:T39"/>
    <mergeCell ref="S5:T5"/>
    <mergeCell ref="S6:T6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15B40-EB58-410A-A414-60632676734B}">
  <sheetPr codeName="Sheet3">
    <tabColor theme="8" tint="0.79998168889431442"/>
  </sheetPr>
  <dimension ref="A1:T67"/>
  <sheetViews>
    <sheetView showGridLines="0" zoomScale="70" zoomScaleNormal="70" workbookViewId="0">
      <selection activeCell="S14" sqref="S14"/>
    </sheetView>
  </sheetViews>
  <sheetFormatPr defaultRowHeight="18.75"/>
  <cols>
    <col min="1" max="1" width="9" customWidth="1"/>
    <col min="2" max="3" width="9" style="1"/>
    <col min="4" max="4" width="29.25" style="1" bestFit="1" customWidth="1"/>
    <col min="5" max="5" width="11" style="1" bestFit="1" customWidth="1"/>
    <col min="6" max="17" width="13.25" style="1" customWidth="1"/>
    <col min="18" max="20" width="13.25" style="29" customWidth="1"/>
  </cols>
  <sheetData>
    <row r="1" spans="1:20" ht="30">
      <c r="A1" s="64" t="s">
        <v>144</v>
      </c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6"/>
    </row>
    <row r="2" spans="1:20" ht="25.5">
      <c r="A2" s="244" t="s">
        <v>15</v>
      </c>
      <c r="B2" s="355" t="s">
        <v>40</v>
      </c>
      <c r="C2" s="355" t="s">
        <v>39</v>
      </c>
      <c r="D2" s="355" t="s">
        <v>114</v>
      </c>
      <c r="E2" s="355" t="s">
        <v>115</v>
      </c>
      <c r="F2" s="366">
        <v>45444</v>
      </c>
      <c r="G2" s="367">
        <v>45474</v>
      </c>
      <c r="H2" s="367">
        <v>45505</v>
      </c>
      <c r="I2" s="367">
        <v>45536</v>
      </c>
      <c r="J2" s="367">
        <v>45566</v>
      </c>
      <c r="K2" s="367">
        <v>45597</v>
      </c>
      <c r="L2" s="367">
        <v>45627</v>
      </c>
      <c r="M2" s="367">
        <v>45658</v>
      </c>
      <c r="N2" s="367">
        <v>45689</v>
      </c>
      <c r="O2" s="367">
        <v>45717</v>
      </c>
      <c r="P2" s="367">
        <v>45748</v>
      </c>
      <c r="Q2" s="368">
        <v>45778</v>
      </c>
      <c r="R2" s="110" t="s">
        <v>21</v>
      </c>
      <c r="S2" s="111" t="s">
        <v>109</v>
      </c>
      <c r="T2" s="111" t="s">
        <v>110</v>
      </c>
    </row>
    <row r="3" spans="1:20">
      <c r="A3" s="157"/>
      <c r="B3" s="53" t="s">
        <v>47</v>
      </c>
      <c r="C3" s="48" t="s">
        <v>41</v>
      </c>
      <c r="D3" s="48" t="s">
        <v>49</v>
      </c>
      <c r="E3" s="48" t="s">
        <v>51</v>
      </c>
      <c r="F3" s="369">
        <f>松岡!E8</f>
        <v>428.41200000000003</v>
      </c>
      <c r="G3" s="370">
        <f>松岡!F8</f>
        <v>0</v>
      </c>
      <c r="H3" s="370">
        <f>松岡!G8</f>
        <v>0</v>
      </c>
      <c r="I3" s="370">
        <f>松岡!H8</f>
        <v>0</v>
      </c>
      <c r="J3" s="370">
        <f>松岡!I8</f>
        <v>0</v>
      </c>
      <c r="K3" s="370">
        <f>松岡!J8</f>
        <v>0</v>
      </c>
      <c r="L3" s="370">
        <f>松岡!K8</f>
        <v>0</v>
      </c>
      <c r="M3" s="370">
        <f>松岡!L8</f>
        <v>0</v>
      </c>
      <c r="N3" s="370">
        <f>松岡!M8</f>
        <v>0</v>
      </c>
      <c r="O3" s="370">
        <f>松岡!N8</f>
        <v>0</v>
      </c>
      <c r="P3" s="370">
        <f>松岡!O8</f>
        <v>0</v>
      </c>
      <c r="Q3" s="371">
        <f>松岡!P8</f>
        <v>0</v>
      </c>
      <c r="R3" s="312">
        <f>SUM(F3:Q3)</f>
        <v>428.41200000000003</v>
      </c>
      <c r="S3" s="51">
        <f ca="1">SUM(R6,R10,R14,R18,R22,R26,R30)</f>
        <v>296777.95809429995</v>
      </c>
      <c r="T3" s="51">
        <f ca="1">R34</f>
        <v>6554.9644839999992</v>
      </c>
    </row>
    <row r="4" spans="1:20">
      <c r="A4" s="157"/>
      <c r="B4" s="54"/>
      <c r="D4" s="1" t="s">
        <v>94</v>
      </c>
      <c r="E4" s="1" t="s">
        <v>51</v>
      </c>
      <c r="F4" s="372">
        <f>松岡!E18</f>
        <v>470.45899999999995</v>
      </c>
      <c r="G4" s="2">
        <f>松岡!F18</f>
        <v>0</v>
      </c>
      <c r="H4" s="2">
        <f>松岡!G18</f>
        <v>0</v>
      </c>
      <c r="I4" s="2">
        <f>松岡!H18</f>
        <v>0</v>
      </c>
      <c r="J4" s="2">
        <f>松岡!I18</f>
        <v>0</v>
      </c>
      <c r="K4" s="2">
        <f>松岡!J18</f>
        <v>0</v>
      </c>
      <c r="L4" s="2">
        <f>松岡!K18</f>
        <v>0</v>
      </c>
      <c r="M4" s="2">
        <f>松岡!L18</f>
        <v>0</v>
      </c>
      <c r="N4" s="2">
        <f>松岡!M18</f>
        <v>0</v>
      </c>
      <c r="O4" s="2">
        <f>松岡!N18</f>
        <v>0</v>
      </c>
      <c r="P4" s="2">
        <f>松岡!O18</f>
        <v>0</v>
      </c>
      <c r="Q4" s="373">
        <f>松岡!P18</f>
        <v>0</v>
      </c>
      <c r="R4" s="316">
        <f t="shared" ref="R4:R33" si="0">SUM(F4:Q4)</f>
        <v>470.45899999999995</v>
      </c>
      <c r="S4" s="49"/>
    </row>
    <row r="5" spans="1:20">
      <c r="A5" s="157"/>
      <c r="B5" s="54"/>
      <c r="D5" s="1" t="s">
        <v>53</v>
      </c>
      <c r="E5" s="1" t="s">
        <v>52</v>
      </c>
      <c r="F5" s="372">
        <f>松岡!E28</f>
        <v>0</v>
      </c>
      <c r="G5" s="2">
        <f>松岡!F28</f>
        <v>0</v>
      </c>
      <c r="H5" s="2">
        <f>松岡!G28</f>
        <v>0</v>
      </c>
      <c r="I5" s="2">
        <f>松岡!H28</f>
        <v>0</v>
      </c>
      <c r="J5" s="2">
        <f>松岡!I28</f>
        <v>0</v>
      </c>
      <c r="K5" s="2">
        <f>松岡!J28</f>
        <v>0</v>
      </c>
      <c r="L5" s="2">
        <f>松岡!K28</f>
        <v>0</v>
      </c>
      <c r="M5" s="2">
        <f>松岡!L28</f>
        <v>0</v>
      </c>
      <c r="N5" s="2">
        <f>松岡!M28</f>
        <v>0</v>
      </c>
      <c r="O5" s="2">
        <f>松岡!N28</f>
        <v>0</v>
      </c>
      <c r="P5" s="2">
        <f>松岡!O28</f>
        <v>0</v>
      </c>
      <c r="Q5" s="373">
        <f>松岡!P28</f>
        <v>0</v>
      </c>
      <c r="R5" s="316">
        <f t="shared" si="0"/>
        <v>0</v>
      </c>
      <c r="S5" s="500" t="s">
        <v>111</v>
      </c>
      <c r="T5" s="500"/>
    </row>
    <row r="6" spans="1:20" s="45" customFormat="1" ht="18" customHeight="1">
      <c r="A6" s="157"/>
      <c r="B6" s="55"/>
      <c r="C6" s="52"/>
      <c r="D6" s="52"/>
      <c r="E6" s="60" t="s">
        <v>21</v>
      </c>
      <c r="F6" s="374">
        <f>SUM(F3:F5)</f>
        <v>898.87099999999998</v>
      </c>
      <c r="G6" s="375">
        <f t="shared" ref="G6:R6" si="1">SUM(G3:G5)</f>
        <v>0</v>
      </c>
      <c r="H6" s="375">
        <f t="shared" si="1"/>
        <v>0</v>
      </c>
      <c r="I6" s="375">
        <f t="shared" si="1"/>
        <v>0</v>
      </c>
      <c r="J6" s="375">
        <f t="shared" si="1"/>
        <v>0</v>
      </c>
      <c r="K6" s="375">
        <f t="shared" si="1"/>
        <v>0</v>
      </c>
      <c r="L6" s="375">
        <f t="shared" si="1"/>
        <v>0</v>
      </c>
      <c r="M6" s="375">
        <f t="shared" si="1"/>
        <v>0</v>
      </c>
      <c r="N6" s="375">
        <f t="shared" si="1"/>
        <v>0</v>
      </c>
      <c r="O6" s="375">
        <f t="shared" si="1"/>
        <v>0</v>
      </c>
      <c r="P6" s="375">
        <f t="shared" si="1"/>
        <v>0</v>
      </c>
      <c r="Q6" s="376">
        <f t="shared" si="1"/>
        <v>0</v>
      </c>
      <c r="R6" s="279">
        <f t="shared" si="1"/>
        <v>898.87099999999998</v>
      </c>
      <c r="S6" s="499">
        <f ca="1">S3+T3</f>
        <v>303332.92257829994</v>
      </c>
      <c r="T6" s="499"/>
    </row>
    <row r="7" spans="1:20">
      <c r="A7" s="157"/>
      <c r="B7" s="54" t="s">
        <v>47</v>
      </c>
      <c r="C7" s="1" t="s">
        <v>42</v>
      </c>
      <c r="D7" s="1" t="s">
        <v>100</v>
      </c>
      <c r="E7" s="1" t="s">
        <v>54</v>
      </c>
      <c r="F7" s="372">
        <f>大谷!E8</f>
        <v>1113.5999999999999</v>
      </c>
      <c r="G7" s="2">
        <f>大谷!F8</f>
        <v>0</v>
      </c>
      <c r="H7" s="2">
        <f>大谷!G8</f>
        <v>0</v>
      </c>
      <c r="I7" s="2">
        <f>大谷!H8</f>
        <v>0</v>
      </c>
      <c r="J7" s="2">
        <f>大谷!I8</f>
        <v>0</v>
      </c>
      <c r="K7" s="2">
        <f>大谷!J8</f>
        <v>0</v>
      </c>
      <c r="L7" s="2">
        <f>大谷!K8</f>
        <v>0</v>
      </c>
      <c r="M7" s="2">
        <f>大谷!L8</f>
        <v>0</v>
      </c>
      <c r="N7" s="2">
        <f>大谷!M8</f>
        <v>0</v>
      </c>
      <c r="O7" s="2">
        <f>大谷!N8</f>
        <v>0</v>
      </c>
      <c r="P7" s="2">
        <f>大谷!O8</f>
        <v>0</v>
      </c>
      <c r="Q7" s="373">
        <f>大谷!P8</f>
        <v>0</v>
      </c>
      <c r="R7" s="316">
        <f t="shared" si="0"/>
        <v>1113.5999999999999</v>
      </c>
      <c r="S7" s="49"/>
    </row>
    <row r="8" spans="1:20">
      <c r="A8" s="157"/>
      <c r="B8" s="54"/>
      <c r="D8" s="1" t="s">
        <v>100</v>
      </c>
      <c r="E8" s="1" t="s">
        <v>53</v>
      </c>
      <c r="F8" s="372">
        <f>大谷!E18</f>
        <v>4877.1000000000004</v>
      </c>
      <c r="G8" s="2">
        <f>大谷!F18</f>
        <v>0</v>
      </c>
      <c r="H8" s="2">
        <f>大谷!G18</f>
        <v>0</v>
      </c>
      <c r="I8" s="2">
        <f>大谷!H18</f>
        <v>0</v>
      </c>
      <c r="J8" s="2">
        <f>大谷!I18</f>
        <v>0</v>
      </c>
      <c r="K8" s="2">
        <f>大谷!J18</f>
        <v>0</v>
      </c>
      <c r="L8" s="2">
        <f>大谷!K18</f>
        <v>0</v>
      </c>
      <c r="M8" s="2">
        <f>大谷!L18</f>
        <v>0</v>
      </c>
      <c r="N8" s="2">
        <f>大谷!M18</f>
        <v>0</v>
      </c>
      <c r="O8" s="2">
        <f>大谷!N18</f>
        <v>0</v>
      </c>
      <c r="P8" s="2">
        <f>大谷!O18</f>
        <v>0</v>
      </c>
      <c r="Q8" s="373">
        <f>大谷!P18</f>
        <v>0</v>
      </c>
      <c r="R8" s="316">
        <f t="shared" si="0"/>
        <v>4877.1000000000004</v>
      </c>
      <c r="S8" s="49"/>
    </row>
    <row r="9" spans="1:20">
      <c r="A9" s="157"/>
      <c r="B9" s="54"/>
      <c r="D9" s="1" t="s">
        <v>94</v>
      </c>
      <c r="E9" s="1" t="s">
        <v>55</v>
      </c>
      <c r="F9" s="372">
        <f>大谷!E28</f>
        <v>1428.4</v>
      </c>
      <c r="G9" s="2">
        <f>大谷!F28</f>
        <v>0</v>
      </c>
      <c r="H9" s="2">
        <f>大谷!G28</f>
        <v>0</v>
      </c>
      <c r="I9" s="2">
        <f>大谷!H28</f>
        <v>0</v>
      </c>
      <c r="J9" s="2">
        <f>大谷!I28</f>
        <v>0</v>
      </c>
      <c r="K9" s="2">
        <f>大谷!J28</f>
        <v>0</v>
      </c>
      <c r="L9" s="2">
        <f>大谷!K28</f>
        <v>0</v>
      </c>
      <c r="M9" s="2">
        <f>大谷!L28</f>
        <v>0</v>
      </c>
      <c r="N9" s="2">
        <f>大谷!M28</f>
        <v>0</v>
      </c>
      <c r="O9" s="2">
        <f>大谷!N28</f>
        <v>0</v>
      </c>
      <c r="P9" s="2">
        <f>大谷!O28</f>
        <v>0</v>
      </c>
      <c r="Q9" s="373">
        <f>大谷!P28</f>
        <v>0</v>
      </c>
      <c r="R9" s="316">
        <f t="shared" si="0"/>
        <v>1428.4</v>
      </c>
      <c r="S9" s="49"/>
    </row>
    <row r="10" spans="1:20" s="45" customFormat="1" ht="18" customHeight="1">
      <c r="A10" s="157"/>
      <c r="B10" s="55"/>
      <c r="C10" s="52"/>
      <c r="D10" s="52"/>
      <c r="E10" s="60" t="s">
        <v>21</v>
      </c>
      <c r="F10" s="374">
        <f>SUM(F7:F9)</f>
        <v>7419.1</v>
      </c>
      <c r="G10" s="375">
        <f t="shared" ref="G10:R10" si="2">SUM(G7:G9)</f>
        <v>0</v>
      </c>
      <c r="H10" s="375">
        <f t="shared" si="2"/>
        <v>0</v>
      </c>
      <c r="I10" s="375">
        <f t="shared" si="2"/>
        <v>0</v>
      </c>
      <c r="J10" s="375">
        <f t="shared" si="2"/>
        <v>0</v>
      </c>
      <c r="K10" s="375">
        <f t="shared" si="2"/>
        <v>0</v>
      </c>
      <c r="L10" s="375">
        <f t="shared" si="2"/>
        <v>0</v>
      </c>
      <c r="M10" s="375">
        <f t="shared" si="2"/>
        <v>0</v>
      </c>
      <c r="N10" s="375">
        <f t="shared" si="2"/>
        <v>0</v>
      </c>
      <c r="O10" s="375">
        <f t="shared" si="2"/>
        <v>0</v>
      </c>
      <c r="P10" s="375">
        <f t="shared" si="2"/>
        <v>0</v>
      </c>
      <c r="Q10" s="376">
        <f t="shared" si="2"/>
        <v>0</v>
      </c>
      <c r="R10" s="279">
        <f t="shared" si="2"/>
        <v>7419.1</v>
      </c>
      <c r="S10" s="49"/>
      <c r="T10" s="29"/>
    </row>
    <row r="11" spans="1:20">
      <c r="A11" s="157"/>
      <c r="B11" s="54" t="s">
        <v>47</v>
      </c>
      <c r="C11" s="1" t="s">
        <v>43</v>
      </c>
      <c r="D11" s="1" t="s">
        <v>94</v>
      </c>
      <c r="E11" s="1" t="s">
        <v>50</v>
      </c>
      <c r="F11" s="372">
        <f>宮本!E8</f>
        <v>1112</v>
      </c>
      <c r="G11" s="2">
        <f>宮本!F8</f>
        <v>0</v>
      </c>
      <c r="H11" s="2">
        <f>宮本!G8</f>
        <v>0</v>
      </c>
      <c r="I11" s="2">
        <f>宮本!H8</f>
        <v>0</v>
      </c>
      <c r="J11" s="2">
        <f>宮本!I8</f>
        <v>0</v>
      </c>
      <c r="K11" s="2">
        <f>宮本!J8</f>
        <v>0</v>
      </c>
      <c r="L11" s="2">
        <f>宮本!K8</f>
        <v>0</v>
      </c>
      <c r="M11" s="2">
        <f>宮本!L8</f>
        <v>0</v>
      </c>
      <c r="N11" s="2">
        <f>宮本!M8</f>
        <v>0</v>
      </c>
      <c r="O11" s="2">
        <f>宮本!N8</f>
        <v>0</v>
      </c>
      <c r="P11" s="2">
        <f>宮本!O8</f>
        <v>0</v>
      </c>
      <c r="Q11" s="373">
        <f>宮本!P8</f>
        <v>0</v>
      </c>
      <c r="R11" s="316">
        <f t="shared" si="0"/>
        <v>1112</v>
      </c>
      <c r="S11" s="49"/>
    </row>
    <row r="12" spans="1:20">
      <c r="A12" s="157"/>
      <c r="B12" s="54"/>
      <c r="F12" s="372"/>
      <c r="G12" s="2"/>
      <c r="H12" s="2"/>
      <c r="I12" s="2"/>
      <c r="J12" s="2"/>
      <c r="K12" s="2"/>
      <c r="L12" s="2"/>
      <c r="M12" s="2"/>
      <c r="N12" s="2"/>
      <c r="O12" s="2"/>
      <c r="P12" s="2"/>
      <c r="Q12" s="373"/>
      <c r="R12" s="316"/>
      <c r="S12" s="49"/>
    </row>
    <row r="13" spans="1:20">
      <c r="A13" s="157"/>
      <c r="B13" s="54"/>
      <c r="F13" s="372"/>
      <c r="G13" s="2"/>
      <c r="H13" s="2"/>
      <c r="I13" s="2"/>
      <c r="J13" s="2"/>
      <c r="K13" s="2"/>
      <c r="L13" s="2"/>
      <c r="M13" s="2"/>
      <c r="N13" s="2"/>
      <c r="O13" s="2"/>
      <c r="P13" s="2"/>
      <c r="Q13" s="373"/>
      <c r="R13" s="316"/>
      <c r="S13" s="49"/>
    </row>
    <row r="14" spans="1:20" s="45" customFormat="1" ht="18" customHeight="1">
      <c r="A14" s="157"/>
      <c r="B14" s="55"/>
      <c r="C14" s="52"/>
      <c r="D14" s="52"/>
      <c r="E14" s="60" t="s">
        <v>21</v>
      </c>
      <c r="F14" s="374">
        <f>SUM(F11:F13)</f>
        <v>1112</v>
      </c>
      <c r="G14" s="375">
        <f t="shared" ref="G14:R14" si="3">SUM(G11:G13)</f>
        <v>0</v>
      </c>
      <c r="H14" s="375">
        <f t="shared" si="3"/>
        <v>0</v>
      </c>
      <c r="I14" s="375">
        <f t="shared" si="3"/>
        <v>0</v>
      </c>
      <c r="J14" s="375">
        <f t="shared" si="3"/>
        <v>0</v>
      </c>
      <c r="K14" s="375">
        <f t="shared" si="3"/>
        <v>0</v>
      </c>
      <c r="L14" s="375">
        <f t="shared" si="3"/>
        <v>0</v>
      </c>
      <c r="M14" s="375">
        <f t="shared" si="3"/>
        <v>0</v>
      </c>
      <c r="N14" s="375">
        <f t="shared" si="3"/>
        <v>0</v>
      </c>
      <c r="O14" s="375">
        <f t="shared" si="3"/>
        <v>0</v>
      </c>
      <c r="P14" s="375">
        <f t="shared" si="3"/>
        <v>0</v>
      </c>
      <c r="Q14" s="376">
        <f t="shared" si="3"/>
        <v>0</v>
      </c>
      <c r="R14" s="279">
        <f t="shared" si="3"/>
        <v>1112</v>
      </c>
      <c r="S14" s="49"/>
      <c r="T14" s="29"/>
    </row>
    <row r="15" spans="1:20">
      <c r="A15" s="157"/>
      <c r="B15" s="54" t="s">
        <v>48</v>
      </c>
      <c r="C15" s="1" t="s">
        <v>44</v>
      </c>
      <c r="D15" s="1" t="s">
        <v>98</v>
      </c>
      <c r="E15" s="1" t="s">
        <v>75</v>
      </c>
      <c r="F15" s="372">
        <f ca="1">深串!E8</f>
        <v>92.4</v>
      </c>
      <c r="G15" s="2">
        <f ca="1">深串!F8</f>
        <v>204.4</v>
      </c>
      <c r="H15" s="2">
        <f ca="1">深串!G8</f>
        <v>249.6</v>
      </c>
      <c r="I15" s="2">
        <f ca="1">深串!H8</f>
        <v>7918.4</v>
      </c>
      <c r="J15" s="2">
        <f ca="1">深串!I8</f>
        <v>83.2</v>
      </c>
      <c r="K15" s="2">
        <f ca="1">深串!J8</f>
        <v>166.4</v>
      </c>
      <c r="L15" s="2">
        <f ca="1">深串!K8</f>
        <v>15678.4</v>
      </c>
      <c r="M15" s="2">
        <f ca="1">深串!L8</f>
        <v>0</v>
      </c>
      <c r="N15" s="2">
        <f ca="1">深串!M8</f>
        <v>1900.8</v>
      </c>
      <c r="O15" s="2">
        <f ca="1">深串!N8</f>
        <v>0</v>
      </c>
      <c r="P15" s="2">
        <f ca="1">深串!O8</f>
        <v>0</v>
      </c>
      <c r="Q15" s="373">
        <f ca="1">深串!P8</f>
        <v>0</v>
      </c>
      <c r="R15" s="316">
        <f t="shared" ca="1" si="0"/>
        <v>26293.599999999999</v>
      </c>
      <c r="S15" s="49"/>
    </row>
    <row r="16" spans="1:20">
      <c r="A16" s="157"/>
      <c r="B16" s="54"/>
      <c r="D16" s="1" t="s">
        <v>98</v>
      </c>
      <c r="E16" s="1" t="s">
        <v>87</v>
      </c>
      <c r="F16" s="372">
        <f ca="1">深串!E18</f>
        <v>6118</v>
      </c>
      <c r="G16" s="2">
        <f ca="1">深串!F18</f>
        <v>5111</v>
      </c>
      <c r="H16" s="2">
        <f ca="1">深串!G18</f>
        <v>0</v>
      </c>
      <c r="I16" s="2">
        <f ca="1">深串!H18</f>
        <v>6372</v>
      </c>
      <c r="J16" s="2">
        <f ca="1">深串!I18</f>
        <v>4743</v>
      </c>
      <c r="K16" s="2">
        <f ca="1">深串!J18</f>
        <v>3582</v>
      </c>
      <c r="L16" s="2">
        <f ca="1">深串!K18</f>
        <v>7857</v>
      </c>
      <c r="M16" s="2">
        <f ca="1">深串!L18</f>
        <v>0</v>
      </c>
      <c r="N16" s="2">
        <f ca="1">深串!M18</f>
        <v>8019.6</v>
      </c>
      <c r="O16" s="2">
        <f ca="1">深串!N18</f>
        <v>237.6</v>
      </c>
      <c r="P16" s="2">
        <f ca="1">深串!O18</f>
        <v>0</v>
      </c>
      <c r="Q16" s="373">
        <f ca="1">深串!P18</f>
        <v>0</v>
      </c>
      <c r="R16" s="316">
        <f t="shared" ca="1" si="0"/>
        <v>42040.2</v>
      </c>
      <c r="S16" s="49"/>
    </row>
    <row r="17" spans="1:20">
      <c r="A17" s="157"/>
      <c r="B17" s="54"/>
      <c r="D17" s="1" t="s">
        <v>99</v>
      </c>
      <c r="E17" s="1" t="s">
        <v>53</v>
      </c>
      <c r="F17" s="372">
        <f ca="1">深串!E28</f>
        <v>2807.2241999999997</v>
      </c>
      <c r="G17" s="2">
        <f ca="1">深串!F28</f>
        <v>11983.115110000001</v>
      </c>
      <c r="H17" s="2">
        <f ca="1">深串!G28</f>
        <v>6873.3231299999998</v>
      </c>
      <c r="I17" s="2">
        <f ca="1">深串!H28</f>
        <v>3916.4087000000004</v>
      </c>
      <c r="J17" s="2">
        <f ca="1">深串!I28</f>
        <v>8400.0965500000002</v>
      </c>
      <c r="K17" s="2">
        <f ca="1">深串!J28</f>
        <v>5874.9984000000004</v>
      </c>
      <c r="L17" s="2">
        <f ca="1">深串!K28</f>
        <v>10074.281720000001</v>
      </c>
      <c r="M17" s="2">
        <f ca="1">深串!L28</f>
        <v>4963.5486500000006</v>
      </c>
      <c r="N17" s="2">
        <f ca="1">深串!M28</f>
        <v>9306.6413799999991</v>
      </c>
      <c r="O17" s="2">
        <f ca="1">深串!N28</f>
        <v>3966.9557599999998</v>
      </c>
      <c r="P17" s="2">
        <f ca="1">深串!O28</f>
        <v>0</v>
      </c>
      <c r="Q17" s="373">
        <f ca="1">深串!P28</f>
        <v>0</v>
      </c>
      <c r="R17" s="316">
        <f t="shared" ca="1" si="0"/>
        <v>68166.593599999993</v>
      </c>
      <c r="S17" s="49"/>
    </row>
    <row r="18" spans="1:20" s="45" customFormat="1" ht="18" customHeight="1">
      <c r="A18" s="157"/>
      <c r="B18" s="55"/>
      <c r="C18" s="52"/>
      <c r="D18" s="52"/>
      <c r="E18" s="60" t="s">
        <v>21</v>
      </c>
      <c r="F18" s="374">
        <f ca="1">SUM(F15:F17)</f>
        <v>9017.6241999999984</v>
      </c>
      <c r="G18" s="375">
        <f t="shared" ref="G18:R18" ca="1" si="4">SUM(G15:G17)</f>
        <v>17298.51511</v>
      </c>
      <c r="H18" s="375">
        <f t="shared" ca="1" si="4"/>
        <v>7122.9231300000001</v>
      </c>
      <c r="I18" s="375">
        <f t="shared" ca="1" si="4"/>
        <v>18206.808700000001</v>
      </c>
      <c r="J18" s="375">
        <f t="shared" ca="1" si="4"/>
        <v>13226.296549999999</v>
      </c>
      <c r="K18" s="375">
        <f t="shared" ca="1" si="4"/>
        <v>9623.3984</v>
      </c>
      <c r="L18" s="375">
        <f t="shared" ca="1" si="4"/>
        <v>33609.68172</v>
      </c>
      <c r="M18" s="375">
        <f t="shared" ca="1" si="4"/>
        <v>4963.5486500000006</v>
      </c>
      <c r="N18" s="375">
        <f t="shared" ca="1" si="4"/>
        <v>19227.041379999999</v>
      </c>
      <c r="O18" s="375">
        <f t="shared" ca="1" si="4"/>
        <v>4204.5557600000002</v>
      </c>
      <c r="P18" s="375">
        <f t="shared" ca="1" si="4"/>
        <v>0</v>
      </c>
      <c r="Q18" s="376">
        <f t="shared" ca="1" si="4"/>
        <v>0</v>
      </c>
      <c r="R18" s="279">
        <f t="shared" ca="1" si="4"/>
        <v>136500.39359999998</v>
      </c>
      <c r="S18" s="49"/>
      <c r="T18" s="29"/>
    </row>
    <row r="19" spans="1:20">
      <c r="A19" s="157"/>
      <c r="B19" s="54" t="s">
        <v>48</v>
      </c>
      <c r="C19" s="1" t="s">
        <v>45</v>
      </c>
      <c r="D19" s="1" t="s">
        <v>94</v>
      </c>
      <c r="E19" s="1" t="s">
        <v>95</v>
      </c>
      <c r="F19" s="372">
        <f ca="1">前川!E8</f>
        <v>463.54</v>
      </c>
      <c r="G19" s="2">
        <f ca="1">前川!F8</f>
        <v>664.46</v>
      </c>
      <c r="H19" s="2">
        <f ca="1">前川!G8</f>
        <v>1555.72</v>
      </c>
      <c r="I19" s="2">
        <f ca="1">前川!H8</f>
        <v>1003.8150000000001</v>
      </c>
      <c r="J19" s="2">
        <f ca="1">前川!I8</f>
        <v>541.4</v>
      </c>
      <c r="K19" s="2">
        <f ca="1">前川!J8</f>
        <v>780.82500000000005</v>
      </c>
      <c r="L19" s="2">
        <f ca="1">前川!K8</f>
        <v>969.89</v>
      </c>
      <c r="M19" s="2">
        <f ca="1">前川!L8</f>
        <v>595.92999999999995</v>
      </c>
      <c r="N19" s="2">
        <f ca="1">前川!M8</f>
        <v>471.07499999999999</v>
      </c>
      <c r="O19" s="2">
        <f ca="1">前川!N8</f>
        <v>0</v>
      </c>
      <c r="P19" s="2">
        <f ca="1">前川!O8</f>
        <v>0</v>
      </c>
      <c r="Q19" s="373">
        <f ca="1">前川!P8</f>
        <v>0</v>
      </c>
      <c r="R19" s="316">
        <f t="shared" ca="1" si="0"/>
        <v>7046.6550000000007</v>
      </c>
      <c r="S19" s="49"/>
    </row>
    <row r="20" spans="1:20">
      <c r="A20" s="157"/>
      <c r="B20" s="54"/>
      <c r="D20" s="1" t="s">
        <v>49</v>
      </c>
      <c r="E20" s="1" t="s">
        <v>101</v>
      </c>
      <c r="F20" s="372">
        <f ca="1">前川!E18</f>
        <v>2185.1303275</v>
      </c>
      <c r="G20" s="2">
        <f ca="1">前川!F18</f>
        <v>1570.2389209</v>
      </c>
      <c r="H20" s="2">
        <f ca="1">前川!G18</f>
        <v>1733.7937085999999</v>
      </c>
      <c r="I20" s="2">
        <f ca="1">前川!H18</f>
        <v>2176.7667190000006</v>
      </c>
      <c r="J20" s="2">
        <f ca="1">前川!I18</f>
        <v>3068.3929206000003</v>
      </c>
      <c r="K20" s="2">
        <f ca="1">前川!J18</f>
        <v>1751.5521838999998</v>
      </c>
      <c r="L20" s="2">
        <f ca="1">前川!K18</f>
        <v>4753.5990220999993</v>
      </c>
      <c r="M20" s="2">
        <f ca="1">前川!L18</f>
        <v>3397.2049641999997</v>
      </c>
      <c r="N20" s="2">
        <f ca="1">前川!M18</f>
        <v>2854.8951894000002</v>
      </c>
      <c r="O20" s="2">
        <f ca="1">前川!N18</f>
        <v>3376.1478284999998</v>
      </c>
      <c r="P20" s="2">
        <f ca="1">前川!O18</f>
        <v>0</v>
      </c>
      <c r="Q20" s="373">
        <f ca="1">前川!P18</f>
        <v>0</v>
      </c>
      <c r="R20" s="316">
        <f t="shared" ca="1" si="0"/>
        <v>26867.721784700003</v>
      </c>
      <c r="S20" s="49"/>
    </row>
    <row r="21" spans="1:20">
      <c r="A21" s="157"/>
      <c r="B21" s="54"/>
      <c r="D21" s="1" t="s">
        <v>49</v>
      </c>
      <c r="E21" s="1" t="s">
        <v>102</v>
      </c>
      <c r="F21" s="372">
        <f ca="1">前川!E28</f>
        <v>5504.8773369</v>
      </c>
      <c r="G21" s="2">
        <f ca="1">前川!F28</f>
        <v>7246.5224614000008</v>
      </c>
      <c r="H21" s="2">
        <f ca="1">前川!G28</f>
        <v>6505.8840468999997</v>
      </c>
      <c r="I21" s="2">
        <f ca="1">前川!H28</f>
        <v>8723.9359762999993</v>
      </c>
      <c r="J21" s="2">
        <f ca="1">前川!I28</f>
        <v>13062.8752852</v>
      </c>
      <c r="K21" s="2">
        <f ca="1">前川!J28</f>
        <v>9805.1026074000001</v>
      </c>
      <c r="L21" s="2">
        <f ca="1">前川!K28</f>
        <v>2499.59256</v>
      </c>
      <c r="M21" s="2">
        <f ca="1">前川!L28</f>
        <v>1910.0636549999999</v>
      </c>
      <c r="N21" s="2">
        <f ca="1">前川!M28</f>
        <v>9077.0076874000006</v>
      </c>
      <c r="O21" s="2">
        <f ca="1">前川!N28</f>
        <v>9751.0211084000002</v>
      </c>
      <c r="P21" s="2">
        <f ca="1">前川!O28</f>
        <v>0</v>
      </c>
      <c r="Q21" s="373">
        <f ca="1">前川!P28</f>
        <v>0</v>
      </c>
      <c r="R21" s="316">
        <f t="shared" ca="1" si="0"/>
        <v>74086.882724899988</v>
      </c>
      <c r="S21" s="49"/>
    </row>
    <row r="22" spans="1:20" s="45" customFormat="1" ht="18" customHeight="1">
      <c r="A22" s="157"/>
      <c r="B22" s="55"/>
      <c r="C22" s="52"/>
      <c r="D22" s="52"/>
      <c r="E22" s="60" t="s">
        <v>21</v>
      </c>
      <c r="F22" s="374">
        <f ca="1">SUM(F19:F21)</f>
        <v>8153.5476644</v>
      </c>
      <c r="G22" s="375">
        <f t="shared" ref="G22:R22" ca="1" si="5">SUM(G19:G21)</f>
        <v>9481.221382300002</v>
      </c>
      <c r="H22" s="375">
        <f t="shared" ca="1" si="5"/>
        <v>9795.3977555000001</v>
      </c>
      <c r="I22" s="375">
        <f t="shared" ca="1" si="5"/>
        <v>11904.517695300001</v>
      </c>
      <c r="J22" s="375">
        <f t="shared" ca="1" si="5"/>
        <v>16672.668205800001</v>
      </c>
      <c r="K22" s="375">
        <f t="shared" ca="1" si="5"/>
        <v>12337.4797913</v>
      </c>
      <c r="L22" s="375">
        <f t="shared" ca="1" si="5"/>
        <v>8223.0815820999997</v>
      </c>
      <c r="M22" s="375">
        <f t="shared" ca="1" si="5"/>
        <v>5903.1986191999995</v>
      </c>
      <c r="N22" s="375">
        <f t="shared" ca="1" si="5"/>
        <v>12402.9778768</v>
      </c>
      <c r="O22" s="375">
        <f t="shared" ca="1" si="5"/>
        <v>13127.1689369</v>
      </c>
      <c r="P22" s="375">
        <f t="shared" ca="1" si="5"/>
        <v>0</v>
      </c>
      <c r="Q22" s="376">
        <f t="shared" ca="1" si="5"/>
        <v>0</v>
      </c>
      <c r="R22" s="279">
        <f t="shared" ca="1" si="5"/>
        <v>108001.2595096</v>
      </c>
      <c r="S22" s="49"/>
      <c r="T22" s="29"/>
    </row>
    <row r="23" spans="1:20">
      <c r="A23" s="157"/>
      <c r="B23" s="54" t="s">
        <v>48</v>
      </c>
      <c r="C23" s="1" t="s">
        <v>46</v>
      </c>
      <c r="D23" s="1" t="s">
        <v>94</v>
      </c>
      <c r="E23" s="1" t="s">
        <v>101</v>
      </c>
      <c r="F23" s="372">
        <f ca="1">千葉!E8</f>
        <v>3096.3091566999997</v>
      </c>
      <c r="G23" s="2">
        <f ca="1">千葉!F8</f>
        <v>1828.8960447000004</v>
      </c>
      <c r="H23" s="2">
        <f ca="1">千葉!G8</f>
        <v>1250.3207058</v>
      </c>
      <c r="I23" s="2">
        <f ca="1">千葉!H8</f>
        <v>1667.7115162000002</v>
      </c>
      <c r="J23" s="2">
        <f ca="1">千葉!I8</f>
        <v>2047.7790259999997</v>
      </c>
      <c r="K23" s="2">
        <f ca="1">千葉!J8</f>
        <v>3284.1231213999999</v>
      </c>
      <c r="L23" s="2">
        <f ca="1">千葉!K8</f>
        <v>3308.6690820000003</v>
      </c>
      <c r="M23" s="2">
        <f ca="1">千葉!L8</f>
        <v>3901.9680588000001</v>
      </c>
      <c r="N23" s="2">
        <f ca="1">千葉!M8</f>
        <v>3345.9560976999996</v>
      </c>
      <c r="O23" s="2">
        <f ca="1">千葉!N8</f>
        <v>0</v>
      </c>
      <c r="P23" s="2">
        <f ca="1">千葉!O8</f>
        <v>0</v>
      </c>
      <c r="Q23" s="373">
        <f ca="1">千葉!P8</f>
        <v>0</v>
      </c>
      <c r="R23" s="316">
        <f t="shared" ca="1" si="0"/>
        <v>23731.7328093</v>
      </c>
      <c r="S23" s="49"/>
    </row>
    <row r="24" spans="1:20">
      <c r="A24" s="157"/>
      <c r="B24" s="54"/>
      <c r="D24" s="1" t="s">
        <v>94</v>
      </c>
      <c r="E24" s="1" t="s">
        <v>102</v>
      </c>
      <c r="F24" s="372">
        <f ca="1">千葉!E18</f>
        <v>0</v>
      </c>
      <c r="G24" s="2">
        <f ca="1">千葉!F18</f>
        <v>310.60357199999999</v>
      </c>
      <c r="H24" s="2">
        <f ca="1">千葉!G18</f>
        <v>0</v>
      </c>
      <c r="I24" s="2">
        <f ca="1">千葉!H18</f>
        <v>1045.1259689999999</v>
      </c>
      <c r="J24" s="2">
        <f ca="1">千葉!I18</f>
        <v>332.46319800000003</v>
      </c>
      <c r="K24" s="2">
        <f ca="1">千葉!J18</f>
        <v>0</v>
      </c>
      <c r="L24" s="2">
        <f ca="1">千葉!K18</f>
        <v>444.74728800000003</v>
      </c>
      <c r="M24" s="2">
        <f ca="1">千葉!L18</f>
        <v>334.82030399999996</v>
      </c>
      <c r="N24" s="2">
        <f ca="1">千葉!M18</f>
        <v>621.63701099999992</v>
      </c>
      <c r="O24" s="2">
        <f ca="1">千葉!N18</f>
        <v>0</v>
      </c>
      <c r="P24" s="2">
        <f ca="1">千葉!O18</f>
        <v>0</v>
      </c>
      <c r="Q24" s="373">
        <f ca="1">千葉!P18</f>
        <v>0</v>
      </c>
      <c r="R24" s="316">
        <f t="shared" ca="1" si="0"/>
        <v>3089.3973419999998</v>
      </c>
      <c r="S24" s="49"/>
    </row>
    <row r="25" spans="1:20">
      <c r="A25" s="157"/>
      <c r="B25" s="54"/>
      <c r="D25" s="1" t="s">
        <v>94</v>
      </c>
      <c r="E25" s="1" t="s">
        <v>118</v>
      </c>
      <c r="F25" s="372">
        <f ca="1">千葉!E28</f>
        <v>313.41909600000002</v>
      </c>
      <c r="G25" s="2">
        <f ca="1">千葉!F28</f>
        <v>129.281362</v>
      </c>
      <c r="H25" s="2">
        <f ca="1">千葉!G28</f>
        <v>127.46753</v>
      </c>
      <c r="I25" s="2">
        <f ca="1">千葉!H28</f>
        <v>45.296471999999994</v>
      </c>
      <c r="J25" s="2">
        <f ca="1">千葉!I28</f>
        <v>413.2689474</v>
      </c>
      <c r="K25" s="2">
        <f ca="1">千葉!J28</f>
        <v>8.2911599999999996</v>
      </c>
      <c r="L25" s="2">
        <f ca="1">千葉!K28</f>
        <v>535.64565600000003</v>
      </c>
      <c r="M25" s="2">
        <f ca="1">千葉!L28</f>
        <v>156.83304000000001</v>
      </c>
      <c r="N25" s="2">
        <f ca="1">千葉!M28</f>
        <v>0</v>
      </c>
      <c r="O25" s="2">
        <f ca="1">千葉!N28</f>
        <v>0</v>
      </c>
      <c r="P25" s="2">
        <f ca="1">千葉!O28</f>
        <v>0</v>
      </c>
      <c r="Q25" s="373">
        <f ca="1">千葉!P28</f>
        <v>0</v>
      </c>
      <c r="R25" s="316">
        <f t="shared" ca="1" si="0"/>
        <v>1729.5032633999999</v>
      </c>
      <c r="S25" s="49"/>
    </row>
    <row r="26" spans="1:20" s="45" customFormat="1" ht="18" customHeight="1">
      <c r="A26" s="157"/>
      <c r="B26" s="55"/>
      <c r="C26" s="52"/>
      <c r="D26" s="52"/>
      <c r="E26" s="60" t="s">
        <v>21</v>
      </c>
      <c r="F26" s="374">
        <f ca="1">SUM(F23:F25)</f>
        <v>3409.7282526999998</v>
      </c>
      <c r="G26" s="375">
        <f t="shared" ref="G26:R26" ca="1" si="6">SUM(G23:G25)</f>
        <v>2268.7809787000006</v>
      </c>
      <c r="H26" s="375">
        <f t="shared" ca="1" si="6"/>
        <v>1377.7882357999999</v>
      </c>
      <c r="I26" s="375">
        <f t="shared" ca="1" si="6"/>
        <v>2758.1339572000002</v>
      </c>
      <c r="J26" s="375">
        <f t="shared" ca="1" si="6"/>
        <v>2793.5111713999995</v>
      </c>
      <c r="K26" s="375">
        <f t="shared" ca="1" si="6"/>
        <v>3292.4142814000002</v>
      </c>
      <c r="L26" s="375">
        <f t="shared" ca="1" si="6"/>
        <v>4289.0620260000005</v>
      </c>
      <c r="M26" s="375">
        <f t="shared" ca="1" si="6"/>
        <v>4393.6214028000004</v>
      </c>
      <c r="N26" s="375">
        <f t="shared" ca="1" si="6"/>
        <v>3967.5931086999994</v>
      </c>
      <c r="O26" s="375">
        <f t="shared" ca="1" si="6"/>
        <v>0</v>
      </c>
      <c r="P26" s="375">
        <f t="shared" ca="1" si="6"/>
        <v>0</v>
      </c>
      <c r="Q26" s="376">
        <f t="shared" ca="1" si="6"/>
        <v>0</v>
      </c>
      <c r="R26" s="279">
        <f t="shared" ca="1" si="6"/>
        <v>28550.633414700002</v>
      </c>
      <c r="S26" s="49"/>
      <c r="T26" s="29"/>
    </row>
    <row r="27" spans="1:20">
      <c r="A27" s="157"/>
      <c r="B27" s="54" t="s">
        <v>48</v>
      </c>
      <c r="C27" s="1" t="s">
        <v>142</v>
      </c>
      <c r="D27" s="1" t="s">
        <v>94</v>
      </c>
      <c r="E27" s="1" t="s">
        <v>75</v>
      </c>
      <c r="F27" s="372">
        <f ca="1">中国!E8</f>
        <v>2738.1445699999995</v>
      </c>
      <c r="G27" s="2">
        <f ca="1">中国!F8</f>
        <v>648.66264999999987</v>
      </c>
      <c r="H27" s="2">
        <f ca="1">中国!G8</f>
        <v>380.81834999999995</v>
      </c>
      <c r="I27" s="2">
        <f ca="1">中国!H8</f>
        <v>209.63829999999999</v>
      </c>
      <c r="J27" s="2">
        <f ca="1">中国!I8</f>
        <v>0</v>
      </c>
      <c r="K27" s="2">
        <f ca="1">中国!J8</f>
        <v>0</v>
      </c>
      <c r="L27" s="2">
        <f ca="1">中国!K8</f>
        <v>0</v>
      </c>
      <c r="M27" s="2">
        <f ca="1">中国!L8</f>
        <v>0</v>
      </c>
      <c r="N27" s="2">
        <f ca="1">中国!M8</f>
        <v>0</v>
      </c>
      <c r="O27" s="2">
        <f ca="1">中国!N8</f>
        <v>0</v>
      </c>
      <c r="P27" s="2">
        <f ca="1">中国!O8</f>
        <v>0</v>
      </c>
      <c r="Q27" s="373">
        <f ca="1">中国!P8</f>
        <v>0</v>
      </c>
      <c r="R27" s="316">
        <f t="shared" ca="1" si="0"/>
        <v>3977.2638699999993</v>
      </c>
      <c r="S27" s="49"/>
    </row>
    <row r="28" spans="1:20">
      <c r="A28" s="157"/>
      <c r="B28" s="54"/>
      <c r="C28" s="1" t="s">
        <v>142</v>
      </c>
      <c r="D28" s="1" t="s">
        <v>94</v>
      </c>
      <c r="E28" s="1" t="s">
        <v>97</v>
      </c>
      <c r="F28" s="372">
        <f ca="1">中国!E18</f>
        <v>700.43419999999992</v>
      </c>
      <c r="G28" s="2">
        <f ca="1">中国!F18</f>
        <v>1323.6848</v>
      </c>
      <c r="H28" s="2">
        <f ca="1">中国!G18</f>
        <v>618.3626999999999</v>
      </c>
      <c r="I28" s="2">
        <f ca="1">中国!H18</f>
        <v>153.63</v>
      </c>
      <c r="J28" s="2">
        <f ca="1">中国!I18</f>
        <v>0</v>
      </c>
      <c r="K28" s="2">
        <f ca="1">中国!J18</f>
        <v>0</v>
      </c>
      <c r="L28" s="2">
        <f ca="1">中国!K18</f>
        <v>0</v>
      </c>
      <c r="M28" s="2">
        <f ca="1">中国!L18</f>
        <v>0</v>
      </c>
      <c r="N28" s="2">
        <f ca="1">中国!M18</f>
        <v>0</v>
      </c>
      <c r="O28" s="2">
        <f ca="1">中国!N18</f>
        <v>0</v>
      </c>
      <c r="P28" s="2">
        <f ca="1">中国!O18</f>
        <v>0</v>
      </c>
      <c r="Q28" s="373">
        <f ca="1">中国!P18</f>
        <v>0</v>
      </c>
      <c r="R28" s="316">
        <f t="shared" ca="1" si="0"/>
        <v>2796.1116999999999</v>
      </c>
      <c r="S28" s="49"/>
    </row>
    <row r="29" spans="1:20">
      <c r="A29" s="157"/>
      <c r="B29" s="54"/>
      <c r="C29" s="1" t="s">
        <v>117</v>
      </c>
      <c r="D29" s="1" t="s">
        <v>94</v>
      </c>
      <c r="E29" s="1" t="s">
        <v>117</v>
      </c>
      <c r="F29" s="372">
        <f ca="1">VVR!E8</f>
        <v>253.77</v>
      </c>
      <c r="G29" s="2">
        <f ca="1">VVR!F8</f>
        <v>280.25</v>
      </c>
      <c r="H29" s="2">
        <f ca="1">VVR!G8</f>
        <v>741.74</v>
      </c>
      <c r="I29" s="2">
        <f ca="1">VVR!H8</f>
        <v>1223.7349999999999</v>
      </c>
      <c r="J29" s="2">
        <f ca="1">VVR!I8</f>
        <v>1412.085</v>
      </c>
      <c r="K29" s="2">
        <f ca="1">VVR!J8</f>
        <v>2369.7449999999999</v>
      </c>
      <c r="L29" s="2">
        <f ca="1">VVR!K8</f>
        <v>949.17499999999995</v>
      </c>
      <c r="M29" s="2">
        <f ca="1">VVR!L8</f>
        <v>154.94</v>
      </c>
      <c r="N29" s="2">
        <f ca="1">VVR!M8</f>
        <v>136.88499999999999</v>
      </c>
      <c r="O29" s="2">
        <f ca="1">VVR!N8</f>
        <v>0</v>
      </c>
      <c r="P29" s="2">
        <f ca="1">VVR!O8</f>
        <v>0</v>
      </c>
      <c r="Q29" s="373">
        <f ca="1">VVR!P8</f>
        <v>0</v>
      </c>
      <c r="R29" s="316">
        <f t="shared" ca="1" si="0"/>
        <v>7522.3249999999998</v>
      </c>
      <c r="S29" s="49"/>
    </row>
    <row r="30" spans="1:20" s="45" customFormat="1" ht="18" customHeight="1">
      <c r="A30" s="157"/>
      <c r="B30" s="55"/>
      <c r="C30" s="52"/>
      <c r="D30" s="52"/>
      <c r="E30" s="60" t="s">
        <v>21</v>
      </c>
      <c r="F30" s="374">
        <f ca="1">SUM(F27:F29)</f>
        <v>3692.3487699999991</v>
      </c>
      <c r="G30" s="375">
        <f t="shared" ref="G30:R30" ca="1" si="7">SUM(G27:G29)</f>
        <v>2252.5974499999998</v>
      </c>
      <c r="H30" s="375">
        <f t="shared" ca="1" si="7"/>
        <v>1740.9210499999999</v>
      </c>
      <c r="I30" s="375">
        <f t="shared" ca="1" si="7"/>
        <v>1587.0032999999999</v>
      </c>
      <c r="J30" s="375">
        <f t="shared" ca="1" si="7"/>
        <v>1412.085</v>
      </c>
      <c r="K30" s="375">
        <f t="shared" ca="1" si="7"/>
        <v>2369.7449999999999</v>
      </c>
      <c r="L30" s="375">
        <f t="shared" ca="1" si="7"/>
        <v>949.17499999999995</v>
      </c>
      <c r="M30" s="375">
        <f t="shared" ca="1" si="7"/>
        <v>154.94</v>
      </c>
      <c r="N30" s="375">
        <f t="shared" ca="1" si="7"/>
        <v>136.88499999999999</v>
      </c>
      <c r="O30" s="375">
        <f t="shared" ca="1" si="7"/>
        <v>0</v>
      </c>
      <c r="P30" s="375">
        <f t="shared" ca="1" si="7"/>
        <v>0</v>
      </c>
      <c r="Q30" s="376">
        <f t="shared" ca="1" si="7"/>
        <v>0</v>
      </c>
      <c r="R30" s="279">
        <f t="shared" ca="1" si="7"/>
        <v>14295.700569999999</v>
      </c>
      <c r="S30" s="49"/>
      <c r="T30" s="29"/>
    </row>
    <row r="31" spans="1:20">
      <c r="A31" s="157"/>
      <c r="B31" s="54" t="s">
        <v>48</v>
      </c>
      <c r="C31" s="1" t="s">
        <v>140</v>
      </c>
      <c r="D31" s="1" t="s">
        <v>135</v>
      </c>
      <c r="E31" s="1" t="s">
        <v>75</v>
      </c>
      <c r="F31" s="372">
        <f ca="1">新規1!E8</f>
        <v>2129.89</v>
      </c>
      <c r="G31" s="2">
        <f ca="1">新規1!F8</f>
        <v>0</v>
      </c>
      <c r="H31" s="2">
        <f ca="1">新規1!G8</f>
        <v>2265.84</v>
      </c>
      <c r="I31" s="2">
        <f ca="1">新規1!H8</f>
        <v>0</v>
      </c>
      <c r="J31" s="2">
        <f ca="1">新規1!I8</f>
        <v>0</v>
      </c>
      <c r="K31" s="2">
        <f ca="1">新規1!J8</f>
        <v>0</v>
      </c>
      <c r="L31" s="2">
        <f ca="1">新規1!K8</f>
        <v>0</v>
      </c>
      <c r="M31" s="2">
        <f ca="1">新規1!L8</f>
        <v>2129.89</v>
      </c>
      <c r="N31" s="2">
        <f ca="1">新規1!M8</f>
        <v>0</v>
      </c>
      <c r="O31" s="2">
        <f ca="1">新規1!N8</f>
        <v>0</v>
      </c>
      <c r="P31" s="2">
        <f ca="1">新規1!O8</f>
        <v>0</v>
      </c>
      <c r="Q31" s="373">
        <f ca="1">新規1!P8</f>
        <v>0</v>
      </c>
      <c r="R31" s="316">
        <f t="shared" ca="1" si="0"/>
        <v>6525.619999999999</v>
      </c>
      <c r="S31" s="49"/>
    </row>
    <row r="32" spans="1:20">
      <c r="A32" s="157"/>
      <c r="B32" s="54"/>
      <c r="C32" s="1" t="s">
        <v>140</v>
      </c>
      <c r="D32" s="1" t="s">
        <v>104</v>
      </c>
      <c r="E32" s="1" t="s">
        <v>52</v>
      </c>
      <c r="F32" s="372">
        <f ca="1">新規1!E18</f>
        <v>19.827184000000003</v>
      </c>
      <c r="G32" s="2">
        <f ca="1">新規1!F18</f>
        <v>0</v>
      </c>
      <c r="H32" s="2">
        <f ca="1">新規1!G18</f>
        <v>9.5172999999999988</v>
      </c>
      <c r="I32" s="2">
        <f ca="1">新規1!H18</f>
        <v>0</v>
      </c>
      <c r="J32" s="2">
        <f ca="1">新規1!I18</f>
        <v>0</v>
      </c>
      <c r="K32" s="2">
        <f ca="1">新規1!J18</f>
        <v>0</v>
      </c>
      <c r="L32" s="2">
        <f ca="1">新規1!K18</f>
        <v>0</v>
      </c>
      <c r="M32" s="2">
        <f ca="1">新規1!L18</f>
        <v>0</v>
      </c>
      <c r="N32" s="2">
        <f ca="1">新規1!M18</f>
        <v>0</v>
      </c>
      <c r="O32" s="2">
        <f ca="1">新規1!N18</f>
        <v>0</v>
      </c>
      <c r="P32" s="2">
        <f ca="1">新規1!O18</f>
        <v>0</v>
      </c>
      <c r="Q32" s="373">
        <f ca="1">新規1!P18</f>
        <v>0</v>
      </c>
      <c r="R32" s="316">
        <f t="shared" ca="1" si="0"/>
        <v>29.344484000000001</v>
      </c>
      <c r="S32" s="49"/>
    </row>
    <row r="33" spans="1:20">
      <c r="A33" s="157"/>
      <c r="B33" s="54"/>
      <c r="C33" s="1" t="s">
        <v>141</v>
      </c>
      <c r="D33" s="1" t="s">
        <v>136</v>
      </c>
      <c r="E33" s="1" t="s">
        <v>137</v>
      </c>
      <c r="F33" s="372">
        <f>新規2!E28</f>
        <v>0</v>
      </c>
      <c r="G33" s="2">
        <f>新規2!F28</f>
        <v>0</v>
      </c>
      <c r="H33" s="2">
        <f>新規2!G28</f>
        <v>0</v>
      </c>
      <c r="I33" s="2">
        <f>新規2!H28</f>
        <v>0</v>
      </c>
      <c r="J33" s="2">
        <f>新規2!I28</f>
        <v>0</v>
      </c>
      <c r="K33" s="2">
        <f>新規2!J28</f>
        <v>0</v>
      </c>
      <c r="L33" s="2">
        <f>新規2!K28</f>
        <v>0</v>
      </c>
      <c r="M33" s="2">
        <f>新規2!L28</f>
        <v>0</v>
      </c>
      <c r="N33" s="2">
        <f>新規2!M28</f>
        <v>0</v>
      </c>
      <c r="O33" s="2">
        <f>新規2!N28</f>
        <v>0</v>
      </c>
      <c r="P33" s="2">
        <f>新規2!O28</f>
        <v>0</v>
      </c>
      <c r="Q33" s="373">
        <f>新規2!P28</f>
        <v>0</v>
      </c>
      <c r="R33" s="316">
        <f t="shared" si="0"/>
        <v>0</v>
      </c>
      <c r="S33" s="49"/>
    </row>
    <row r="34" spans="1:20" s="45" customFormat="1" ht="18" customHeight="1">
      <c r="A34" s="158"/>
      <c r="B34" s="50"/>
      <c r="C34" s="46"/>
      <c r="D34" s="46"/>
      <c r="E34" s="61" t="s">
        <v>21</v>
      </c>
      <c r="F34" s="377">
        <f ca="1">SUM(F31:F33)</f>
        <v>2149.7171840000001</v>
      </c>
      <c r="G34" s="378">
        <f t="shared" ref="G34:R34" ca="1" si="8">SUM(G31:G33)</f>
        <v>0</v>
      </c>
      <c r="H34" s="378">
        <f t="shared" ca="1" si="8"/>
        <v>2275.3573000000001</v>
      </c>
      <c r="I34" s="378">
        <f t="shared" ca="1" si="8"/>
        <v>0</v>
      </c>
      <c r="J34" s="378">
        <f t="shared" ca="1" si="8"/>
        <v>0</v>
      </c>
      <c r="K34" s="378">
        <f t="shared" ca="1" si="8"/>
        <v>0</v>
      </c>
      <c r="L34" s="378">
        <f t="shared" ca="1" si="8"/>
        <v>0</v>
      </c>
      <c r="M34" s="378">
        <f t="shared" ca="1" si="8"/>
        <v>2129.89</v>
      </c>
      <c r="N34" s="378">
        <f t="shared" ca="1" si="8"/>
        <v>0</v>
      </c>
      <c r="O34" s="378">
        <f t="shared" ca="1" si="8"/>
        <v>0</v>
      </c>
      <c r="P34" s="378">
        <f t="shared" ca="1" si="8"/>
        <v>0</v>
      </c>
      <c r="Q34" s="379">
        <f t="shared" ca="1" si="8"/>
        <v>0</v>
      </c>
      <c r="R34" s="284">
        <f t="shared" ca="1" si="8"/>
        <v>6554.9644839999992</v>
      </c>
      <c r="S34" s="49"/>
      <c r="T34" s="29"/>
    </row>
    <row r="35" spans="1:20" ht="25.5">
      <c r="A35" s="388" t="s">
        <v>16</v>
      </c>
      <c r="B35" s="360" t="s">
        <v>40</v>
      </c>
      <c r="C35" s="360" t="s">
        <v>39</v>
      </c>
      <c r="D35" s="360" t="s">
        <v>114</v>
      </c>
      <c r="E35" s="360" t="s">
        <v>115</v>
      </c>
      <c r="F35" s="362">
        <v>45444</v>
      </c>
      <c r="G35" s="363">
        <v>45474</v>
      </c>
      <c r="H35" s="363">
        <v>45505</v>
      </c>
      <c r="I35" s="363">
        <v>45536</v>
      </c>
      <c r="J35" s="363">
        <v>45566</v>
      </c>
      <c r="K35" s="363">
        <v>45597</v>
      </c>
      <c r="L35" s="363">
        <v>45627</v>
      </c>
      <c r="M35" s="363">
        <v>45658</v>
      </c>
      <c r="N35" s="363">
        <v>45689</v>
      </c>
      <c r="O35" s="363">
        <v>45717</v>
      </c>
      <c r="P35" s="363">
        <v>45748</v>
      </c>
      <c r="Q35" s="364">
        <v>45778</v>
      </c>
      <c r="R35" s="56" t="s">
        <v>21</v>
      </c>
      <c r="S35" s="57" t="s">
        <v>109</v>
      </c>
      <c r="T35" s="57" t="s">
        <v>110</v>
      </c>
    </row>
    <row r="36" spans="1:20">
      <c r="A36" s="159"/>
      <c r="B36" s="53" t="s">
        <v>47</v>
      </c>
      <c r="C36" s="48" t="s">
        <v>41</v>
      </c>
      <c r="D36" s="48" t="s">
        <v>49</v>
      </c>
      <c r="E36" s="48" t="s">
        <v>51</v>
      </c>
      <c r="F36" s="369">
        <f>松岡!E14</f>
        <v>48.505290000000002</v>
      </c>
      <c r="G36" s="370">
        <f>松岡!F14</f>
        <v>0</v>
      </c>
      <c r="H36" s="370">
        <f>松岡!G14</f>
        <v>0</v>
      </c>
      <c r="I36" s="370">
        <f>松岡!H14</f>
        <v>0</v>
      </c>
      <c r="J36" s="370">
        <f>松岡!I14</f>
        <v>0</v>
      </c>
      <c r="K36" s="370">
        <f>松岡!J14</f>
        <v>0</v>
      </c>
      <c r="L36" s="370">
        <f>松岡!K14</f>
        <v>0</v>
      </c>
      <c r="M36" s="370">
        <f>松岡!L14</f>
        <v>0</v>
      </c>
      <c r="N36" s="370">
        <f>松岡!M14</f>
        <v>0</v>
      </c>
      <c r="O36" s="370">
        <f>松岡!N14</f>
        <v>0</v>
      </c>
      <c r="P36" s="370">
        <f>松岡!O14</f>
        <v>0</v>
      </c>
      <c r="Q36" s="371">
        <f>松岡!P14</f>
        <v>0</v>
      </c>
      <c r="R36" s="312">
        <f>SUM(F36:Q36)</f>
        <v>48.505290000000002</v>
      </c>
      <c r="S36" s="51">
        <f ca="1">SUM(R39,R43,R47,R51,R55,R59,R63)</f>
        <v>49884.477391549997</v>
      </c>
      <c r="T36" s="51">
        <f ca="1">R67</f>
        <v>341.14631800000024</v>
      </c>
    </row>
    <row r="37" spans="1:20">
      <c r="A37" s="159"/>
      <c r="B37" s="54"/>
      <c r="D37" s="1" t="s">
        <v>94</v>
      </c>
      <c r="E37" s="1" t="s">
        <v>51</v>
      </c>
      <c r="F37" s="372">
        <f>松岡!E24</f>
        <v>159.97602999999992</v>
      </c>
      <c r="G37" s="2">
        <f>松岡!F24</f>
        <v>0</v>
      </c>
      <c r="H37" s="2">
        <f>松岡!G24</f>
        <v>0</v>
      </c>
      <c r="I37" s="2">
        <f>松岡!H24</f>
        <v>0</v>
      </c>
      <c r="J37" s="2">
        <f>松岡!I24</f>
        <v>0</v>
      </c>
      <c r="K37" s="2">
        <f>松岡!J24</f>
        <v>0</v>
      </c>
      <c r="L37" s="2">
        <f>松岡!K24</f>
        <v>0</v>
      </c>
      <c r="M37" s="2">
        <f>松岡!L24</f>
        <v>0</v>
      </c>
      <c r="N37" s="2">
        <f>松岡!M24</f>
        <v>0</v>
      </c>
      <c r="O37" s="2">
        <f>松岡!N24</f>
        <v>0</v>
      </c>
      <c r="P37" s="2">
        <f>松岡!O24</f>
        <v>0</v>
      </c>
      <c r="Q37" s="373">
        <f>松岡!P24</f>
        <v>0</v>
      </c>
      <c r="R37" s="316">
        <f t="shared" ref="R37:R38" si="9">SUM(F37:Q37)</f>
        <v>159.97602999999992</v>
      </c>
      <c r="S37" s="49"/>
    </row>
    <row r="38" spans="1:20">
      <c r="A38" s="159"/>
      <c r="B38" s="54"/>
      <c r="D38" s="1" t="s">
        <v>53</v>
      </c>
      <c r="E38" s="1" t="s">
        <v>52</v>
      </c>
      <c r="F38" s="372">
        <f>松岡!E34</f>
        <v>0</v>
      </c>
      <c r="G38" s="2">
        <f>松岡!F34</f>
        <v>0</v>
      </c>
      <c r="H38" s="2">
        <f>松岡!G34</f>
        <v>0</v>
      </c>
      <c r="I38" s="2">
        <f>松岡!H34</f>
        <v>0</v>
      </c>
      <c r="J38" s="2">
        <f>松岡!I34</f>
        <v>0</v>
      </c>
      <c r="K38" s="2">
        <f>松岡!J34</f>
        <v>0</v>
      </c>
      <c r="L38" s="2">
        <f>松岡!K34</f>
        <v>0</v>
      </c>
      <c r="M38" s="2">
        <f>松岡!L34</f>
        <v>0</v>
      </c>
      <c r="N38" s="2">
        <f>松岡!M34</f>
        <v>0</v>
      </c>
      <c r="O38" s="2">
        <f>松岡!N34</f>
        <v>0</v>
      </c>
      <c r="P38" s="2">
        <f>松岡!O34</f>
        <v>0</v>
      </c>
      <c r="Q38" s="373">
        <f>松岡!P34</f>
        <v>0</v>
      </c>
      <c r="R38" s="316">
        <f t="shared" si="9"/>
        <v>0</v>
      </c>
      <c r="S38" s="498" t="s">
        <v>111</v>
      </c>
      <c r="T38" s="498"/>
    </row>
    <row r="39" spans="1:20">
      <c r="A39" s="159"/>
      <c r="B39" s="55"/>
      <c r="C39" s="52"/>
      <c r="D39" s="52"/>
      <c r="E39" s="62" t="s">
        <v>21</v>
      </c>
      <c r="F39" s="380">
        <f>SUM(F36:F38)</f>
        <v>208.48131999999993</v>
      </c>
      <c r="G39" s="381">
        <f t="shared" ref="G39:R39" si="10">SUM(G36:G38)</f>
        <v>0</v>
      </c>
      <c r="H39" s="381">
        <f t="shared" si="10"/>
        <v>0</v>
      </c>
      <c r="I39" s="381">
        <f t="shared" si="10"/>
        <v>0</v>
      </c>
      <c r="J39" s="381">
        <f t="shared" si="10"/>
        <v>0</v>
      </c>
      <c r="K39" s="381">
        <f t="shared" si="10"/>
        <v>0</v>
      </c>
      <c r="L39" s="381">
        <f t="shared" si="10"/>
        <v>0</v>
      </c>
      <c r="M39" s="381">
        <f t="shared" si="10"/>
        <v>0</v>
      </c>
      <c r="N39" s="381">
        <f t="shared" si="10"/>
        <v>0</v>
      </c>
      <c r="O39" s="381">
        <f t="shared" si="10"/>
        <v>0</v>
      </c>
      <c r="P39" s="381">
        <f t="shared" si="10"/>
        <v>0</v>
      </c>
      <c r="Q39" s="382">
        <f t="shared" si="10"/>
        <v>0</v>
      </c>
      <c r="R39" s="383">
        <f t="shared" si="10"/>
        <v>208.48131999999993</v>
      </c>
      <c r="S39" s="499">
        <f ca="1">S36+T36</f>
        <v>50225.623709549996</v>
      </c>
      <c r="T39" s="499"/>
    </row>
    <row r="40" spans="1:20">
      <c r="A40" s="159"/>
      <c r="B40" s="54" t="s">
        <v>47</v>
      </c>
      <c r="C40" s="1" t="s">
        <v>42</v>
      </c>
      <c r="D40" s="1" t="s">
        <v>100</v>
      </c>
      <c r="E40" s="1" t="s">
        <v>54</v>
      </c>
      <c r="F40" s="372">
        <f>大谷!E14</f>
        <v>87.600000000000009</v>
      </c>
      <c r="G40" s="2">
        <f>大谷!F14</f>
        <v>0</v>
      </c>
      <c r="H40" s="2">
        <f>大谷!G14</f>
        <v>0</v>
      </c>
      <c r="I40" s="2">
        <f>大谷!H14</f>
        <v>0</v>
      </c>
      <c r="J40" s="2">
        <f>大谷!I14</f>
        <v>0</v>
      </c>
      <c r="K40" s="2">
        <f>大谷!J14</f>
        <v>0</v>
      </c>
      <c r="L40" s="2">
        <f>大谷!K14</f>
        <v>0</v>
      </c>
      <c r="M40" s="2">
        <f>大谷!L14</f>
        <v>0</v>
      </c>
      <c r="N40" s="2">
        <f>大谷!M14</f>
        <v>0</v>
      </c>
      <c r="O40" s="2">
        <f>大谷!N14</f>
        <v>0</v>
      </c>
      <c r="P40" s="2">
        <f>大谷!O14</f>
        <v>0</v>
      </c>
      <c r="Q40" s="373">
        <f>大谷!P14</f>
        <v>0</v>
      </c>
      <c r="R40" s="316">
        <f t="shared" ref="R40:R42" si="11">SUM(F40:Q40)</f>
        <v>87.600000000000009</v>
      </c>
      <c r="S40" s="49"/>
    </row>
    <row r="41" spans="1:20">
      <c r="A41" s="159"/>
      <c r="B41" s="54"/>
      <c r="D41" s="1" t="s">
        <v>100</v>
      </c>
      <c r="E41" s="1" t="s">
        <v>53</v>
      </c>
      <c r="F41" s="372">
        <f>大谷!E24</f>
        <v>1121.5999999999999</v>
      </c>
      <c r="G41" s="2">
        <f>大谷!F24</f>
        <v>0</v>
      </c>
      <c r="H41" s="2">
        <f>大谷!G24</f>
        <v>0</v>
      </c>
      <c r="I41" s="2">
        <f>大谷!H24</f>
        <v>0</v>
      </c>
      <c r="J41" s="2">
        <f>大谷!I24</f>
        <v>0</v>
      </c>
      <c r="K41" s="2">
        <f>大谷!J24</f>
        <v>0</v>
      </c>
      <c r="L41" s="2">
        <f>大谷!K24</f>
        <v>0</v>
      </c>
      <c r="M41" s="2">
        <f>大谷!L24</f>
        <v>0</v>
      </c>
      <c r="N41" s="2">
        <f>大谷!M24</f>
        <v>0</v>
      </c>
      <c r="O41" s="2">
        <f>大谷!N24</f>
        <v>0</v>
      </c>
      <c r="P41" s="2">
        <f>大谷!O24</f>
        <v>0</v>
      </c>
      <c r="Q41" s="373">
        <f>大谷!P24</f>
        <v>0</v>
      </c>
      <c r="R41" s="316">
        <f t="shared" si="11"/>
        <v>1121.5999999999999</v>
      </c>
      <c r="S41" s="49"/>
    </row>
    <row r="42" spans="1:20">
      <c r="A42" s="159"/>
      <c r="B42" s="54"/>
      <c r="D42" s="1" t="s">
        <v>94</v>
      </c>
      <c r="E42" s="1" t="s">
        <v>55</v>
      </c>
      <c r="F42" s="372">
        <f>大谷!E34</f>
        <v>532.70000000000005</v>
      </c>
      <c r="G42" s="2">
        <f>大谷!F34</f>
        <v>0</v>
      </c>
      <c r="H42" s="2">
        <f>大谷!G34</f>
        <v>0</v>
      </c>
      <c r="I42" s="2">
        <f>大谷!H34</f>
        <v>0</v>
      </c>
      <c r="J42" s="2">
        <f>大谷!I34</f>
        <v>0</v>
      </c>
      <c r="K42" s="2">
        <f>大谷!J34</f>
        <v>0</v>
      </c>
      <c r="L42" s="2">
        <f>大谷!K34</f>
        <v>0</v>
      </c>
      <c r="M42" s="2">
        <f>大谷!L34</f>
        <v>0</v>
      </c>
      <c r="N42" s="2">
        <f>大谷!M34</f>
        <v>0</v>
      </c>
      <c r="O42" s="2">
        <f>大谷!N34</f>
        <v>0</v>
      </c>
      <c r="P42" s="2">
        <f>大谷!O34</f>
        <v>0</v>
      </c>
      <c r="Q42" s="373">
        <f>大谷!P34</f>
        <v>0</v>
      </c>
      <c r="R42" s="316">
        <f t="shared" si="11"/>
        <v>532.70000000000005</v>
      </c>
      <c r="S42" s="49"/>
    </row>
    <row r="43" spans="1:20">
      <c r="A43" s="159"/>
      <c r="B43" s="55"/>
      <c r="C43" s="52"/>
      <c r="D43" s="52"/>
      <c r="E43" s="62" t="s">
        <v>21</v>
      </c>
      <c r="F43" s="380">
        <f>SUM(F40:F42)</f>
        <v>1741.8999999999999</v>
      </c>
      <c r="G43" s="381">
        <f t="shared" ref="G43:R43" si="12">SUM(G40:G42)</f>
        <v>0</v>
      </c>
      <c r="H43" s="381">
        <f t="shared" si="12"/>
        <v>0</v>
      </c>
      <c r="I43" s="381">
        <f t="shared" si="12"/>
        <v>0</v>
      </c>
      <c r="J43" s="381">
        <f t="shared" si="12"/>
        <v>0</v>
      </c>
      <c r="K43" s="381">
        <f t="shared" si="12"/>
        <v>0</v>
      </c>
      <c r="L43" s="381">
        <f t="shared" si="12"/>
        <v>0</v>
      </c>
      <c r="M43" s="381">
        <f t="shared" si="12"/>
        <v>0</v>
      </c>
      <c r="N43" s="381">
        <f t="shared" si="12"/>
        <v>0</v>
      </c>
      <c r="O43" s="381">
        <f t="shared" si="12"/>
        <v>0</v>
      </c>
      <c r="P43" s="381">
        <f t="shared" si="12"/>
        <v>0</v>
      </c>
      <c r="Q43" s="382">
        <f t="shared" si="12"/>
        <v>0</v>
      </c>
      <c r="R43" s="383">
        <f t="shared" si="12"/>
        <v>1741.8999999999999</v>
      </c>
      <c r="S43" s="49"/>
    </row>
    <row r="44" spans="1:20">
      <c r="A44" s="159"/>
      <c r="B44" s="54" t="s">
        <v>47</v>
      </c>
      <c r="C44" s="1" t="s">
        <v>43</v>
      </c>
      <c r="D44" s="1" t="s">
        <v>138</v>
      </c>
      <c r="E44" s="1" t="s">
        <v>139</v>
      </c>
      <c r="F44" s="372">
        <f>宮本!E14</f>
        <v>468</v>
      </c>
      <c r="G44" s="2">
        <f>宮本!F14</f>
        <v>0</v>
      </c>
      <c r="H44" s="2">
        <f>宮本!G14</f>
        <v>0</v>
      </c>
      <c r="I44" s="2">
        <f>宮本!H14</f>
        <v>0</v>
      </c>
      <c r="J44" s="2">
        <f>宮本!I14</f>
        <v>0</v>
      </c>
      <c r="K44" s="2">
        <f>宮本!J14</f>
        <v>0</v>
      </c>
      <c r="L44" s="2">
        <f>宮本!K14</f>
        <v>0</v>
      </c>
      <c r="M44" s="2">
        <f>宮本!L14</f>
        <v>0</v>
      </c>
      <c r="N44" s="2">
        <f>宮本!M14</f>
        <v>0</v>
      </c>
      <c r="O44" s="2">
        <f>宮本!N14</f>
        <v>0</v>
      </c>
      <c r="P44" s="2">
        <f>宮本!O14</f>
        <v>0</v>
      </c>
      <c r="Q44" s="373">
        <f>宮本!P14</f>
        <v>0</v>
      </c>
      <c r="R44" s="316">
        <f t="shared" ref="R44" si="13">SUM(F44:Q44)</f>
        <v>468</v>
      </c>
      <c r="S44" s="49"/>
    </row>
    <row r="45" spans="1:20">
      <c r="A45" s="159"/>
      <c r="B45" s="54"/>
      <c r="F45" s="372"/>
      <c r="G45" s="2"/>
      <c r="H45" s="2"/>
      <c r="I45" s="2"/>
      <c r="J45" s="2"/>
      <c r="K45" s="2"/>
      <c r="L45" s="2"/>
      <c r="M45" s="2"/>
      <c r="N45" s="2"/>
      <c r="O45" s="2"/>
      <c r="P45" s="2"/>
      <c r="Q45" s="373"/>
      <c r="R45" s="316"/>
      <c r="S45" s="49"/>
    </row>
    <row r="46" spans="1:20">
      <c r="A46" s="159"/>
      <c r="B46" s="54"/>
      <c r="F46" s="372"/>
      <c r="G46" s="2"/>
      <c r="H46" s="2"/>
      <c r="I46" s="2"/>
      <c r="J46" s="2"/>
      <c r="K46" s="2"/>
      <c r="L46" s="2"/>
      <c r="M46" s="2"/>
      <c r="N46" s="2"/>
      <c r="O46" s="2"/>
      <c r="P46" s="2"/>
      <c r="Q46" s="373"/>
      <c r="R46" s="316"/>
      <c r="S46" s="49"/>
    </row>
    <row r="47" spans="1:20">
      <c r="A47" s="159"/>
      <c r="B47" s="55"/>
      <c r="C47" s="52"/>
      <c r="D47" s="52"/>
      <c r="E47" s="62" t="s">
        <v>21</v>
      </c>
      <c r="F47" s="380">
        <f>SUM(F44:F46)</f>
        <v>468</v>
      </c>
      <c r="G47" s="381">
        <f t="shared" ref="G47:R47" si="14">SUM(G44:G46)</f>
        <v>0</v>
      </c>
      <c r="H47" s="381">
        <f t="shared" si="14"/>
        <v>0</v>
      </c>
      <c r="I47" s="381">
        <f t="shared" si="14"/>
        <v>0</v>
      </c>
      <c r="J47" s="381">
        <f t="shared" si="14"/>
        <v>0</v>
      </c>
      <c r="K47" s="381">
        <f t="shared" si="14"/>
        <v>0</v>
      </c>
      <c r="L47" s="381">
        <f t="shared" si="14"/>
        <v>0</v>
      </c>
      <c r="M47" s="381">
        <f t="shared" si="14"/>
        <v>0</v>
      </c>
      <c r="N47" s="381">
        <f t="shared" si="14"/>
        <v>0</v>
      </c>
      <c r="O47" s="381">
        <f t="shared" si="14"/>
        <v>0</v>
      </c>
      <c r="P47" s="381">
        <f t="shared" si="14"/>
        <v>0</v>
      </c>
      <c r="Q47" s="382">
        <f t="shared" si="14"/>
        <v>0</v>
      </c>
      <c r="R47" s="383">
        <f t="shared" si="14"/>
        <v>468</v>
      </c>
      <c r="S47" s="49"/>
    </row>
    <row r="48" spans="1:20">
      <c r="A48" s="159"/>
      <c r="B48" s="54" t="s">
        <v>48</v>
      </c>
      <c r="C48" s="1" t="s">
        <v>44</v>
      </c>
      <c r="D48" s="1" t="s">
        <v>98</v>
      </c>
      <c r="E48" s="1" t="s">
        <v>75</v>
      </c>
      <c r="F48" s="372">
        <f ca="1">深串!E14</f>
        <v>9.8000000000000114</v>
      </c>
      <c r="G48" s="2">
        <f ca="1">深串!F14</f>
        <v>23.200000000000017</v>
      </c>
      <c r="H48" s="2">
        <f ca="1">深串!G14</f>
        <v>41.099999999999994</v>
      </c>
      <c r="I48" s="2">
        <f ca="1">深串!H14</f>
        <v>834.19999999999982</v>
      </c>
      <c r="J48" s="2">
        <f ca="1">深串!I14</f>
        <v>14.700000000000003</v>
      </c>
      <c r="K48" s="2">
        <f ca="1">深串!J14</f>
        <v>29.355000000000018</v>
      </c>
      <c r="L48" s="2">
        <f ca="1">深串!K14</f>
        <v>1809.8050000000003</v>
      </c>
      <c r="M48" s="2">
        <f ca="1">深串!L14</f>
        <v>0</v>
      </c>
      <c r="N48" s="2">
        <f ca="1">深串!M14</f>
        <v>368.53</v>
      </c>
      <c r="O48" s="2">
        <f ca="1">深串!N14</f>
        <v>0</v>
      </c>
      <c r="P48" s="2">
        <f ca="1">深串!O14</f>
        <v>0</v>
      </c>
      <c r="Q48" s="373">
        <f ca="1">深串!P14</f>
        <v>0</v>
      </c>
      <c r="R48" s="316">
        <f ca="1">SUM(F48:Q48)</f>
        <v>3130.6900000000005</v>
      </c>
      <c r="S48" s="49"/>
    </row>
    <row r="49" spans="1:19">
      <c r="A49" s="159"/>
      <c r="B49" s="54"/>
      <c r="D49" s="1" t="s">
        <v>98</v>
      </c>
      <c r="E49" s="1" t="s">
        <v>87</v>
      </c>
      <c r="F49" s="372">
        <f ca="1">深串!E24</f>
        <v>422.39999999999964</v>
      </c>
      <c r="G49" s="2">
        <f ca="1">深串!F24</f>
        <v>423.89999999999964</v>
      </c>
      <c r="H49" s="2">
        <f ca="1">深串!G24</f>
        <v>0</v>
      </c>
      <c r="I49" s="2">
        <f ca="1">深串!H24</f>
        <v>548.5</v>
      </c>
      <c r="J49" s="2">
        <f ca="1">深串!I24</f>
        <v>405.1899999999996</v>
      </c>
      <c r="K49" s="2">
        <f ca="1">深串!J24</f>
        <v>309.34999999999991</v>
      </c>
      <c r="L49" s="2">
        <f ca="1">深串!K24</f>
        <v>708</v>
      </c>
      <c r="M49" s="2">
        <f ca="1">深串!L24</f>
        <v>0</v>
      </c>
      <c r="N49" s="2">
        <f ca="1">深串!M24</f>
        <v>580.80000000000018</v>
      </c>
      <c r="O49" s="2">
        <f ca="1">深串!N24</f>
        <v>22.699999999999989</v>
      </c>
      <c r="P49" s="2">
        <f ca="1">深串!O24</f>
        <v>0</v>
      </c>
      <c r="Q49" s="373">
        <f ca="1">深串!P24</f>
        <v>0</v>
      </c>
      <c r="R49" s="316">
        <f t="shared" ref="R49:R50" ca="1" si="15">SUM(F49:Q49)</f>
        <v>3420.8399999999988</v>
      </c>
      <c r="S49" s="49"/>
    </row>
    <row r="50" spans="1:19">
      <c r="A50" s="159"/>
      <c r="B50" s="54"/>
      <c r="D50" s="1" t="s">
        <v>99</v>
      </c>
      <c r="E50" s="1" t="s">
        <v>53</v>
      </c>
      <c r="F50" s="372">
        <f ca="1">深串!E34</f>
        <v>765.85419999999976</v>
      </c>
      <c r="G50" s="2">
        <f ca="1">深串!F34</f>
        <v>2414.1271100000013</v>
      </c>
      <c r="H50" s="2">
        <f ca="1">深串!G34</f>
        <v>1492.08313</v>
      </c>
      <c r="I50" s="2">
        <f ca="1">深串!H34</f>
        <v>1077.9387000000006</v>
      </c>
      <c r="J50" s="2">
        <f ca="1">深串!I34</f>
        <v>1766.36355</v>
      </c>
      <c r="K50" s="2">
        <f ca="1">深串!J34</f>
        <v>1467.5034000000005</v>
      </c>
      <c r="L50" s="2">
        <f ca="1">深串!K34</f>
        <v>2585.9067200000009</v>
      </c>
      <c r="M50" s="2">
        <f ca="1">深串!L34</f>
        <v>1308.9036500000007</v>
      </c>
      <c r="N50" s="2">
        <f ca="1">深串!M34</f>
        <v>2435.721379999999</v>
      </c>
      <c r="O50" s="2">
        <f ca="1">深串!N34</f>
        <v>925.55175999999983</v>
      </c>
      <c r="P50" s="2">
        <f ca="1">深串!O34</f>
        <v>0</v>
      </c>
      <c r="Q50" s="373">
        <f ca="1">深串!P34</f>
        <v>0</v>
      </c>
      <c r="R50" s="316">
        <f t="shared" ca="1" si="15"/>
        <v>16239.953600000003</v>
      </c>
      <c r="S50" s="49"/>
    </row>
    <row r="51" spans="1:19">
      <c r="A51" s="159"/>
      <c r="B51" s="55"/>
      <c r="C51" s="52"/>
      <c r="D51" s="52"/>
      <c r="E51" s="62" t="s">
        <v>21</v>
      </c>
      <c r="F51" s="380">
        <f ca="1">SUM(F48:F50)</f>
        <v>1198.0541999999994</v>
      </c>
      <c r="G51" s="381">
        <f t="shared" ref="G51:Q51" ca="1" si="16">SUM(G48:G50)</f>
        <v>2861.2271100000007</v>
      </c>
      <c r="H51" s="381">
        <f t="shared" ca="1" si="16"/>
        <v>1533.1831299999999</v>
      </c>
      <c r="I51" s="381">
        <f t="shared" ca="1" si="16"/>
        <v>2460.6387000000004</v>
      </c>
      <c r="J51" s="381">
        <f t="shared" ca="1" si="16"/>
        <v>2186.2535499999994</v>
      </c>
      <c r="K51" s="381">
        <f t="shared" ca="1" si="16"/>
        <v>1806.2084000000004</v>
      </c>
      <c r="L51" s="381">
        <f t="shared" ca="1" si="16"/>
        <v>5103.7117200000012</v>
      </c>
      <c r="M51" s="381">
        <f t="shared" ca="1" si="16"/>
        <v>1308.9036500000007</v>
      </c>
      <c r="N51" s="381">
        <f t="shared" ca="1" si="16"/>
        <v>3385.051379999999</v>
      </c>
      <c r="O51" s="381">
        <f t="shared" ca="1" si="16"/>
        <v>948.25175999999988</v>
      </c>
      <c r="P51" s="381">
        <f t="shared" ca="1" si="16"/>
        <v>0</v>
      </c>
      <c r="Q51" s="382">
        <f t="shared" ca="1" si="16"/>
        <v>0</v>
      </c>
      <c r="R51" s="383">
        <f ca="1">SUM(R48:R50)</f>
        <v>22791.4836</v>
      </c>
      <c r="S51" s="49"/>
    </row>
    <row r="52" spans="1:19">
      <c r="A52" s="159"/>
      <c r="B52" s="54" t="s">
        <v>48</v>
      </c>
      <c r="C52" s="1" t="s">
        <v>45</v>
      </c>
      <c r="D52" s="1" t="s">
        <v>94</v>
      </c>
      <c r="E52" s="1" t="s">
        <v>95</v>
      </c>
      <c r="F52" s="372">
        <f ca="1">前川!E14</f>
        <v>102.834</v>
      </c>
      <c r="G52" s="2">
        <f ca="1">前川!F14</f>
        <v>141.62800000000004</v>
      </c>
      <c r="H52" s="2">
        <f ca="1">前川!G14</f>
        <v>332.74800000000005</v>
      </c>
      <c r="I52" s="2">
        <f ca="1">前川!H14</f>
        <v>232.80200000000002</v>
      </c>
      <c r="J52" s="2">
        <f ca="1">前川!I14</f>
        <v>127.88999999999999</v>
      </c>
      <c r="K52" s="2">
        <f ca="1">前川!J14</f>
        <v>175.38</v>
      </c>
      <c r="L52" s="2">
        <f ca="1">前川!K14</f>
        <v>210.79300000000001</v>
      </c>
      <c r="M52" s="2">
        <f ca="1">前川!L14</f>
        <v>132.33699999999993</v>
      </c>
      <c r="N52" s="2">
        <f ca="1">前川!M14</f>
        <v>101.13999999999999</v>
      </c>
      <c r="O52" s="2">
        <f ca="1">前川!N14</f>
        <v>0</v>
      </c>
      <c r="P52" s="2">
        <f ca="1">前川!O14</f>
        <v>0</v>
      </c>
      <c r="Q52" s="373">
        <f ca="1">前川!P14</f>
        <v>0</v>
      </c>
      <c r="R52" s="316">
        <f t="shared" ref="R52:R54" ca="1" si="17">SUM(F52:Q52)</f>
        <v>1557.5520000000001</v>
      </c>
      <c r="S52" s="49"/>
    </row>
    <row r="53" spans="1:19">
      <c r="A53" s="159"/>
      <c r="B53" s="54"/>
      <c r="D53" s="1" t="s">
        <v>49</v>
      </c>
      <c r="E53" s="1" t="s">
        <v>101</v>
      </c>
      <c r="F53" s="372">
        <f ca="1">前川!E24</f>
        <v>108.27883350000002</v>
      </c>
      <c r="G53" s="2">
        <f ca="1">前川!F24</f>
        <v>86.132396100000278</v>
      </c>
      <c r="H53" s="2">
        <f ca="1">前川!G24</f>
        <v>98.697904200000266</v>
      </c>
      <c r="I53" s="2">
        <f ca="1">前川!H24</f>
        <v>120.55580660000078</v>
      </c>
      <c r="J53" s="2">
        <f ca="1">前川!I24</f>
        <v>154.28003919999992</v>
      </c>
      <c r="K53" s="2">
        <f ca="1">前川!J24</f>
        <v>90.414852600000131</v>
      </c>
      <c r="L53" s="2">
        <f ca="1">前川!K24</f>
        <v>289.53676659999837</v>
      </c>
      <c r="M53" s="2">
        <f ca="1">前川!L24</f>
        <v>177.96931089999953</v>
      </c>
      <c r="N53" s="2">
        <f ca="1">前川!M24</f>
        <v>146.58414110000058</v>
      </c>
      <c r="O53" s="2">
        <f ca="1">前川!N24</f>
        <v>184.55833370000028</v>
      </c>
      <c r="P53" s="2">
        <f ca="1">前川!O24</f>
        <v>0</v>
      </c>
      <c r="Q53" s="373">
        <f ca="1">前川!P24</f>
        <v>0</v>
      </c>
      <c r="R53" s="316">
        <f t="shared" ca="1" si="17"/>
        <v>1457.0083845000001</v>
      </c>
      <c r="S53" s="49"/>
    </row>
    <row r="54" spans="1:19">
      <c r="A54" s="159"/>
      <c r="B54" s="54"/>
      <c r="D54" s="1" t="s">
        <v>49</v>
      </c>
      <c r="E54" s="1" t="s">
        <v>102</v>
      </c>
      <c r="F54" s="372">
        <f ca="1">前川!E34</f>
        <v>560.4702527999998</v>
      </c>
      <c r="G54" s="2">
        <f ca="1">前川!F34</f>
        <v>739.69318080000085</v>
      </c>
      <c r="H54" s="2">
        <f ca="1">前川!G34</f>
        <v>663.39680709999902</v>
      </c>
      <c r="I54" s="2">
        <f ca="1">前川!H34</f>
        <v>895.21426339999834</v>
      </c>
      <c r="J54" s="2">
        <f ca="1">前川!I34</f>
        <v>1334.0552468000005</v>
      </c>
      <c r="K54" s="2">
        <f ca="1">前川!J34</f>
        <v>1002.3407009000002</v>
      </c>
      <c r="L54" s="2">
        <f ca="1">前川!K34</f>
        <v>255.60487499999999</v>
      </c>
      <c r="M54" s="2">
        <f ca="1">前川!L34</f>
        <v>202.35453299999995</v>
      </c>
      <c r="N54" s="2">
        <f ca="1">前川!M34</f>
        <v>928.18604070000038</v>
      </c>
      <c r="O54" s="2">
        <f ca="1">前川!N34</f>
        <v>1007.1426016000005</v>
      </c>
      <c r="P54" s="2">
        <f ca="1">前川!O34</f>
        <v>0</v>
      </c>
      <c r="Q54" s="373">
        <f ca="1">前川!P34</f>
        <v>0</v>
      </c>
      <c r="R54" s="316">
        <f t="shared" ca="1" si="17"/>
        <v>7588.4585020999994</v>
      </c>
      <c r="S54" s="49"/>
    </row>
    <row r="55" spans="1:19">
      <c r="A55" s="159"/>
      <c r="B55" s="55"/>
      <c r="C55" s="52"/>
      <c r="D55" s="52"/>
      <c r="E55" s="62" t="s">
        <v>21</v>
      </c>
      <c r="F55" s="380">
        <f ca="1">SUM(F52:F54)</f>
        <v>771.58308629999988</v>
      </c>
      <c r="G55" s="381">
        <f t="shared" ref="G55:Q55" ca="1" si="18">SUM(G52:G54)</f>
        <v>967.45357690000117</v>
      </c>
      <c r="H55" s="381">
        <f t="shared" ca="1" si="18"/>
        <v>1094.8427112999993</v>
      </c>
      <c r="I55" s="381">
        <f t="shared" ca="1" si="18"/>
        <v>1248.5720699999993</v>
      </c>
      <c r="J55" s="381">
        <f t="shared" ca="1" si="18"/>
        <v>1616.2252860000003</v>
      </c>
      <c r="K55" s="381">
        <f t="shared" ca="1" si="18"/>
        <v>1268.1355535000002</v>
      </c>
      <c r="L55" s="381">
        <f t="shared" ca="1" si="18"/>
        <v>755.93464159999837</v>
      </c>
      <c r="M55" s="381">
        <f t="shared" ca="1" si="18"/>
        <v>512.66084389999946</v>
      </c>
      <c r="N55" s="381">
        <f t="shared" ca="1" si="18"/>
        <v>1175.9101818000008</v>
      </c>
      <c r="O55" s="381">
        <f t="shared" ca="1" si="18"/>
        <v>1191.7009353000008</v>
      </c>
      <c r="P55" s="381">
        <f t="shared" ca="1" si="18"/>
        <v>0</v>
      </c>
      <c r="Q55" s="382">
        <f t="shared" ca="1" si="18"/>
        <v>0</v>
      </c>
      <c r="R55" s="383">
        <f ca="1">SUM(R52:R54)</f>
        <v>10603.018886599999</v>
      </c>
      <c r="S55" s="49"/>
    </row>
    <row r="56" spans="1:19">
      <c r="A56" s="159"/>
      <c r="B56" s="54" t="s">
        <v>48</v>
      </c>
      <c r="C56" s="1" t="s">
        <v>46</v>
      </c>
      <c r="D56" s="1" t="s">
        <v>94</v>
      </c>
      <c r="E56" s="1" t="s">
        <v>101</v>
      </c>
      <c r="F56" s="372">
        <f ca="1">千葉!E14</f>
        <v>974.97615669999959</v>
      </c>
      <c r="G56" s="2">
        <f ca="1">千葉!F14</f>
        <v>764.65804470000035</v>
      </c>
      <c r="H56" s="2">
        <f ca="1">千葉!G14</f>
        <v>539.10970580000003</v>
      </c>
      <c r="I56" s="2">
        <f ca="1">千葉!H14</f>
        <v>682.81951620000018</v>
      </c>
      <c r="J56" s="2">
        <f ca="1">千葉!I14</f>
        <v>909.16102599999977</v>
      </c>
      <c r="K56" s="2">
        <f ca="1">千葉!J14</f>
        <v>1247.4691213999999</v>
      </c>
      <c r="L56" s="2">
        <f ca="1">千葉!K14</f>
        <v>1393.4630820000004</v>
      </c>
      <c r="M56" s="2">
        <f ca="1">千葉!L14</f>
        <v>1568.3500588000002</v>
      </c>
      <c r="N56" s="2">
        <f ca="1">千葉!M14</f>
        <v>1388.7390976999995</v>
      </c>
      <c r="O56" s="2">
        <f ca="1">千葉!N14</f>
        <v>0</v>
      </c>
      <c r="P56" s="2">
        <f ca="1">千葉!O14</f>
        <v>0</v>
      </c>
      <c r="Q56" s="373">
        <f ca="1">千葉!P14</f>
        <v>0</v>
      </c>
      <c r="R56" s="316">
        <f t="shared" ref="R56:R58" ca="1" si="19">SUM(F56:Q56)</f>
        <v>9468.7458093000005</v>
      </c>
      <c r="S56" s="49"/>
    </row>
    <row r="57" spans="1:19">
      <c r="A57" s="159"/>
      <c r="B57" s="54"/>
      <c r="D57" s="1" t="s">
        <v>94</v>
      </c>
      <c r="E57" s="1" t="s">
        <v>102</v>
      </c>
      <c r="F57" s="372">
        <f ca="1">千葉!E24</f>
        <v>0</v>
      </c>
      <c r="G57" s="2">
        <f ca="1">千葉!F24</f>
        <v>159.08157199999999</v>
      </c>
      <c r="H57" s="2">
        <f ca="1">千葉!G24</f>
        <v>0</v>
      </c>
      <c r="I57" s="2">
        <f ca="1">千葉!H24</f>
        <v>472.87356899999986</v>
      </c>
      <c r="J57" s="2">
        <f ca="1">千葉!I24</f>
        <v>153.74819800000003</v>
      </c>
      <c r="K57" s="2">
        <f ca="1">千葉!J24</f>
        <v>0</v>
      </c>
      <c r="L57" s="2">
        <f ca="1">千葉!K24</f>
        <v>209.67528800000002</v>
      </c>
      <c r="M57" s="2">
        <f ca="1">千葉!L24</f>
        <v>149.93230399999996</v>
      </c>
      <c r="N57" s="2">
        <f ca="1">千葉!M24</f>
        <v>258.9790109999999</v>
      </c>
      <c r="O57" s="2">
        <f ca="1">千葉!N24</f>
        <v>0</v>
      </c>
      <c r="P57" s="2">
        <f ca="1">千葉!O24</f>
        <v>0</v>
      </c>
      <c r="Q57" s="373">
        <f ca="1">千葉!P24</f>
        <v>0</v>
      </c>
      <c r="R57" s="316">
        <f t="shared" ca="1" si="19"/>
        <v>1404.2899419999999</v>
      </c>
      <c r="S57" s="49"/>
    </row>
    <row r="58" spans="1:19">
      <c r="A58" s="159"/>
      <c r="B58" s="54"/>
      <c r="D58" s="1" t="s">
        <v>94</v>
      </c>
      <c r="E58" s="1" t="s">
        <v>118</v>
      </c>
      <c r="F58" s="372">
        <f ca="1">千葉!E34</f>
        <v>190.80909600000001</v>
      </c>
      <c r="G58" s="2">
        <f ca="1">千葉!F34</f>
        <v>85.429361999999998</v>
      </c>
      <c r="H58" s="2">
        <f ca="1">千葉!G34</f>
        <v>79.787530000000004</v>
      </c>
      <c r="I58" s="2">
        <f ca="1">千葉!H34</f>
        <v>21.596471999999995</v>
      </c>
      <c r="J58" s="2">
        <f ca="1">千葉!I34</f>
        <v>-125.8560526</v>
      </c>
      <c r="K58" s="2">
        <f ca="1">千葉!J34</f>
        <v>-96.947839999999999</v>
      </c>
      <c r="L58" s="2">
        <f ca="1">千葉!K34</f>
        <v>136.89565600000003</v>
      </c>
      <c r="M58" s="2">
        <f ca="1">千葉!L34</f>
        <v>82.753040000000013</v>
      </c>
      <c r="N58" s="2">
        <f ca="1">千葉!M34</f>
        <v>-300.36</v>
      </c>
      <c r="O58" s="2">
        <f ca="1">千葉!N34</f>
        <v>0</v>
      </c>
      <c r="P58" s="2">
        <f ca="1">千葉!O34</f>
        <v>0</v>
      </c>
      <c r="Q58" s="373">
        <f ca="1">千葉!P34</f>
        <v>0</v>
      </c>
      <c r="R58" s="316">
        <f t="shared" ca="1" si="19"/>
        <v>74.107263400000079</v>
      </c>
      <c r="S58" s="49"/>
    </row>
    <row r="59" spans="1:19">
      <c r="A59" s="159"/>
      <c r="B59" s="55"/>
      <c r="C59" s="52"/>
      <c r="D59" s="52"/>
      <c r="E59" s="62" t="s">
        <v>21</v>
      </c>
      <c r="F59" s="380">
        <f ca="1">SUM(F56:F58)</f>
        <v>1165.7852526999995</v>
      </c>
      <c r="G59" s="381">
        <f t="shared" ref="G59:R59" ca="1" si="20">SUM(G56:G58)</f>
        <v>1009.1689787000004</v>
      </c>
      <c r="H59" s="381">
        <f t="shared" ca="1" si="20"/>
        <v>618.89723580000009</v>
      </c>
      <c r="I59" s="381">
        <f t="shared" ca="1" si="20"/>
        <v>1177.2895572</v>
      </c>
      <c r="J59" s="381">
        <f t="shared" ca="1" si="20"/>
        <v>937.05317139999977</v>
      </c>
      <c r="K59" s="381">
        <f t="shared" ca="1" si="20"/>
        <v>1150.5212813999999</v>
      </c>
      <c r="L59" s="381">
        <f t="shared" ca="1" si="20"/>
        <v>1740.0340260000007</v>
      </c>
      <c r="M59" s="381">
        <f t="shared" ca="1" si="20"/>
        <v>1801.0354028000002</v>
      </c>
      <c r="N59" s="381">
        <f t="shared" ca="1" si="20"/>
        <v>1347.3581086999993</v>
      </c>
      <c r="O59" s="381">
        <f t="shared" ca="1" si="20"/>
        <v>0</v>
      </c>
      <c r="P59" s="381">
        <f t="shared" ca="1" si="20"/>
        <v>0</v>
      </c>
      <c r="Q59" s="382">
        <f t="shared" ca="1" si="20"/>
        <v>0</v>
      </c>
      <c r="R59" s="383">
        <f t="shared" ca="1" si="20"/>
        <v>10947.143014699999</v>
      </c>
      <c r="S59" s="49"/>
    </row>
    <row r="60" spans="1:19">
      <c r="A60" s="159"/>
      <c r="B60" s="54" t="s">
        <v>48</v>
      </c>
      <c r="C60" s="1" t="s">
        <v>142</v>
      </c>
      <c r="D60" s="1" t="s">
        <v>94</v>
      </c>
      <c r="E60" s="1" t="s">
        <v>75</v>
      </c>
      <c r="F60" s="372">
        <f ca="1">中国!E14</f>
        <v>423.39856999999938</v>
      </c>
      <c r="G60" s="2">
        <f ca="1">中国!F14</f>
        <v>80.91664999999989</v>
      </c>
      <c r="H60" s="2">
        <f ca="1">中国!G14</f>
        <v>50.403349999999932</v>
      </c>
      <c r="I60" s="2">
        <f ca="1">中国!H14</f>
        <v>31.512299999999982</v>
      </c>
      <c r="J60" s="2">
        <f ca="1">中国!I14</f>
        <v>0</v>
      </c>
      <c r="K60" s="2">
        <f ca="1">中国!J14</f>
        <v>0</v>
      </c>
      <c r="L60" s="2">
        <f ca="1">中国!K14</f>
        <v>0</v>
      </c>
      <c r="M60" s="2">
        <f ca="1">中国!L14</f>
        <v>0</v>
      </c>
      <c r="N60" s="2">
        <f ca="1">中国!M14</f>
        <v>0</v>
      </c>
      <c r="O60" s="2">
        <f ca="1">中国!N14</f>
        <v>0</v>
      </c>
      <c r="P60" s="2">
        <f ca="1">中国!O14</f>
        <v>0</v>
      </c>
      <c r="Q60" s="373">
        <f ca="1">中国!P14</f>
        <v>0</v>
      </c>
      <c r="R60" s="316">
        <f t="shared" ref="R60:R62" ca="1" si="21">SUM(F60:Q60)</f>
        <v>586.23086999999919</v>
      </c>
      <c r="S60" s="49"/>
    </row>
    <row r="61" spans="1:19">
      <c r="A61" s="159"/>
      <c r="B61" s="54"/>
      <c r="C61" s="1" t="s">
        <v>142</v>
      </c>
      <c r="D61" s="1" t="s">
        <v>94</v>
      </c>
      <c r="E61" s="1" t="s">
        <v>97</v>
      </c>
      <c r="F61" s="372">
        <f ca="1">中国!E24</f>
        <v>151.82020004000003</v>
      </c>
      <c r="G61" s="2">
        <f ca="1">中国!F24</f>
        <v>284.80280010999991</v>
      </c>
      <c r="H61" s="2">
        <f ca="1">中国!G24</f>
        <v>138.42270009999993</v>
      </c>
      <c r="I61" s="2">
        <f ca="1">中国!H24</f>
        <v>32.730999999999995</v>
      </c>
      <c r="J61" s="2">
        <f ca="1">中国!I24</f>
        <v>0</v>
      </c>
      <c r="K61" s="2">
        <f ca="1">中国!J24</f>
        <v>0</v>
      </c>
      <c r="L61" s="2">
        <f ca="1">中国!K24</f>
        <v>0</v>
      </c>
      <c r="M61" s="2">
        <f ca="1">中国!L24</f>
        <v>0</v>
      </c>
      <c r="N61" s="2">
        <f ca="1">中国!M24</f>
        <v>0</v>
      </c>
      <c r="O61" s="2">
        <f ca="1">中国!N24</f>
        <v>0</v>
      </c>
      <c r="P61" s="2">
        <f ca="1">中国!O24</f>
        <v>0</v>
      </c>
      <c r="Q61" s="373">
        <f ca="1">中国!P24</f>
        <v>0</v>
      </c>
      <c r="R61" s="316">
        <f t="shared" ca="1" si="21"/>
        <v>607.77670024999986</v>
      </c>
      <c r="S61" s="49"/>
    </row>
    <row r="62" spans="1:19">
      <c r="A62" s="159"/>
      <c r="B62" s="54"/>
      <c r="C62" s="1" t="s">
        <v>117</v>
      </c>
      <c r="D62" s="1" t="s">
        <v>94</v>
      </c>
      <c r="E62" s="1" t="s">
        <v>117</v>
      </c>
      <c r="F62" s="372">
        <f ca="1">VVR!E14</f>
        <v>66.01400000000001</v>
      </c>
      <c r="G62" s="2">
        <f ca="1">VVR!F14</f>
        <v>69.64500000000001</v>
      </c>
      <c r="H62" s="2">
        <f ca="1">VVR!G14</f>
        <v>193.32799999999997</v>
      </c>
      <c r="I62" s="2">
        <f ca="1">VVR!H14</f>
        <v>321.85099999999989</v>
      </c>
      <c r="J62" s="2">
        <f ca="1">VVR!I14</f>
        <v>356.62000000000012</v>
      </c>
      <c r="K62" s="2">
        <f ca="1">VVR!J14</f>
        <v>597.05999999999995</v>
      </c>
      <c r="L62" s="2">
        <f ca="1">VVR!K14</f>
        <v>251.19099999999992</v>
      </c>
      <c r="M62" s="2">
        <f ca="1">VVR!L14</f>
        <v>39.004999999999995</v>
      </c>
      <c r="N62" s="2">
        <f ca="1">VVR!M14</f>
        <v>35.728999999999985</v>
      </c>
      <c r="O62" s="2">
        <f ca="1">VVR!N14</f>
        <v>0</v>
      </c>
      <c r="P62" s="2">
        <f ca="1">VVR!O14</f>
        <v>0</v>
      </c>
      <c r="Q62" s="373">
        <f ca="1">VVR!P14</f>
        <v>0</v>
      </c>
      <c r="R62" s="316">
        <f t="shared" ca="1" si="21"/>
        <v>1930.443</v>
      </c>
      <c r="S62" s="49"/>
    </row>
    <row r="63" spans="1:19">
      <c r="A63" s="159"/>
      <c r="B63" s="55"/>
      <c r="C63" s="52"/>
      <c r="D63" s="52"/>
      <c r="E63" s="62" t="s">
        <v>21</v>
      </c>
      <c r="F63" s="380">
        <f ca="1">SUM(F60:F62)</f>
        <v>641.23277003999942</v>
      </c>
      <c r="G63" s="381">
        <f t="shared" ref="G63:R63" ca="1" si="22">SUM(G60:G62)</f>
        <v>435.36445010999978</v>
      </c>
      <c r="H63" s="381">
        <f t="shared" ca="1" si="22"/>
        <v>382.15405009999984</v>
      </c>
      <c r="I63" s="381">
        <f t="shared" ca="1" si="22"/>
        <v>386.09429999999986</v>
      </c>
      <c r="J63" s="381">
        <f t="shared" ca="1" si="22"/>
        <v>356.62000000000012</v>
      </c>
      <c r="K63" s="381">
        <f t="shared" ca="1" si="22"/>
        <v>597.05999999999995</v>
      </c>
      <c r="L63" s="381">
        <f t="shared" ca="1" si="22"/>
        <v>251.19099999999992</v>
      </c>
      <c r="M63" s="381">
        <f t="shared" ca="1" si="22"/>
        <v>39.004999999999995</v>
      </c>
      <c r="N63" s="381">
        <f t="shared" ca="1" si="22"/>
        <v>35.728999999999985</v>
      </c>
      <c r="O63" s="381">
        <f t="shared" ca="1" si="22"/>
        <v>0</v>
      </c>
      <c r="P63" s="381">
        <f t="shared" ca="1" si="22"/>
        <v>0</v>
      </c>
      <c r="Q63" s="382">
        <f t="shared" ca="1" si="22"/>
        <v>0</v>
      </c>
      <c r="R63" s="383">
        <f t="shared" ca="1" si="22"/>
        <v>3124.4505702499991</v>
      </c>
      <c r="S63" s="49"/>
    </row>
    <row r="64" spans="1:19">
      <c r="A64" s="159"/>
      <c r="B64" s="54" t="s">
        <v>48</v>
      </c>
      <c r="C64" s="1" t="s">
        <v>140</v>
      </c>
      <c r="D64" s="1" t="s">
        <v>135</v>
      </c>
      <c r="E64" s="1" t="s">
        <v>75</v>
      </c>
      <c r="F64" s="372">
        <f ca="1">新規1!E14</f>
        <v>108.46399999999994</v>
      </c>
      <c r="G64" s="2">
        <f ca="1">新規1!F14</f>
        <v>0</v>
      </c>
      <c r="H64" s="2">
        <f ca="1">新規1!G14</f>
        <v>117.24500000000035</v>
      </c>
      <c r="I64" s="2">
        <f ca="1">新規1!H14</f>
        <v>0</v>
      </c>
      <c r="J64" s="2">
        <f ca="1">新規1!I14</f>
        <v>0</v>
      </c>
      <c r="K64" s="2">
        <f ca="1">新規1!J14</f>
        <v>0</v>
      </c>
      <c r="L64" s="2">
        <f ca="1">新規1!K14</f>
        <v>0</v>
      </c>
      <c r="M64" s="2">
        <f ca="1">新規1!L14</f>
        <v>110.53999999999996</v>
      </c>
      <c r="N64" s="2">
        <f ca="1">新規1!M14</f>
        <v>0</v>
      </c>
      <c r="O64" s="2">
        <f ca="1">新規1!N14</f>
        <v>0</v>
      </c>
      <c r="P64" s="2">
        <f ca="1">新規1!O14</f>
        <v>0</v>
      </c>
      <c r="Q64" s="373">
        <f ca="1">新規1!P14</f>
        <v>0</v>
      </c>
      <c r="R64" s="316">
        <f t="shared" ref="R64:R66" ca="1" si="23">SUM(F64:Q64)</f>
        <v>336.24900000000025</v>
      </c>
      <c r="S64" s="49"/>
    </row>
    <row r="65" spans="1:19">
      <c r="A65" s="159"/>
      <c r="B65" s="54"/>
      <c r="C65" s="1" t="s">
        <v>140</v>
      </c>
      <c r="D65" s="1" t="s">
        <v>104</v>
      </c>
      <c r="E65" s="1" t="s">
        <v>52</v>
      </c>
      <c r="F65" s="372">
        <f ca="1">新規1!E24</f>
        <v>3.8271840000000026</v>
      </c>
      <c r="G65" s="2">
        <f ca="1">新規1!F24</f>
        <v>0</v>
      </c>
      <c r="H65" s="2">
        <f ca="1">新規1!G24</f>
        <v>1.0701339999999995</v>
      </c>
      <c r="I65" s="2">
        <f ca="1">新規1!H24</f>
        <v>0</v>
      </c>
      <c r="J65" s="2">
        <f ca="1">新規1!I24</f>
        <v>0</v>
      </c>
      <c r="K65" s="2">
        <f ca="1">新規1!J24</f>
        <v>0</v>
      </c>
      <c r="L65" s="2">
        <f ca="1">新規1!K24</f>
        <v>0</v>
      </c>
      <c r="M65" s="2">
        <f ca="1">新規1!L24</f>
        <v>0</v>
      </c>
      <c r="N65" s="2">
        <f ca="1">新規1!M24</f>
        <v>0</v>
      </c>
      <c r="O65" s="2">
        <f ca="1">新規1!N24</f>
        <v>0</v>
      </c>
      <c r="P65" s="2">
        <f ca="1">新規1!O24</f>
        <v>0</v>
      </c>
      <c r="Q65" s="373">
        <f ca="1">新規1!P24</f>
        <v>0</v>
      </c>
      <c r="R65" s="316">
        <f t="shared" ca="1" si="23"/>
        <v>4.8973180000000021</v>
      </c>
      <c r="S65" s="49"/>
    </row>
    <row r="66" spans="1:19">
      <c r="A66" s="159"/>
      <c r="B66" s="54"/>
      <c r="C66" s="1" t="s">
        <v>141</v>
      </c>
      <c r="D66" s="1" t="s">
        <v>136</v>
      </c>
      <c r="E66" s="1" t="s">
        <v>137</v>
      </c>
      <c r="F66" s="372">
        <f>新規2!E34</f>
        <v>0</v>
      </c>
      <c r="G66" s="2">
        <f>新規2!F34</f>
        <v>0</v>
      </c>
      <c r="H66" s="2">
        <f>新規2!G34</f>
        <v>0</v>
      </c>
      <c r="I66" s="2">
        <f>新規2!H34</f>
        <v>0</v>
      </c>
      <c r="J66" s="2">
        <f>新規2!I34</f>
        <v>0</v>
      </c>
      <c r="K66" s="2">
        <f>新規2!J34</f>
        <v>0</v>
      </c>
      <c r="L66" s="2">
        <f>新規2!K34</f>
        <v>0</v>
      </c>
      <c r="M66" s="2">
        <f>新規2!L34</f>
        <v>0</v>
      </c>
      <c r="N66" s="2">
        <f>新規2!M34</f>
        <v>0</v>
      </c>
      <c r="O66" s="2">
        <f>新規2!N34</f>
        <v>0</v>
      </c>
      <c r="P66" s="2">
        <f>新規2!O34</f>
        <v>0</v>
      </c>
      <c r="Q66" s="373">
        <f>新規2!P34</f>
        <v>0</v>
      </c>
      <c r="R66" s="316">
        <f t="shared" si="23"/>
        <v>0</v>
      </c>
      <c r="S66" s="49"/>
    </row>
    <row r="67" spans="1:19">
      <c r="A67" s="160"/>
      <c r="B67" s="50"/>
      <c r="C67" s="46"/>
      <c r="D67" s="46"/>
      <c r="E67" s="63" t="s">
        <v>21</v>
      </c>
      <c r="F67" s="384">
        <f ca="1">SUM(F64:F66)</f>
        <v>112.29118399999994</v>
      </c>
      <c r="G67" s="385">
        <f t="shared" ref="G67:R67" ca="1" si="24">SUM(G64:G66)</f>
        <v>0</v>
      </c>
      <c r="H67" s="385">
        <f t="shared" ca="1" si="24"/>
        <v>118.31513400000034</v>
      </c>
      <c r="I67" s="385">
        <f t="shared" ca="1" si="24"/>
        <v>0</v>
      </c>
      <c r="J67" s="385">
        <f t="shared" ca="1" si="24"/>
        <v>0</v>
      </c>
      <c r="K67" s="385">
        <f t="shared" ca="1" si="24"/>
        <v>0</v>
      </c>
      <c r="L67" s="385">
        <f t="shared" ca="1" si="24"/>
        <v>0</v>
      </c>
      <c r="M67" s="385">
        <f t="shared" ca="1" si="24"/>
        <v>110.53999999999996</v>
      </c>
      <c r="N67" s="385">
        <f t="shared" ca="1" si="24"/>
        <v>0</v>
      </c>
      <c r="O67" s="385">
        <f t="shared" ca="1" si="24"/>
        <v>0</v>
      </c>
      <c r="P67" s="385">
        <f t="shared" ca="1" si="24"/>
        <v>0</v>
      </c>
      <c r="Q67" s="386">
        <f t="shared" ca="1" si="24"/>
        <v>0</v>
      </c>
      <c r="R67" s="387">
        <f t="shared" ca="1" si="24"/>
        <v>341.14631800000024</v>
      </c>
      <c r="S67" s="49"/>
    </row>
  </sheetData>
  <mergeCells count="4">
    <mergeCell ref="S5:T5"/>
    <mergeCell ref="S6:T6"/>
    <mergeCell ref="S38:T38"/>
    <mergeCell ref="S39:T39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2F613-6D18-4B41-86ED-A62CB95A8FFF}">
  <sheetPr codeName="Sheet4"/>
  <dimension ref="A1:S59"/>
  <sheetViews>
    <sheetView showGridLines="0" zoomScale="70" zoomScaleNormal="70" workbookViewId="0">
      <selection activeCell="S14" sqref="S14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515" t="s">
        <v>12</v>
      </c>
      <c r="B1" s="476" t="s">
        <v>41</v>
      </c>
      <c r="C1" s="518" t="s">
        <v>38</v>
      </c>
      <c r="D1" s="519"/>
      <c r="E1" s="520"/>
    </row>
    <row r="2" spans="1:19" ht="18.75" customHeight="1">
      <c r="A2" s="516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517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>
      <c r="H4" s="389" t="s">
        <v>291</v>
      </c>
    </row>
    <row r="5" spans="1:19" ht="19.5" customHeight="1" thickBot="1">
      <c r="A5" s="521" t="s">
        <v>30</v>
      </c>
      <c r="B5" s="522"/>
      <c r="C5" s="509" t="s">
        <v>23</v>
      </c>
      <c r="D5" s="510"/>
      <c r="E5" s="501" t="s">
        <v>19</v>
      </c>
      <c r="F5" s="502"/>
      <c r="G5" s="502"/>
      <c r="H5" s="502"/>
      <c r="I5" s="502"/>
      <c r="J5" s="503"/>
      <c r="K5" s="501" t="s">
        <v>20</v>
      </c>
      <c r="L5" s="502"/>
      <c r="M5" s="502"/>
      <c r="N5" s="502"/>
      <c r="O5" s="502"/>
      <c r="P5" s="503"/>
      <c r="Q5" s="513" t="s">
        <v>21</v>
      </c>
    </row>
    <row r="6" spans="1:19" ht="19.5" customHeight="1" thickBot="1">
      <c r="A6" s="58" t="s">
        <v>115</v>
      </c>
      <c r="B6" s="151" t="s">
        <v>148</v>
      </c>
      <c r="C6" s="511"/>
      <c r="D6" s="512"/>
      <c r="E6" s="215">
        <v>45444</v>
      </c>
      <c r="F6" s="216">
        <v>45474</v>
      </c>
      <c r="G6" s="216">
        <v>45505</v>
      </c>
      <c r="H6" s="216">
        <v>45536</v>
      </c>
      <c r="I6" s="216">
        <v>45566</v>
      </c>
      <c r="J6" s="217">
        <v>45597</v>
      </c>
      <c r="K6" s="218">
        <v>45627</v>
      </c>
      <c r="L6" s="216">
        <v>45658</v>
      </c>
      <c r="M6" s="216">
        <v>45689</v>
      </c>
      <c r="N6" s="216">
        <v>45717</v>
      </c>
      <c r="O6" s="216">
        <v>45748</v>
      </c>
      <c r="P6" s="219">
        <v>45778</v>
      </c>
      <c r="Q6" s="514"/>
      <c r="R6" s="153" t="s">
        <v>145</v>
      </c>
      <c r="S6" s="66" t="s">
        <v>146</v>
      </c>
    </row>
    <row r="7" spans="1:19">
      <c r="A7" s="464" t="s">
        <v>51</v>
      </c>
      <c r="B7" s="466" t="s">
        <v>49</v>
      </c>
      <c r="C7" s="450" t="s">
        <v>15</v>
      </c>
      <c r="D7" s="112" t="s">
        <v>13</v>
      </c>
      <c r="E7" s="113">
        <v>429</v>
      </c>
      <c r="F7" s="114">
        <f>190+270</f>
        <v>460</v>
      </c>
      <c r="G7" s="114">
        <f>40+520</f>
        <v>560</v>
      </c>
      <c r="H7" s="114">
        <f>535+675</f>
        <v>1210</v>
      </c>
      <c r="I7" s="114">
        <f>1800+395</f>
        <v>2195</v>
      </c>
      <c r="J7" s="115">
        <f>1200+80</f>
        <v>1280</v>
      </c>
      <c r="K7" s="116">
        <f>85+315</f>
        <v>400</v>
      </c>
      <c r="L7" s="114">
        <f>276+150</f>
        <v>426</v>
      </c>
      <c r="M7" s="114">
        <f>2000+465</f>
        <v>2465</v>
      </c>
      <c r="N7" s="114">
        <f>600+100</f>
        <v>700</v>
      </c>
      <c r="O7" s="114">
        <f>950+95</f>
        <v>1045</v>
      </c>
      <c r="P7" s="117">
        <f>540+635</f>
        <v>1175</v>
      </c>
      <c r="Q7" s="118">
        <f>SUM(E7:P7)</f>
        <v>12345</v>
      </c>
      <c r="R7" s="482">
        <f>6613+2438</f>
        <v>9051</v>
      </c>
      <c r="S7" s="68">
        <f>IFERROR(Q7/R7,"")</f>
        <v>1.3639376864434869</v>
      </c>
    </row>
    <row r="8" spans="1:19" ht="19.5" thickBot="1">
      <c r="A8" s="464"/>
      <c r="B8" s="467"/>
      <c r="C8" s="450"/>
      <c r="D8" s="134" t="s">
        <v>14</v>
      </c>
      <c r="E8" s="135">
        <f>63.92+364.492</f>
        <v>428.41200000000003</v>
      </c>
      <c r="F8" s="136"/>
      <c r="G8" s="136"/>
      <c r="H8" s="136"/>
      <c r="I8" s="136"/>
      <c r="J8" s="137"/>
      <c r="K8" s="138"/>
      <c r="L8" s="136"/>
      <c r="M8" s="136"/>
      <c r="N8" s="136"/>
      <c r="O8" s="136"/>
      <c r="P8" s="139"/>
      <c r="Q8" s="140">
        <f>SUM(E8:P8)</f>
        <v>428.41200000000003</v>
      </c>
      <c r="R8" s="483"/>
      <c r="S8" s="69">
        <f>IFERROR(Q8/R7,"")</f>
        <v>4.7333112363274782E-2</v>
      </c>
    </row>
    <row r="9" spans="1:19">
      <c r="A9" s="464"/>
      <c r="B9" s="467"/>
      <c r="C9" s="450"/>
      <c r="D9" s="21" t="s">
        <v>17</v>
      </c>
      <c r="E9" s="43">
        <f>E8/E7</f>
        <v>0.99862937062937074</v>
      </c>
      <c r="F9" s="4">
        <f t="shared" ref="F9:P9" si="0">F8/F7</f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6">
        <f t="shared" si="0"/>
        <v>0</v>
      </c>
      <c r="K9" s="8">
        <f t="shared" si="0"/>
        <v>0</v>
      </c>
      <c r="L9" s="4">
        <f t="shared" si="0"/>
        <v>0</v>
      </c>
      <c r="M9" s="4">
        <f t="shared" si="0"/>
        <v>0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 t="shared" ref="Q9" si="1">Q8/Q7</f>
        <v>3.4703280680437425E-2</v>
      </c>
    </row>
    <row r="10" spans="1:19">
      <c r="A10" s="464"/>
      <c r="B10" s="467"/>
      <c r="C10" s="451"/>
      <c r="D10" s="22" t="s">
        <v>18</v>
      </c>
      <c r="E10" s="12">
        <f>SUM($E8:E8)/SUM($E7:E7)</f>
        <v>0.99862937062937074</v>
      </c>
      <c r="F10" s="5">
        <f>SUM($E8:F8)/SUM($E7:F7)</f>
        <v>0.48190326209223849</v>
      </c>
      <c r="G10" s="5">
        <f>SUM($E8:G8)/SUM($E7:G7)</f>
        <v>0.29566045548654246</v>
      </c>
      <c r="H10" s="5">
        <f>SUM($E8:H8)/SUM($E7:H7)</f>
        <v>0.16111771342610004</v>
      </c>
      <c r="I10" s="5">
        <f>SUM($E8:I8)/SUM($E7:I7)</f>
        <v>8.825957972805934E-2</v>
      </c>
      <c r="J10" s="13">
        <f>SUM($E8:J8)/SUM($E7:J7)</f>
        <v>6.9842191066188469E-2</v>
      </c>
      <c r="K10" s="9">
        <f>SUM($E8:K8)/SUM($E7:K7)</f>
        <v>6.5566574839302116E-2</v>
      </c>
      <c r="L10" s="5">
        <f>SUM($E8:L8)/SUM($E7:L7)</f>
        <v>6.1553448275862073E-2</v>
      </c>
      <c r="M10" s="5">
        <f>SUM($E8:M8)/SUM($E7:M7)</f>
        <v>4.5454854111405839E-2</v>
      </c>
      <c r="N10" s="5">
        <f>SUM($E8:N8)/SUM($E7:N7)</f>
        <v>4.2312296296296299E-2</v>
      </c>
      <c r="O10" s="5">
        <f>SUM($E8:O8)/SUM($E7:O7)</f>
        <v>3.8353804834377801E-2</v>
      </c>
      <c r="P10" s="17">
        <f>SUM($E8:P8)/SUM($E7:P7)</f>
        <v>3.4703280680437425E-2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380</v>
      </c>
      <c r="F11" s="121">
        <f>(137+190)*1.07</f>
        <v>349.89000000000004</v>
      </c>
      <c r="G11" s="121">
        <f>(38+364)*1.07</f>
        <v>430.14000000000004</v>
      </c>
      <c r="H11" s="121">
        <f>(375+472)*1.07</f>
        <v>906.29000000000008</v>
      </c>
      <c r="I11" s="121">
        <f>(1260+120)*1.07</f>
        <v>1476.6000000000001</v>
      </c>
      <c r="J11" s="122">
        <f>(840+57)*1.07</f>
        <v>959.79000000000008</v>
      </c>
      <c r="K11" s="123">
        <f>(60+220)*1.07</f>
        <v>299.60000000000002</v>
      </c>
      <c r="L11" s="121">
        <f>(195+105)*1.07</f>
        <v>321</v>
      </c>
      <c r="M11" s="121">
        <f>(1400+324)*1.07</f>
        <v>1844.68</v>
      </c>
      <c r="N11" s="121">
        <f>(420+71)*1.07</f>
        <v>525.37</v>
      </c>
      <c r="O11" s="121">
        <f>(665+69)*1.07</f>
        <v>785.38</v>
      </c>
      <c r="P11" s="124">
        <f>(375+444)*1.07</f>
        <v>876.33</v>
      </c>
      <c r="Q11" s="125">
        <f>SUM(E11:P11)</f>
        <v>9155.07</v>
      </c>
      <c r="R11" s="482">
        <f>5159+1835</f>
        <v>6994</v>
      </c>
      <c r="S11" s="68">
        <f>IFERROR(Q11/R11,"")</f>
        <v>1.3089891335430368</v>
      </c>
    </row>
    <row r="12" spans="1:19">
      <c r="A12" s="464"/>
      <c r="B12" s="467"/>
      <c r="C12" s="470"/>
      <c r="D12" s="141" t="s">
        <v>14</v>
      </c>
      <c r="E12" s="135">
        <f>(52.22+302.833)*1.07</f>
        <v>379.90671000000003</v>
      </c>
      <c r="F12" s="142"/>
      <c r="G12" s="142"/>
      <c r="H12" s="142"/>
      <c r="I12" s="142"/>
      <c r="J12" s="143"/>
      <c r="K12" s="144"/>
      <c r="L12" s="142"/>
      <c r="M12" s="142"/>
      <c r="N12" s="142"/>
      <c r="O12" s="142"/>
      <c r="P12" s="145"/>
      <c r="Q12" s="146">
        <f>SUM(E12:P12)</f>
        <v>379.90671000000003</v>
      </c>
      <c r="R12" s="488"/>
      <c r="S12" s="70">
        <f>IFERROR(Q12/R11,"")</f>
        <v>5.4318946239633979E-2</v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49</v>
      </c>
      <c r="F13" s="121">
        <f t="shared" ref="F13:P13" si="2">F7-F11</f>
        <v>110.10999999999996</v>
      </c>
      <c r="G13" s="121">
        <f t="shared" si="2"/>
        <v>129.85999999999996</v>
      </c>
      <c r="H13" s="121">
        <f t="shared" si="2"/>
        <v>303.70999999999992</v>
      </c>
      <c r="I13" s="121">
        <f t="shared" si="2"/>
        <v>718.39999999999986</v>
      </c>
      <c r="J13" s="122">
        <f t="shared" si="2"/>
        <v>320.20999999999992</v>
      </c>
      <c r="K13" s="123">
        <f t="shared" si="2"/>
        <v>100.39999999999998</v>
      </c>
      <c r="L13" s="121">
        <f t="shared" si="2"/>
        <v>105</v>
      </c>
      <c r="M13" s="121">
        <f t="shared" si="2"/>
        <v>620.31999999999994</v>
      </c>
      <c r="N13" s="121">
        <f t="shared" si="2"/>
        <v>174.63</v>
      </c>
      <c r="O13" s="121">
        <f t="shared" si="2"/>
        <v>259.62</v>
      </c>
      <c r="P13" s="124">
        <f t="shared" si="2"/>
        <v>298.66999999999996</v>
      </c>
      <c r="Q13" s="125">
        <f>SUM(E13:P13)</f>
        <v>3189.9299999999994</v>
      </c>
      <c r="R13" s="482">
        <f>R7-R11</f>
        <v>2057</v>
      </c>
      <c r="S13" s="150">
        <f>IFERROR(Q13/R13,"")</f>
        <v>1.5507681088964509</v>
      </c>
    </row>
    <row r="14" spans="1:19" ht="19.5" thickBot="1">
      <c r="A14" s="464"/>
      <c r="B14" s="467"/>
      <c r="C14" s="453"/>
      <c r="D14" s="134" t="s">
        <v>14</v>
      </c>
      <c r="E14" s="135">
        <f>E8-E12</f>
        <v>48.505290000000002</v>
      </c>
      <c r="F14" s="136"/>
      <c r="G14" s="136"/>
      <c r="H14" s="136"/>
      <c r="I14" s="136"/>
      <c r="J14" s="137"/>
      <c r="K14" s="138"/>
      <c r="L14" s="136"/>
      <c r="M14" s="136"/>
      <c r="N14" s="136"/>
      <c r="O14" s="136"/>
      <c r="P14" s="139"/>
      <c r="Q14" s="140">
        <f>SUM(E14:P14)</f>
        <v>48.505290000000002</v>
      </c>
      <c r="R14" s="483"/>
      <c r="S14" s="69">
        <f>IFERROR(Q14/R13,"")</f>
        <v>2.3580597958191542E-2</v>
      </c>
    </row>
    <row r="15" spans="1:19">
      <c r="A15" s="464"/>
      <c r="B15" s="467"/>
      <c r="C15" s="453"/>
      <c r="D15" s="21" t="s">
        <v>17</v>
      </c>
      <c r="E15" s="11">
        <f>E14/E13</f>
        <v>0.98990387755102049</v>
      </c>
      <c r="F15" s="4">
        <f t="shared" ref="F15:P15" si="3">F14/F13</f>
        <v>0</v>
      </c>
      <c r="G15" s="4">
        <f t="shared" si="3"/>
        <v>0</v>
      </c>
      <c r="H15" s="4">
        <f t="shared" si="3"/>
        <v>0</v>
      </c>
      <c r="I15" s="4">
        <f t="shared" si="3"/>
        <v>0</v>
      </c>
      <c r="J15" s="6">
        <f t="shared" si="3"/>
        <v>0</v>
      </c>
      <c r="K15" s="8">
        <f t="shared" si="3"/>
        <v>0</v>
      </c>
      <c r="L15" s="4">
        <f t="shared" si="3"/>
        <v>0</v>
      </c>
      <c r="M15" s="4">
        <f t="shared" si="3"/>
        <v>0</v>
      </c>
      <c r="N15" s="4">
        <f t="shared" si="3"/>
        <v>0</v>
      </c>
      <c r="O15" s="4">
        <f t="shared" si="3"/>
        <v>0</v>
      </c>
      <c r="P15" s="16">
        <f t="shared" si="3"/>
        <v>0</v>
      </c>
      <c r="Q15" s="26">
        <f t="shared" ref="Q15" si="4">Q14/Q13</f>
        <v>1.5205753731273104E-2</v>
      </c>
    </row>
    <row r="16" spans="1:19" ht="19.5" thickBot="1">
      <c r="A16" s="465"/>
      <c r="B16" s="468"/>
      <c r="C16" s="454"/>
      <c r="D16" s="23" t="s">
        <v>18</v>
      </c>
      <c r="E16" s="14">
        <f>SUM($E14:E14)/SUM($E13:E13)</f>
        <v>0.98990387755102049</v>
      </c>
      <c r="F16" s="7">
        <f>SUM($E14:F14)/SUM($E13:F13)</f>
        <v>0.30485381182829496</v>
      </c>
      <c r="G16" s="7">
        <f>SUM($E14:G14)/SUM($E13:G13)</f>
        <v>0.16785579817974189</v>
      </c>
      <c r="H16" s="7">
        <f>SUM($E14:H14)/SUM($E13:H13)</f>
        <v>8.1840605385705631E-2</v>
      </c>
      <c r="I16" s="7">
        <f>SUM($E14:I14)/SUM($E13:I13)</f>
        <v>3.699643805107241E-2</v>
      </c>
      <c r="J16" s="15">
        <f>SUM($E14:J14)/SUM($E13:J13)</f>
        <v>2.9734314560869016E-2</v>
      </c>
      <c r="K16" s="10">
        <f>SUM($E14:K14)/SUM($E13:K13)</f>
        <v>2.801037714602499E-2</v>
      </c>
      <c r="L16" s="7">
        <f>SUM($E14:L14)/SUM($E13:L13)</f>
        <v>2.640907828757167E-2</v>
      </c>
      <c r="M16" s="7">
        <f>SUM($E14:M14)/SUM($E13:M13)</f>
        <v>1.9741592423311267E-2</v>
      </c>
      <c r="N16" s="7">
        <f>SUM($E14:N14)/SUM($E13:N13)</f>
        <v>1.843158258728398E-2</v>
      </c>
      <c r="O16" s="7">
        <f>SUM($E14:O14)/SUM($E13:O13)</f>
        <v>1.6776523038398487E-2</v>
      </c>
      <c r="P16" s="18">
        <f>SUM($E14:P14)/SUM($E13:P13)</f>
        <v>1.5205753731273104E-2</v>
      </c>
      <c r="Q16" s="28" t="s">
        <v>22</v>
      </c>
      <c r="R16" s="59"/>
      <c r="S16"/>
    </row>
    <row r="17" spans="1:19">
      <c r="A17" s="463" t="s">
        <v>163</v>
      </c>
      <c r="B17" s="466" t="s">
        <v>153</v>
      </c>
      <c r="C17" s="450" t="s">
        <v>15</v>
      </c>
      <c r="D17" s="112" t="s">
        <v>13</v>
      </c>
      <c r="E17" s="113">
        <v>470</v>
      </c>
      <c r="F17" s="114">
        <f>205+95</f>
        <v>300</v>
      </c>
      <c r="G17" s="114">
        <f>292+153</f>
        <v>445</v>
      </c>
      <c r="H17" s="114">
        <f>483+1667</f>
        <v>2150</v>
      </c>
      <c r="I17" s="114">
        <f>115+175</f>
        <v>290</v>
      </c>
      <c r="J17" s="115">
        <f>900+10</f>
        <v>910</v>
      </c>
      <c r="K17" s="116">
        <f>215+195</f>
        <v>410</v>
      </c>
      <c r="L17" s="114">
        <f>250+385</f>
        <v>635</v>
      </c>
      <c r="M17" s="114">
        <f>370+20</f>
        <v>390</v>
      </c>
      <c r="N17" s="114">
        <f>380+70</f>
        <v>450</v>
      </c>
      <c r="O17" s="114">
        <f>350+75</f>
        <v>425</v>
      </c>
      <c r="P17" s="117">
        <f>770+170</f>
        <v>940</v>
      </c>
      <c r="Q17" s="118">
        <f>SUM(E17:P17)</f>
        <v>7815</v>
      </c>
      <c r="R17" s="482">
        <f>3033+2385</f>
        <v>5418</v>
      </c>
      <c r="S17" s="68">
        <f>IFERROR(Q17/R17,"")</f>
        <v>1.4424141749723145</v>
      </c>
    </row>
    <row r="18" spans="1:19" ht="19.5" thickBot="1">
      <c r="A18" s="464"/>
      <c r="B18" s="467"/>
      <c r="C18" s="450"/>
      <c r="D18" s="134" t="s">
        <v>14</v>
      </c>
      <c r="E18" s="135">
        <f>265.95+204.509</f>
        <v>470.45899999999995</v>
      </c>
      <c r="F18" s="136"/>
      <c r="G18" s="136"/>
      <c r="H18" s="136"/>
      <c r="I18" s="136"/>
      <c r="J18" s="137"/>
      <c r="K18" s="138"/>
      <c r="L18" s="136"/>
      <c r="M18" s="136"/>
      <c r="N18" s="136"/>
      <c r="O18" s="136"/>
      <c r="P18" s="139"/>
      <c r="Q18" s="140">
        <f>SUM(E18:P18)</f>
        <v>470.45899999999995</v>
      </c>
      <c r="R18" s="483"/>
      <c r="S18" s="69">
        <f>IFERROR(Q18/R17,"")</f>
        <v>8.683259505352528E-2</v>
      </c>
    </row>
    <row r="19" spans="1:19">
      <c r="A19" s="464"/>
      <c r="B19" s="467"/>
      <c r="C19" s="450"/>
      <c r="D19" s="21" t="s">
        <v>17</v>
      </c>
      <c r="E19" s="11">
        <f>E18/E17</f>
        <v>1.0009765957446808</v>
      </c>
      <c r="F19" s="4">
        <f t="shared" ref="F19:P19" si="5">F18/F17</f>
        <v>0</v>
      </c>
      <c r="G19" s="4">
        <f t="shared" si="5"/>
        <v>0</v>
      </c>
      <c r="H19" s="4">
        <f t="shared" si="5"/>
        <v>0</v>
      </c>
      <c r="I19" s="4">
        <f t="shared" si="5"/>
        <v>0</v>
      </c>
      <c r="J19" s="6">
        <f t="shared" si="5"/>
        <v>0</v>
      </c>
      <c r="K19" s="8">
        <f t="shared" si="5"/>
        <v>0</v>
      </c>
      <c r="L19" s="4">
        <f t="shared" si="5"/>
        <v>0</v>
      </c>
      <c r="M19" s="4">
        <f t="shared" si="5"/>
        <v>0</v>
      </c>
      <c r="N19" s="4">
        <f t="shared" si="5"/>
        <v>0</v>
      </c>
      <c r="O19" s="4">
        <f t="shared" si="5"/>
        <v>0</v>
      </c>
      <c r="P19" s="16">
        <f t="shared" si="5"/>
        <v>0</v>
      </c>
      <c r="Q19" s="26">
        <f t="shared" ref="Q19" si="6">Q18/Q17</f>
        <v>6.0199488163787583E-2</v>
      </c>
      <c r="R19" s="59"/>
      <c r="S19"/>
    </row>
    <row r="20" spans="1:19">
      <c r="A20" s="464"/>
      <c r="B20" s="467"/>
      <c r="C20" s="451"/>
      <c r="D20" s="22" t="s">
        <v>18</v>
      </c>
      <c r="E20" s="12">
        <f>SUM($E18:E18)/SUM($E17:E17)</f>
        <v>1.0009765957446808</v>
      </c>
      <c r="F20" s="5">
        <f>SUM($E18:F18)/SUM($E17:F17)</f>
        <v>0.61098571428571424</v>
      </c>
      <c r="G20" s="5">
        <f>SUM($E18:G18)/SUM($E17:G17)</f>
        <v>0.38720905349794232</v>
      </c>
      <c r="H20" s="5">
        <f>SUM($E18:H18)/SUM($E17:H17)</f>
        <v>0.13980950965824665</v>
      </c>
      <c r="I20" s="5">
        <f>SUM($E18:I18)/SUM($E17:I17)</f>
        <v>0.12871655266757864</v>
      </c>
      <c r="J20" s="13">
        <f>SUM($E18:J18)/SUM($E17:J17)</f>
        <v>0.10305783132530119</v>
      </c>
      <c r="K20" s="9">
        <f>SUM($E18:K18)/SUM($E17:K17)</f>
        <v>9.4564623115577881E-2</v>
      </c>
      <c r="L20" s="5">
        <f>SUM($E18:L18)/SUM($E17:L17)</f>
        <v>8.3860784313725484E-2</v>
      </c>
      <c r="M20" s="5">
        <f>SUM($E18:M18)/SUM($E17:M17)</f>
        <v>7.8409833333333318E-2</v>
      </c>
      <c r="N20" s="5">
        <f>SUM($E18:N18)/SUM($E17:N17)</f>
        <v>7.2939379844961238E-2</v>
      </c>
      <c r="O20" s="5">
        <f>SUM($E18:O18)/SUM($E17:O17)</f>
        <v>6.8430399999999988E-2</v>
      </c>
      <c r="P20" s="17">
        <f>SUM($E18:P18)/SUM($E17:P17)</f>
        <v>6.0199488163787583E-2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310</v>
      </c>
      <c r="F21" s="121">
        <f>(144+66)*1.07</f>
        <v>224.70000000000002</v>
      </c>
      <c r="G21" s="121">
        <f>(204+107)*1.07</f>
        <v>332.77000000000004</v>
      </c>
      <c r="H21" s="121">
        <f>333+1167</f>
        <v>1500</v>
      </c>
      <c r="I21" s="121">
        <f>(80+120)*1.07</f>
        <v>214</v>
      </c>
      <c r="J21" s="122">
        <f>(630+7)*1.07</f>
        <v>681.59</v>
      </c>
      <c r="K21" s="123">
        <v>150</v>
      </c>
      <c r="L21" s="121">
        <f>(174+270)*1.07</f>
        <v>475.08000000000004</v>
      </c>
      <c r="M21" s="121">
        <f>(260+11)*1.07</f>
        <v>289.97000000000003</v>
      </c>
      <c r="N21" s="121">
        <f>(264+49)*1.07</f>
        <v>334.91</v>
      </c>
      <c r="O21" s="121">
        <f>(244+50)*1.07</f>
        <v>314.58000000000004</v>
      </c>
      <c r="P21" s="124">
        <f>(540+102)*1.07</f>
        <v>686.94</v>
      </c>
      <c r="Q21" s="125">
        <f>SUM(E21:P21)</f>
        <v>5514.5400000000009</v>
      </c>
      <c r="R21" s="482">
        <f>2061+1453</f>
        <v>3514</v>
      </c>
      <c r="S21" s="68">
        <f>IFERROR(Q21/R21,"")</f>
        <v>1.5693056346044396</v>
      </c>
    </row>
    <row r="22" spans="1:19">
      <c r="A22" s="464"/>
      <c r="B22" s="467"/>
      <c r="C22" s="470"/>
      <c r="D22" s="141" t="s">
        <v>14</v>
      </c>
      <c r="E22" s="147">
        <f>(168.354+121.817)*1.07</f>
        <v>310.48297000000002</v>
      </c>
      <c r="F22" s="142"/>
      <c r="G22" s="142"/>
      <c r="H22" s="142"/>
      <c r="I22" s="142"/>
      <c r="J22" s="143"/>
      <c r="K22" s="144"/>
      <c r="L22" s="142"/>
      <c r="M22" s="142"/>
      <c r="N22" s="142"/>
      <c r="O22" s="142"/>
      <c r="P22" s="145"/>
      <c r="Q22" s="146">
        <f>SUM(E22:P22)</f>
        <v>310.48297000000002</v>
      </c>
      <c r="R22" s="488"/>
      <c r="S22" s="70">
        <f>IFERROR(Q22/R21,"")</f>
        <v>8.8355996015936258E-2</v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160</v>
      </c>
      <c r="F23" s="121">
        <f t="shared" ref="F23:P23" si="7">F17-F21</f>
        <v>75.299999999999983</v>
      </c>
      <c r="G23" s="121">
        <f t="shared" si="7"/>
        <v>112.22999999999996</v>
      </c>
      <c r="H23" s="121">
        <f>H17-H21</f>
        <v>650</v>
      </c>
      <c r="I23" s="121">
        <f>I17-I21</f>
        <v>76</v>
      </c>
      <c r="J23" s="122">
        <f t="shared" si="7"/>
        <v>228.40999999999997</v>
      </c>
      <c r="K23" s="123">
        <f t="shared" si="7"/>
        <v>260</v>
      </c>
      <c r="L23" s="121">
        <f t="shared" si="7"/>
        <v>159.91999999999996</v>
      </c>
      <c r="M23" s="121">
        <f t="shared" si="7"/>
        <v>100.02999999999997</v>
      </c>
      <c r="N23" s="121">
        <f t="shared" si="7"/>
        <v>115.08999999999997</v>
      </c>
      <c r="O23" s="121">
        <f t="shared" si="7"/>
        <v>110.41999999999996</v>
      </c>
      <c r="P23" s="124">
        <f t="shared" si="7"/>
        <v>253.05999999999995</v>
      </c>
      <c r="Q23" s="125">
        <f>SUM(E23:P23)</f>
        <v>2300.46</v>
      </c>
      <c r="R23" s="482">
        <f>R17-R21</f>
        <v>1904</v>
      </c>
      <c r="S23" s="150">
        <f>IFERROR(Q23/R23,"")</f>
        <v>1.2082247899159664</v>
      </c>
    </row>
    <row r="24" spans="1:19" ht="19.5" thickBot="1">
      <c r="A24" s="464"/>
      <c r="B24" s="467"/>
      <c r="C24" s="453"/>
      <c r="D24" s="134" t="s">
        <v>14</v>
      </c>
      <c r="E24" s="135">
        <f>E18-E22</f>
        <v>159.97602999999992</v>
      </c>
      <c r="F24" s="136"/>
      <c r="G24" s="136"/>
      <c r="H24" s="136"/>
      <c r="I24" s="136"/>
      <c r="J24" s="137"/>
      <c r="K24" s="138"/>
      <c r="L24" s="136"/>
      <c r="M24" s="136"/>
      <c r="N24" s="136"/>
      <c r="O24" s="136"/>
      <c r="P24" s="139"/>
      <c r="Q24" s="140">
        <f>SUM(E24:P24)</f>
        <v>159.97602999999992</v>
      </c>
      <c r="R24" s="483"/>
      <c r="S24" s="69">
        <f>IFERROR(Q24/R23,"")</f>
        <v>8.4021024159663824E-2</v>
      </c>
    </row>
    <row r="25" spans="1:19">
      <c r="A25" s="464"/>
      <c r="B25" s="467"/>
      <c r="C25" s="453"/>
      <c r="D25" s="21" t="s">
        <v>17</v>
      </c>
      <c r="E25" s="11">
        <f>E24/E23</f>
        <v>0.99985018749999954</v>
      </c>
      <c r="F25" s="4">
        <f t="shared" ref="F25:P25" si="8">F24/F23</f>
        <v>0</v>
      </c>
      <c r="G25" s="4">
        <f t="shared" si="8"/>
        <v>0</v>
      </c>
      <c r="H25" s="4">
        <f t="shared" si="8"/>
        <v>0</v>
      </c>
      <c r="I25" s="4">
        <f t="shared" si="8"/>
        <v>0</v>
      </c>
      <c r="J25" s="6">
        <f t="shared" si="8"/>
        <v>0</v>
      </c>
      <c r="K25" s="8">
        <f t="shared" si="8"/>
        <v>0</v>
      </c>
      <c r="L25" s="4">
        <f t="shared" si="8"/>
        <v>0</v>
      </c>
      <c r="M25" s="4">
        <f t="shared" si="8"/>
        <v>0</v>
      </c>
      <c r="N25" s="4">
        <f t="shared" si="8"/>
        <v>0</v>
      </c>
      <c r="O25" s="4">
        <f t="shared" si="8"/>
        <v>0</v>
      </c>
      <c r="P25" s="16">
        <f t="shared" si="8"/>
        <v>0</v>
      </c>
      <c r="Q25" s="26">
        <f t="shared" ref="Q25" si="9">Q24/Q23</f>
        <v>6.9540887474678945E-2</v>
      </c>
    </row>
    <row r="26" spans="1:19" ht="19.5" thickBot="1">
      <c r="A26" s="465"/>
      <c r="B26" s="468"/>
      <c r="C26" s="454"/>
      <c r="D26" s="23" t="s">
        <v>18</v>
      </c>
      <c r="E26" s="14">
        <f>SUM($E24:E24)/SUM($E23:E23)</f>
        <v>0.99985018749999954</v>
      </c>
      <c r="F26" s="7">
        <f>SUM($E24:F24)/SUM($E23:F23)</f>
        <v>0.67988113047173793</v>
      </c>
      <c r="G26" s="7">
        <f>SUM($E24:G24)/SUM($E23:G23)</f>
        <v>0.46032293614939701</v>
      </c>
      <c r="H26" s="7">
        <f>SUM($E24:H24)/SUM($E23:H23)</f>
        <v>0.16037214920854503</v>
      </c>
      <c r="I26" s="7">
        <f>SUM($E24:I24)/SUM($E23:I23)</f>
        <v>0.14901868601715829</v>
      </c>
      <c r="J26" s="15">
        <f>SUM($E24:J24)/SUM($E23:J23)</f>
        <v>0.12287511713289392</v>
      </c>
      <c r="K26" s="10">
        <f>SUM($E24:K24)/SUM($E23:K23)</f>
        <v>0.10242136701793918</v>
      </c>
      <c r="L26" s="7">
        <f>SUM($E24:L24)/SUM($E23:L23)</f>
        <v>9.2908848570731603E-2</v>
      </c>
      <c r="M26" s="7">
        <f>SUM($E24:M24)/SUM($E23:M23)</f>
        <v>8.7807732629302485E-2</v>
      </c>
      <c r="N26" s="7">
        <f>SUM($E24:N24)/SUM($E23:N23)</f>
        <v>8.2590439756734677E-2</v>
      </c>
      <c r="O26" s="7">
        <f>SUM($E24:O24)/SUM($E23:O23)</f>
        <v>7.813618735957796E-2</v>
      </c>
      <c r="P26" s="18">
        <f>SUM($E24:P24)/SUM($E23:P23)</f>
        <v>6.9540887474678945E-2</v>
      </c>
      <c r="Q26" s="28" t="s">
        <v>22</v>
      </c>
      <c r="R26" s="59"/>
      <c r="S26"/>
    </row>
    <row r="27" spans="1:19">
      <c r="A27" s="463" t="s">
        <v>152</v>
      </c>
      <c r="B27" s="466" t="s">
        <v>290</v>
      </c>
      <c r="C27" s="450" t="s">
        <v>15</v>
      </c>
      <c r="D27" s="112" t="s">
        <v>13</v>
      </c>
      <c r="E27" s="113">
        <v>0</v>
      </c>
      <c r="F27" s="114">
        <v>0</v>
      </c>
      <c r="G27" s="114">
        <v>0</v>
      </c>
      <c r="H27" s="114">
        <f>200+1700</f>
        <v>1900</v>
      </c>
      <c r="I27" s="114">
        <v>1700</v>
      </c>
      <c r="J27" s="115">
        <v>1700</v>
      </c>
      <c r="K27" s="116">
        <f>200+1700</f>
        <v>1900</v>
      </c>
      <c r="L27" s="114">
        <v>1700</v>
      </c>
      <c r="M27" s="114">
        <f>200+1700</f>
        <v>1900</v>
      </c>
      <c r="N27" s="114">
        <v>1700</v>
      </c>
      <c r="O27" s="114">
        <f>200+1700</f>
        <v>1900</v>
      </c>
      <c r="P27" s="117">
        <f>300+1700</f>
        <v>2000</v>
      </c>
      <c r="Q27" s="118">
        <f>SUM(E27:P27)</f>
        <v>16400</v>
      </c>
      <c r="R27" s="482">
        <v>7</v>
      </c>
      <c r="S27" s="68">
        <f>IFERROR(Q27/R27,"")</f>
        <v>2342.8571428571427</v>
      </c>
    </row>
    <row r="28" spans="1:19" ht="19.5" thickBot="1">
      <c r="A28" s="464"/>
      <c r="B28" s="467"/>
      <c r="C28" s="450"/>
      <c r="D28" s="134" t="s">
        <v>14</v>
      </c>
      <c r="E28" s="135">
        <v>0</v>
      </c>
      <c r="F28" s="136"/>
      <c r="G28" s="136"/>
      <c r="H28" s="136"/>
      <c r="I28" s="136"/>
      <c r="J28" s="137"/>
      <c r="K28" s="138"/>
      <c r="L28" s="136"/>
      <c r="M28" s="136"/>
      <c r="N28" s="136"/>
      <c r="O28" s="136"/>
      <c r="P28" s="139"/>
      <c r="Q28" s="140">
        <f>SUM(E28:P28)</f>
        <v>0</v>
      </c>
      <c r="R28" s="483"/>
      <c r="S28" s="69">
        <f>IFERROR(Q28/R27,"")</f>
        <v>0</v>
      </c>
    </row>
    <row r="29" spans="1:19">
      <c r="A29" s="464"/>
      <c r="B29" s="467"/>
      <c r="C29" s="450"/>
      <c r="D29" s="21" t="s">
        <v>17</v>
      </c>
      <c r="E29" s="11" t="e">
        <f>E28/E27</f>
        <v>#DIV/0!</v>
      </c>
      <c r="F29" s="4" t="e">
        <f t="shared" ref="F29:P29" si="10">F28/F27</f>
        <v>#DIV/0!</v>
      </c>
      <c r="G29" s="4" t="e">
        <f t="shared" si="10"/>
        <v>#DIV/0!</v>
      </c>
      <c r="H29" s="4">
        <f t="shared" si="10"/>
        <v>0</v>
      </c>
      <c r="I29" s="4">
        <f t="shared" si="10"/>
        <v>0</v>
      </c>
      <c r="J29" s="6">
        <f t="shared" si="10"/>
        <v>0</v>
      </c>
      <c r="K29" s="8">
        <f t="shared" si="10"/>
        <v>0</v>
      </c>
      <c r="L29" s="4">
        <f t="shared" si="10"/>
        <v>0</v>
      </c>
      <c r="M29" s="4">
        <f t="shared" si="10"/>
        <v>0</v>
      </c>
      <c r="N29" s="4">
        <f t="shared" si="10"/>
        <v>0</v>
      </c>
      <c r="O29" s="4">
        <f t="shared" si="10"/>
        <v>0</v>
      </c>
      <c r="P29" s="16">
        <f t="shared" si="10"/>
        <v>0</v>
      </c>
      <c r="Q29" s="26">
        <f t="shared" ref="Q29" si="11">Q28/Q27</f>
        <v>0</v>
      </c>
      <c r="R29" s="59"/>
      <c r="S29"/>
    </row>
    <row r="30" spans="1:19">
      <c r="A30" s="464"/>
      <c r="B30" s="467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>
        <f>SUM($E28:H28)/SUM($E27:H27)</f>
        <v>0</v>
      </c>
      <c r="I30" s="5">
        <f>SUM($E28:I28)/SUM($E27:I27)</f>
        <v>0</v>
      </c>
      <c r="J30" s="13">
        <f>SUM($E28:J28)/SUM($E27:J27)</f>
        <v>0</v>
      </c>
      <c r="K30" s="9">
        <f>SUM($E28:K28)/SUM($E27:K27)</f>
        <v>0</v>
      </c>
      <c r="L30" s="5">
        <f>SUM($E28:L28)/SUM($E27:L27)</f>
        <v>0</v>
      </c>
      <c r="M30" s="5">
        <f>SUM($E28:M28)/SUM($E27:M27)</f>
        <v>0</v>
      </c>
      <c r="N30" s="5">
        <f>SUM($E28:N28)/SUM($E27:N27)</f>
        <v>0</v>
      </c>
      <c r="O30" s="5">
        <f>SUM($E28:O28)/SUM($E27:O27)</f>
        <v>0</v>
      </c>
      <c r="P30" s="17">
        <f>SUM($E28:P28)/SUM($E27:P27)</f>
        <v>0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>
        <v>0</v>
      </c>
      <c r="F31" s="121">
        <v>0</v>
      </c>
      <c r="G31" s="121">
        <v>0</v>
      </c>
      <c r="H31" s="121">
        <f>500+1050</f>
        <v>1550</v>
      </c>
      <c r="I31" s="121">
        <v>1050</v>
      </c>
      <c r="J31" s="122">
        <v>1050</v>
      </c>
      <c r="K31" s="123">
        <f>500+1050</f>
        <v>1550</v>
      </c>
      <c r="L31" s="121">
        <v>1050</v>
      </c>
      <c r="M31" s="121">
        <f>500+1050</f>
        <v>1550</v>
      </c>
      <c r="N31" s="121">
        <v>1050</v>
      </c>
      <c r="O31" s="121">
        <f>500+1050</f>
        <v>1550</v>
      </c>
      <c r="P31" s="124">
        <f>210+1050</f>
        <v>1260</v>
      </c>
      <c r="Q31" s="125">
        <f>SUM(E31:P31)</f>
        <v>11660</v>
      </c>
      <c r="R31" s="482">
        <v>7</v>
      </c>
      <c r="S31" s="68">
        <f>IFERROR(Q31/R31,"")</f>
        <v>1665.7142857142858</v>
      </c>
    </row>
    <row r="32" spans="1:19">
      <c r="A32" s="464"/>
      <c r="B32" s="467"/>
      <c r="C32" s="470"/>
      <c r="D32" s="141" t="s">
        <v>14</v>
      </c>
      <c r="E32" s="147">
        <v>0</v>
      </c>
      <c r="F32" s="142"/>
      <c r="G32" s="142"/>
      <c r="H32" s="142"/>
      <c r="I32" s="142"/>
      <c r="J32" s="143"/>
      <c r="K32" s="144"/>
      <c r="L32" s="142"/>
      <c r="M32" s="142"/>
      <c r="N32" s="142"/>
      <c r="O32" s="142"/>
      <c r="P32" s="145"/>
      <c r="Q32" s="146">
        <f>SUM(E32:P32)</f>
        <v>0</v>
      </c>
      <c r="R32" s="488"/>
      <c r="S32" s="70">
        <f>IFERROR(Q32/R31,"")</f>
        <v>0</v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0</v>
      </c>
      <c r="F33" s="121">
        <f t="shared" ref="F33:P33" si="12">F27-F31</f>
        <v>0</v>
      </c>
      <c r="G33" s="121">
        <f t="shared" si="12"/>
        <v>0</v>
      </c>
      <c r="H33" s="121">
        <f t="shared" si="12"/>
        <v>350</v>
      </c>
      <c r="I33" s="121">
        <f t="shared" si="12"/>
        <v>650</v>
      </c>
      <c r="J33" s="122">
        <f t="shared" si="12"/>
        <v>650</v>
      </c>
      <c r="K33" s="123">
        <f t="shared" si="12"/>
        <v>350</v>
      </c>
      <c r="L33" s="121">
        <f t="shared" si="12"/>
        <v>650</v>
      </c>
      <c r="M33" s="121">
        <f t="shared" si="12"/>
        <v>350</v>
      </c>
      <c r="N33" s="121">
        <f t="shared" si="12"/>
        <v>650</v>
      </c>
      <c r="O33" s="121">
        <f t="shared" si="12"/>
        <v>350</v>
      </c>
      <c r="P33" s="124">
        <f t="shared" si="12"/>
        <v>740</v>
      </c>
      <c r="Q33" s="125">
        <f>SUM(E33:P33)</f>
        <v>4740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>
        <f>E28-E32</f>
        <v>0</v>
      </c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 t="str">
        <f>IFERROR(Q34/R33,"")</f>
        <v/>
      </c>
    </row>
    <row r="35" spans="1:19">
      <c r="A35" s="464"/>
      <c r="B35" s="467"/>
      <c r="C35" s="453"/>
      <c r="D35" s="21" t="s">
        <v>17</v>
      </c>
      <c r="E35" s="11" t="e">
        <f>E34/E33</f>
        <v>#DIV/0!</v>
      </c>
      <c r="F35" s="4" t="e">
        <f t="shared" ref="F35:P35" si="13">F34/F33</f>
        <v>#DIV/0!</v>
      </c>
      <c r="G35" s="4" t="e">
        <f t="shared" si="13"/>
        <v>#DIV/0!</v>
      </c>
      <c r="H35" s="4">
        <f t="shared" si="13"/>
        <v>0</v>
      </c>
      <c r="I35" s="4">
        <f t="shared" si="13"/>
        <v>0</v>
      </c>
      <c r="J35" s="6">
        <f t="shared" si="13"/>
        <v>0</v>
      </c>
      <c r="K35" s="8">
        <f t="shared" si="13"/>
        <v>0</v>
      </c>
      <c r="L35" s="4">
        <f t="shared" si="13"/>
        <v>0</v>
      </c>
      <c r="M35" s="4">
        <f t="shared" si="13"/>
        <v>0</v>
      </c>
      <c r="N35" s="4">
        <f t="shared" si="13"/>
        <v>0</v>
      </c>
      <c r="O35" s="4">
        <f t="shared" si="13"/>
        <v>0</v>
      </c>
      <c r="P35" s="16">
        <f t="shared" si="13"/>
        <v>0</v>
      </c>
      <c r="Q35" s="26">
        <f t="shared" ref="Q35" si="14">Q34/Q33</f>
        <v>0</v>
      </c>
    </row>
    <row r="36" spans="1:19" ht="19.5" thickBot="1">
      <c r="A36" s="465"/>
      <c r="B36" s="468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>
        <f>SUM($E34:H34)/SUM($E33:H33)</f>
        <v>0</v>
      </c>
      <c r="I36" s="7">
        <f>SUM($E34:I34)/SUM($E33:I33)</f>
        <v>0</v>
      </c>
      <c r="J36" s="15">
        <f>SUM($E34:J34)/SUM($E33:J33)</f>
        <v>0</v>
      </c>
      <c r="K36" s="10">
        <f>SUM($E34:K34)/SUM($E33:K33)</f>
        <v>0</v>
      </c>
      <c r="L36" s="7">
        <f>SUM($E34:L34)/SUM($E33:L33)</f>
        <v>0</v>
      </c>
      <c r="M36" s="7">
        <f>SUM($E34:M34)/SUM($E33:M33)</f>
        <v>0</v>
      </c>
      <c r="N36" s="7">
        <f>SUM($E34:N34)/SUM($E33:N33)</f>
        <v>0</v>
      </c>
      <c r="O36" s="7">
        <f>SUM($E34:O34)/SUM($E33:O33)</f>
        <v>0</v>
      </c>
      <c r="P36" s="18">
        <f>SUM($E34:P34)/SUM($E33:P33)</f>
        <v>0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899</v>
      </c>
      <c r="F37" s="128">
        <f t="shared" ref="F37:Q38" si="15">SUM(F7,F17,F27)</f>
        <v>760</v>
      </c>
      <c r="G37" s="129">
        <f t="shared" si="15"/>
        <v>1005</v>
      </c>
      <c r="H37" s="128">
        <f t="shared" si="15"/>
        <v>5260</v>
      </c>
      <c r="I37" s="128">
        <f t="shared" si="15"/>
        <v>4185</v>
      </c>
      <c r="J37" s="130">
        <f t="shared" si="15"/>
        <v>3890</v>
      </c>
      <c r="K37" s="127">
        <f t="shared" si="15"/>
        <v>2710</v>
      </c>
      <c r="L37" s="128">
        <f t="shared" si="15"/>
        <v>2761</v>
      </c>
      <c r="M37" s="129">
        <f t="shared" si="15"/>
        <v>4755</v>
      </c>
      <c r="N37" s="128">
        <f t="shared" si="15"/>
        <v>2850</v>
      </c>
      <c r="O37" s="128">
        <f t="shared" si="15"/>
        <v>3370</v>
      </c>
      <c r="P37" s="130">
        <f t="shared" si="15"/>
        <v>4115</v>
      </c>
      <c r="Q37" s="131">
        <f t="shared" si="15"/>
        <v>36560</v>
      </c>
      <c r="R37" s="482">
        <f>SUM(R7,R17,R27)</f>
        <v>14476</v>
      </c>
      <c r="S37" s="68">
        <f>IFERROR(Q37/R37,"")</f>
        <v>2.5255595468361425</v>
      </c>
    </row>
    <row r="38" spans="1:19" ht="19.5" thickBot="1">
      <c r="A38" s="19"/>
      <c r="B38" s="447"/>
      <c r="C38" s="450"/>
      <c r="D38" s="148" t="s">
        <v>14</v>
      </c>
      <c r="E38" s="135">
        <f>SUM(E8,E18,E28)</f>
        <v>898.87099999999998</v>
      </c>
      <c r="F38" s="136">
        <f t="shared" si="15"/>
        <v>0</v>
      </c>
      <c r="G38" s="139">
        <f t="shared" si="15"/>
        <v>0</v>
      </c>
      <c r="H38" s="136">
        <f t="shared" si="15"/>
        <v>0</v>
      </c>
      <c r="I38" s="136">
        <f t="shared" si="15"/>
        <v>0</v>
      </c>
      <c r="J38" s="137">
        <f t="shared" si="15"/>
        <v>0</v>
      </c>
      <c r="K38" s="135">
        <f t="shared" si="15"/>
        <v>0</v>
      </c>
      <c r="L38" s="136">
        <f t="shared" si="15"/>
        <v>0</v>
      </c>
      <c r="M38" s="139">
        <f t="shared" si="15"/>
        <v>0</v>
      </c>
      <c r="N38" s="136">
        <f t="shared" si="15"/>
        <v>0</v>
      </c>
      <c r="O38" s="136">
        <f t="shared" si="15"/>
        <v>0</v>
      </c>
      <c r="P38" s="137">
        <f t="shared" si="15"/>
        <v>0</v>
      </c>
      <c r="Q38" s="149">
        <f t="shared" si="15"/>
        <v>898.87099999999998</v>
      </c>
      <c r="R38" s="483"/>
      <c r="S38" s="69">
        <f>IFERROR(Q38/R37,"")</f>
        <v>6.209387952473059E-2</v>
      </c>
    </row>
    <row r="39" spans="1:19">
      <c r="A39" s="19"/>
      <c r="B39" s="447"/>
      <c r="C39" s="450"/>
      <c r="D39" s="24" t="s">
        <v>17</v>
      </c>
      <c r="E39" s="11">
        <f>E38/E37</f>
        <v>0.99985650723025576</v>
      </c>
      <c r="F39" s="4">
        <f t="shared" ref="F39:Q39" si="16">F38/F37</f>
        <v>0</v>
      </c>
      <c r="G39" s="16">
        <f t="shared" si="16"/>
        <v>0</v>
      </c>
      <c r="H39" s="4">
        <f t="shared" si="16"/>
        <v>0</v>
      </c>
      <c r="I39" s="4">
        <f t="shared" si="16"/>
        <v>0</v>
      </c>
      <c r="J39" s="6">
        <f t="shared" si="16"/>
        <v>0</v>
      </c>
      <c r="K39" s="11">
        <f t="shared" si="16"/>
        <v>0</v>
      </c>
      <c r="L39" s="4">
        <f t="shared" si="16"/>
        <v>0</v>
      </c>
      <c r="M39" s="16">
        <f t="shared" si="16"/>
        <v>0</v>
      </c>
      <c r="N39" s="4">
        <f t="shared" si="16"/>
        <v>0</v>
      </c>
      <c r="O39" s="4">
        <f t="shared" si="16"/>
        <v>0</v>
      </c>
      <c r="P39" s="6">
        <f t="shared" si="16"/>
        <v>0</v>
      </c>
      <c r="Q39" s="26">
        <f t="shared" si="16"/>
        <v>2.4586187089715536E-2</v>
      </c>
    </row>
    <row r="40" spans="1:19">
      <c r="A40" s="19"/>
      <c r="B40" s="447"/>
      <c r="C40" s="451"/>
      <c r="D40" s="25" t="s">
        <v>18</v>
      </c>
      <c r="E40" s="12">
        <f>SUM($E38:E38)/SUM($E37:E37)</f>
        <v>0.99985650723025576</v>
      </c>
      <c r="F40" s="5">
        <f>SUM($E38:F38)/SUM($E37:F37)</f>
        <v>0.5418149487643158</v>
      </c>
      <c r="G40" s="17">
        <f>SUM($E38:G38)/SUM($E37:G37)</f>
        <v>0.33741403903903905</v>
      </c>
      <c r="H40" s="5">
        <f>SUM($E38:H38)/SUM($E37:H37)</f>
        <v>0.11343652195860676</v>
      </c>
      <c r="I40" s="5">
        <f>SUM($E38:I38)/SUM($E37:I37)</f>
        <v>7.4231645883227351E-2</v>
      </c>
      <c r="J40" s="13">
        <f>SUM($E38:J38)/SUM($E37:J37)</f>
        <v>5.6182948934308391E-2</v>
      </c>
      <c r="K40" s="12">
        <f>SUM($E38:K38)/SUM($E37:K37)</f>
        <v>4.8044844727136674E-2</v>
      </c>
      <c r="L40" s="5">
        <f>SUM($E38:L38)/SUM($E37:L37)</f>
        <v>4.186637168141593E-2</v>
      </c>
      <c r="M40" s="17">
        <f>SUM($E38:M38)/SUM($E37:M37)</f>
        <v>3.4275347950428976E-2</v>
      </c>
      <c r="N40" s="5">
        <f>SUM($E38:N38)/SUM($E37:N37)</f>
        <v>3.0915597592433362E-2</v>
      </c>
      <c r="O40" s="5">
        <f>SUM($E38:O38)/SUM($E37:O37)</f>
        <v>2.7704453690861459E-2</v>
      </c>
      <c r="P40" s="13">
        <f>SUM($E38:P38)/SUM($E37:P37)</f>
        <v>2.4586187089715536E-2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209</v>
      </c>
      <c r="F41" s="114">
        <f t="shared" ref="F41:Q42" si="17">SUM(F13,F23,F33)</f>
        <v>185.40999999999994</v>
      </c>
      <c r="G41" s="117">
        <f t="shared" si="17"/>
        <v>242.08999999999992</v>
      </c>
      <c r="H41" s="114">
        <f t="shared" si="17"/>
        <v>1303.71</v>
      </c>
      <c r="I41" s="114">
        <f t="shared" si="17"/>
        <v>1444.3999999999999</v>
      </c>
      <c r="J41" s="115">
        <f t="shared" si="17"/>
        <v>1198.6199999999999</v>
      </c>
      <c r="K41" s="113">
        <f t="shared" si="17"/>
        <v>710.4</v>
      </c>
      <c r="L41" s="114">
        <f t="shared" si="17"/>
        <v>914.92</v>
      </c>
      <c r="M41" s="117">
        <f t="shared" si="17"/>
        <v>1070.3499999999999</v>
      </c>
      <c r="N41" s="114">
        <f t="shared" si="17"/>
        <v>939.72</v>
      </c>
      <c r="O41" s="114">
        <f t="shared" si="17"/>
        <v>720.04</v>
      </c>
      <c r="P41" s="115">
        <f t="shared" si="17"/>
        <v>1291.73</v>
      </c>
      <c r="Q41" s="133">
        <f t="shared" si="17"/>
        <v>10230.39</v>
      </c>
      <c r="R41" s="482">
        <f>SUM(R13,R23,R33)</f>
        <v>3961</v>
      </c>
      <c r="S41" s="68">
        <f>IFERROR(Q41/R41,"")</f>
        <v>2.5827796011108304</v>
      </c>
    </row>
    <row r="42" spans="1:19" ht="19.5" thickBot="1">
      <c r="A42" s="19"/>
      <c r="B42" s="447"/>
      <c r="C42" s="453"/>
      <c r="D42" s="148" t="s">
        <v>14</v>
      </c>
      <c r="E42" s="135">
        <f>SUM(E14,E24,E34)</f>
        <v>208.48131999999993</v>
      </c>
      <c r="F42" s="136">
        <f t="shared" si="17"/>
        <v>0</v>
      </c>
      <c r="G42" s="139">
        <f t="shared" si="17"/>
        <v>0</v>
      </c>
      <c r="H42" s="136">
        <f t="shared" si="17"/>
        <v>0</v>
      </c>
      <c r="I42" s="136">
        <f t="shared" si="17"/>
        <v>0</v>
      </c>
      <c r="J42" s="137">
        <f t="shared" si="17"/>
        <v>0</v>
      </c>
      <c r="K42" s="135">
        <f t="shared" si="17"/>
        <v>0</v>
      </c>
      <c r="L42" s="136">
        <f t="shared" si="17"/>
        <v>0</v>
      </c>
      <c r="M42" s="139">
        <f t="shared" si="17"/>
        <v>0</v>
      </c>
      <c r="N42" s="136">
        <f t="shared" si="17"/>
        <v>0</v>
      </c>
      <c r="O42" s="136">
        <f t="shared" si="17"/>
        <v>0</v>
      </c>
      <c r="P42" s="137">
        <f t="shared" si="17"/>
        <v>0</v>
      </c>
      <c r="Q42" s="149">
        <f t="shared" si="17"/>
        <v>208.48131999999993</v>
      </c>
      <c r="R42" s="483"/>
      <c r="S42" s="69">
        <f>IFERROR(Q42/R41,"")</f>
        <v>5.2633506690229724E-2</v>
      </c>
    </row>
    <row r="43" spans="1:19">
      <c r="A43" s="19"/>
      <c r="B43" s="447"/>
      <c r="C43" s="453"/>
      <c r="D43" s="24" t="s">
        <v>17</v>
      </c>
      <c r="E43" s="11">
        <f>E42/E41</f>
        <v>0.99751827751196132</v>
      </c>
      <c r="F43" s="4">
        <f t="shared" ref="F43:Q43" si="18">F42/F41</f>
        <v>0</v>
      </c>
      <c r="G43" s="16">
        <f t="shared" si="18"/>
        <v>0</v>
      </c>
      <c r="H43" s="4">
        <f t="shared" si="18"/>
        <v>0</v>
      </c>
      <c r="I43" s="4">
        <f t="shared" si="18"/>
        <v>0</v>
      </c>
      <c r="J43" s="6">
        <f t="shared" si="18"/>
        <v>0</v>
      </c>
      <c r="K43" s="11">
        <f t="shared" si="18"/>
        <v>0</v>
      </c>
      <c r="L43" s="4">
        <f t="shared" si="18"/>
        <v>0</v>
      </c>
      <c r="M43" s="16">
        <f t="shared" si="18"/>
        <v>0</v>
      </c>
      <c r="N43" s="4">
        <f t="shared" si="18"/>
        <v>0</v>
      </c>
      <c r="O43" s="4">
        <f t="shared" si="18"/>
        <v>0</v>
      </c>
      <c r="P43" s="6">
        <f t="shared" si="18"/>
        <v>0</v>
      </c>
      <c r="Q43" s="26">
        <f t="shared" si="18"/>
        <v>2.0378628771728149E-2</v>
      </c>
    </row>
    <row r="44" spans="1:19" ht="19.5" thickBot="1">
      <c r="A44" s="19"/>
      <c r="B44" s="448"/>
      <c r="C44" s="454"/>
      <c r="D44" s="30" t="s">
        <v>18</v>
      </c>
      <c r="E44" s="14">
        <f>SUM($E42:E42)/SUM($E41:E41)</f>
        <v>0.99751827751196132</v>
      </c>
      <c r="F44" s="7">
        <f>SUM($E42:F42)/SUM($E41:F41)</f>
        <v>0.52859035014325184</v>
      </c>
      <c r="G44" s="18">
        <f>SUM($E42:G42)/SUM($E41:G41)</f>
        <v>0.32754331500392769</v>
      </c>
      <c r="H44" s="7">
        <f>SUM($E42:H42)/SUM($E41:H41)</f>
        <v>0.10745296643146872</v>
      </c>
      <c r="I44" s="7">
        <f>SUM($E42:I42)/SUM($E41:I41)</f>
        <v>6.1596851631354851E-2</v>
      </c>
      <c r="J44" s="15">
        <f>SUM($E42:J42)/SUM($E41:J41)</f>
        <v>4.5487858999002873E-2</v>
      </c>
      <c r="K44" s="14">
        <f>SUM($E42:K42)/SUM($E41:K41)</f>
        <v>3.9383432540619566E-2</v>
      </c>
      <c r="L44" s="7">
        <f>SUM($E42:L42)/SUM($E41:L41)</f>
        <v>3.3579711848982445E-2</v>
      </c>
      <c r="M44" s="18">
        <f>SUM($E42:M42)/SUM($E41:M41)</f>
        <v>2.8641871711384954E-2</v>
      </c>
      <c r="N44" s="7">
        <f>SUM($E42:N42)/SUM($E41:N41)</f>
        <v>2.5366949682550106E-2</v>
      </c>
      <c r="O44" s="7">
        <f>SUM($E42:O42)/SUM($E41:O41)</f>
        <v>2.3323554089762888E-2</v>
      </c>
      <c r="P44" s="15">
        <f>SUM($E42:P42)/SUM($E41:P41)</f>
        <v>2.0378628771728149E-2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>
      <c r="A46" s="505" t="s">
        <v>31</v>
      </c>
      <c r="B46" s="506"/>
      <c r="C46" s="509" t="s">
        <v>23</v>
      </c>
      <c r="D46" s="510"/>
      <c r="E46" s="504" t="s">
        <v>19</v>
      </c>
      <c r="F46" s="502"/>
      <c r="G46" s="502"/>
      <c r="H46" s="502"/>
      <c r="I46" s="502"/>
      <c r="J46" s="503"/>
      <c r="K46" s="501" t="s">
        <v>20</v>
      </c>
      <c r="L46" s="502"/>
      <c r="M46" s="502"/>
      <c r="N46" s="502"/>
      <c r="O46" s="502"/>
      <c r="P46" s="503"/>
      <c r="Q46" s="29"/>
    </row>
    <row r="47" spans="1:19" ht="19.5" thickBot="1">
      <c r="A47" s="507"/>
      <c r="B47" s="508"/>
      <c r="C47" s="511"/>
      <c r="D47" s="512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73" t="s">
        <v>56</v>
      </c>
      <c r="F48" s="74" t="s">
        <v>57</v>
      </c>
      <c r="G48" s="74" t="s">
        <v>58</v>
      </c>
      <c r="H48" s="75" t="s">
        <v>59</v>
      </c>
      <c r="I48" s="75" t="s">
        <v>119</v>
      </c>
      <c r="J48" s="76" t="s">
        <v>119</v>
      </c>
      <c r="K48" s="77" t="s">
        <v>60</v>
      </c>
      <c r="L48" s="78" t="s">
        <v>120</v>
      </c>
      <c r="M48" s="79" t="s">
        <v>121</v>
      </c>
      <c r="N48" s="74" t="s">
        <v>61</v>
      </c>
      <c r="O48" s="74" t="s">
        <v>122</v>
      </c>
      <c r="P48" s="80" t="s">
        <v>123</v>
      </c>
    </row>
    <row r="49" spans="1:16" ht="39" customHeight="1">
      <c r="A49" s="441"/>
      <c r="B49" s="442"/>
      <c r="C49" s="523" t="str">
        <f>A7</f>
        <v>アパレル</v>
      </c>
      <c r="D49" s="81" t="s">
        <v>34</v>
      </c>
      <c r="E49" s="82" t="s">
        <v>62</v>
      </c>
      <c r="F49" s="83">
        <v>250</v>
      </c>
      <c r="G49" s="83" t="s">
        <v>62</v>
      </c>
      <c r="H49" s="83">
        <v>200</v>
      </c>
      <c r="I49" s="83">
        <v>750</v>
      </c>
      <c r="J49" s="84">
        <v>400</v>
      </c>
      <c r="K49" s="82" t="s">
        <v>62</v>
      </c>
      <c r="L49" s="83">
        <v>140</v>
      </c>
      <c r="M49" s="83">
        <v>800</v>
      </c>
      <c r="N49" s="83">
        <v>230</v>
      </c>
      <c r="O49" s="83">
        <v>350</v>
      </c>
      <c r="P49" s="84">
        <v>180</v>
      </c>
    </row>
    <row r="50" spans="1:16" ht="39" customHeight="1">
      <c r="A50" s="441"/>
      <c r="B50" s="442"/>
      <c r="C50" s="524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リバーレース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 t="s">
        <v>63</v>
      </c>
      <c r="F52" s="74" t="s">
        <v>63</v>
      </c>
      <c r="G52" s="78" t="s">
        <v>124</v>
      </c>
      <c r="H52" s="94" t="s">
        <v>125</v>
      </c>
      <c r="I52" s="74" t="s">
        <v>63</v>
      </c>
      <c r="J52" s="80" t="s">
        <v>63</v>
      </c>
      <c r="K52" s="93" t="s">
        <v>63</v>
      </c>
      <c r="L52" s="78" t="s">
        <v>126</v>
      </c>
      <c r="M52" s="78" t="s">
        <v>127</v>
      </c>
      <c r="N52" s="74" t="s">
        <v>63</v>
      </c>
      <c r="O52" s="74" t="s">
        <v>63</v>
      </c>
      <c r="P52" s="80" t="s">
        <v>63</v>
      </c>
    </row>
    <row r="53" spans="1:16" ht="39" customHeight="1">
      <c r="A53" s="441"/>
      <c r="B53" s="442"/>
      <c r="C53" s="523" t="str">
        <f>A17</f>
        <v>アパレル
(付属商社含む)</v>
      </c>
      <c r="D53" s="81" t="s">
        <v>34</v>
      </c>
      <c r="E53" s="82">
        <v>100</v>
      </c>
      <c r="F53" s="83">
        <v>100</v>
      </c>
      <c r="G53" s="83">
        <v>100</v>
      </c>
      <c r="H53" s="83">
        <v>750</v>
      </c>
      <c r="I53" s="83">
        <v>80</v>
      </c>
      <c r="J53" s="84">
        <v>300</v>
      </c>
      <c r="K53" s="82">
        <v>70</v>
      </c>
      <c r="L53" s="83">
        <v>200</v>
      </c>
      <c r="M53" s="83">
        <v>120</v>
      </c>
      <c r="N53" s="83">
        <v>130</v>
      </c>
      <c r="O53" s="83">
        <v>120</v>
      </c>
      <c r="P53" s="84">
        <v>250</v>
      </c>
    </row>
    <row r="54" spans="1:16" ht="39" customHeight="1">
      <c r="A54" s="441"/>
      <c r="B54" s="442"/>
      <c r="C54" s="524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リボン・テープ等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73" t="s">
        <v>64</v>
      </c>
      <c r="F56" s="74" t="s">
        <v>65</v>
      </c>
      <c r="G56" s="75" t="s">
        <v>66</v>
      </c>
      <c r="H56" s="74" t="s">
        <v>67</v>
      </c>
      <c r="I56" s="74" t="s">
        <v>65</v>
      </c>
      <c r="J56" s="80" t="s">
        <v>68</v>
      </c>
      <c r="K56" s="73" t="s">
        <v>69</v>
      </c>
      <c r="L56" s="94" t="s">
        <v>128</v>
      </c>
      <c r="M56" s="74" t="s">
        <v>65</v>
      </c>
      <c r="N56" s="74" t="s">
        <v>68</v>
      </c>
      <c r="O56" s="74" t="s">
        <v>67</v>
      </c>
      <c r="P56" s="80" t="s">
        <v>70</v>
      </c>
    </row>
    <row r="57" spans="1:16" ht="39" customHeight="1">
      <c r="A57" s="441"/>
      <c r="B57" s="442"/>
      <c r="C57" s="523" t="str">
        <f>A27</f>
        <v>インテリア
在庫処分
その他</v>
      </c>
      <c r="D57" s="81" t="s">
        <v>34</v>
      </c>
      <c r="E57" s="82" t="s">
        <v>71</v>
      </c>
      <c r="F57" s="83" t="s">
        <v>72</v>
      </c>
      <c r="G57" s="83" t="s">
        <v>73</v>
      </c>
      <c r="H57" s="83">
        <v>200</v>
      </c>
      <c r="I57" s="83" t="s">
        <v>73</v>
      </c>
      <c r="J57" s="83" t="s">
        <v>73</v>
      </c>
      <c r="K57" s="82">
        <v>200</v>
      </c>
      <c r="L57" s="83" t="s">
        <v>73</v>
      </c>
      <c r="M57" s="83" t="s">
        <v>73</v>
      </c>
      <c r="N57" s="83" t="s">
        <v>73</v>
      </c>
      <c r="O57" s="83">
        <v>200</v>
      </c>
      <c r="P57" s="84">
        <v>300</v>
      </c>
    </row>
    <row r="58" spans="1:16" ht="39" customHeight="1">
      <c r="A58" s="441"/>
      <c r="B58" s="442"/>
      <c r="C58" s="524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リバーレース
リボン・テープ等
↓
2024.9から
ﾊﾟﾌは松岡さん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FCDDF-968D-4B40-A4AC-2472C929A2B7}">
  <sheetPr codeName="Sheet5"/>
  <dimension ref="A1:S59"/>
  <sheetViews>
    <sheetView showGridLines="0" zoomScale="70" zoomScaleNormal="70" workbookViewId="0">
      <selection activeCell="S14" sqref="S14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515" t="s">
        <v>12</v>
      </c>
      <c r="B1" s="476" t="s">
        <v>42</v>
      </c>
      <c r="C1" s="518" t="s">
        <v>38</v>
      </c>
      <c r="D1" s="519"/>
      <c r="E1" s="520"/>
    </row>
    <row r="2" spans="1:19" ht="18.75" customHeight="1">
      <c r="A2" s="516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517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>
      <c r="H4" s="389" t="s">
        <v>291</v>
      </c>
    </row>
    <row r="5" spans="1:19" ht="19.5" customHeight="1" thickBot="1">
      <c r="A5" s="521" t="s">
        <v>30</v>
      </c>
      <c r="B5" s="522"/>
      <c r="C5" s="509" t="s">
        <v>23</v>
      </c>
      <c r="D5" s="510"/>
      <c r="E5" s="501" t="s">
        <v>19</v>
      </c>
      <c r="F5" s="502"/>
      <c r="G5" s="502"/>
      <c r="H5" s="502"/>
      <c r="I5" s="502"/>
      <c r="J5" s="503"/>
      <c r="K5" s="501" t="s">
        <v>20</v>
      </c>
      <c r="L5" s="502"/>
      <c r="M5" s="502"/>
      <c r="N5" s="502"/>
      <c r="O5" s="502"/>
      <c r="P5" s="503"/>
      <c r="Q5" s="513" t="s">
        <v>21</v>
      </c>
    </row>
    <row r="6" spans="1:19" ht="19.5" customHeight="1" thickBot="1">
      <c r="A6" s="58" t="s">
        <v>115</v>
      </c>
      <c r="B6" s="151" t="s">
        <v>148</v>
      </c>
      <c r="C6" s="511"/>
      <c r="D6" s="512"/>
      <c r="E6" s="215">
        <v>45444</v>
      </c>
      <c r="F6" s="216">
        <v>45474</v>
      </c>
      <c r="G6" s="216">
        <v>45505</v>
      </c>
      <c r="H6" s="216">
        <v>45536</v>
      </c>
      <c r="I6" s="216">
        <v>45566</v>
      </c>
      <c r="J6" s="217">
        <v>45597</v>
      </c>
      <c r="K6" s="218">
        <v>45627</v>
      </c>
      <c r="L6" s="216">
        <v>45658</v>
      </c>
      <c r="M6" s="216">
        <v>45689</v>
      </c>
      <c r="N6" s="216">
        <v>45717</v>
      </c>
      <c r="O6" s="216">
        <v>45748</v>
      </c>
      <c r="P6" s="219">
        <v>45778</v>
      </c>
      <c r="Q6" s="514"/>
      <c r="R6" s="154" t="s">
        <v>145</v>
      </c>
      <c r="S6" s="67" t="s">
        <v>146</v>
      </c>
    </row>
    <row r="7" spans="1:19">
      <c r="A7" s="464" t="s">
        <v>54</v>
      </c>
      <c r="B7" s="466" t="s">
        <v>100</v>
      </c>
      <c r="C7" s="450" t="s">
        <v>15</v>
      </c>
      <c r="D7" s="112" t="s">
        <v>13</v>
      </c>
      <c r="E7" s="113">
        <v>2020</v>
      </c>
      <c r="F7" s="114">
        <v>2020</v>
      </c>
      <c r="G7" s="114">
        <v>2020</v>
      </c>
      <c r="H7" s="114">
        <v>2020</v>
      </c>
      <c r="I7" s="114">
        <v>2020</v>
      </c>
      <c r="J7" s="115">
        <v>2020</v>
      </c>
      <c r="K7" s="116">
        <v>2020</v>
      </c>
      <c r="L7" s="114">
        <v>2020</v>
      </c>
      <c r="M7" s="114">
        <v>2020</v>
      </c>
      <c r="N7" s="114">
        <v>2020</v>
      </c>
      <c r="O7" s="114">
        <v>2020</v>
      </c>
      <c r="P7" s="117">
        <v>2020</v>
      </c>
      <c r="Q7" s="118">
        <f>SUM(E7:P7)</f>
        <v>24240</v>
      </c>
      <c r="R7" s="482">
        <v>23454</v>
      </c>
      <c r="S7" s="68">
        <f>IFERROR(Q7/R7,"")</f>
        <v>1.0335124072652853</v>
      </c>
    </row>
    <row r="8" spans="1:19" ht="19.5" thickBot="1">
      <c r="A8" s="464"/>
      <c r="B8" s="467"/>
      <c r="C8" s="450"/>
      <c r="D8" s="134" t="s">
        <v>14</v>
      </c>
      <c r="E8" s="135">
        <v>1113.5999999999999</v>
      </c>
      <c r="F8" s="136"/>
      <c r="G8" s="136"/>
      <c r="H8" s="136"/>
      <c r="I8" s="136"/>
      <c r="J8" s="137"/>
      <c r="K8" s="138"/>
      <c r="L8" s="136"/>
      <c r="M8" s="136"/>
      <c r="N8" s="136"/>
      <c r="O8" s="136"/>
      <c r="P8" s="139"/>
      <c r="Q8" s="140">
        <f>SUM(E8:P8)</f>
        <v>1113.5999999999999</v>
      </c>
      <c r="R8" s="483"/>
      <c r="S8" s="69">
        <f>IFERROR(Q8/R7,"")</f>
        <v>4.7480173957533893E-2</v>
      </c>
    </row>
    <row r="9" spans="1:19">
      <c r="A9" s="464"/>
      <c r="B9" s="467"/>
      <c r="C9" s="450"/>
      <c r="D9" s="21" t="s">
        <v>17</v>
      </c>
      <c r="E9" s="11">
        <f>E8/E7</f>
        <v>0.55128712871287122</v>
      </c>
      <c r="F9" s="4">
        <f t="shared" ref="F9:P9" si="0">F8/F7</f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6">
        <f t="shared" si="0"/>
        <v>0</v>
      </c>
      <c r="K9" s="8">
        <f t="shared" si="0"/>
        <v>0</v>
      </c>
      <c r="L9" s="4">
        <f t="shared" si="0"/>
        <v>0</v>
      </c>
      <c r="M9" s="4">
        <f t="shared" si="0"/>
        <v>0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>Q8/Q7</f>
        <v>4.594059405940594E-2</v>
      </c>
    </row>
    <row r="10" spans="1:19">
      <c r="A10" s="464"/>
      <c r="B10" s="467"/>
      <c r="C10" s="451"/>
      <c r="D10" s="22" t="s">
        <v>18</v>
      </c>
      <c r="E10" s="12">
        <f>SUM($E8:E8)/SUM($E7:E7)</f>
        <v>0.55128712871287122</v>
      </c>
      <c r="F10" s="5">
        <f>SUM($E8:F8)/SUM($E7:F7)</f>
        <v>0.27564356435643561</v>
      </c>
      <c r="G10" s="5">
        <f>SUM($E8:G8)/SUM($E7:G7)</f>
        <v>0.18376237623762376</v>
      </c>
      <c r="H10" s="5">
        <f>SUM($E8:H8)/SUM($E7:H7)</f>
        <v>0.13782178217821781</v>
      </c>
      <c r="I10" s="5">
        <f>SUM($E8:I8)/SUM($E7:I7)</f>
        <v>0.11025742574257424</v>
      </c>
      <c r="J10" s="13">
        <f>SUM($E8:J8)/SUM($E7:J7)</f>
        <v>9.188118811881188E-2</v>
      </c>
      <c r="K10" s="9">
        <f>SUM($E8:K8)/SUM($E7:K7)</f>
        <v>7.8755304101838744E-2</v>
      </c>
      <c r="L10" s="5">
        <f>SUM($E8:L8)/SUM($E7:L7)</f>
        <v>6.8910891089108903E-2</v>
      </c>
      <c r="M10" s="5">
        <f>SUM($E8:M8)/SUM($E7:M7)</f>
        <v>6.1254125412541251E-2</v>
      </c>
      <c r="N10" s="5">
        <f>SUM($E8:N8)/SUM($E7:N7)</f>
        <v>5.5128712871287122E-2</v>
      </c>
      <c r="O10" s="5">
        <f>SUM($E8:O8)/SUM($E7:O7)</f>
        <v>5.0117011701170111E-2</v>
      </c>
      <c r="P10" s="17">
        <f>SUM($E8:P8)/SUM($E7:P7)</f>
        <v>4.594059405940594E-2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1717</v>
      </c>
      <c r="F11" s="121">
        <v>1717</v>
      </c>
      <c r="G11" s="121">
        <v>1717</v>
      </c>
      <c r="H11" s="121">
        <v>1717</v>
      </c>
      <c r="I11" s="121">
        <v>1717</v>
      </c>
      <c r="J11" s="122">
        <v>1717</v>
      </c>
      <c r="K11" s="123">
        <v>1717</v>
      </c>
      <c r="L11" s="121">
        <v>1717</v>
      </c>
      <c r="M11" s="121">
        <v>1717</v>
      </c>
      <c r="N11" s="121">
        <v>1717</v>
      </c>
      <c r="O11" s="121">
        <v>1717</v>
      </c>
      <c r="P11" s="124">
        <v>1717</v>
      </c>
      <c r="Q11" s="125">
        <f>SUM(E11:P11)</f>
        <v>20604</v>
      </c>
      <c r="R11" s="482">
        <v>21816</v>
      </c>
      <c r="S11" s="68">
        <f>IFERROR(Q11/R11,"")</f>
        <v>0.94444444444444442</v>
      </c>
    </row>
    <row r="12" spans="1:19">
      <c r="A12" s="464"/>
      <c r="B12" s="467"/>
      <c r="C12" s="470"/>
      <c r="D12" s="141" t="s">
        <v>14</v>
      </c>
      <c r="E12" s="147">
        <f>E8-E14</f>
        <v>1026</v>
      </c>
      <c r="F12" s="142"/>
      <c r="G12" s="142"/>
      <c r="H12" s="142"/>
      <c r="I12" s="142"/>
      <c r="J12" s="143"/>
      <c r="K12" s="144"/>
      <c r="L12" s="142"/>
      <c r="M12" s="142"/>
      <c r="N12" s="142"/>
      <c r="O12" s="142"/>
      <c r="P12" s="145"/>
      <c r="Q12" s="146">
        <f>SUM(E12:P12)</f>
        <v>1026</v>
      </c>
      <c r="R12" s="488"/>
      <c r="S12" s="70">
        <f>IFERROR(Q12/R11,"")</f>
        <v>4.702970297029703E-2</v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303</v>
      </c>
      <c r="F13" s="121">
        <f t="shared" ref="F13:P13" si="1">F7-F11</f>
        <v>303</v>
      </c>
      <c r="G13" s="121">
        <f t="shared" si="1"/>
        <v>303</v>
      </c>
      <c r="H13" s="121">
        <f t="shared" si="1"/>
        <v>303</v>
      </c>
      <c r="I13" s="121">
        <f t="shared" si="1"/>
        <v>303</v>
      </c>
      <c r="J13" s="122">
        <f t="shared" si="1"/>
        <v>303</v>
      </c>
      <c r="K13" s="123">
        <f t="shared" si="1"/>
        <v>303</v>
      </c>
      <c r="L13" s="121">
        <f t="shared" si="1"/>
        <v>303</v>
      </c>
      <c r="M13" s="121">
        <f t="shared" si="1"/>
        <v>303</v>
      </c>
      <c r="N13" s="121">
        <f t="shared" si="1"/>
        <v>303</v>
      </c>
      <c r="O13" s="121">
        <f t="shared" si="1"/>
        <v>303</v>
      </c>
      <c r="P13" s="124">
        <f t="shared" si="1"/>
        <v>303</v>
      </c>
      <c r="Q13" s="125">
        <f>SUM(E13:P13)</f>
        <v>3636</v>
      </c>
      <c r="R13" s="482">
        <f>R7-R11</f>
        <v>1638</v>
      </c>
      <c r="S13" s="150">
        <f>IFERROR(Q13/R13,"")</f>
        <v>2.2197802197802199</v>
      </c>
    </row>
    <row r="14" spans="1:19" ht="19.5" thickBot="1">
      <c r="A14" s="464"/>
      <c r="B14" s="467"/>
      <c r="C14" s="453"/>
      <c r="D14" s="134" t="s">
        <v>14</v>
      </c>
      <c r="E14" s="135">
        <f>114.4-26.8</f>
        <v>87.600000000000009</v>
      </c>
      <c r="F14" s="136"/>
      <c r="G14" s="136"/>
      <c r="H14" s="136"/>
      <c r="I14" s="136"/>
      <c r="J14" s="137"/>
      <c r="K14" s="138"/>
      <c r="L14" s="136"/>
      <c r="M14" s="136"/>
      <c r="N14" s="136"/>
      <c r="O14" s="136"/>
      <c r="P14" s="139"/>
      <c r="Q14" s="140">
        <f>SUM(E14:P14)</f>
        <v>87.600000000000009</v>
      </c>
      <c r="R14" s="483"/>
      <c r="S14" s="69">
        <f>IFERROR(Q14/R13,"")</f>
        <v>5.3479853479853484E-2</v>
      </c>
    </row>
    <row r="15" spans="1:19">
      <c r="A15" s="464"/>
      <c r="B15" s="467"/>
      <c r="C15" s="453"/>
      <c r="D15" s="21" t="s">
        <v>17</v>
      </c>
      <c r="E15" s="11">
        <f>E14/E13</f>
        <v>0.28910891089108914</v>
      </c>
      <c r="F15" s="4">
        <f t="shared" ref="F15:P15" si="2">F14/F13</f>
        <v>0</v>
      </c>
      <c r="G15" s="4">
        <f t="shared" si="2"/>
        <v>0</v>
      </c>
      <c r="H15" s="4">
        <f t="shared" si="2"/>
        <v>0</v>
      </c>
      <c r="I15" s="4">
        <f t="shared" si="2"/>
        <v>0</v>
      </c>
      <c r="J15" s="6">
        <f t="shared" si="2"/>
        <v>0</v>
      </c>
      <c r="K15" s="8">
        <f t="shared" si="2"/>
        <v>0</v>
      </c>
      <c r="L15" s="4">
        <f t="shared" si="2"/>
        <v>0</v>
      </c>
      <c r="M15" s="4">
        <f t="shared" si="2"/>
        <v>0</v>
      </c>
      <c r="N15" s="4">
        <f t="shared" si="2"/>
        <v>0</v>
      </c>
      <c r="O15" s="4">
        <f t="shared" si="2"/>
        <v>0</v>
      </c>
      <c r="P15" s="16">
        <f t="shared" si="2"/>
        <v>0</v>
      </c>
      <c r="Q15" s="26">
        <f>Q14/Q13</f>
        <v>2.4092409240924095E-2</v>
      </c>
    </row>
    <row r="16" spans="1:19" ht="19.5" thickBot="1">
      <c r="A16" s="465"/>
      <c r="B16" s="468"/>
      <c r="C16" s="454"/>
      <c r="D16" s="23" t="s">
        <v>18</v>
      </c>
      <c r="E16" s="14">
        <f>SUM($E14:E14)/SUM($E13:E13)</f>
        <v>0.28910891089108914</v>
      </c>
      <c r="F16" s="7">
        <f>SUM($E14:F14)/SUM($E13:F13)</f>
        <v>0.14455445544554457</v>
      </c>
      <c r="G16" s="7">
        <f>SUM($E14:G14)/SUM($E13:G13)</f>
        <v>9.6369636963696381E-2</v>
      </c>
      <c r="H16" s="7">
        <f>SUM($E14:H14)/SUM($E13:H13)</f>
        <v>7.2277227722772286E-2</v>
      </c>
      <c r="I16" s="7">
        <f>SUM($E14:I14)/SUM($E13:I13)</f>
        <v>5.7821782178217825E-2</v>
      </c>
      <c r="J16" s="15">
        <f>SUM($E14:J14)/SUM($E13:J13)</f>
        <v>4.8184818481848191E-2</v>
      </c>
      <c r="K16" s="10">
        <f>SUM($E14:K14)/SUM($E13:K13)</f>
        <v>4.1301272984441306E-2</v>
      </c>
      <c r="L16" s="7">
        <f>SUM($E14:L14)/SUM($E13:L13)</f>
        <v>3.6138613861386143E-2</v>
      </c>
      <c r="M16" s="7">
        <f>SUM($E14:M14)/SUM($E13:M13)</f>
        <v>3.2123212321232129E-2</v>
      </c>
      <c r="N16" s="7">
        <f>SUM($E14:N14)/SUM($E13:N13)</f>
        <v>2.8910891089108912E-2</v>
      </c>
      <c r="O16" s="7">
        <f>SUM($E14:O14)/SUM($E13:O13)</f>
        <v>2.6282628262826284E-2</v>
      </c>
      <c r="P16" s="18">
        <f>SUM($E14:P14)/SUM($E13:P13)</f>
        <v>2.4092409240924095E-2</v>
      </c>
      <c r="Q16" s="28" t="s">
        <v>22</v>
      </c>
      <c r="R16" s="59"/>
      <c r="S16"/>
    </row>
    <row r="17" spans="1:19">
      <c r="A17" s="463" t="s">
        <v>150</v>
      </c>
      <c r="B17" s="466" t="s">
        <v>100</v>
      </c>
      <c r="C17" s="450" t="s">
        <v>15</v>
      </c>
      <c r="D17" s="112" t="s">
        <v>13</v>
      </c>
      <c r="E17" s="113">
        <v>5580</v>
      </c>
      <c r="F17" s="114">
        <v>5580</v>
      </c>
      <c r="G17" s="114">
        <v>5580</v>
      </c>
      <c r="H17" s="114">
        <v>5580</v>
      </c>
      <c r="I17" s="114">
        <v>5580</v>
      </c>
      <c r="J17" s="115">
        <v>5580</v>
      </c>
      <c r="K17" s="116">
        <v>5580</v>
      </c>
      <c r="L17" s="114">
        <v>5580</v>
      </c>
      <c r="M17" s="114">
        <v>5580</v>
      </c>
      <c r="N17" s="114">
        <v>5580</v>
      </c>
      <c r="O17" s="114">
        <v>5580</v>
      </c>
      <c r="P17" s="117">
        <v>5580</v>
      </c>
      <c r="Q17" s="118">
        <f>SUM(E17:P17)</f>
        <v>66960</v>
      </c>
      <c r="R17" s="482">
        <v>55946</v>
      </c>
      <c r="S17" s="68">
        <f>IFERROR(Q17/R17,"")</f>
        <v>1.1968684088227934</v>
      </c>
    </row>
    <row r="18" spans="1:19" ht="19.5" thickBot="1">
      <c r="A18" s="464"/>
      <c r="B18" s="467"/>
      <c r="C18" s="450"/>
      <c r="D18" s="134" t="s">
        <v>14</v>
      </c>
      <c r="E18" s="135">
        <v>4877.1000000000004</v>
      </c>
      <c r="F18" s="136"/>
      <c r="G18" s="136"/>
      <c r="H18" s="136"/>
      <c r="I18" s="136"/>
      <c r="J18" s="137"/>
      <c r="K18" s="138"/>
      <c r="L18" s="136"/>
      <c r="M18" s="136"/>
      <c r="N18" s="136"/>
      <c r="O18" s="136"/>
      <c r="P18" s="139"/>
      <c r="Q18" s="140">
        <f>SUM(E18:P18)</f>
        <v>4877.1000000000004</v>
      </c>
      <c r="R18" s="483"/>
      <c r="S18" s="69">
        <f>IFERROR(Q18/R17,"")</f>
        <v>8.7175133164122551E-2</v>
      </c>
    </row>
    <row r="19" spans="1:19">
      <c r="A19" s="464"/>
      <c r="B19" s="467"/>
      <c r="C19" s="450"/>
      <c r="D19" s="21" t="s">
        <v>17</v>
      </c>
      <c r="E19" s="11">
        <f>E18/E17</f>
        <v>0.87403225806451623</v>
      </c>
      <c r="F19" s="4">
        <f t="shared" ref="F19:Q19" si="3">F18/F17</f>
        <v>0</v>
      </c>
      <c r="G19" s="4">
        <f t="shared" si="3"/>
        <v>0</v>
      </c>
      <c r="H19" s="4">
        <f t="shared" si="3"/>
        <v>0</v>
      </c>
      <c r="I19" s="4">
        <f t="shared" si="3"/>
        <v>0</v>
      </c>
      <c r="J19" s="6">
        <f t="shared" si="3"/>
        <v>0</v>
      </c>
      <c r="K19" s="8">
        <f t="shared" si="3"/>
        <v>0</v>
      </c>
      <c r="L19" s="4">
        <f t="shared" si="3"/>
        <v>0</v>
      </c>
      <c r="M19" s="4">
        <f t="shared" si="3"/>
        <v>0</v>
      </c>
      <c r="N19" s="4">
        <f t="shared" si="3"/>
        <v>0</v>
      </c>
      <c r="O19" s="4">
        <f t="shared" si="3"/>
        <v>0</v>
      </c>
      <c r="P19" s="16">
        <f t="shared" si="3"/>
        <v>0</v>
      </c>
      <c r="Q19" s="26">
        <f t="shared" si="3"/>
        <v>7.2836021505376353E-2</v>
      </c>
      <c r="R19" s="59"/>
      <c r="S19"/>
    </row>
    <row r="20" spans="1:19">
      <c r="A20" s="464"/>
      <c r="B20" s="467"/>
      <c r="C20" s="451"/>
      <c r="D20" s="22" t="s">
        <v>18</v>
      </c>
      <c r="E20" s="12">
        <f>SUM($E18:E18)/SUM($E17:E17)</f>
        <v>0.87403225806451623</v>
      </c>
      <c r="F20" s="5">
        <f>SUM($E18:F18)/SUM($E17:F17)</f>
        <v>0.43701612903225812</v>
      </c>
      <c r="G20" s="5">
        <f>SUM($E18:G18)/SUM($E17:G17)</f>
        <v>0.29134408602150541</v>
      </c>
      <c r="H20" s="5">
        <f>SUM($E18:H18)/SUM($E17:H17)</f>
        <v>0.21850806451612906</v>
      </c>
      <c r="I20" s="5">
        <f>SUM($E18:I18)/SUM($E17:I17)</f>
        <v>0.17480645161290323</v>
      </c>
      <c r="J20" s="13">
        <f>SUM($E18:J18)/SUM($E17:J17)</f>
        <v>0.14567204301075271</v>
      </c>
      <c r="K20" s="9">
        <f>SUM($E18:K18)/SUM($E17:K17)</f>
        <v>0.12486175115207374</v>
      </c>
      <c r="L20" s="5">
        <f>SUM($E18:L18)/SUM($E17:L17)</f>
        <v>0.10925403225806453</v>
      </c>
      <c r="M20" s="5">
        <f>SUM($E18:M18)/SUM($E17:M17)</f>
        <v>9.7114695340501794E-2</v>
      </c>
      <c r="N20" s="5">
        <f>SUM($E18:N18)/SUM($E17:N17)</f>
        <v>8.7403225806451615E-2</v>
      </c>
      <c r="O20" s="5">
        <f>SUM($E18:O18)/SUM($E17:O17)</f>
        <v>7.9457478005865112E-2</v>
      </c>
      <c r="P20" s="17">
        <f>SUM($E18:P18)/SUM($E17:P17)</f>
        <v>7.2836021505376353E-2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4159</v>
      </c>
      <c r="F21" s="121">
        <v>4159</v>
      </c>
      <c r="G21" s="121">
        <v>4159</v>
      </c>
      <c r="H21" s="121">
        <v>4159</v>
      </c>
      <c r="I21" s="121">
        <v>4159</v>
      </c>
      <c r="J21" s="122">
        <v>4159</v>
      </c>
      <c r="K21" s="123">
        <v>4159</v>
      </c>
      <c r="L21" s="121">
        <v>4159</v>
      </c>
      <c r="M21" s="121">
        <v>4159</v>
      </c>
      <c r="N21" s="121">
        <v>4159</v>
      </c>
      <c r="O21" s="121">
        <v>4159</v>
      </c>
      <c r="P21" s="124">
        <v>4159</v>
      </c>
      <c r="Q21" s="125">
        <f>SUM(E21:P21)</f>
        <v>49908</v>
      </c>
      <c r="R21" s="482">
        <v>43134</v>
      </c>
      <c r="S21" s="68">
        <f>IFERROR(Q21/R21,"")</f>
        <v>1.1570454861594102</v>
      </c>
    </row>
    <row r="22" spans="1:19">
      <c r="A22" s="464"/>
      <c r="B22" s="467"/>
      <c r="C22" s="470"/>
      <c r="D22" s="141" t="s">
        <v>14</v>
      </c>
      <c r="E22" s="147">
        <f>E18-E24</f>
        <v>3755.5000000000005</v>
      </c>
      <c r="F22" s="142"/>
      <c r="G22" s="142"/>
      <c r="H22" s="142"/>
      <c r="I22" s="142"/>
      <c r="J22" s="143"/>
      <c r="K22" s="144"/>
      <c r="L22" s="142"/>
      <c r="M22" s="142"/>
      <c r="N22" s="142"/>
      <c r="O22" s="142"/>
      <c r="P22" s="145"/>
      <c r="Q22" s="146">
        <f>SUM(E22:P22)</f>
        <v>3755.5000000000005</v>
      </c>
      <c r="R22" s="488"/>
      <c r="S22" s="70">
        <f>IFERROR(Q22/R21,"")</f>
        <v>8.7065887698799097E-2</v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1421</v>
      </c>
      <c r="F23" s="121">
        <f t="shared" ref="F23:P23" si="4">F17-F21</f>
        <v>1421</v>
      </c>
      <c r="G23" s="121">
        <f t="shared" si="4"/>
        <v>1421</v>
      </c>
      <c r="H23" s="121">
        <f t="shared" si="4"/>
        <v>1421</v>
      </c>
      <c r="I23" s="121">
        <f t="shared" si="4"/>
        <v>1421</v>
      </c>
      <c r="J23" s="122">
        <f t="shared" si="4"/>
        <v>1421</v>
      </c>
      <c r="K23" s="123">
        <f t="shared" si="4"/>
        <v>1421</v>
      </c>
      <c r="L23" s="121">
        <f t="shared" si="4"/>
        <v>1421</v>
      </c>
      <c r="M23" s="121">
        <f t="shared" si="4"/>
        <v>1421</v>
      </c>
      <c r="N23" s="121">
        <f t="shared" si="4"/>
        <v>1421</v>
      </c>
      <c r="O23" s="121">
        <f t="shared" si="4"/>
        <v>1421</v>
      </c>
      <c r="P23" s="124">
        <f t="shared" si="4"/>
        <v>1421</v>
      </c>
      <c r="Q23" s="125">
        <f>SUM(E23:P23)</f>
        <v>17052</v>
      </c>
      <c r="R23" s="482">
        <f>R17-R21</f>
        <v>12812</v>
      </c>
      <c r="S23" s="150">
        <f>IFERROR(Q23/R23,"")</f>
        <v>1.3309397439900095</v>
      </c>
    </row>
    <row r="24" spans="1:19" ht="19.5" thickBot="1">
      <c r="A24" s="464"/>
      <c r="B24" s="467"/>
      <c r="C24" s="453"/>
      <c r="D24" s="134" t="s">
        <v>14</v>
      </c>
      <c r="E24" s="135">
        <f>1465.5-343.9</f>
        <v>1121.5999999999999</v>
      </c>
      <c r="F24" s="136"/>
      <c r="G24" s="136"/>
      <c r="H24" s="136"/>
      <c r="I24" s="136"/>
      <c r="J24" s="137"/>
      <c r="K24" s="138"/>
      <c r="L24" s="136"/>
      <c r="M24" s="136"/>
      <c r="N24" s="136"/>
      <c r="O24" s="136"/>
      <c r="P24" s="139"/>
      <c r="Q24" s="140">
        <f>SUM(E24:P24)</f>
        <v>1121.5999999999999</v>
      </c>
      <c r="R24" s="483"/>
      <c r="S24" s="69">
        <f>IFERROR(Q24/R23,"")</f>
        <v>8.7542928504526996E-2</v>
      </c>
    </row>
    <row r="25" spans="1:19">
      <c r="A25" s="464"/>
      <c r="B25" s="467"/>
      <c r="C25" s="453"/>
      <c r="D25" s="21" t="s">
        <v>17</v>
      </c>
      <c r="E25" s="11">
        <f>E24/E23</f>
        <v>0.7893033075299084</v>
      </c>
      <c r="F25" s="4">
        <f t="shared" ref="F25:Q25" si="5">F24/F23</f>
        <v>0</v>
      </c>
      <c r="G25" s="4">
        <f t="shared" si="5"/>
        <v>0</v>
      </c>
      <c r="H25" s="4">
        <f t="shared" si="5"/>
        <v>0</v>
      </c>
      <c r="I25" s="4">
        <f t="shared" si="5"/>
        <v>0</v>
      </c>
      <c r="J25" s="6">
        <f t="shared" si="5"/>
        <v>0</v>
      </c>
      <c r="K25" s="8">
        <f t="shared" si="5"/>
        <v>0</v>
      </c>
      <c r="L25" s="4">
        <f t="shared" si="5"/>
        <v>0</v>
      </c>
      <c r="M25" s="4">
        <f t="shared" si="5"/>
        <v>0</v>
      </c>
      <c r="N25" s="4">
        <f t="shared" si="5"/>
        <v>0</v>
      </c>
      <c r="O25" s="4">
        <f t="shared" si="5"/>
        <v>0</v>
      </c>
      <c r="P25" s="16">
        <f t="shared" si="5"/>
        <v>0</v>
      </c>
      <c r="Q25" s="26">
        <f t="shared" si="5"/>
        <v>6.5775275627492372E-2</v>
      </c>
    </row>
    <row r="26" spans="1:19" ht="19.5" thickBot="1">
      <c r="A26" s="465"/>
      <c r="B26" s="468"/>
      <c r="C26" s="454"/>
      <c r="D26" s="23" t="s">
        <v>18</v>
      </c>
      <c r="E26" s="14">
        <f>SUM($E24:E24)/SUM($E23:E23)</f>
        <v>0.7893033075299084</v>
      </c>
      <c r="F26" s="7">
        <f>SUM($E24:F24)/SUM($E23:F23)</f>
        <v>0.3946516537649542</v>
      </c>
      <c r="G26" s="7">
        <f>SUM($E24:G24)/SUM($E23:G23)</f>
        <v>0.26310110250996949</v>
      </c>
      <c r="H26" s="7">
        <f>SUM($E24:H24)/SUM($E23:H23)</f>
        <v>0.1973258268824771</v>
      </c>
      <c r="I26" s="7">
        <f>SUM($E24:I24)/SUM($E23:I23)</f>
        <v>0.15786066150598169</v>
      </c>
      <c r="J26" s="15">
        <f>SUM($E24:J24)/SUM($E23:J23)</f>
        <v>0.13155055125498474</v>
      </c>
      <c r="K26" s="10">
        <f>SUM($E24:K24)/SUM($E23:K23)</f>
        <v>0.11275761536141549</v>
      </c>
      <c r="L26" s="7">
        <f>SUM($E24:L24)/SUM($E23:L23)</f>
        <v>9.8662913441238551E-2</v>
      </c>
      <c r="M26" s="7">
        <f>SUM($E24:M24)/SUM($E23:M23)</f>
        <v>8.7700367503323162E-2</v>
      </c>
      <c r="N26" s="7">
        <f>SUM($E24:N24)/SUM($E23:N23)</f>
        <v>7.8930330752990843E-2</v>
      </c>
      <c r="O26" s="7">
        <f>SUM($E24:O24)/SUM($E23:O23)</f>
        <v>7.175484613908259E-2</v>
      </c>
      <c r="P26" s="18">
        <f>SUM($E24:P24)/SUM($E23:P23)</f>
        <v>6.5775275627492372E-2</v>
      </c>
      <c r="Q26" s="28" t="s">
        <v>22</v>
      </c>
      <c r="R26" s="59"/>
      <c r="S26"/>
    </row>
    <row r="27" spans="1:19">
      <c r="A27" s="463" t="s">
        <v>151</v>
      </c>
      <c r="B27" s="466" t="s">
        <v>289</v>
      </c>
      <c r="C27" s="450" t="s">
        <v>15</v>
      </c>
      <c r="D27" s="112" t="s">
        <v>13</v>
      </c>
      <c r="E27" s="113">
        <f>2860</f>
        <v>2860</v>
      </c>
      <c r="F27" s="114">
        <f>2860</f>
        <v>2860</v>
      </c>
      <c r="G27" s="114">
        <f>2860</f>
        <v>2860</v>
      </c>
      <c r="H27" s="114">
        <f t="shared" ref="H27:P27" si="6">2860-1700</f>
        <v>1160</v>
      </c>
      <c r="I27" s="114">
        <f t="shared" si="6"/>
        <v>1160</v>
      </c>
      <c r="J27" s="115">
        <f t="shared" si="6"/>
        <v>1160</v>
      </c>
      <c r="K27" s="116">
        <f t="shared" si="6"/>
        <v>1160</v>
      </c>
      <c r="L27" s="114">
        <f t="shared" si="6"/>
        <v>1160</v>
      </c>
      <c r="M27" s="114">
        <f t="shared" si="6"/>
        <v>1160</v>
      </c>
      <c r="N27" s="114">
        <f t="shared" si="6"/>
        <v>1160</v>
      </c>
      <c r="O27" s="114">
        <f t="shared" si="6"/>
        <v>1160</v>
      </c>
      <c r="P27" s="117">
        <f t="shared" si="6"/>
        <v>1160</v>
      </c>
      <c r="Q27" s="118">
        <f>SUM(E27:P27)</f>
        <v>19020</v>
      </c>
      <c r="R27" s="482">
        <v>20011</v>
      </c>
      <c r="S27" s="68">
        <f>IFERROR(Q27/R27,"")</f>
        <v>0.9504772375193643</v>
      </c>
    </row>
    <row r="28" spans="1:19" ht="19.5" thickBot="1">
      <c r="A28" s="464"/>
      <c r="B28" s="467"/>
      <c r="C28" s="450"/>
      <c r="D28" s="134" t="s">
        <v>14</v>
      </c>
      <c r="E28" s="135">
        <v>1428.4</v>
      </c>
      <c r="F28" s="136"/>
      <c r="G28" s="136"/>
      <c r="H28" s="136"/>
      <c r="I28" s="136"/>
      <c r="J28" s="137"/>
      <c r="K28" s="138"/>
      <c r="L28" s="136"/>
      <c r="M28" s="136"/>
      <c r="N28" s="136"/>
      <c r="O28" s="136"/>
      <c r="P28" s="139"/>
      <c r="Q28" s="140">
        <f>SUM(E28:P28)</f>
        <v>1428.4</v>
      </c>
      <c r="R28" s="483"/>
      <c r="S28" s="69">
        <f>IFERROR(Q28/R27,"")</f>
        <v>7.1380740592674033E-2</v>
      </c>
    </row>
    <row r="29" spans="1:19">
      <c r="A29" s="464"/>
      <c r="B29" s="467"/>
      <c r="C29" s="450"/>
      <c r="D29" s="21" t="s">
        <v>17</v>
      </c>
      <c r="E29" s="11">
        <f>E28/E27</f>
        <v>0.49944055944055948</v>
      </c>
      <c r="F29" s="4">
        <f t="shared" ref="F29:Q29" si="7">F28/F27</f>
        <v>0</v>
      </c>
      <c r="G29" s="4">
        <f t="shared" si="7"/>
        <v>0</v>
      </c>
      <c r="H29" s="4">
        <f t="shared" si="7"/>
        <v>0</v>
      </c>
      <c r="I29" s="4">
        <f t="shared" si="7"/>
        <v>0</v>
      </c>
      <c r="J29" s="6">
        <f t="shared" si="7"/>
        <v>0</v>
      </c>
      <c r="K29" s="8">
        <f t="shared" si="7"/>
        <v>0</v>
      </c>
      <c r="L29" s="4">
        <f t="shared" si="7"/>
        <v>0</v>
      </c>
      <c r="M29" s="4">
        <f t="shared" si="7"/>
        <v>0</v>
      </c>
      <c r="N29" s="4">
        <f t="shared" si="7"/>
        <v>0</v>
      </c>
      <c r="O29" s="4">
        <f t="shared" si="7"/>
        <v>0</v>
      </c>
      <c r="P29" s="16">
        <f t="shared" si="7"/>
        <v>0</v>
      </c>
      <c r="Q29" s="26">
        <f t="shared" si="7"/>
        <v>7.5099894847528922E-2</v>
      </c>
      <c r="R29" s="59"/>
      <c r="S29"/>
    </row>
    <row r="30" spans="1:19">
      <c r="A30" s="464"/>
      <c r="B30" s="467"/>
      <c r="C30" s="451"/>
      <c r="D30" s="22" t="s">
        <v>18</v>
      </c>
      <c r="E30" s="12">
        <f>SUM($E28:E28)/SUM($E27:E27)</f>
        <v>0.49944055944055948</v>
      </c>
      <c r="F30" s="5">
        <f>SUM($E28:F28)/SUM($E27:F27)</f>
        <v>0.24972027972027974</v>
      </c>
      <c r="G30" s="5">
        <f>SUM($E28:G28)/SUM($E27:G27)</f>
        <v>0.1664801864801865</v>
      </c>
      <c r="H30" s="5">
        <f>SUM($E28:H28)/SUM($E27:H27)</f>
        <v>0.14665297741273101</v>
      </c>
      <c r="I30" s="5">
        <f>SUM($E28:I28)/SUM($E27:I27)</f>
        <v>0.13104587155963304</v>
      </c>
      <c r="J30" s="13">
        <f>SUM($E28:J28)/SUM($E27:J27)</f>
        <v>0.11844112769485905</v>
      </c>
      <c r="K30" s="9">
        <f>SUM($E28:K28)/SUM($E27:K27)</f>
        <v>0.10804841149773071</v>
      </c>
      <c r="L30" s="5">
        <f>SUM($E28:L28)/SUM($E27:L27)</f>
        <v>9.9332406119610583E-2</v>
      </c>
      <c r="M30" s="5">
        <f>SUM($E28:M28)/SUM($E27:M27)</f>
        <v>9.1917631917631928E-2</v>
      </c>
      <c r="N30" s="5">
        <f>SUM($E28:N28)/SUM($E27:N27)</f>
        <v>8.5532934131736529E-2</v>
      </c>
      <c r="O30" s="5">
        <f>SUM($E28:O28)/SUM($E27:O27)</f>
        <v>7.9977603583426662E-2</v>
      </c>
      <c r="P30" s="17">
        <f>SUM($E28:P28)/SUM($E27:P27)</f>
        <v>7.5099894847528922E-2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>
        <f>1760</f>
        <v>1760</v>
      </c>
      <c r="F31" s="121">
        <f>1760</f>
        <v>1760</v>
      </c>
      <c r="G31" s="121">
        <f>1760</f>
        <v>1760</v>
      </c>
      <c r="H31" s="121">
        <f t="shared" ref="H31:P31" si="8">1760-1050</f>
        <v>710</v>
      </c>
      <c r="I31" s="121">
        <f t="shared" si="8"/>
        <v>710</v>
      </c>
      <c r="J31" s="122">
        <f t="shared" si="8"/>
        <v>710</v>
      </c>
      <c r="K31" s="123">
        <f t="shared" si="8"/>
        <v>710</v>
      </c>
      <c r="L31" s="121">
        <f t="shared" si="8"/>
        <v>710</v>
      </c>
      <c r="M31" s="121">
        <f t="shared" si="8"/>
        <v>710</v>
      </c>
      <c r="N31" s="121">
        <f t="shared" si="8"/>
        <v>710</v>
      </c>
      <c r="O31" s="121">
        <f t="shared" si="8"/>
        <v>710</v>
      </c>
      <c r="P31" s="124">
        <f t="shared" si="8"/>
        <v>710</v>
      </c>
      <c r="Q31" s="125">
        <f>SUM(E31:P31)</f>
        <v>11670</v>
      </c>
      <c r="R31" s="482">
        <v>12639</v>
      </c>
      <c r="S31" s="68">
        <f>IFERROR(Q31/R31,"")</f>
        <v>0.92333254213149774</v>
      </c>
    </row>
    <row r="32" spans="1:19">
      <c r="A32" s="464"/>
      <c r="B32" s="467"/>
      <c r="C32" s="470"/>
      <c r="D32" s="141" t="s">
        <v>14</v>
      </c>
      <c r="E32" s="147">
        <f>E28-E34</f>
        <v>895.7</v>
      </c>
      <c r="F32" s="142"/>
      <c r="G32" s="142"/>
      <c r="H32" s="142"/>
      <c r="I32" s="142"/>
      <c r="J32" s="143"/>
      <c r="K32" s="144"/>
      <c r="L32" s="142"/>
      <c r="M32" s="142"/>
      <c r="N32" s="142"/>
      <c r="O32" s="142"/>
      <c r="P32" s="145"/>
      <c r="Q32" s="146">
        <f>SUM(E32:P32)</f>
        <v>895.7</v>
      </c>
      <c r="R32" s="488"/>
      <c r="S32" s="70">
        <f>IFERROR(Q32/R31,"")</f>
        <v>7.0867948413640316E-2</v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1100</v>
      </c>
      <c r="F33" s="121">
        <f t="shared" ref="F33:P33" si="9">F27-F31</f>
        <v>1100</v>
      </c>
      <c r="G33" s="121">
        <f t="shared" si="9"/>
        <v>1100</v>
      </c>
      <c r="H33" s="121">
        <f t="shared" si="9"/>
        <v>450</v>
      </c>
      <c r="I33" s="121">
        <f t="shared" si="9"/>
        <v>450</v>
      </c>
      <c r="J33" s="122">
        <f t="shared" si="9"/>
        <v>450</v>
      </c>
      <c r="K33" s="123">
        <f t="shared" si="9"/>
        <v>450</v>
      </c>
      <c r="L33" s="121">
        <f t="shared" si="9"/>
        <v>450</v>
      </c>
      <c r="M33" s="121">
        <f t="shared" si="9"/>
        <v>450</v>
      </c>
      <c r="N33" s="121">
        <f t="shared" si="9"/>
        <v>450</v>
      </c>
      <c r="O33" s="121">
        <f t="shared" si="9"/>
        <v>450</v>
      </c>
      <c r="P33" s="124">
        <f t="shared" si="9"/>
        <v>450</v>
      </c>
      <c r="Q33" s="125">
        <f>SUM(E33:P33)</f>
        <v>7350</v>
      </c>
      <c r="R33" s="482">
        <f>R27-R31</f>
        <v>7372</v>
      </c>
      <c r="S33" s="150">
        <f>IFERROR(Q33/R33,"")</f>
        <v>0.99701573521432452</v>
      </c>
    </row>
    <row r="34" spans="1:19" ht="19.5" thickBot="1">
      <c r="A34" s="464"/>
      <c r="B34" s="467"/>
      <c r="C34" s="453"/>
      <c r="D34" s="134" t="s">
        <v>14</v>
      </c>
      <c r="E34" s="135">
        <f>696-163.3</f>
        <v>532.70000000000005</v>
      </c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532.70000000000005</v>
      </c>
      <c r="R34" s="483"/>
      <c r="S34" s="69">
        <f>IFERROR(Q34/R33,"")</f>
        <v>7.2259902333152479E-2</v>
      </c>
    </row>
    <row r="35" spans="1:19">
      <c r="A35" s="464"/>
      <c r="B35" s="467"/>
      <c r="C35" s="453"/>
      <c r="D35" s="21" t="s">
        <v>17</v>
      </c>
      <c r="E35" s="11">
        <f>E34/E33</f>
        <v>0.4842727272727273</v>
      </c>
      <c r="F35" s="4">
        <f t="shared" ref="F35:Q35" si="10">F34/F33</f>
        <v>0</v>
      </c>
      <c r="G35" s="4">
        <f t="shared" si="10"/>
        <v>0</v>
      </c>
      <c r="H35" s="4">
        <f t="shared" si="10"/>
        <v>0</v>
      </c>
      <c r="I35" s="4">
        <f t="shared" si="10"/>
        <v>0</v>
      </c>
      <c r="J35" s="6">
        <f t="shared" si="10"/>
        <v>0</v>
      </c>
      <c r="K35" s="8">
        <f t="shared" si="10"/>
        <v>0</v>
      </c>
      <c r="L35" s="4">
        <f t="shared" si="10"/>
        <v>0</v>
      </c>
      <c r="M35" s="4">
        <f t="shared" si="10"/>
        <v>0</v>
      </c>
      <c r="N35" s="4">
        <f t="shared" si="10"/>
        <v>0</v>
      </c>
      <c r="O35" s="4">
        <f t="shared" si="10"/>
        <v>0</v>
      </c>
      <c r="P35" s="16">
        <f t="shared" si="10"/>
        <v>0</v>
      </c>
      <c r="Q35" s="26">
        <f t="shared" si="10"/>
        <v>7.2476190476190486E-2</v>
      </c>
    </row>
    <row r="36" spans="1:19" ht="19.5" thickBot="1">
      <c r="A36" s="465"/>
      <c r="B36" s="468"/>
      <c r="C36" s="454"/>
      <c r="D36" s="23" t="s">
        <v>18</v>
      </c>
      <c r="E36" s="14">
        <f>SUM($E34:E34)/SUM($E33:E33)</f>
        <v>0.4842727272727273</v>
      </c>
      <c r="F36" s="7">
        <f>SUM($E34:F34)/SUM($E33:F33)</f>
        <v>0.24213636363636365</v>
      </c>
      <c r="G36" s="7">
        <f>SUM($E34:G34)/SUM($E33:G33)</f>
        <v>0.16142424242424244</v>
      </c>
      <c r="H36" s="7">
        <f>SUM($E34:H34)/SUM($E33:H33)</f>
        <v>0.14205333333333334</v>
      </c>
      <c r="I36" s="7">
        <f>SUM($E34:I34)/SUM($E33:I33)</f>
        <v>0.12683333333333335</v>
      </c>
      <c r="J36" s="15">
        <f>SUM($E34:J34)/SUM($E33:J33)</f>
        <v>0.11455913978494625</v>
      </c>
      <c r="K36" s="10">
        <f>SUM($E34:K34)/SUM($E33:K33)</f>
        <v>0.10445098039215688</v>
      </c>
      <c r="L36" s="7">
        <f>SUM($E34:L34)/SUM($E33:L33)</f>
        <v>9.598198198198199E-2</v>
      </c>
      <c r="M36" s="7">
        <f>SUM($E34:M34)/SUM($E33:M33)</f>
        <v>8.8783333333333339E-2</v>
      </c>
      <c r="N36" s="7">
        <f>SUM($E34:N34)/SUM($E33:N33)</f>
        <v>8.2589147286821707E-2</v>
      </c>
      <c r="O36" s="7">
        <f>SUM($E34:O34)/SUM($E33:O33)</f>
        <v>7.7202898550724638E-2</v>
      </c>
      <c r="P36" s="18">
        <f>SUM($E34:P34)/SUM($E33:P33)</f>
        <v>7.2476190476190486E-2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10460</v>
      </c>
      <c r="F37" s="128">
        <f t="shared" ref="F37:Q38" si="11">SUM(F7,F17,F27)</f>
        <v>10460</v>
      </c>
      <c r="G37" s="129">
        <f t="shared" si="11"/>
        <v>10460</v>
      </c>
      <c r="H37" s="128">
        <f t="shared" si="11"/>
        <v>8760</v>
      </c>
      <c r="I37" s="128">
        <f t="shared" si="11"/>
        <v>8760</v>
      </c>
      <c r="J37" s="130">
        <f t="shared" si="11"/>
        <v>8760</v>
      </c>
      <c r="K37" s="127">
        <f t="shared" si="11"/>
        <v>8760</v>
      </c>
      <c r="L37" s="128">
        <f t="shared" si="11"/>
        <v>8760</v>
      </c>
      <c r="M37" s="129">
        <f t="shared" si="11"/>
        <v>8760</v>
      </c>
      <c r="N37" s="128">
        <f t="shared" si="11"/>
        <v>8760</v>
      </c>
      <c r="O37" s="128">
        <f t="shared" si="11"/>
        <v>8760</v>
      </c>
      <c r="P37" s="130">
        <f t="shared" si="11"/>
        <v>8760</v>
      </c>
      <c r="Q37" s="131">
        <f t="shared" si="11"/>
        <v>110220</v>
      </c>
      <c r="R37" s="482">
        <f>SUM(R7,R17,R27)</f>
        <v>99411</v>
      </c>
      <c r="S37" s="68">
        <f>IFERROR(Q37/R37,"")</f>
        <v>1.1087304221866796</v>
      </c>
    </row>
    <row r="38" spans="1:19" ht="19.5" thickBot="1">
      <c r="A38" s="19"/>
      <c r="B38" s="447"/>
      <c r="C38" s="450"/>
      <c r="D38" s="148" t="s">
        <v>14</v>
      </c>
      <c r="E38" s="135">
        <f>SUM(E8,E18,E28)</f>
        <v>7419.1</v>
      </c>
      <c r="F38" s="136">
        <f t="shared" si="11"/>
        <v>0</v>
      </c>
      <c r="G38" s="139">
        <f t="shared" si="11"/>
        <v>0</v>
      </c>
      <c r="H38" s="136">
        <f t="shared" si="11"/>
        <v>0</v>
      </c>
      <c r="I38" s="136">
        <f t="shared" si="11"/>
        <v>0</v>
      </c>
      <c r="J38" s="137">
        <f t="shared" si="11"/>
        <v>0</v>
      </c>
      <c r="K38" s="135">
        <f t="shared" si="11"/>
        <v>0</v>
      </c>
      <c r="L38" s="136">
        <f t="shared" si="11"/>
        <v>0</v>
      </c>
      <c r="M38" s="139">
        <f t="shared" si="11"/>
        <v>0</v>
      </c>
      <c r="N38" s="136">
        <f t="shared" si="11"/>
        <v>0</v>
      </c>
      <c r="O38" s="136">
        <f t="shared" si="11"/>
        <v>0</v>
      </c>
      <c r="P38" s="137">
        <f t="shared" si="11"/>
        <v>0</v>
      </c>
      <c r="Q38" s="149">
        <f t="shared" si="11"/>
        <v>7419.1</v>
      </c>
      <c r="R38" s="483"/>
      <c r="S38" s="69">
        <f>IFERROR(Q38/R37,"")</f>
        <v>7.4630574081339093E-2</v>
      </c>
    </row>
    <row r="39" spans="1:19">
      <c r="A39" s="19"/>
      <c r="B39" s="447"/>
      <c r="C39" s="450"/>
      <c r="D39" s="24" t="s">
        <v>17</v>
      </c>
      <c r="E39" s="11">
        <f>E38/E37</f>
        <v>0.70928298279158708</v>
      </c>
      <c r="F39" s="4">
        <f t="shared" ref="F39:Q39" si="12">F38/F37</f>
        <v>0</v>
      </c>
      <c r="G39" s="16">
        <f t="shared" si="12"/>
        <v>0</v>
      </c>
      <c r="H39" s="4">
        <f t="shared" si="12"/>
        <v>0</v>
      </c>
      <c r="I39" s="4">
        <f t="shared" si="12"/>
        <v>0</v>
      </c>
      <c r="J39" s="6">
        <f t="shared" si="12"/>
        <v>0</v>
      </c>
      <c r="K39" s="11">
        <f t="shared" si="12"/>
        <v>0</v>
      </c>
      <c r="L39" s="4">
        <f t="shared" si="12"/>
        <v>0</v>
      </c>
      <c r="M39" s="16">
        <f t="shared" si="12"/>
        <v>0</v>
      </c>
      <c r="N39" s="4">
        <f t="shared" si="12"/>
        <v>0</v>
      </c>
      <c r="O39" s="4">
        <f t="shared" si="12"/>
        <v>0</v>
      </c>
      <c r="P39" s="6">
        <f t="shared" si="12"/>
        <v>0</v>
      </c>
      <c r="Q39" s="26">
        <f t="shared" si="12"/>
        <v>6.7311740156051542E-2</v>
      </c>
    </row>
    <row r="40" spans="1:19">
      <c r="A40" s="19"/>
      <c r="B40" s="447"/>
      <c r="C40" s="451"/>
      <c r="D40" s="25" t="s">
        <v>18</v>
      </c>
      <c r="E40" s="12">
        <f>SUM($E38:E38)/SUM($E37:E37)</f>
        <v>0.70928298279158708</v>
      </c>
      <c r="F40" s="5">
        <f>SUM($E38:F38)/SUM($E37:F37)</f>
        <v>0.35464149139579354</v>
      </c>
      <c r="G40" s="17">
        <f>SUM($E38:G38)/SUM($E37:G37)</f>
        <v>0.236427660930529</v>
      </c>
      <c r="H40" s="5">
        <f>SUM($E38:H38)/SUM($E37:H37)</f>
        <v>0.18483059292476334</v>
      </c>
      <c r="I40" s="5">
        <f>SUM($E38:I38)/SUM($E37:I37)</f>
        <v>0.15171983640081801</v>
      </c>
      <c r="J40" s="13">
        <f>SUM($E38:J38)/SUM($E37:J37)</f>
        <v>0.12866978841484566</v>
      </c>
      <c r="K40" s="12">
        <f>SUM($E38:K38)/SUM($E37:K37)</f>
        <v>0.11169978922011443</v>
      </c>
      <c r="L40" s="5">
        <f>SUM($E38:L38)/SUM($E37:L37)</f>
        <v>9.8684490555998941E-2</v>
      </c>
      <c r="M40" s="17">
        <f>SUM($E38:M38)/SUM($E37:M37)</f>
        <v>8.8385751727424355E-2</v>
      </c>
      <c r="N40" s="5">
        <f>SUM($E38:N38)/SUM($E37:N37)</f>
        <v>8.0033441208198497E-2</v>
      </c>
      <c r="O40" s="5">
        <f>SUM($E38:O38)/SUM($E37:O37)</f>
        <v>7.312339838359945E-2</v>
      </c>
      <c r="P40" s="13">
        <f>SUM($E38:P38)/SUM($E37:P37)</f>
        <v>6.7311740156051542E-2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2824</v>
      </c>
      <c r="F41" s="114">
        <f t="shared" ref="F41:Q42" si="13">SUM(F13,F23,F33)</f>
        <v>2824</v>
      </c>
      <c r="G41" s="117">
        <f t="shared" si="13"/>
        <v>2824</v>
      </c>
      <c r="H41" s="114">
        <f t="shared" si="13"/>
        <v>2174</v>
      </c>
      <c r="I41" s="114">
        <f t="shared" si="13"/>
        <v>2174</v>
      </c>
      <c r="J41" s="115">
        <f t="shared" si="13"/>
        <v>2174</v>
      </c>
      <c r="K41" s="113">
        <f t="shared" si="13"/>
        <v>2174</v>
      </c>
      <c r="L41" s="114">
        <f t="shared" si="13"/>
        <v>2174</v>
      </c>
      <c r="M41" s="117">
        <f t="shared" si="13"/>
        <v>2174</v>
      </c>
      <c r="N41" s="114">
        <f t="shared" si="13"/>
        <v>2174</v>
      </c>
      <c r="O41" s="114">
        <f t="shared" si="13"/>
        <v>2174</v>
      </c>
      <c r="P41" s="115">
        <f t="shared" si="13"/>
        <v>2174</v>
      </c>
      <c r="Q41" s="133">
        <f t="shared" si="13"/>
        <v>28038</v>
      </c>
      <c r="R41" s="482">
        <f>SUM(R13,R23,R33)</f>
        <v>21822</v>
      </c>
      <c r="S41" s="68">
        <f>IFERROR(Q41/R41,"")</f>
        <v>1.284850151223536</v>
      </c>
    </row>
    <row r="42" spans="1:19" ht="19.5" thickBot="1">
      <c r="A42" s="19"/>
      <c r="B42" s="447"/>
      <c r="C42" s="453"/>
      <c r="D42" s="148" t="s">
        <v>14</v>
      </c>
      <c r="E42" s="135">
        <f>SUM(E14,E24,E34)</f>
        <v>1741.8999999999999</v>
      </c>
      <c r="F42" s="136">
        <f t="shared" si="13"/>
        <v>0</v>
      </c>
      <c r="G42" s="139">
        <f t="shared" si="13"/>
        <v>0</v>
      </c>
      <c r="H42" s="136">
        <f t="shared" si="13"/>
        <v>0</v>
      </c>
      <c r="I42" s="136">
        <f t="shared" si="13"/>
        <v>0</v>
      </c>
      <c r="J42" s="137">
        <f t="shared" si="13"/>
        <v>0</v>
      </c>
      <c r="K42" s="135">
        <f t="shared" si="13"/>
        <v>0</v>
      </c>
      <c r="L42" s="136">
        <f t="shared" si="13"/>
        <v>0</v>
      </c>
      <c r="M42" s="139">
        <f t="shared" si="13"/>
        <v>0</v>
      </c>
      <c r="N42" s="136">
        <f t="shared" si="13"/>
        <v>0</v>
      </c>
      <c r="O42" s="136">
        <f t="shared" si="13"/>
        <v>0</v>
      </c>
      <c r="P42" s="137">
        <f t="shared" si="13"/>
        <v>0</v>
      </c>
      <c r="Q42" s="149">
        <f t="shared" si="13"/>
        <v>1741.8999999999999</v>
      </c>
      <c r="R42" s="483"/>
      <c r="S42" s="69">
        <f>IFERROR(Q42/R41,"")</f>
        <v>7.9823114288332872E-2</v>
      </c>
    </row>
    <row r="43" spans="1:19">
      <c r="A43" s="19"/>
      <c r="B43" s="447"/>
      <c r="C43" s="453"/>
      <c r="D43" s="24" t="s">
        <v>17</v>
      </c>
      <c r="E43" s="11">
        <f>E42/E41</f>
        <v>0.61682011331444753</v>
      </c>
      <c r="F43" s="4">
        <f t="shared" ref="F43:Q43" si="14">F42/F41</f>
        <v>0</v>
      </c>
      <c r="G43" s="16">
        <f t="shared" si="14"/>
        <v>0</v>
      </c>
      <c r="H43" s="4">
        <f t="shared" si="14"/>
        <v>0</v>
      </c>
      <c r="I43" s="4">
        <f t="shared" si="14"/>
        <v>0</v>
      </c>
      <c r="J43" s="6">
        <f t="shared" si="14"/>
        <v>0</v>
      </c>
      <c r="K43" s="11">
        <f t="shared" si="14"/>
        <v>0</v>
      </c>
      <c r="L43" s="4">
        <f t="shared" si="14"/>
        <v>0</v>
      </c>
      <c r="M43" s="16">
        <f t="shared" si="14"/>
        <v>0</v>
      </c>
      <c r="N43" s="4">
        <f t="shared" si="14"/>
        <v>0</v>
      </c>
      <c r="O43" s="4">
        <f t="shared" si="14"/>
        <v>0</v>
      </c>
      <c r="P43" s="6">
        <f t="shared" si="14"/>
        <v>0</v>
      </c>
      <c r="Q43" s="26">
        <f t="shared" si="14"/>
        <v>6.2126399885869175E-2</v>
      </c>
    </row>
    <row r="44" spans="1:19" ht="19.5" thickBot="1">
      <c r="A44" s="19"/>
      <c r="B44" s="448"/>
      <c r="C44" s="454"/>
      <c r="D44" s="30" t="s">
        <v>18</v>
      </c>
      <c r="E44" s="14">
        <f>SUM($E42:E42)/SUM($E41:E41)</f>
        <v>0.61682011331444753</v>
      </c>
      <c r="F44" s="7">
        <f>SUM($E42:F42)/SUM($E41:F41)</f>
        <v>0.30841005665722376</v>
      </c>
      <c r="G44" s="18">
        <f>SUM($E42:G42)/SUM($E41:G41)</f>
        <v>0.20560670443814918</v>
      </c>
      <c r="H44" s="7">
        <f>SUM($E42:H42)/SUM($E41:H41)</f>
        <v>0.16362013901934999</v>
      </c>
      <c r="I44" s="7">
        <f>SUM($E42:I42)/SUM($E41:I41)</f>
        <v>0.13587363494539781</v>
      </c>
      <c r="J44" s="15">
        <f>SUM($E42:J42)/SUM($E41:J41)</f>
        <v>0.11617313592103508</v>
      </c>
      <c r="K44" s="14">
        <f>SUM($E42:K42)/SUM($E41:K41)</f>
        <v>0.10146202236719477</v>
      </c>
      <c r="L44" s="7">
        <f>SUM($E42:L42)/SUM($E41:L41)</f>
        <v>9.0057905077034428E-2</v>
      </c>
      <c r="M44" s="18">
        <f>SUM($E42:M42)/SUM($E41:M41)</f>
        <v>8.0958356571853504E-2</v>
      </c>
      <c r="N44" s="7">
        <f>SUM($E42:N42)/SUM($E41:N41)</f>
        <v>7.3528915154073449E-2</v>
      </c>
      <c r="O44" s="7">
        <f>SUM($E42:O42)/SUM($E41:O41)</f>
        <v>6.7348437983297246E-2</v>
      </c>
      <c r="P44" s="15">
        <f>SUM($E42:P42)/SUM($E41:P41)</f>
        <v>6.2126399885869175E-2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>
      <c r="A46" s="505" t="s">
        <v>31</v>
      </c>
      <c r="B46" s="506"/>
      <c r="C46" s="509" t="s">
        <v>23</v>
      </c>
      <c r="D46" s="510"/>
      <c r="E46" s="504" t="s">
        <v>19</v>
      </c>
      <c r="F46" s="502"/>
      <c r="G46" s="502"/>
      <c r="H46" s="502"/>
      <c r="I46" s="502"/>
      <c r="J46" s="503"/>
      <c r="K46" s="501" t="s">
        <v>20</v>
      </c>
      <c r="L46" s="502"/>
      <c r="M46" s="502"/>
      <c r="N46" s="502"/>
      <c r="O46" s="502"/>
      <c r="P46" s="503"/>
      <c r="Q46" s="29"/>
    </row>
    <row r="47" spans="1:19" ht="19.5" thickBot="1">
      <c r="A47" s="507"/>
      <c r="B47" s="508"/>
      <c r="C47" s="511"/>
      <c r="D47" s="512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 t="s">
        <v>89</v>
      </c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100均</v>
      </c>
      <c r="D49" s="81" t="s">
        <v>34</v>
      </c>
      <c r="E49" s="82"/>
      <c r="F49" s="83"/>
      <c r="G49" s="83"/>
      <c r="H49" s="83" t="s">
        <v>90</v>
      </c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MOBILONバンド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4" t="s">
        <v>91</v>
      </c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小売・量販
産業資材</v>
      </c>
      <c r="D53" s="81" t="s">
        <v>34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MOBILONバンド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4"/>
      <c r="G56" s="74" t="s">
        <v>92</v>
      </c>
      <c r="H56" s="74" t="s">
        <v>93</v>
      </c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441"/>
      <c r="B57" s="442"/>
      <c r="C57" s="486" t="str">
        <f>A27</f>
        <v>EC
一般資材
産業資材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リボン・テープ等
↓
2024/9から
ﾊﾟﾌは松岡さん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91050-0D56-4452-B8EB-2FDC05AFAF02}">
  <sheetPr codeName="Sheet6"/>
  <dimension ref="A1:S59"/>
  <sheetViews>
    <sheetView showGridLines="0" zoomScale="70" zoomScaleNormal="70" workbookViewId="0">
      <selection activeCell="S14" sqref="S14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515" t="s">
        <v>12</v>
      </c>
      <c r="B1" s="476" t="s">
        <v>43</v>
      </c>
      <c r="C1" s="518" t="s">
        <v>38</v>
      </c>
      <c r="D1" s="519"/>
      <c r="E1" s="520"/>
    </row>
    <row r="2" spans="1:19" ht="18.75" customHeight="1">
      <c r="A2" s="516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517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521" t="s">
        <v>30</v>
      </c>
      <c r="B5" s="522"/>
      <c r="C5" s="509" t="s">
        <v>23</v>
      </c>
      <c r="D5" s="510"/>
      <c r="E5" s="501" t="s">
        <v>19</v>
      </c>
      <c r="F5" s="502"/>
      <c r="G5" s="502"/>
      <c r="H5" s="502"/>
      <c r="I5" s="502"/>
      <c r="J5" s="503"/>
      <c r="K5" s="501" t="s">
        <v>20</v>
      </c>
      <c r="L5" s="502"/>
      <c r="M5" s="502"/>
      <c r="N5" s="502"/>
      <c r="O5" s="502"/>
      <c r="P5" s="503"/>
      <c r="Q5" s="513" t="s">
        <v>21</v>
      </c>
    </row>
    <row r="6" spans="1:19" ht="19.5" customHeight="1" thickBot="1">
      <c r="A6" s="58" t="s">
        <v>115</v>
      </c>
      <c r="B6" s="151" t="s">
        <v>148</v>
      </c>
      <c r="C6" s="511"/>
      <c r="D6" s="512"/>
      <c r="E6" s="215">
        <v>45444</v>
      </c>
      <c r="F6" s="216">
        <v>45474</v>
      </c>
      <c r="G6" s="216">
        <v>45505</v>
      </c>
      <c r="H6" s="216">
        <v>45536</v>
      </c>
      <c r="I6" s="216">
        <v>45566</v>
      </c>
      <c r="J6" s="217">
        <v>45597</v>
      </c>
      <c r="K6" s="218">
        <v>45627</v>
      </c>
      <c r="L6" s="216">
        <v>45658</v>
      </c>
      <c r="M6" s="216">
        <v>45689</v>
      </c>
      <c r="N6" s="216">
        <v>45717</v>
      </c>
      <c r="O6" s="216">
        <v>45748</v>
      </c>
      <c r="P6" s="219">
        <v>45778</v>
      </c>
      <c r="Q6" s="514"/>
      <c r="R6" s="154" t="s">
        <v>145</v>
      </c>
      <c r="S6" s="67" t="s">
        <v>146</v>
      </c>
    </row>
    <row r="7" spans="1:19">
      <c r="A7" s="464" t="s">
        <v>157</v>
      </c>
      <c r="B7" s="466" t="s">
        <v>149</v>
      </c>
      <c r="C7" s="450" t="s">
        <v>15</v>
      </c>
      <c r="D7" s="112" t="s">
        <v>13</v>
      </c>
      <c r="E7" s="113">
        <v>2313</v>
      </c>
      <c r="F7" s="114">
        <v>1390</v>
      </c>
      <c r="G7" s="114">
        <v>1706</v>
      </c>
      <c r="H7" s="114">
        <v>1326</v>
      </c>
      <c r="I7" s="114">
        <v>1959</v>
      </c>
      <c r="J7" s="115">
        <v>2544</v>
      </c>
      <c r="K7" s="116">
        <v>3366</v>
      </c>
      <c r="L7" s="114">
        <v>1513</v>
      </c>
      <c r="M7" s="114">
        <v>1197</v>
      </c>
      <c r="N7" s="114">
        <v>1726</v>
      </c>
      <c r="O7" s="114">
        <v>1455</v>
      </c>
      <c r="P7" s="117">
        <v>1772</v>
      </c>
      <c r="Q7" s="118">
        <f>SUM(E7:P7)</f>
        <v>22267</v>
      </c>
      <c r="R7" s="482">
        <v>16124</v>
      </c>
      <c r="S7" s="68">
        <f>IFERROR(Q7/R7,"")</f>
        <v>1.3809848672785909</v>
      </c>
    </row>
    <row r="8" spans="1:19" ht="19.5" thickBot="1">
      <c r="A8" s="464"/>
      <c r="B8" s="467"/>
      <c r="C8" s="450"/>
      <c r="D8" s="134" t="s">
        <v>14</v>
      </c>
      <c r="E8" s="135">
        <v>1112</v>
      </c>
      <c r="F8" s="136"/>
      <c r="G8" s="136"/>
      <c r="H8" s="136"/>
      <c r="I8" s="136"/>
      <c r="J8" s="137"/>
      <c r="K8" s="138"/>
      <c r="L8" s="136"/>
      <c r="M8" s="136"/>
      <c r="N8" s="136"/>
      <c r="O8" s="136"/>
      <c r="P8" s="139"/>
      <c r="Q8" s="140">
        <f>SUM(E8:P8)</f>
        <v>1112</v>
      </c>
      <c r="R8" s="483"/>
      <c r="S8" s="69">
        <f>IFERROR(Q8/R7,"")</f>
        <v>6.8965517241379309E-2</v>
      </c>
    </row>
    <row r="9" spans="1:19">
      <c r="A9" s="464"/>
      <c r="B9" s="467"/>
      <c r="C9" s="450"/>
      <c r="D9" s="21" t="s">
        <v>17</v>
      </c>
      <c r="E9" s="11">
        <f>E8/E7</f>
        <v>0.48076091655858194</v>
      </c>
      <c r="F9" s="4">
        <f t="shared" ref="F9:P9" si="0">F8/F7</f>
        <v>0</v>
      </c>
      <c r="G9" s="4">
        <f t="shared" si="0"/>
        <v>0</v>
      </c>
      <c r="H9" s="4">
        <f t="shared" si="0"/>
        <v>0</v>
      </c>
      <c r="I9" s="4">
        <f t="shared" si="0"/>
        <v>0</v>
      </c>
      <c r="J9" s="6">
        <f t="shared" si="0"/>
        <v>0</v>
      </c>
      <c r="K9" s="8">
        <f t="shared" si="0"/>
        <v>0</v>
      </c>
      <c r="L9" s="4">
        <f t="shared" si="0"/>
        <v>0</v>
      </c>
      <c r="M9" s="4">
        <f t="shared" si="0"/>
        <v>0</v>
      </c>
      <c r="N9" s="4">
        <f t="shared" si="0"/>
        <v>0</v>
      </c>
      <c r="O9" s="4">
        <f t="shared" si="0"/>
        <v>0</v>
      </c>
      <c r="P9" s="16">
        <f t="shared" si="0"/>
        <v>0</v>
      </c>
      <c r="Q9" s="26">
        <f t="shared" ref="Q9" si="1">Q8/Q7</f>
        <v>4.9939372165087349E-2</v>
      </c>
    </row>
    <row r="10" spans="1:19">
      <c r="A10" s="464"/>
      <c r="B10" s="467"/>
      <c r="C10" s="451"/>
      <c r="D10" s="22" t="s">
        <v>18</v>
      </c>
      <c r="E10" s="12">
        <f>SUM($E8:E8)/SUM($E7:E7)</f>
        <v>0.48076091655858194</v>
      </c>
      <c r="F10" s="5">
        <f>SUM($E8:F8)/SUM($E7:F7)</f>
        <v>0.30029705644072374</v>
      </c>
      <c r="G10" s="5">
        <f>SUM($E8:G8)/SUM($E7:G7)</f>
        <v>0.20558328711406915</v>
      </c>
      <c r="H10" s="5">
        <f>SUM($E8:H8)/SUM($E7:H7)</f>
        <v>0.16510764662212324</v>
      </c>
      <c r="I10" s="5">
        <f>SUM($E8:I8)/SUM($E7:I7)</f>
        <v>0.1279043018173453</v>
      </c>
      <c r="J10" s="13">
        <f>SUM($E8:J8)/SUM($E7:J7)</f>
        <v>9.8949991101619506E-2</v>
      </c>
      <c r="K10" s="9">
        <f>SUM($E8:K8)/SUM($E7:K7)</f>
        <v>7.6143522322651327E-2</v>
      </c>
      <c r="L10" s="5">
        <f>SUM($E8:L8)/SUM($E7:L7)</f>
        <v>6.8995470621083327E-2</v>
      </c>
      <c r="M10" s="5">
        <f>SUM($E8:M8)/SUM($E7:M7)</f>
        <v>6.4225482268684297E-2</v>
      </c>
      <c r="N10" s="5">
        <f>SUM($E8:N8)/SUM($E7:N7)</f>
        <v>5.8403361344537816E-2</v>
      </c>
      <c r="O10" s="5">
        <f>SUM($E8:O8)/SUM($E7:O7)</f>
        <v>5.4257135886801658E-2</v>
      </c>
      <c r="P10" s="17">
        <f>SUM($E8:P8)/SUM($E7:P7)</f>
        <v>4.9939372165087349E-2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1520</v>
      </c>
      <c r="F11" s="121">
        <v>841</v>
      </c>
      <c r="G11" s="121">
        <v>1056</v>
      </c>
      <c r="H11" s="121">
        <v>821</v>
      </c>
      <c r="I11" s="121">
        <v>1221</v>
      </c>
      <c r="J11" s="122">
        <v>1642</v>
      </c>
      <c r="K11" s="123">
        <v>2273</v>
      </c>
      <c r="L11" s="121">
        <v>991</v>
      </c>
      <c r="M11" s="121">
        <v>762</v>
      </c>
      <c r="N11" s="121">
        <v>1157</v>
      </c>
      <c r="O11" s="121">
        <v>948</v>
      </c>
      <c r="P11" s="124">
        <v>1169</v>
      </c>
      <c r="Q11" s="125">
        <f>SUM(E11:P11)</f>
        <v>14401</v>
      </c>
      <c r="R11" s="482">
        <v>10734</v>
      </c>
      <c r="S11" s="68">
        <f>IFERROR(Q11/R11,"")</f>
        <v>1.3416247438047326</v>
      </c>
    </row>
    <row r="12" spans="1:19">
      <c r="A12" s="464"/>
      <c r="B12" s="467"/>
      <c r="C12" s="470"/>
      <c r="D12" s="141" t="s">
        <v>14</v>
      </c>
      <c r="E12" s="147">
        <v>643</v>
      </c>
      <c r="F12" s="142"/>
      <c r="G12" s="142"/>
      <c r="H12" s="142"/>
      <c r="I12" s="142"/>
      <c r="J12" s="143"/>
      <c r="K12" s="144"/>
      <c r="L12" s="142"/>
      <c r="M12" s="142"/>
      <c r="N12" s="142"/>
      <c r="O12" s="142"/>
      <c r="P12" s="145"/>
      <c r="Q12" s="146">
        <f>SUM(E12:P12)</f>
        <v>643</v>
      </c>
      <c r="R12" s="488"/>
      <c r="S12" s="70">
        <f>IFERROR(Q12/R11,"")</f>
        <v>5.9903111607974659E-2</v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793</v>
      </c>
      <c r="F13" s="121">
        <f t="shared" ref="F13:P13" si="2">F7-F11</f>
        <v>549</v>
      </c>
      <c r="G13" s="121">
        <f t="shared" si="2"/>
        <v>650</v>
      </c>
      <c r="H13" s="121">
        <f t="shared" si="2"/>
        <v>505</v>
      </c>
      <c r="I13" s="121">
        <f t="shared" si="2"/>
        <v>738</v>
      </c>
      <c r="J13" s="122">
        <f t="shared" si="2"/>
        <v>902</v>
      </c>
      <c r="K13" s="123">
        <f t="shared" si="2"/>
        <v>1093</v>
      </c>
      <c r="L13" s="121">
        <f t="shared" si="2"/>
        <v>522</v>
      </c>
      <c r="M13" s="121">
        <f t="shared" si="2"/>
        <v>435</v>
      </c>
      <c r="N13" s="121">
        <f t="shared" si="2"/>
        <v>569</v>
      </c>
      <c r="O13" s="121">
        <f t="shared" si="2"/>
        <v>507</v>
      </c>
      <c r="P13" s="124">
        <f t="shared" si="2"/>
        <v>603</v>
      </c>
      <c r="Q13" s="125">
        <f>SUM(E13:P13)</f>
        <v>7866</v>
      </c>
      <c r="R13" s="482">
        <f>R7-R11</f>
        <v>5390</v>
      </c>
      <c r="S13" s="150">
        <f>IFERROR(Q13/R13,"")</f>
        <v>1.4593692022263451</v>
      </c>
    </row>
    <row r="14" spans="1:19" ht="19.5" thickBot="1">
      <c r="A14" s="464"/>
      <c r="B14" s="467"/>
      <c r="C14" s="453"/>
      <c r="D14" s="134" t="s">
        <v>14</v>
      </c>
      <c r="E14" s="135">
        <v>468</v>
      </c>
      <c r="F14" s="136"/>
      <c r="G14" s="136"/>
      <c r="H14" s="136"/>
      <c r="I14" s="136"/>
      <c r="J14" s="137"/>
      <c r="K14" s="138"/>
      <c r="L14" s="136"/>
      <c r="M14" s="136"/>
      <c r="N14" s="136"/>
      <c r="O14" s="136"/>
      <c r="P14" s="139"/>
      <c r="Q14" s="140">
        <f>SUM(E14:P14)</f>
        <v>468</v>
      </c>
      <c r="R14" s="483"/>
      <c r="S14" s="69">
        <f>IFERROR(Q14/R13,"")</f>
        <v>8.682745825602968E-2</v>
      </c>
    </row>
    <row r="15" spans="1:19">
      <c r="A15" s="464"/>
      <c r="B15" s="467"/>
      <c r="C15" s="453"/>
      <c r="D15" s="21" t="s">
        <v>17</v>
      </c>
      <c r="E15" s="11">
        <f>E14/E13</f>
        <v>0.5901639344262295</v>
      </c>
      <c r="F15" s="4">
        <f t="shared" ref="F15:P15" si="3">F14/F13</f>
        <v>0</v>
      </c>
      <c r="G15" s="4">
        <f t="shared" si="3"/>
        <v>0</v>
      </c>
      <c r="H15" s="4">
        <f t="shared" si="3"/>
        <v>0</v>
      </c>
      <c r="I15" s="4">
        <f t="shared" si="3"/>
        <v>0</v>
      </c>
      <c r="J15" s="6">
        <f t="shared" si="3"/>
        <v>0</v>
      </c>
      <c r="K15" s="8">
        <f t="shared" si="3"/>
        <v>0</v>
      </c>
      <c r="L15" s="4">
        <f t="shared" si="3"/>
        <v>0</v>
      </c>
      <c r="M15" s="4">
        <f t="shared" si="3"/>
        <v>0</v>
      </c>
      <c r="N15" s="4">
        <f t="shared" si="3"/>
        <v>0</v>
      </c>
      <c r="O15" s="4">
        <f t="shared" si="3"/>
        <v>0</v>
      </c>
      <c r="P15" s="16">
        <f t="shared" si="3"/>
        <v>0</v>
      </c>
      <c r="Q15" s="26">
        <f t="shared" ref="Q15" si="4">Q14/Q13</f>
        <v>5.9496567505720827E-2</v>
      </c>
    </row>
    <row r="16" spans="1:19" ht="19.5" thickBot="1">
      <c r="A16" s="465"/>
      <c r="B16" s="468"/>
      <c r="C16" s="454"/>
      <c r="D16" s="23" t="s">
        <v>18</v>
      </c>
      <c r="E16" s="14">
        <f>SUM($E14:E14)/SUM($E13:E13)</f>
        <v>0.5901639344262295</v>
      </c>
      <c r="F16" s="7">
        <f>SUM($E14:F14)/SUM($E13:F13)</f>
        <v>0.34873323397913564</v>
      </c>
      <c r="G16" s="7">
        <f>SUM($E14:G14)/SUM($E13:G13)</f>
        <v>0.23493975903614459</v>
      </c>
      <c r="H16" s="7">
        <f>SUM($E14:H14)/SUM($E13:H13)</f>
        <v>0.18742490989187024</v>
      </c>
      <c r="I16" s="7">
        <f>SUM($E14:I14)/SUM($E13:I13)</f>
        <v>0.1446676970633694</v>
      </c>
      <c r="J16" s="15">
        <f>SUM($E14:J14)/SUM($E13:J13)</f>
        <v>0.11312545322697606</v>
      </c>
      <c r="K16" s="10">
        <f>SUM($E14:K14)/SUM($E13:K13)</f>
        <v>8.948374760994264E-2</v>
      </c>
      <c r="L16" s="7">
        <f>SUM($E14:L14)/SUM($E13:L13)</f>
        <v>8.1363004172461756E-2</v>
      </c>
      <c r="M16" s="7">
        <f>SUM($E14:M14)/SUM($E13:M13)</f>
        <v>7.5642476159689678E-2</v>
      </c>
      <c r="N16" s="7">
        <f>SUM($E14:N14)/SUM($E13:N13)</f>
        <v>6.9271758436944941E-2</v>
      </c>
      <c r="O16" s="7">
        <f>SUM($E14:O14)/SUM($E13:O13)</f>
        <v>6.4436183395291197E-2</v>
      </c>
      <c r="P16" s="18">
        <f>SUM($E14:P14)/SUM($E13:P13)</f>
        <v>5.9496567505720827E-2</v>
      </c>
      <c r="Q16" s="28" t="s">
        <v>22</v>
      </c>
      <c r="R16" s="59"/>
      <c r="S16"/>
    </row>
    <row r="17" spans="1:19">
      <c r="A17" s="463" t="s">
        <v>154</v>
      </c>
      <c r="B17" s="466" t="s">
        <v>154</v>
      </c>
      <c r="C17" s="450" t="s">
        <v>15</v>
      </c>
      <c r="D17" s="112" t="s">
        <v>13</v>
      </c>
      <c r="E17" s="113"/>
      <c r="F17" s="114"/>
      <c r="G17" s="114"/>
      <c r="H17" s="114"/>
      <c r="I17" s="114"/>
      <c r="J17" s="115"/>
      <c r="K17" s="116"/>
      <c r="L17" s="114"/>
      <c r="M17" s="114"/>
      <c r="N17" s="114"/>
      <c r="O17" s="114"/>
      <c r="P17" s="117"/>
      <c r="Q17" s="118">
        <f>SUM(E17:P17)</f>
        <v>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/>
      <c r="F18" s="136"/>
      <c r="G18" s="136"/>
      <c r="H18" s="136"/>
      <c r="I18" s="136"/>
      <c r="J18" s="137"/>
      <c r="K18" s="138"/>
      <c r="L18" s="136"/>
      <c r="M18" s="136"/>
      <c r="N18" s="136"/>
      <c r="O18" s="136"/>
      <c r="P18" s="139"/>
      <c r="Q18" s="140">
        <f>SUM(E18:P18)</f>
        <v>0</v>
      </c>
      <c r="R18" s="483"/>
      <c r="S18" s="69" t="str">
        <f>IFERROR(Q18/R17,"")</f>
        <v/>
      </c>
    </row>
    <row r="19" spans="1:19">
      <c r="A19" s="464"/>
      <c r="B19" s="467"/>
      <c r="C19" s="450"/>
      <c r="D19" s="21" t="s">
        <v>17</v>
      </c>
      <c r="E19" s="11" t="e">
        <f>E18/E17</f>
        <v>#DIV/0!</v>
      </c>
      <c r="F19" s="4" t="e">
        <f t="shared" ref="F19:P19" si="5">F18/F17</f>
        <v>#DIV/0!</v>
      </c>
      <c r="G19" s="4" t="e">
        <f t="shared" si="5"/>
        <v>#DIV/0!</v>
      </c>
      <c r="H19" s="4" t="e">
        <f t="shared" si="5"/>
        <v>#DIV/0!</v>
      </c>
      <c r="I19" s="4" t="e">
        <f t="shared" si="5"/>
        <v>#DIV/0!</v>
      </c>
      <c r="J19" s="6" t="e">
        <f t="shared" si="5"/>
        <v>#DIV/0!</v>
      </c>
      <c r="K19" s="8" t="e">
        <f t="shared" si="5"/>
        <v>#DIV/0!</v>
      </c>
      <c r="L19" s="4" t="e">
        <f t="shared" si="5"/>
        <v>#DIV/0!</v>
      </c>
      <c r="M19" s="4" t="e">
        <f t="shared" si="5"/>
        <v>#DIV/0!</v>
      </c>
      <c r="N19" s="4" t="e">
        <f t="shared" si="5"/>
        <v>#DIV/0!</v>
      </c>
      <c r="O19" s="4" t="e">
        <f t="shared" si="5"/>
        <v>#DIV/0!</v>
      </c>
      <c r="P19" s="16" t="e">
        <f t="shared" si="5"/>
        <v>#DIV/0!</v>
      </c>
      <c r="Q19" s="26" t="e">
        <f t="shared" ref="Q19" si="6">Q18/Q17</f>
        <v>#DIV/0!</v>
      </c>
      <c r="R19" s="59"/>
      <c r="S19"/>
    </row>
    <row r="20" spans="1:19">
      <c r="A20" s="464"/>
      <c r="B20" s="467"/>
      <c r="C20" s="451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/>
      <c r="F21" s="121"/>
      <c r="G21" s="121"/>
      <c r="H21" s="121"/>
      <c r="I21" s="121"/>
      <c r="J21" s="122"/>
      <c r="K21" s="123"/>
      <c r="L21" s="121"/>
      <c r="M21" s="121"/>
      <c r="N21" s="121"/>
      <c r="O21" s="121"/>
      <c r="P21" s="124"/>
      <c r="Q21" s="125">
        <f>SUM(E21:P21)</f>
        <v>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/>
      <c r="F22" s="142"/>
      <c r="G22" s="142"/>
      <c r="H22" s="142"/>
      <c r="I22" s="142"/>
      <c r="J22" s="143"/>
      <c r="K22" s="144"/>
      <c r="L22" s="142"/>
      <c r="M22" s="142"/>
      <c r="N22" s="142"/>
      <c r="O22" s="142"/>
      <c r="P22" s="145"/>
      <c r="Q22" s="146">
        <f>SUM(E22:P22)</f>
        <v>0</v>
      </c>
      <c r="R22" s="488"/>
      <c r="S22" s="70" t="str">
        <f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0</v>
      </c>
      <c r="F23" s="121">
        <f t="shared" ref="F23:P23" si="7">F17-F21</f>
        <v>0</v>
      </c>
      <c r="G23" s="121">
        <f t="shared" si="7"/>
        <v>0</v>
      </c>
      <c r="H23" s="121">
        <f t="shared" si="7"/>
        <v>0</v>
      </c>
      <c r="I23" s="121">
        <f t="shared" si="7"/>
        <v>0</v>
      </c>
      <c r="J23" s="122">
        <f t="shared" si="7"/>
        <v>0</v>
      </c>
      <c r="K23" s="123">
        <f t="shared" si="7"/>
        <v>0</v>
      </c>
      <c r="L23" s="121">
        <f t="shared" si="7"/>
        <v>0</v>
      </c>
      <c r="M23" s="121">
        <f t="shared" si="7"/>
        <v>0</v>
      </c>
      <c r="N23" s="121">
        <f t="shared" si="7"/>
        <v>0</v>
      </c>
      <c r="O23" s="121">
        <f t="shared" si="7"/>
        <v>0</v>
      </c>
      <c r="P23" s="124">
        <f t="shared" si="7"/>
        <v>0</v>
      </c>
      <c r="Q23" s="125">
        <f>SUM(E23:P23)</f>
        <v>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/>
      <c r="F24" s="136"/>
      <c r="G24" s="136"/>
      <c r="H24" s="136"/>
      <c r="I24" s="136"/>
      <c r="J24" s="137"/>
      <c r="K24" s="138"/>
      <c r="L24" s="136"/>
      <c r="M24" s="136"/>
      <c r="N24" s="136"/>
      <c r="O24" s="136"/>
      <c r="P24" s="139"/>
      <c r="Q24" s="140">
        <f>SUM(E24:P24)</f>
        <v>0</v>
      </c>
      <c r="R24" s="483"/>
      <c r="S24" s="69" t="str">
        <f>IFERROR(Q24/R23,"")</f>
        <v/>
      </c>
    </row>
    <row r="25" spans="1:19">
      <c r="A25" s="464"/>
      <c r="B25" s="467"/>
      <c r="C25" s="453"/>
      <c r="D25" s="21" t="s">
        <v>17</v>
      </c>
      <c r="E25" s="11" t="e">
        <f>E24/E23</f>
        <v>#DIV/0!</v>
      </c>
      <c r="F25" s="4" t="e">
        <f t="shared" ref="F25:P25" si="8">F24/F23</f>
        <v>#DIV/0!</v>
      </c>
      <c r="G25" s="4" t="e">
        <f t="shared" si="8"/>
        <v>#DIV/0!</v>
      </c>
      <c r="H25" s="4" t="e">
        <f t="shared" si="8"/>
        <v>#DIV/0!</v>
      </c>
      <c r="I25" s="4" t="e">
        <f t="shared" si="8"/>
        <v>#DIV/0!</v>
      </c>
      <c r="J25" s="6" t="e">
        <f t="shared" si="8"/>
        <v>#DIV/0!</v>
      </c>
      <c r="K25" s="8" t="e">
        <f t="shared" si="8"/>
        <v>#DIV/0!</v>
      </c>
      <c r="L25" s="4" t="e">
        <f t="shared" si="8"/>
        <v>#DIV/0!</v>
      </c>
      <c r="M25" s="4" t="e">
        <f t="shared" si="8"/>
        <v>#DIV/0!</v>
      </c>
      <c r="N25" s="4" t="e">
        <f t="shared" si="8"/>
        <v>#DIV/0!</v>
      </c>
      <c r="O25" s="4" t="e">
        <f t="shared" si="8"/>
        <v>#DIV/0!</v>
      </c>
      <c r="P25" s="16" t="e">
        <f t="shared" si="8"/>
        <v>#DIV/0!</v>
      </c>
      <c r="Q25" s="26" t="e">
        <f t="shared" ref="Q25" si="9">Q24/Q23</f>
        <v>#DIV/0!</v>
      </c>
    </row>
    <row r="26" spans="1:19" ht="19.5" thickBot="1">
      <c r="A26" s="465"/>
      <c r="B26" s="468"/>
      <c r="C26" s="454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</row>
    <row r="27" spans="1:19">
      <c r="A27" s="464" t="s">
        <v>154</v>
      </c>
      <c r="B27" s="467" t="s">
        <v>154</v>
      </c>
      <c r="C27" s="450" t="s">
        <v>15</v>
      </c>
      <c r="D27" s="112" t="s">
        <v>13</v>
      </c>
      <c r="E27" s="113"/>
      <c r="F27" s="114"/>
      <c r="G27" s="114"/>
      <c r="H27" s="114"/>
      <c r="I27" s="114"/>
      <c r="J27" s="115"/>
      <c r="K27" s="116"/>
      <c r="L27" s="114"/>
      <c r="M27" s="114"/>
      <c r="N27" s="114"/>
      <c r="O27" s="114"/>
      <c r="P27" s="117"/>
      <c r="Q27" s="118">
        <f>SUM(E27:P27)</f>
        <v>0</v>
      </c>
      <c r="R27" s="482"/>
      <c r="S27" s="68" t="str">
        <f>IFERROR(Q27/R27,"")</f>
        <v/>
      </c>
    </row>
    <row r="28" spans="1:19" ht="19.5" thickBot="1">
      <c r="A28" s="464"/>
      <c r="B28" s="467"/>
      <c r="C28" s="450"/>
      <c r="D28" s="134" t="s">
        <v>14</v>
      </c>
      <c r="E28" s="135"/>
      <c r="F28" s="136"/>
      <c r="G28" s="136"/>
      <c r="H28" s="136"/>
      <c r="I28" s="136"/>
      <c r="J28" s="137"/>
      <c r="K28" s="138"/>
      <c r="L28" s="136"/>
      <c r="M28" s="136"/>
      <c r="N28" s="136"/>
      <c r="O28" s="136"/>
      <c r="P28" s="139"/>
      <c r="Q28" s="140">
        <f>SUM(E28:P28)</f>
        <v>0</v>
      </c>
      <c r="R28" s="483"/>
      <c r="S28" s="69" t="str">
        <f>IFERROR(Q28/R27,"")</f>
        <v/>
      </c>
    </row>
    <row r="29" spans="1:19">
      <c r="A29" s="464"/>
      <c r="B29" s="467"/>
      <c r="C29" s="450"/>
      <c r="D29" s="21" t="s">
        <v>17</v>
      </c>
      <c r="E29" s="11" t="e">
        <f>E28/E27</f>
        <v>#DIV/0!</v>
      </c>
      <c r="F29" s="4" t="e">
        <f t="shared" ref="F29:P29" si="10">F28/F27</f>
        <v>#DIV/0!</v>
      </c>
      <c r="G29" s="4" t="e">
        <f t="shared" si="10"/>
        <v>#DIV/0!</v>
      </c>
      <c r="H29" s="4" t="e">
        <f t="shared" si="10"/>
        <v>#DIV/0!</v>
      </c>
      <c r="I29" s="4" t="e">
        <f t="shared" si="10"/>
        <v>#DIV/0!</v>
      </c>
      <c r="J29" s="6" t="e">
        <f t="shared" si="10"/>
        <v>#DIV/0!</v>
      </c>
      <c r="K29" s="8" t="e">
        <f t="shared" si="10"/>
        <v>#DIV/0!</v>
      </c>
      <c r="L29" s="4" t="e">
        <f t="shared" si="10"/>
        <v>#DIV/0!</v>
      </c>
      <c r="M29" s="4" t="e">
        <f t="shared" si="10"/>
        <v>#DIV/0!</v>
      </c>
      <c r="N29" s="4" t="e">
        <f t="shared" si="10"/>
        <v>#DIV/0!</v>
      </c>
      <c r="O29" s="4" t="e">
        <f t="shared" si="10"/>
        <v>#DIV/0!</v>
      </c>
      <c r="P29" s="16" t="e">
        <f t="shared" si="10"/>
        <v>#DIV/0!</v>
      </c>
      <c r="Q29" s="26" t="e">
        <f t="shared" ref="Q29" si="11">Q28/Q27</f>
        <v>#DIV/0!</v>
      </c>
      <c r="R29" s="59"/>
      <c r="S29"/>
    </row>
    <row r="30" spans="1:19">
      <c r="A30" s="464"/>
      <c r="B30" s="467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/>
      <c r="F31" s="121"/>
      <c r="G31" s="121"/>
      <c r="H31" s="121"/>
      <c r="I31" s="121"/>
      <c r="J31" s="122"/>
      <c r="K31" s="123"/>
      <c r="L31" s="121"/>
      <c r="M31" s="121"/>
      <c r="N31" s="121"/>
      <c r="O31" s="121"/>
      <c r="P31" s="124"/>
      <c r="Q31" s="125">
        <f>SUM(E31:P31)</f>
        <v>0</v>
      </c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/>
      <c r="F32" s="142"/>
      <c r="G32" s="142"/>
      <c r="H32" s="142"/>
      <c r="I32" s="142"/>
      <c r="J32" s="143"/>
      <c r="K32" s="144"/>
      <c r="L32" s="142"/>
      <c r="M32" s="142"/>
      <c r="N32" s="142"/>
      <c r="O32" s="142"/>
      <c r="P32" s="145"/>
      <c r="Q32" s="146">
        <f>SUM(E32:P32)</f>
        <v>0</v>
      </c>
      <c r="R32" s="488"/>
      <c r="S32" s="70" t="str">
        <f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0</v>
      </c>
      <c r="F33" s="121">
        <f t="shared" ref="F33:P33" si="12">F27-F31</f>
        <v>0</v>
      </c>
      <c r="G33" s="121">
        <f t="shared" si="12"/>
        <v>0</v>
      </c>
      <c r="H33" s="121">
        <f t="shared" si="12"/>
        <v>0</v>
      </c>
      <c r="I33" s="121">
        <f t="shared" si="12"/>
        <v>0</v>
      </c>
      <c r="J33" s="122">
        <f t="shared" si="12"/>
        <v>0</v>
      </c>
      <c r="K33" s="123">
        <f t="shared" si="12"/>
        <v>0</v>
      </c>
      <c r="L33" s="121">
        <f t="shared" si="12"/>
        <v>0</v>
      </c>
      <c r="M33" s="121">
        <f t="shared" si="12"/>
        <v>0</v>
      </c>
      <c r="N33" s="121">
        <f t="shared" si="12"/>
        <v>0</v>
      </c>
      <c r="O33" s="121">
        <f t="shared" si="12"/>
        <v>0</v>
      </c>
      <c r="P33" s="124">
        <f t="shared" si="12"/>
        <v>0</v>
      </c>
      <c r="Q33" s="125">
        <f>SUM(E33:P33)</f>
        <v>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/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 t="str">
        <f>IFERROR(Q34/R33,"")</f>
        <v/>
      </c>
    </row>
    <row r="35" spans="1:19">
      <c r="A35" s="464"/>
      <c r="B35" s="467"/>
      <c r="C35" s="453"/>
      <c r="D35" s="21" t="s">
        <v>17</v>
      </c>
      <c r="E35" s="11" t="e">
        <f>E34/E33</f>
        <v>#DIV/0!</v>
      </c>
      <c r="F35" s="4" t="e">
        <f t="shared" ref="F35:P35" si="13">F34/F33</f>
        <v>#DIV/0!</v>
      </c>
      <c r="G35" s="4" t="e">
        <f t="shared" si="13"/>
        <v>#DIV/0!</v>
      </c>
      <c r="H35" s="4" t="e">
        <f t="shared" si="13"/>
        <v>#DIV/0!</v>
      </c>
      <c r="I35" s="4" t="e">
        <f t="shared" si="13"/>
        <v>#DIV/0!</v>
      </c>
      <c r="J35" s="6" t="e">
        <f t="shared" si="13"/>
        <v>#DIV/0!</v>
      </c>
      <c r="K35" s="8" t="e">
        <f t="shared" si="13"/>
        <v>#DIV/0!</v>
      </c>
      <c r="L35" s="4" t="e">
        <f t="shared" si="13"/>
        <v>#DIV/0!</v>
      </c>
      <c r="M35" s="4" t="e">
        <f t="shared" si="13"/>
        <v>#DIV/0!</v>
      </c>
      <c r="N35" s="4" t="e">
        <f t="shared" si="13"/>
        <v>#DIV/0!</v>
      </c>
      <c r="O35" s="4" t="e">
        <f t="shared" si="13"/>
        <v>#DIV/0!</v>
      </c>
      <c r="P35" s="16" t="e">
        <f t="shared" si="13"/>
        <v>#DIV/0!</v>
      </c>
      <c r="Q35" s="26" t="e">
        <f t="shared" ref="Q35" si="14">Q34/Q33</f>
        <v>#DIV/0!</v>
      </c>
    </row>
    <row r="36" spans="1:19" ht="19.5" thickBot="1">
      <c r="A36" s="465"/>
      <c r="B36" s="468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2313</v>
      </c>
      <c r="F37" s="128">
        <f t="shared" ref="F37:Q38" si="15">SUM(F7,F17,F27)</f>
        <v>1390</v>
      </c>
      <c r="G37" s="129">
        <f t="shared" si="15"/>
        <v>1706</v>
      </c>
      <c r="H37" s="128">
        <f t="shared" si="15"/>
        <v>1326</v>
      </c>
      <c r="I37" s="128">
        <f t="shared" si="15"/>
        <v>1959</v>
      </c>
      <c r="J37" s="130">
        <f t="shared" si="15"/>
        <v>2544</v>
      </c>
      <c r="K37" s="127">
        <f t="shared" si="15"/>
        <v>3366</v>
      </c>
      <c r="L37" s="128">
        <f t="shared" si="15"/>
        <v>1513</v>
      </c>
      <c r="M37" s="129">
        <f t="shared" si="15"/>
        <v>1197</v>
      </c>
      <c r="N37" s="128">
        <f t="shared" si="15"/>
        <v>1726</v>
      </c>
      <c r="O37" s="128">
        <f t="shared" si="15"/>
        <v>1455</v>
      </c>
      <c r="P37" s="130">
        <f t="shared" si="15"/>
        <v>1772</v>
      </c>
      <c r="Q37" s="131">
        <f t="shared" si="15"/>
        <v>22267</v>
      </c>
      <c r="R37" s="482">
        <f>SUM(R7,R17,R27)</f>
        <v>16124</v>
      </c>
      <c r="S37" s="68">
        <f>IFERROR(Q37/R37,"")</f>
        <v>1.3809848672785909</v>
      </c>
    </row>
    <row r="38" spans="1:19" ht="19.5" thickBot="1">
      <c r="A38" s="19"/>
      <c r="B38" s="447"/>
      <c r="C38" s="450"/>
      <c r="D38" s="148" t="s">
        <v>14</v>
      </c>
      <c r="E38" s="135">
        <f>SUM(E8,E18,E28)</f>
        <v>1112</v>
      </c>
      <c r="F38" s="136">
        <f t="shared" si="15"/>
        <v>0</v>
      </c>
      <c r="G38" s="139">
        <f t="shared" si="15"/>
        <v>0</v>
      </c>
      <c r="H38" s="136">
        <f t="shared" si="15"/>
        <v>0</v>
      </c>
      <c r="I38" s="136">
        <f t="shared" si="15"/>
        <v>0</v>
      </c>
      <c r="J38" s="137">
        <f t="shared" si="15"/>
        <v>0</v>
      </c>
      <c r="K38" s="135">
        <f t="shared" si="15"/>
        <v>0</v>
      </c>
      <c r="L38" s="136">
        <f t="shared" si="15"/>
        <v>0</v>
      </c>
      <c r="M38" s="139">
        <f t="shared" si="15"/>
        <v>0</v>
      </c>
      <c r="N38" s="136">
        <f t="shared" si="15"/>
        <v>0</v>
      </c>
      <c r="O38" s="136">
        <f t="shared" si="15"/>
        <v>0</v>
      </c>
      <c r="P38" s="137">
        <f t="shared" si="15"/>
        <v>0</v>
      </c>
      <c r="Q38" s="149">
        <f t="shared" si="15"/>
        <v>1112</v>
      </c>
      <c r="R38" s="483"/>
      <c r="S38" s="69">
        <f>IFERROR(Q38/R37,"")</f>
        <v>6.8965517241379309E-2</v>
      </c>
    </row>
    <row r="39" spans="1:19">
      <c r="A39" s="19"/>
      <c r="B39" s="447"/>
      <c r="C39" s="450"/>
      <c r="D39" s="24" t="s">
        <v>17</v>
      </c>
      <c r="E39" s="11">
        <f>E38/E37</f>
        <v>0.48076091655858194</v>
      </c>
      <c r="F39" s="4">
        <f t="shared" ref="F39:Q39" si="16">F38/F37</f>
        <v>0</v>
      </c>
      <c r="G39" s="16">
        <f t="shared" si="16"/>
        <v>0</v>
      </c>
      <c r="H39" s="4">
        <f t="shared" si="16"/>
        <v>0</v>
      </c>
      <c r="I39" s="4">
        <f t="shared" si="16"/>
        <v>0</v>
      </c>
      <c r="J39" s="6">
        <f t="shared" si="16"/>
        <v>0</v>
      </c>
      <c r="K39" s="11">
        <f t="shared" si="16"/>
        <v>0</v>
      </c>
      <c r="L39" s="4">
        <f t="shared" si="16"/>
        <v>0</v>
      </c>
      <c r="M39" s="16">
        <f t="shared" si="16"/>
        <v>0</v>
      </c>
      <c r="N39" s="4">
        <f t="shared" si="16"/>
        <v>0</v>
      </c>
      <c r="O39" s="4">
        <f t="shared" si="16"/>
        <v>0</v>
      </c>
      <c r="P39" s="6">
        <f t="shared" si="16"/>
        <v>0</v>
      </c>
      <c r="Q39" s="26">
        <f t="shared" si="16"/>
        <v>4.9939372165087349E-2</v>
      </c>
    </row>
    <row r="40" spans="1:19">
      <c r="A40" s="19"/>
      <c r="B40" s="447"/>
      <c r="C40" s="451"/>
      <c r="D40" s="25" t="s">
        <v>18</v>
      </c>
      <c r="E40" s="12">
        <f>SUM($E38:E38)/SUM($E37:E37)</f>
        <v>0.48076091655858194</v>
      </c>
      <c r="F40" s="5">
        <f>SUM($E38:F38)/SUM($E37:F37)</f>
        <v>0.30029705644072374</v>
      </c>
      <c r="G40" s="17">
        <f>SUM($E38:G38)/SUM($E37:G37)</f>
        <v>0.20558328711406915</v>
      </c>
      <c r="H40" s="5">
        <f>SUM($E38:H38)/SUM($E37:H37)</f>
        <v>0.16510764662212324</v>
      </c>
      <c r="I40" s="5">
        <f>SUM($E38:I38)/SUM($E37:I37)</f>
        <v>0.1279043018173453</v>
      </c>
      <c r="J40" s="13">
        <f>SUM($E38:J38)/SUM($E37:J37)</f>
        <v>9.8949991101619506E-2</v>
      </c>
      <c r="K40" s="12">
        <f>SUM($E38:K38)/SUM($E37:K37)</f>
        <v>7.6143522322651327E-2</v>
      </c>
      <c r="L40" s="5">
        <f>SUM($E38:L38)/SUM($E37:L37)</f>
        <v>6.8995470621083327E-2</v>
      </c>
      <c r="M40" s="17">
        <f>SUM($E38:M38)/SUM($E37:M37)</f>
        <v>6.4225482268684297E-2</v>
      </c>
      <c r="N40" s="5">
        <f>SUM($E38:N38)/SUM($E37:N37)</f>
        <v>5.8403361344537816E-2</v>
      </c>
      <c r="O40" s="5">
        <f>SUM($E38:O38)/SUM($E37:O37)</f>
        <v>5.4257135886801658E-2</v>
      </c>
      <c r="P40" s="13">
        <f>SUM($E38:P38)/SUM($E37:P37)</f>
        <v>4.9939372165087349E-2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793</v>
      </c>
      <c r="F41" s="114">
        <f t="shared" ref="F41:Q42" si="17">SUM(F13,F23,F33)</f>
        <v>549</v>
      </c>
      <c r="G41" s="117">
        <f t="shared" si="17"/>
        <v>650</v>
      </c>
      <c r="H41" s="114">
        <f t="shared" si="17"/>
        <v>505</v>
      </c>
      <c r="I41" s="114">
        <f t="shared" si="17"/>
        <v>738</v>
      </c>
      <c r="J41" s="115">
        <f t="shared" si="17"/>
        <v>902</v>
      </c>
      <c r="K41" s="113">
        <f t="shared" si="17"/>
        <v>1093</v>
      </c>
      <c r="L41" s="114">
        <f t="shared" si="17"/>
        <v>522</v>
      </c>
      <c r="M41" s="117">
        <f t="shared" si="17"/>
        <v>435</v>
      </c>
      <c r="N41" s="114">
        <f t="shared" si="17"/>
        <v>569</v>
      </c>
      <c r="O41" s="114">
        <f t="shared" si="17"/>
        <v>507</v>
      </c>
      <c r="P41" s="115">
        <f t="shared" si="17"/>
        <v>603</v>
      </c>
      <c r="Q41" s="133">
        <f t="shared" si="17"/>
        <v>7866</v>
      </c>
      <c r="R41" s="482">
        <f>SUM(R13,R23,R33)</f>
        <v>5390</v>
      </c>
      <c r="S41" s="68">
        <f>IFERROR(Q41/R41,"")</f>
        <v>1.4593692022263451</v>
      </c>
    </row>
    <row r="42" spans="1:19" ht="19.5" thickBot="1">
      <c r="A42" s="19"/>
      <c r="B42" s="447"/>
      <c r="C42" s="453"/>
      <c r="D42" s="148" t="s">
        <v>14</v>
      </c>
      <c r="E42" s="135">
        <f>SUM(E14,E24,E34)</f>
        <v>468</v>
      </c>
      <c r="F42" s="136">
        <f t="shared" si="17"/>
        <v>0</v>
      </c>
      <c r="G42" s="139">
        <f t="shared" si="17"/>
        <v>0</v>
      </c>
      <c r="H42" s="136">
        <f t="shared" si="17"/>
        <v>0</v>
      </c>
      <c r="I42" s="136">
        <f t="shared" si="17"/>
        <v>0</v>
      </c>
      <c r="J42" s="137">
        <f t="shared" si="17"/>
        <v>0</v>
      </c>
      <c r="K42" s="135">
        <f t="shared" si="17"/>
        <v>0</v>
      </c>
      <c r="L42" s="136">
        <f t="shared" si="17"/>
        <v>0</v>
      </c>
      <c r="M42" s="139">
        <f t="shared" si="17"/>
        <v>0</v>
      </c>
      <c r="N42" s="136">
        <f t="shared" si="17"/>
        <v>0</v>
      </c>
      <c r="O42" s="136">
        <f t="shared" si="17"/>
        <v>0</v>
      </c>
      <c r="P42" s="137">
        <f t="shared" si="17"/>
        <v>0</v>
      </c>
      <c r="Q42" s="149">
        <f t="shared" si="17"/>
        <v>468</v>
      </c>
      <c r="R42" s="483"/>
      <c r="S42" s="69">
        <f>IFERROR(Q42/R41,"")</f>
        <v>8.682745825602968E-2</v>
      </c>
    </row>
    <row r="43" spans="1:19">
      <c r="A43" s="19"/>
      <c r="B43" s="447"/>
      <c r="C43" s="453"/>
      <c r="D43" s="24" t="s">
        <v>17</v>
      </c>
      <c r="E43" s="11">
        <f>E42/E41</f>
        <v>0.5901639344262295</v>
      </c>
      <c r="F43" s="4">
        <f t="shared" ref="F43:Q43" si="18">F42/F41</f>
        <v>0</v>
      </c>
      <c r="G43" s="16">
        <f t="shared" si="18"/>
        <v>0</v>
      </c>
      <c r="H43" s="4">
        <f t="shared" si="18"/>
        <v>0</v>
      </c>
      <c r="I43" s="4">
        <f t="shared" si="18"/>
        <v>0</v>
      </c>
      <c r="J43" s="6">
        <f t="shared" si="18"/>
        <v>0</v>
      </c>
      <c r="K43" s="11">
        <f t="shared" si="18"/>
        <v>0</v>
      </c>
      <c r="L43" s="4">
        <f t="shared" si="18"/>
        <v>0</v>
      </c>
      <c r="M43" s="16">
        <f t="shared" si="18"/>
        <v>0</v>
      </c>
      <c r="N43" s="4">
        <f t="shared" si="18"/>
        <v>0</v>
      </c>
      <c r="O43" s="4">
        <f t="shared" si="18"/>
        <v>0</v>
      </c>
      <c r="P43" s="6">
        <f t="shared" si="18"/>
        <v>0</v>
      </c>
      <c r="Q43" s="26">
        <f t="shared" si="18"/>
        <v>5.9496567505720827E-2</v>
      </c>
    </row>
    <row r="44" spans="1:19" ht="19.5" thickBot="1">
      <c r="A44" s="19"/>
      <c r="B44" s="448"/>
      <c r="C44" s="454"/>
      <c r="D44" s="30" t="s">
        <v>18</v>
      </c>
      <c r="E44" s="14">
        <f>SUM($E42:E42)/SUM($E41:E41)</f>
        <v>0.5901639344262295</v>
      </c>
      <c r="F44" s="7">
        <f>SUM($E42:F42)/SUM($E41:F41)</f>
        <v>0.34873323397913564</v>
      </c>
      <c r="G44" s="18">
        <f>SUM($E42:G42)/SUM($E41:G41)</f>
        <v>0.23493975903614459</v>
      </c>
      <c r="H44" s="7">
        <f>SUM($E42:H42)/SUM($E41:H41)</f>
        <v>0.18742490989187024</v>
      </c>
      <c r="I44" s="7">
        <f>SUM($E42:I42)/SUM($E41:I41)</f>
        <v>0.1446676970633694</v>
      </c>
      <c r="J44" s="15">
        <f>SUM($E42:J42)/SUM($E41:J41)</f>
        <v>0.11312545322697606</v>
      </c>
      <c r="K44" s="14">
        <f>SUM($E42:K42)/SUM($E41:K41)</f>
        <v>8.948374760994264E-2</v>
      </c>
      <c r="L44" s="7">
        <f>SUM($E42:L42)/SUM($E41:L41)</f>
        <v>8.1363004172461756E-2</v>
      </c>
      <c r="M44" s="18">
        <f>SUM($E42:M42)/SUM($E41:M41)</f>
        <v>7.5642476159689678E-2</v>
      </c>
      <c r="N44" s="7">
        <f>SUM($E42:N42)/SUM($E41:N41)</f>
        <v>6.9271758436944941E-2</v>
      </c>
      <c r="O44" s="7">
        <f>SUM($E42:O42)/SUM($E41:O41)</f>
        <v>6.4436183395291197E-2</v>
      </c>
      <c r="P44" s="15">
        <f>SUM($E42:P42)/SUM($E41:P41)</f>
        <v>5.9496567505720827E-2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>
      <c r="A46" s="505" t="s">
        <v>31</v>
      </c>
      <c r="B46" s="506"/>
      <c r="C46" s="509" t="s">
        <v>23</v>
      </c>
      <c r="D46" s="510"/>
      <c r="E46" s="504" t="s">
        <v>19</v>
      </c>
      <c r="F46" s="502"/>
      <c r="G46" s="502"/>
      <c r="H46" s="502"/>
      <c r="I46" s="502"/>
      <c r="J46" s="503"/>
      <c r="K46" s="501" t="s">
        <v>20</v>
      </c>
      <c r="L46" s="502"/>
      <c r="M46" s="502"/>
      <c r="N46" s="502"/>
      <c r="O46" s="502"/>
      <c r="P46" s="503"/>
      <c r="Q46" s="29"/>
    </row>
    <row r="47" spans="1:19" ht="19.5" thickBot="1">
      <c r="A47" s="507"/>
      <c r="B47" s="508"/>
      <c r="C47" s="511"/>
      <c r="D47" s="512"/>
      <c r="E47" s="33" t="s">
        <v>0</v>
      </c>
      <c r="F47" s="34" t="s">
        <v>1</v>
      </c>
      <c r="G47" s="34" t="s">
        <v>2</v>
      </c>
      <c r="H47" s="34" t="s">
        <v>3</v>
      </c>
      <c r="I47" s="34" t="s">
        <v>4</v>
      </c>
      <c r="J47" s="35" t="s">
        <v>5</v>
      </c>
      <c r="K47" s="36" t="s">
        <v>6</v>
      </c>
      <c r="L47" s="34" t="s">
        <v>7</v>
      </c>
      <c r="M47" s="34" t="s">
        <v>8</v>
      </c>
      <c r="N47" s="34" t="s">
        <v>9</v>
      </c>
      <c r="O47" s="34" t="s">
        <v>10</v>
      </c>
      <c r="P47" s="3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106" t="s">
        <v>77</v>
      </c>
      <c r="F48" s="74" t="s">
        <v>78</v>
      </c>
      <c r="G48" s="74" t="s">
        <v>79</v>
      </c>
      <c r="H48" s="74" t="s">
        <v>80</v>
      </c>
      <c r="I48" s="74" t="s">
        <v>81</v>
      </c>
      <c r="J48" s="80" t="s">
        <v>82</v>
      </c>
      <c r="K48" s="93" t="s">
        <v>83</v>
      </c>
      <c r="L48" s="74" t="s">
        <v>84</v>
      </c>
      <c r="M48" s="95" t="s">
        <v>83</v>
      </c>
      <c r="N48" s="74" t="s">
        <v>83</v>
      </c>
      <c r="O48" s="74" t="s">
        <v>84</v>
      </c>
      <c r="P48" s="80" t="s">
        <v>83</v>
      </c>
    </row>
    <row r="49" spans="1:16" ht="39" customHeight="1">
      <c r="A49" s="441"/>
      <c r="B49" s="442"/>
      <c r="C49" s="486" t="str">
        <f>A7</f>
        <v>手芸量販</v>
      </c>
      <c r="D49" s="81" t="s">
        <v>34</v>
      </c>
      <c r="E49" s="82" t="s">
        <v>129</v>
      </c>
      <c r="F49" s="83" t="s">
        <v>130</v>
      </c>
      <c r="G49" s="83" t="s">
        <v>130</v>
      </c>
      <c r="H49" s="83" t="s">
        <v>85</v>
      </c>
      <c r="I49" s="83" t="s">
        <v>131</v>
      </c>
      <c r="J49" s="84" t="s">
        <v>132</v>
      </c>
      <c r="K49" s="82" t="s">
        <v>132</v>
      </c>
      <c r="L49" s="83" t="s">
        <v>129</v>
      </c>
      <c r="M49" s="83" t="s">
        <v>132</v>
      </c>
      <c r="N49" s="83" t="s">
        <v>132</v>
      </c>
      <c r="O49" s="83" t="s">
        <v>129</v>
      </c>
      <c r="P49" s="84" t="s">
        <v>133</v>
      </c>
    </row>
    <row r="50" spans="1:16" ht="39" customHeight="1">
      <c r="A50" s="441"/>
      <c r="B50" s="442"/>
      <c r="C50" s="487"/>
      <c r="D50" s="85" t="s">
        <v>32</v>
      </c>
      <c r="E50" s="86" t="s">
        <v>134</v>
      </c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リバーレース
リボン・テープ等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　</v>
      </c>
      <c r="D53" s="81" t="s">
        <v>34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　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107"/>
      <c r="F56" s="74"/>
      <c r="G56" s="108"/>
      <c r="H56" s="108"/>
      <c r="I56" s="78"/>
      <c r="J56" s="80"/>
      <c r="K56" s="93"/>
      <c r="L56" s="78"/>
      <c r="M56" s="74"/>
      <c r="N56" s="74"/>
      <c r="O56" s="78"/>
      <c r="P56" s="80"/>
    </row>
    <row r="57" spans="1:16" ht="39" customHeight="1">
      <c r="A57" s="441"/>
      <c r="B57" s="442"/>
      <c r="C57" s="486" t="str">
        <f>A27</f>
        <v>　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109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　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7BA7D-F5F9-4E61-9C28-44DDB48A44B3}">
  <sheetPr codeName="Sheet7">
    <tabColor theme="1" tint="0.499984740745262"/>
  </sheetPr>
  <dimension ref="A1:S59"/>
  <sheetViews>
    <sheetView showGridLines="0" zoomScale="78" zoomScaleNormal="78" workbookViewId="0">
      <selection activeCell="R50" sqref="R50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74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530"/>
      <c r="K5" s="445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>
      <c r="A7" s="527" t="s">
        <v>75</v>
      </c>
      <c r="B7" s="466" t="s">
        <v>98</v>
      </c>
      <c r="C7" s="450" t="s">
        <v>15</v>
      </c>
      <c r="D7" s="112" t="s">
        <v>13</v>
      </c>
      <c r="E7" s="113">
        <v>0</v>
      </c>
      <c r="F7" s="114">
        <v>160</v>
      </c>
      <c r="G7" s="114">
        <v>170</v>
      </c>
      <c r="H7" s="114">
        <v>3690</v>
      </c>
      <c r="I7" s="114">
        <v>12060</v>
      </c>
      <c r="J7" s="117">
        <v>6260</v>
      </c>
      <c r="K7" s="113">
        <v>6540</v>
      </c>
      <c r="L7" s="114">
        <v>6260</v>
      </c>
      <c r="M7" s="114">
        <v>6290</v>
      </c>
      <c r="N7" s="114">
        <v>6540</v>
      </c>
      <c r="O7" s="114">
        <v>9520</v>
      </c>
      <c r="P7" s="115">
        <v>12510</v>
      </c>
      <c r="Q7" s="118">
        <f>SUM(E7:P7)</f>
        <v>70000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92.4</v>
      </c>
      <c r="F8" s="136">
        <f ca="1">SUMIFS(INDIRECT($B$1&amp;"INV!$K:$K"),INDIRECT($B$1&amp;"INV!$A:$A"),$A7,INDIRECT($B$1&amp;"INV!$G:$G"),"&gt;="&amp;F$6,INDIRECT($B$1&amp;"INV!$G:$G"),"&lt;"&amp;EOMONTH(F$6,0)+1)/1000</f>
        <v>204.4</v>
      </c>
      <c r="G8" s="136">
        <f ca="1">SUMIFS(INDIRECT($B$1&amp;"INV!$K:$K"),INDIRECT($B$1&amp;"INV!$A:$A"),$A7,INDIRECT($B$1&amp;"INV!$G:$G"),"&gt;="&amp;G$6,INDIRECT($B$1&amp;"INV!$G:$G"),"&lt;"&amp;EOMONTH(G$6,0)+1)/1000</f>
        <v>249.6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7918.4</v>
      </c>
      <c r="I8" s="136">
        <f t="shared" ca="1" si="0"/>
        <v>83.2</v>
      </c>
      <c r="J8" s="139">
        <f t="shared" ca="1" si="0"/>
        <v>166.4</v>
      </c>
      <c r="K8" s="135">
        <f t="shared" ca="1" si="0"/>
        <v>15678.4</v>
      </c>
      <c r="L8" s="136">
        <f t="shared" ca="1" si="0"/>
        <v>0</v>
      </c>
      <c r="M8" s="136">
        <f t="shared" ca="1" si="0"/>
        <v>1900.8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26293.599999999999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 t="e">
        <f ca="1">E8/E7</f>
        <v>#DIV/0!</v>
      </c>
      <c r="F9" s="4">
        <f t="shared" ref="F9:Q9" ca="1" si="1">F8/F7</f>
        <v>1.2775000000000001</v>
      </c>
      <c r="G9" s="4">
        <f t="shared" ca="1" si="1"/>
        <v>1.4682352941176471</v>
      </c>
      <c r="H9" s="4">
        <f t="shared" ca="1" si="1"/>
        <v>2.1459078590785907</v>
      </c>
      <c r="I9" s="4">
        <f t="shared" ca="1" si="1"/>
        <v>6.8988391376451083E-3</v>
      </c>
      <c r="J9" s="16">
        <f t="shared" ca="1" si="1"/>
        <v>2.6581469648562301E-2</v>
      </c>
      <c r="K9" s="11">
        <f t="shared" ca="1" si="1"/>
        <v>2.3973088685015291</v>
      </c>
      <c r="L9" s="4">
        <f t="shared" ca="1" si="1"/>
        <v>0</v>
      </c>
      <c r="M9" s="4">
        <f t="shared" ca="1" si="1"/>
        <v>0.3021939586645469</v>
      </c>
      <c r="N9" s="4">
        <f t="shared" ca="1" si="1"/>
        <v>0</v>
      </c>
      <c r="O9" s="4">
        <f t="shared" ca="1" si="1"/>
        <v>0</v>
      </c>
      <c r="P9" s="6">
        <f t="shared" ca="1" si="1"/>
        <v>0</v>
      </c>
      <c r="Q9" s="26">
        <f t="shared" ca="1" si="1"/>
        <v>0.37562285714285715</v>
      </c>
    </row>
    <row r="10" spans="1:19">
      <c r="A10" s="464"/>
      <c r="B10" s="467"/>
      <c r="C10" s="451"/>
      <c r="D10" s="22" t="s">
        <v>18</v>
      </c>
      <c r="E10" s="12" t="e">
        <f ca="1">SUM($E8:E8)/SUM($E7:E7)</f>
        <v>#DIV/0!</v>
      </c>
      <c r="F10" s="5">
        <f ca="1">SUM($E8:F8)/SUM($E7:F7)</f>
        <v>1.855</v>
      </c>
      <c r="G10" s="5">
        <f ca="1">SUM($E8:G8)/SUM($E7:G7)</f>
        <v>1.6557575757575758</v>
      </c>
      <c r="H10" s="5">
        <f ca="1">SUM($E8:H8)/SUM($E7:H7)</f>
        <v>2.1056716417910444</v>
      </c>
      <c r="I10" s="5">
        <f ca="1">SUM($E8:I8)/SUM($E7:I7)</f>
        <v>0.53159203980099501</v>
      </c>
      <c r="J10" s="17">
        <f ca="1">SUM($E8:J8)/SUM($E7:J7)</f>
        <v>0.39008057296329451</v>
      </c>
      <c r="K10" s="12">
        <f ca="1">SUM($E8:K8)/SUM($E7:K7)</f>
        <v>0.84462603878116338</v>
      </c>
      <c r="L10" s="5">
        <f ca="1">SUM($E8:L8)/SUM($E7:L7)</f>
        <v>0.69416050085372794</v>
      </c>
      <c r="M10" s="5">
        <f ca="1">SUM($E8:M8)/SUM($E7:M7)</f>
        <v>0.63465121892348542</v>
      </c>
      <c r="N10" s="5">
        <f ca="1">SUM($E8:N8)/SUM($E7:N7)</f>
        <v>0.54812591202835104</v>
      </c>
      <c r="O10" s="5">
        <f ca="1">SUM($E8:O8)/SUM($E7:O7)</f>
        <v>0.45735954078970253</v>
      </c>
      <c r="P10" s="13">
        <f ca="1">SUM($E8:P8)/SUM($E7:P7)</f>
        <v>0.37562285714285715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13">
        <v>0</v>
      </c>
      <c r="F11" s="114">
        <v>140</v>
      </c>
      <c r="G11" s="114">
        <v>150</v>
      </c>
      <c r="H11" s="114">
        <v>3210</v>
      </c>
      <c r="I11" s="114">
        <v>10490</v>
      </c>
      <c r="J11" s="115">
        <v>5450</v>
      </c>
      <c r="K11" s="116">
        <v>5690</v>
      </c>
      <c r="L11" s="114">
        <v>5450</v>
      </c>
      <c r="M11" s="114">
        <v>5470</v>
      </c>
      <c r="N11" s="114">
        <v>5690</v>
      </c>
      <c r="O11" s="114">
        <v>8280</v>
      </c>
      <c r="P11" s="117">
        <v>10880</v>
      </c>
      <c r="Q11" s="125">
        <f>SUM(E11:P11)</f>
        <v>60900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82.6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181.2</v>
      </c>
      <c r="G12" s="142">
        <f t="shared" ca="1" si="2"/>
        <v>208.5</v>
      </c>
      <c r="H12" s="142">
        <f t="shared" ca="1" si="2"/>
        <v>7084.2</v>
      </c>
      <c r="I12" s="142">
        <f t="shared" ca="1" si="2"/>
        <v>68.5</v>
      </c>
      <c r="J12" s="145">
        <f t="shared" ca="1" si="2"/>
        <v>137.04499999999999</v>
      </c>
      <c r="K12" s="147">
        <f t="shared" ca="1" si="2"/>
        <v>13868.594999999999</v>
      </c>
      <c r="L12" s="142">
        <f t="shared" ca="1" si="2"/>
        <v>0</v>
      </c>
      <c r="M12" s="142">
        <f t="shared" ca="1" si="2"/>
        <v>1532.27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23162.91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0</v>
      </c>
      <c r="F13" s="121">
        <f t="shared" ref="F13:P13" si="3">F7-F11</f>
        <v>20</v>
      </c>
      <c r="G13" s="121">
        <f t="shared" si="3"/>
        <v>20</v>
      </c>
      <c r="H13" s="121">
        <f t="shared" si="3"/>
        <v>480</v>
      </c>
      <c r="I13" s="121">
        <f t="shared" si="3"/>
        <v>1570</v>
      </c>
      <c r="J13" s="124">
        <f t="shared" si="3"/>
        <v>810</v>
      </c>
      <c r="K13" s="120">
        <f t="shared" si="3"/>
        <v>850</v>
      </c>
      <c r="L13" s="121">
        <f t="shared" si="3"/>
        <v>810</v>
      </c>
      <c r="M13" s="121">
        <f t="shared" si="3"/>
        <v>820</v>
      </c>
      <c r="N13" s="121">
        <f t="shared" si="3"/>
        <v>850</v>
      </c>
      <c r="O13" s="121">
        <f t="shared" si="3"/>
        <v>1240</v>
      </c>
      <c r="P13" s="122">
        <f t="shared" si="3"/>
        <v>1630</v>
      </c>
      <c r="Q13" s="125">
        <f>SUM(E13:P13)</f>
        <v>9100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9.8000000000000114</v>
      </c>
      <c r="F14" s="136">
        <f t="shared" ref="F14:P14" ca="1" si="4">F8-F12</f>
        <v>23.200000000000017</v>
      </c>
      <c r="G14" s="136">
        <f t="shared" ca="1" si="4"/>
        <v>41.099999999999994</v>
      </c>
      <c r="H14" s="136">
        <f t="shared" ca="1" si="4"/>
        <v>834.19999999999982</v>
      </c>
      <c r="I14" s="136">
        <f t="shared" ca="1" si="4"/>
        <v>14.700000000000003</v>
      </c>
      <c r="J14" s="139">
        <f t="shared" ca="1" si="4"/>
        <v>29.355000000000018</v>
      </c>
      <c r="K14" s="135">
        <f t="shared" ca="1" si="4"/>
        <v>1809.8050000000003</v>
      </c>
      <c r="L14" s="136">
        <f t="shared" ca="1" si="4"/>
        <v>0</v>
      </c>
      <c r="M14" s="136">
        <f t="shared" ca="1" si="4"/>
        <v>368.53</v>
      </c>
      <c r="N14" s="136">
        <f t="shared" ca="1" si="4"/>
        <v>0</v>
      </c>
      <c r="O14" s="136">
        <f t="shared" ca="1" si="4"/>
        <v>0</v>
      </c>
      <c r="P14" s="137">
        <f t="shared" ca="1" si="4"/>
        <v>0</v>
      </c>
      <c r="Q14" s="140">
        <f ca="1">SUM(E14:P14)</f>
        <v>3130.6900000000005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 t="e">
        <f ca="1">E14/E13</f>
        <v>#DIV/0!</v>
      </c>
      <c r="F15" s="4">
        <f t="shared" ref="F15:Q15" ca="1" si="5">F14/F13</f>
        <v>1.1600000000000008</v>
      </c>
      <c r="G15" s="4">
        <f t="shared" ca="1" si="5"/>
        <v>2.0549999999999997</v>
      </c>
      <c r="H15" s="4">
        <f t="shared" ca="1" si="5"/>
        <v>1.7379166666666663</v>
      </c>
      <c r="I15" s="4">
        <f t="shared" ca="1" si="5"/>
        <v>9.3630573248407664E-3</v>
      </c>
      <c r="J15" s="16">
        <f t="shared" ca="1" si="5"/>
        <v>3.6240740740740761E-2</v>
      </c>
      <c r="K15" s="11">
        <f t="shared" ca="1" si="5"/>
        <v>2.1291823529411769</v>
      </c>
      <c r="L15" s="4">
        <f t="shared" ca="1" si="5"/>
        <v>0</v>
      </c>
      <c r="M15" s="4">
        <f t="shared" ca="1" si="5"/>
        <v>0.44942682926829264</v>
      </c>
      <c r="N15" s="4">
        <f t="shared" ca="1" si="5"/>
        <v>0</v>
      </c>
      <c r="O15" s="4">
        <f t="shared" ca="1" si="5"/>
        <v>0</v>
      </c>
      <c r="P15" s="6">
        <f t="shared" ca="1" si="5"/>
        <v>0</v>
      </c>
      <c r="Q15" s="26">
        <f t="shared" ca="1" si="5"/>
        <v>0.3440318681318682</v>
      </c>
      <c r="R15" s="65"/>
    </row>
    <row r="16" spans="1:19" ht="19.5" thickBot="1">
      <c r="A16" s="465"/>
      <c r="B16" s="468"/>
      <c r="C16" s="454"/>
      <c r="D16" s="23" t="s">
        <v>18</v>
      </c>
      <c r="E16" s="14" t="e">
        <f ca="1">SUM($E14:E14)/SUM($E13:E13)</f>
        <v>#DIV/0!</v>
      </c>
      <c r="F16" s="7">
        <f ca="1">SUM($E14:F14)/SUM($E13:F13)</f>
        <v>1.6500000000000015</v>
      </c>
      <c r="G16" s="7">
        <f ca="1">SUM($E14:G14)/SUM($E13:G13)</f>
        <v>1.8525000000000005</v>
      </c>
      <c r="H16" s="7">
        <f ca="1">SUM($E14:H14)/SUM($E13:H13)</f>
        <v>1.746730769230769</v>
      </c>
      <c r="I16" s="7">
        <f ca="1">SUM($E14:I14)/SUM($E13:I13)</f>
        <v>0.44162679425837315</v>
      </c>
      <c r="J16" s="18">
        <f ca="1">SUM($E14:J14)/SUM($E13:J13)</f>
        <v>0.32839827586206893</v>
      </c>
      <c r="K16" s="14">
        <f ca="1">SUM($E14:K14)/SUM($E13:K13)</f>
        <v>0.73657600000000012</v>
      </c>
      <c r="L16" s="7">
        <f ca="1">SUM($E14:L14)/SUM($E13:L13)</f>
        <v>0.60573684210526324</v>
      </c>
      <c r="M16" s="7">
        <f ca="1">SUM($E14:M14)/SUM($E13:M13)</f>
        <v>0.58191263940520455</v>
      </c>
      <c r="N16" s="7">
        <f ca="1">SUM($E14:N14)/SUM($E13:N13)</f>
        <v>0.50251845906902093</v>
      </c>
      <c r="O16" s="7">
        <f ca="1">SUM($E14:O14)/SUM($E13:O13)</f>
        <v>0.41910174029451147</v>
      </c>
      <c r="P16" s="15">
        <f ca="1">SUM($E14:P14)/SUM($E13:P13)</f>
        <v>0.3440318681318682</v>
      </c>
      <c r="Q16" s="28" t="s">
        <v>22</v>
      </c>
      <c r="R16" s="59"/>
      <c r="S16"/>
    </row>
    <row r="17" spans="1:19">
      <c r="A17" s="527" t="s">
        <v>87</v>
      </c>
      <c r="B17" s="466" t="s">
        <v>98</v>
      </c>
      <c r="C17" s="450" t="s">
        <v>15</v>
      </c>
      <c r="D17" s="112" t="s">
        <v>13</v>
      </c>
      <c r="E17" s="113">
        <v>3010</v>
      </c>
      <c r="F17" s="114">
        <v>2370</v>
      </c>
      <c r="G17" s="114">
        <v>4840</v>
      </c>
      <c r="H17" s="114">
        <v>2380</v>
      </c>
      <c r="I17" s="114">
        <v>110</v>
      </c>
      <c r="J17" s="115">
        <v>8140</v>
      </c>
      <c r="K17" s="116">
        <v>5320</v>
      </c>
      <c r="L17" s="114">
        <v>4320</v>
      </c>
      <c r="M17" s="114">
        <v>9860</v>
      </c>
      <c r="N17" s="114">
        <v>3690</v>
      </c>
      <c r="O17" s="114">
        <v>2530</v>
      </c>
      <c r="P17" s="117">
        <v>3850</v>
      </c>
      <c r="Q17" s="118">
        <f>SUM(E17:P17)</f>
        <v>50420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6118</v>
      </c>
      <c r="F18" s="136">
        <f ca="1">SUMIFS(INDIRECT($B$1&amp;"INV!$K:$K"),INDIRECT($B$1&amp;"INV!$A:$A"),$A17,INDIRECT($B$1&amp;"INV!$G:$G"),"&gt;="&amp;F$6,INDIRECT($B$1&amp;"INV!$G:$G"),"&lt;"&amp;EOMONTH(F$6,0)+1)/1000</f>
        <v>5111</v>
      </c>
      <c r="G18" s="136">
        <f ca="1">SUMIFS(INDIRECT($B$1&amp;"INV!$K:$K"),INDIRECT($B$1&amp;"INV!$A:$A"),$A17,INDIRECT($B$1&amp;"INV!$G:$G"),"&gt;="&amp;G$6,INDIRECT($B$1&amp;"INV!$G:$G"),"&lt;"&amp;EOMONTH(G$6,0)+1)/1000</f>
        <v>0</v>
      </c>
      <c r="H18" s="136">
        <f t="shared" ref="H18" ca="1" si="6">SUMIFS(INDIRECT($B$1&amp;"INV!$K:$K"),INDIRECT($B$1&amp;"INV!$A:$A"),$A17,INDIRECT($B$1&amp;"INV!$G:$G"),"&gt;="&amp;H$6,INDIRECT($B$1&amp;"INV!$G:$G"),"&lt;"&amp;EOMONTH(H$6,0)+1)/1000</f>
        <v>6372</v>
      </c>
      <c r="I18" s="136">
        <f t="shared" ref="I18" ca="1" si="7">SUMIFS(INDIRECT($B$1&amp;"INV!$K:$K"),INDIRECT($B$1&amp;"INV!$A:$A"),$A17,INDIRECT($B$1&amp;"INV!$G:$G"),"&gt;="&amp;I$6,INDIRECT($B$1&amp;"INV!$G:$G"),"&lt;"&amp;EOMONTH(I$6,0)+1)/1000</f>
        <v>4743</v>
      </c>
      <c r="J18" s="139">
        <f t="shared" ref="J18" ca="1" si="8">SUMIFS(INDIRECT($B$1&amp;"INV!$K:$K"),INDIRECT($B$1&amp;"INV!$A:$A"),$A17,INDIRECT($B$1&amp;"INV!$G:$G"),"&gt;="&amp;J$6,INDIRECT($B$1&amp;"INV!$G:$G"),"&lt;"&amp;EOMONTH(J$6,0)+1)/1000</f>
        <v>3582</v>
      </c>
      <c r="K18" s="135">
        <f t="shared" ref="K18" ca="1" si="9">SUMIFS(INDIRECT($B$1&amp;"INV!$K:$K"),INDIRECT($B$1&amp;"INV!$A:$A"),$A17,INDIRECT($B$1&amp;"INV!$G:$G"),"&gt;="&amp;K$6,INDIRECT($B$1&amp;"INV!$G:$G"),"&lt;"&amp;EOMONTH(K$6,0)+1)/1000</f>
        <v>7857</v>
      </c>
      <c r="L18" s="136">
        <f t="shared" ref="L18" ca="1" si="10">SUMIFS(INDIRECT($B$1&amp;"INV!$K:$K"),INDIRECT($B$1&amp;"INV!$A:$A"),$A17,INDIRECT($B$1&amp;"INV!$G:$G"),"&gt;="&amp;L$6,INDIRECT($B$1&amp;"INV!$G:$G"),"&lt;"&amp;EOMONTH(L$6,0)+1)/1000</f>
        <v>0</v>
      </c>
      <c r="M18" s="136">
        <f t="shared" ref="M18" ca="1" si="11">SUMIFS(INDIRECT($B$1&amp;"INV!$K:$K"),INDIRECT($B$1&amp;"INV!$A:$A"),$A17,INDIRECT($B$1&amp;"INV!$G:$G"),"&gt;="&amp;M$6,INDIRECT($B$1&amp;"INV!$G:$G"),"&lt;"&amp;EOMONTH(M$6,0)+1)/1000</f>
        <v>8019.6</v>
      </c>
      <c r="N18" s="136">
        <f t="shared" ref="N18" ca="1" si="12">SUMIFS(INDIRECT($B$1&amp;"INV!$K:$K"),INDIRECT($B$1&amp;"INV!$A:$A"),$A17,INDIRECT($B$1&amp;"INV!$G:$G"),"&gt;="&amp;N$6,INDIRECT($B$1&amp;"INV!$G:$G"),"&lt;"&amp;EOMONTH(N$6,0)+1)/1000</f>
        <v>237.6</v>
      </c>
      <c r="O18" s="136">
        <f t="shared" ref="O18" ca="1" si="13">SUMIFS(INDIRECT($B$1&amp;"INV!$K:$K"),INDIRECT($B$1&amp;"INV!$A:$A"),$A17,INDIRECT($B$1&amp;"INV!$G:$G"),"&gt;="&amp;O$6,INDIRECT($B$1&amp;"INV!$G:$G"),"&lt;"&amp;EOMONTH(O$6,0)+1)/1000</f>
        <v>0</v>
      </c>
      <c r="P18" s="137">
        <f t="shared" ref="P18" ca="1" si="14">SUMIFS(INDIRECT($B$1&amp;"INV!$K:$K"),INDIRECT($B$1&amp;"INV!$A:$A"),$A17,INDIRECT($B$1&amp;"INV!$G:$G"),"&gt;="&amp;P$6,INDIRECT($B$1&amp;"INV!$G:$G"),"&lt;"&amp;EOMONTH(P$6,0)+1)/1000</f>
        <v>0</v>
      </c>
      <c r="Q18" s="140">
        <f ca="1">SUM(E18:P18)</f>
        <v>42040.2</v>
      </c>
      <c r="R18" s="483"/>
      <c r="S18" s="69" t="str">
        <f ca="1">IFERROR(Q18/R17,"")</f>
        <v/>
      </c>
    </row>
    <row r="19" spans="1:19">
      <c r="A19" s="464"/>
      <c r="B19" s="467"/>
      <c r="C19" s="450"/>
      <c r="D19" s="21" t="s">
        <v>17</v>
      </c>
      <c r="E19" s="11">
        <f ca="1">E18/E17</f>
        <v>2.0325581395348835</v>
      </c>
      <c r="F19" s="4">
        <f t="shared" ref="F19:Q19" ca="1" si="15">F18/F17</f>
        <v>2.1565400843881855</v>
      </c>
      <c r="G19" s="4">
        <f t="shared" ca="1" si="15"/>
        <v>0</v>
      </c>
      <c r="H19" s="4">
        <f t="shared" ca="1" si="15"/>
        <v>2.6773109243697477</v>
      </c>
      <c r="I19" s="4">
        <f t="shared" ca="1" si="15"/>
        <v>43.118181818181817</v>
      </c>
      <c r="J19" s="6">
        <f t="shared" ca="1" si="15"/>
        <v>0.44004914004914003</v>
      </c>
      <c r="K19" s="8">
        <f t="shared" ca="1" si="15"/>
        <v>1.4768796992481203</v>
      </c>
      <c r="L19" s="4">
        <f t="shared" ca="1" si="15"/>
        <v>0</v>
      </c>
      <c r="M19" s="4">
        <f t="shared" ca="1" si="15"/>
        <v>0.81334685598377288</v>
      </c>
      <c r="N19" s="4">
        <f t="shared" ca="1" si="15"/>
        <v>6.4390243902439026E-2</v>
      </c>
      <c r="O19" s="4">
        <f t="shared" ca="1" si="15"/>
        <v>0</v>
      </c>
      <c r="P19" s="16">
        <f t="shared" ca="1" si="15"/>
        <v>0</v>
      </c>
      <c r="Q19" s="26">
        <f t="shared" ca="1" si="15"/>
        <v>0.83380007933359768</v>
      </c>
      <c r="R19" s="59"/>
      <c r="S19"/>
    </row>
    <row r="20" spans="1:19">
      <c r="A20" s="464"/>
      <c r="B20" s="467"/>
      <c r="C20" s="451"/>
      <c r="D20" s="22" t="s">
        <v>18</v>
      </c>
      <c r="E20" s="12">
        <f ca="1">SUM($E18:E18)/SUM($E17:E17)</f>
        <v>2.0325581395348835</v>
      </c>
      <c r="F20" s="5">
        <f ca="1">SUM($E18:F18)/SUM($E17:F17)</f>
        <v>2.0871747211895912</v>
      </c>
      <c r="G20" s="5">
        <f ca="1">SUM($E18:G18)/SUM($E17:G17)</f>
        <v>1.0987279843444226</v>
      </c>
      <c r="H20" s="5">
        <f ca="1">SUM($E18:H18)/SUM($E17:H17)</f>
        <v>1.3969047619047619</v>
      </c>
      <c r="I20" s="5">
        <f ca="1">SUM($E18:I18)/SUM($E17:I17)</f>
        <v>1.7579858379228954</v>
      </c>
      <c r="J20" s="13">
        <f ca="1">SUM($E18:J18)/SUM($E17:J17)</f>
        <v>1.243453237410072</v>
      </c>
      <c r="K20" s="9">
        <f ca="1">SUM($E18:K18)/SUM($E17:K17)</f>
        <v>1.2909056171188384</v>
      </c>
      <c r="L20" s="5">
        <f ca="1">SUM($E18:L18)/SUM($E17:L17)</f>
        <v>1.1080026238110856</v>
      </c>
      <c r="M20" s="5">
        <f ca="1">SUM($E18:M18)/SUM($E17:M17)</f>
        <v>1.036</v>
      </c>
      <c r="N20" s="5">
        <f ca="1">SUM($E18:N18)/SUM($E17:N17)</f>
        <v>0.95459128065395094</v>
      </c>
      <c r="O20" s="5">
        <f ca="1">SUM($E18:O18)/SUM($E17:O17)</f>
        <v>0.90273137212797927</v>
      </c>
      <c r="P20" s="17">
        <f ca="1">SUM($E18:P18)/SUM($E17:P17)</f>
        <v>0.83380007933359768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2880</v>
      </c>
      <c r="F21" s="121">
        <v>2160</v>
      </c>
      <c r="G21" s="121">
        <v>4340</v>
      </c>
      <c r="H21" s="121">
        <v>2150</v>
      </c>
      <c r="I21" s="121">
        <v>100</v>
      </c>
      <c r="J21" s="122">
        <v>7520</v>
      </c>
      <c r="K21" s="123">
        <v>4830</v>
      </c>
      <c r="L21" s="121">
        <v>4080</v>
      </c>
      <c r="M21" s="121">
        <v>9210</v>
      </c>
      <c r="N21" s="121">
        <v>3490</v>
      </c>
      <c r="O21" s="121">
        <v>2400</v>
      </c>
      <c r="P21" s="124">
        <v>3550</v>
      </c>
      <c r="Q21" s="125">
        <f>SUM(E21:P21)</f>
        <v>46710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5695.6</v>
      </c>
      <c r="F22" s="142">
        <f t="shared" ref="F22:P22" ca="1" si="16">SUMIFS(INDIRECT($B$1&amp;"INV!$N:$N"),INDIRECT($B$1&amp;"INV!$A:$A"),$A17,INDIRECT($B$1&amp;"INV!$G:$G"),"&gt;="&amp;F$6,INDIRECT($B$1&amp;"INV!$G:$G"),"&lt;"&amp;EOMONTH(F$6,0)+1)/1000</f>
        <v>4687.1000000000004</v>
      </c>
      <c r="G22" s="142">
        <f t="shared" ca="1" si="16"/>
        <v>0</v>
      </c>
      <c r="H22" s="142">
        <f t="shared" ca="1" si="16"/>
        <v>5823.5</v>
      </c>
      <c r="I22" s="142">
        <f t="shared" ca="1" si="16"/>
        <v>4337.8100000000004</v>
      </c>
      <c r="J22" s="145">
        <f t="shared" ca="1" si="16"/>
        <v>3272.65</v>
      </c>
      <c r="K22" s="147">
        <f t="shared" ca="1" si="16"/>
        <v>7149</v>
      </c>
      <c r="L22" s="142">
        <f t="shared" ca="1" si="16"/>
        <v>0</v>
      </c>
      <c r="M22" s="142">
        <f t="shared" ca="1" si="16"/>
        <v>7438.8</v>
      </c>
      <c r="N22" s="142">
        <f t="shared" ca="1" si="16"/>
        <v>214.9</v>
      </c>
      <c r="O22" s="142">
        <f t="shared" ca="1" si="16"/>
        <v>0</v>
      </c>
      <c r="P22" s="143">
        <f t="shared" ca="1" si="16"/>
        <v>0</v>
      </c>
      <c r="Q22" s="146">
        <f ca="1">SUM(E22:P22)</f>
        <v>38619.360000000008</v>
      </c>
      <c r="R22" s="488"/>
      <c r="S22" s="70" t="str">
        <f ca="1"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130</v>
      </c>
      <c r="F23" s="121">
        <f t="shared" ref="F23:P24" si="17">F17-F21</f>
        <v>210</v>
      </c>
      <c r="G23" s="121">
        <f t="shared" si="17"/>
        <v>500</v>
      </c>
      <c r="H23" s="121">
        <f t="shared" si="17"/>
        <v>230</v>
      </c>
      <c r="I23" s="121">
        <f t="shared" si="17"/>
        <v>10</v>
      </c>
      <c r="J23" s="122">
        <f t="shared" si="17"/>
        <v>620</v>
      </c>
      <c r="K23" s="123">
        <f t="shared" si="17"/>
        <v>490</v>
      </c>
      <c r="L23" s="121">
        <f t="shared" si="17"/>
        <v>240</v>
      </c>
      <c r="M23" s="121">
        <f t="shared" si="17"/>
        <v>650</v>
      </c>
      <c r="N23" s="121">
        <f t="shared" si="17"/>
        <v>200</v>
      </c>
      <c r="O23" s="121">
        <f t="shared" si="17"/>
        <v>130</v>
      </c>
      <c r="P23" s="124">
        <f t="shared" si="17"/>
        <v>300</v>
      </c>
      <c r="Q23" s="125">
        <f>SUM(E23:P23)</f>
        <v>3710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>
        <f ca="1">E18-E22</f>
        <v>422.39999999999964</v>
      </c>
      <c r="F24" s="136">
        <f t="shared" ca="1" si="17"/>
        <v>423.89999999999964</v>
      </c>
      <c r="G24" s="136">
        <f t="shared" ca="1" si="17"/>
        <v>0</v>
      </c>
      <c r="H24" s="136">
        <f t="shared" ca="1" si="17"/>
        <v>548.5</v>
      </c>
      <c r="I24" s="136">
        <f t="shared" ca="1" si="17"/>
        <v>405.1899999999996</v>
      </c>
      <c r="J24" s="139">
        <f t="shared" ca="1" si="17"/>
        <v>309.34999999999991</v>
      </c>
      <c r="K24" s="135">
        <f t="shared" ca="1" si="17"/>
        <v>708</v>
      </c>
      <c r="L24" s="136">
        <f t="shared" ca="1" si="17"/>
        <v>0</v>
      </c>
      <c r="M24" s="136">
        <f t="shared" ca="1" si="17"/>
        <v>580.80000000000018</v>
      </c>
      <c r="N24" s="136">
        <f t="shared" ca="1" si="17"/>
        <v>22.699999999999989</v>
      </c>
      <c r="O24" s="136">
        <f t="shared" ca="1" si="17"/>
        <v>0</v>
      </c>
      <c r="P24" s="137">
        <f t="shared" ca="1" si="17"/>
        <v>0</v>
      </c>
      <c r="Q24" s="140">
        <f ca="1">SUM(E24:P24)</f>
        <v>3420.8399999999988</v>
      </c>
      <c r="R24" s="483"/>
      <c r="S24" s="69" t="str">
        <f ca="1">IFERROR(Q24/R23,"")</f>
        <v/>
      </c>
    </row>
    <row r="25" spans="1:19">
      <c r="A25" s="464"/>
      <c r="B25" s="467"/>
      <c r="C25" s="453"/>
      <c r="D25" s="21" t="s">
        <v>17</v>
      </c>
      <c r="E25" s="11">
        <f ca="1">E24/E23</f>
        <v>3.2492307692307665</v>
      </c>
      <c r="F25" s="4">
        <f t="shared" ref="F25:Q25" ca="1" si="18">F24/F23</f>
        <v>2.0185714285714269</v>
      </c>
      <c r="G25" s="4">
        <f t="shared" ca="1" si="18"/>
        <v>0</v>
      </c>
      <c r="H25" s="4">
        <f t="shared" ca="1" si="18"/>
        <v>2.3847826086956521</v>
      </c>
      <c r="I25" s="4">
        <f t="shared" ca="1" si="18"/>
        <v>40.518999999999963</v>
      </c>
      <c r="J25" s="6">
        <f t="shared" ca="1" si="18"/>
        <v>0.49895161290322565</v>
      </c>
      <c r="K25" s="8">
        <f t="shared" ca="1" si="18"/>
        <v>1.4448979591836735</v>
      </c>
      <c r="L25" s="4">
        <f t="shared" ca="1" si="18"/>
        <v>0</v>
      </c>
      <c r="M25" s="4">
        <f t="shared" ca="1" si="18"/>
        <v>0.89353846153846184</v>
      </c>
      <c r="N25" s="4">
        <f t="shared" ca="1" si="18"/>
        <v>0.11349999999999995</v>
      </c>
      <c r="O25" s="4">
        <f t="shared" ca="1" si="18"/>
        <v>0</v>
      </c>
      <c r="P25" s="16">
        <f t="shared" ca="1" si="18"/>
        <v>0</v>
      </c>
      <c r="Q25" s="26">
        <f t="shared" ca="1" si="18"/>
        <v>0.9220592991913743</v>
      </c>
      <c r="R25" s="65"/>
    </row>
    <row r="26" spans="1:19" ht="19.5" thickBot="1">
      <c r="A26" s="465"/>
      <c r="B26" s="468"/>
      <c r="C26" s="454"/>
      <c r="D26" s="23" t="s">
        <v>18</v>
      </c>
      <c r="E26" s="14">
        <f ca="1">SUM($E24:E24)/SUM($E23:E23)</f>
        <v>3.2492307692307665</v>
      </c>
      <c r="F26" s="7">
        <f ca="1">SUM($E24:F24)/SUM($E23:F23)</f>
        <v>2.4891176470588214</v>
      </c>
      <c r="G26" s="7">
        <f ca="1">SUM($E24:G24)/SUM($E23:G23)</f>
        <v>1.0074999999999992</v>
      </c>
      <c r="H26" s="7">
        <f ca="1">SUM($E24:H24)/SUM($E23:H23)</f>
        <v>1.3035514018691583</v>
      </c>
      <c r="I26" s="7">
        <f ca="1">SUM($E24:I24)/SUM($E23:I23)</f>
        <v>1.6666574074074063</v>
      </c>
      <c r="J26" s="15">
        <f ca="1">SUM($E24:J24)/SUM($E23:J23)</f>
        <v>1.2407882352941169</v>
      </c>
      <c r="K26" s="10">
        <f ca="1">SUM($E24:K24)/SUM($E23:K23)</f>
        <v>1.2864566210045656</v>
      </c>
      <c r="L26" s="7">
        <f ca="1">SUM($E24:L24)/SUM($E23:L23)</f>
        <v>1.159399176954732</v>
      </c>
      <c r="M26" s="7">
        <f ca="1">SUM($E24:M24)/SUM($E23:M23)</f>
        <v>1.1032922077922074</v>
      </c>
      <c r="N26" s="7">
        <f ca="1">SUM($E24:N24)/SUM($E23:N23)</f>
        <v>1.0429390243902434</v>
      </c>
      <c r="O26" s="7">
        <f ca="1">SUM($E24:O24)/SUM($E23:O23)</f>
        <v>1.0031788856304982</v>
      </c>
      <c r="P26" s="18">
        <f ca="1">SUM($E24:P24)/SUM($E23:P23)</f>
        <v>0.9220592991913743</v>
      </c>
      <c r="Q26" s="28" t="s">
        <v>22</v>
      </c>
      <c r="R26" s="59"/>
      <c r="S26"/>
    </row>
    <row r="27" spans="1:19" ht="18.75" customHeight="1">
      <c r="A27" s="528" t="s">
        <v>262</v>
      </c>
      <c r="B27" s="466" t="s">
        <v>155</v>
      </c>
      <c r="C27" s="450" t="s">
        <v>15</v>
      </c>
      <c r="D27" s="112" t="s">
        <v>13</v>
      </c>
      <c r="E27" s="113">
        <v>6440</v>
      </c>
      <c r="F27" s="114">
        <v>18450</v>
      </c>
      <c r="G27" s="114">
        <v>9590</v>
      </c>
      <c r="H27" s="114">
        <v>13840</v>
      </c>
      <c r="I27" s="114">
        <v>3600</v>
      </c>
      <c r="J27" s="115">
        <v>11430</v>
      </c>
      <c r="K27" s="116">
        <v>10760</v>
      </c>
      <c r="L27" s="114">
        <v>10640</v>
      </c>
      <c r="M27" s="114">
        <v>10030</v>
      </c>
      <c r="N27" s="114">
        <v>6840</v>
      </c>
      <c r="O27" s="114">
        <v>10210</v>
      </c>
      <c r="P27" s="117">
        <v>13170</v>
      </c>
      <c r="Q27" s="118">
        <f>SUM(E27:P27)</f>
        <v>125000</v>
      </c>
      <c r="R27" s="482"/>
      <c r="S27" s="68" t="str">
        <f>IFERROR(Q27/R27,"")</f>
        <v/>
      </c>
    </row>
    <row r="28" spans="1:19" ht="19.5" thickBot="1">
      <c r="A28" s="463"/>
      <c r="B28" s="467"/>
      <c r="C28" s="450"/>
      <c r="D28" s="134" t="s">
        <v>14</v>
      </c>
      <c r="E28" s="135">
        <f ca="1">SUMIFS(INDIRECT($B$1&amp;"INV!$K:$K"),INDIRECT($B$1&amp;"INV!$A:$A"),$A27,INDIRECT($B$1&amp;"INV!$G:$G"),"&gt;="&amp;E$6,INDIRECT($B$1&amp;"INV!$G:$G"),"&lt;"&amp;EOMONTH(E$6,0)+1)/1000</f>
        <v>2807.2241999999997</v>
      </c>
      <c r="F28" s="136">
        <f ca="1">SUMIFS(INDIRECT($B$1&amp;"INV!$K:$K"),INDIRECT($B$1&amp;"INV!$A:$A"),$A27,INDIRECT($B$1&amp;"INV!$G:$G"),"&gt;="&amp;F$6,INDIRECT($B$1&amp;"INV!$G:$G"),"&lt;"&amp;EOMONTH(F$6,0)+1)/1000</f>
        <v>11983.115110000001</v>
      </c>
      <c r="G28" s="136">
        <f ca="1">SUMIFS(INDIRECT($B$1&amp;"INV!$K:$K"),INDIRECT($B$1&amp;"INV!$A:$A"),$A27,INDIRECT($B$1&amp;"INV!$G:$G"),"&gt;="&amp;G$6,INDIRECT($B$1&amp;"INV!$G:$G"),"&lt;"&amp;EOMONTH(G$6,0)+1)/1000</f>
        <v>6873.3231299999998</v>
      </c>
      <c r="H28" s="136">
        <f t="shared" ref="H28" ca="1" si="19">SUMIFS(INDIRECT($B$1&amp;"INV!$K:$K"),INDIRECT($B$1&amp;"INV!$A:$A"),$A27,INDIRECT($B$1&amp;"INV!$G:$G"),"&gt;="&amp;H$6,INDIRECT($B$1&amp;"INV!$G:$G"),"&lt;"&amp;EOMONTH(H$6,0)+1)/1000</f>
        <v>3916.4087000000004</v>
      </c>
      <c r="I28" s="136">
        <f t="shared" ref="I28" ca="1" si="20">SUMIFS(INDIRECT($B$1&amp;"INV!$K:$K"),INDIRECT($B$1&amp;"INV!$A:$A"),$A27,INDIRECT($B$1&amp;"INV!$G:$G"),"&gt;="&amp;I$6,INDIRECT($B$1&amp;"INV!$G:$G"),"&lt;"&amp;EOMONTH(I$6,0)+1)/1000</f>
        <v>8400.0965500000002</v>
      </c>
      <c r="J28" s="139">
        <f t="shared" ref="J28" ca="1" si="21">SUMIFS(INDIRECT($B$1&amp;"INV!$K:$K"),INDIRECT($B$1&amp;"INV!$A:$A"),$A27,INDIRECT($B$1&amp;"INV!$G:$G"),"&gt;="&amp;J$6,INDIRECT($B$1&amp;"INV!$G:$G"),"&lt;"&amp;EOMONTH(J$6,0)+1)/1000</f>
        <v>5874.9984000000004</v>
      </c>
      <c r="K28" s="135">
        <f t="shared" ref="K28" ca="1" si="22">SUMIFS(INDIRECT($B$1&amp;"INV!$K:$K"),INDIRECT($B$1&amp;"INV!$A:$A"),$A27,INDIRECT($B$1&amp;"INV!$G:$G"),"&gt;="&amp;K$6,INDIRECT($B$1&amp;"INV!$G:$G"),"&lt;"&amp;EOMONTH(K$6,0)+1)/1000</f>
        <v>10074.281720000001</v>
      </c>
      <c r="L28" s="136">
        <f t="shared" ref="L28" ca="1" si="23">SUMIFS(INDIRECT($B$1&amp;"INV!$K:$K"),INDIRECT($B$1&amp;"INV!$A:$A"),$A27,INDIRECT($B$1&amp;"INV!$G:$G"),"&gt;="&amp;L$6,INDIRECT($B$1&amp;"INV!$G:$G"),"&lt;"&amp;EOMONTH(L$6,0)+1)/1000</f>
        <v>4963.5486500000006</v>
      </c>
      <c r="M28" s="136">
        <f t="shared" ref="M28" ca="1" si="24">SUMIFS(INDIRECT($B$1&amp;"INV!$K:$K"),INDIRECT($B$1&amp;"INV!$A:$A"),$A27,INDIRECT($B$1&amp;"INV!$G:$G"),"&gt;="&amp;M$6,INDIRECT($B$1&amp;"INV!$G:$G"),"&lt;"&amp;EOMONTH(M$6,0)+1)/1000</f>
        <v>9306.6413799999991</v>
      </c>
      <c r="N28" s="136">
        <f t="shared" ref="N28" ca="1" si="25">SUMIFS(INDIRECT($B$1&amp;"INV!$K:$K"),INDIRECT($B$1&amp;"INV!$A:$A"),$A27,INDIRECT($B$1&amp;"INV!$G:$G"),"&gt;="&amp;N$6,INDIRECT($B$1&amp;"INV!$G:$G"),"&lt;"&amp;EOMONTH(N$6,0)+1)/1000</f>
        <v>3966.9557599999998</v>
      </c>
      <c r="O28" s="136">
        <f t="shared" ref="O28" ca="1" si="26">SUMIFS(INDIRECT($B$1&amp;"INV!$K:$K"),INDIRECT($B$1&amp;"INV!$A:$A"),$A27,INDIRECT($B$1&amp;"INV!$G:$G"),"&gt;="&amp;O$6,INDIRECT($B$1&amp;"INV!$G:$G"),"&lt;"&amp;EOMONTH(O$6,0)+1)/1000</f>
        <v>0</v>
      </c>
      <c r="P28" s="137">
        <f t="shared" ref="P28" ca="1" si="27">SUMIFS(INDIRECT($B$1&amp;"INV!$K:$K"),INDIRECT($B$1&amp;"INV!$A:$A"),$A27,INDIRECT($B$1&amp;"INV!$G:$G"),"&gt;="&amp;P$6,INDIRECT($B$1&amp;"INV!$G:$G"),"&lt;"&amp;EOMONTH(P$6,0)+1)/1000</f>
        <v>0</v>
      </c>
      <c r="Q28" s="140">
        <f ca="1">SUM(E28:P28)</f>
        <v>68166.593599999993</v>
      </c>
      <c r="R28" s="483"/>
      <c r="S28" s="69" t="str">
        <f ca="1">IFERROR(Q28/R27,"")</f>
        <v/>
      </c>
    </row>
    <row r="29" spans="1:19">
      <c r="A29" s="463"/>
      <c r="B29" s="467"/>
      <c r="C29" s="450"/>
      <c r="D29" s="21" t="s">
        <v>17</v>
      </c>
      <c r="E29" s="11">
        <f ca="1">E28/E27</f>
        <v>0.43590437888198752</v>
      </c>
      <c r="F29" s="4">
        <f t="shared" ref="F29:Q29" ca="1" si="28">F28/F27</f>
        <v>0.64949133387533875</v>
      </c>
      <c r="G29" s="4">
        <f t="shared" ca="1" si="28"/>
        <v>0.71671774035453595</v>
      </c>
      <c r="H29" s="4">
        <f t="shared" ca="1" si="28"/>
        <v>0.28297750722543358</v>
      </c>
      <c r="I29" s="4">
        <f t="shared" ca="1" si="28"/>
        <v>2.3333601527777779</v>
      </c>
      <c r="J29" s="6">
        <f t="shared" ca="1" si="28"/>
        <v>0.51399811023622055</v>
      </c>
      <c r="K29" s="8">
        <f t="shared" ca="1" si="28"/>
        <v>0.93627153531598517</v>
      </c>
      <c r="L29" s="4">
        <f t="shared" ca="1" si="28"/>
        <v>0.46649893327067676</v>
      </c>
      <c r="M29" s="4">
        <f t="shared" ca="1" si="28"/>
        <v>0.92788049651046856</v>
      </c>
      <c r="N29" s="4">
        <f t="shared" ca="1" si="28"/>
        <v>0.57996429239766079</v>
      </c>
      <c r="O29" s="4">
        <f t="shared" ca="1" si="28"/>
        <v>0</v>
      </c>
      <c r="P29" s="16">
        <f t="shared" ca="1" si="28"/>
        <v>0</v>
      </c>
      <c r="Q29" s="26">
        <f t="shared" ca="1" si="28"/>
        <v>0.54533274879999993</v>
      </c>
      <c r="R29" s="59"/>
      <c r="S29"/>
    </row>
    <row r="30" spans="1:19">
      <c r="A30" s="463"/>
      <c r="B30" s="467"/>
      <c r="C30" s="451"/>
      <c r="D30" s="22" t="s">
        <v>18</v>
      </c>
      <c r="E30" s="12">
        <f ca="1">SUM($E28:E28)/SUM($E27:E27)</f>
        <v>0.43590437888198752</v>
      </c>
      <c r="F30" s="5">
        <f ca="1">SUM($E28:F28)/SUM($E27:F27)</f>
        <v>0.59422817637605463</v>
      </c>
      <c r="G30" s="5">
        <f ca="1">SUM($E28:G28)/SUM($E27:G27)</f>
        <v>0.62829647447795822</v>
      </c>
      <c r="H30" s="5">
        <f ca="1">SUM($E28:H28)/SUM($E27:H27)</f>
        <v>0.529388889486755</v>
      </c>
      <c r="I30" s="5">
        <f ca="1">SUM($E28:I28)/SUM($E27:I27)</f>
        <v>0.65447164271956859</v>
      </c>
      <c r="J30" s="13">
        <f ca="1">SUM($E28:J28)/SUM($E27:J27)</f>
        <v>0.62912653654301498</v>
      </c>
      <c r="K30" s="9">
        <f ca="1">SUM($E28:K28)/SUM($E27:K27)</f>
        <v>0.67372079085143699</v>
      </c>
      <c r="L30" s="5">
        <f ca="1">SUM($E28:L28)/SUM($E27:L27)</f>
        <v>0.64770497297935092</v>
      </c>
      <c r="M30" s="5">
        <f ca="1">SUM($E28:M28)/SUM($E27:M27)</f>
        <v>0.67735427136526694</v>
      </c>
      <c r="N30" s="5">
        <f ca="1">SUM($E28:N28)/SUM($E27:N27)</f>
        <v>0.67079899232434548</v>
      </c>
      <c r="O30" s="5">
        <f ca="1">SUM($E28:O28)/SUM($E27:O27)</f>
        <v>0.60955551819726361</v>
      </c>
      <c r="P30" s="17">
        <f ca="1">SUM($E28:P28)/SUM($E27:P27)</f>
        <v>0.54533274879999993</v>
      </c>
      <c r="Q30" s="27" t="s">
        <v>22</v>
      </c>
      <c r="R30" s="59"/>
      <c r="S30"/>
    </row>
    <row r="31" spans="1:19">
      <c r="A31" s="463"/>
      <c r="B31" s="467"/>
      <c r="C31" s="469" t="s">
        <v>147</v>
      </c>
      <c r="D31" s="119" t="s">
        <v>13</v>
      </c>
      <c r="E31" s="120">
        <v>4540</v>
      </c>
      <c r="F31" s="121">
        <v>14180</v>
      </c>
      <c r="G31" s="121">
        <v>7660</v>
      </c>
      <c r="H31" s="121">
        <v>11250</v>
      </c>
      <c r="I31" s="121">
        <v>2400</v>
      </c>
      <c r="J31" s="122">
        <v>8770</v>
      </c>
      <c r="K31" s="123">
        <v>8060</v>
      </c>
      <c r="L31" s="121">
        <v>7730</v>
      </c>
      <c r="M31" s="121">
        <v>8200</v>
      </c>
      <c r="N31" s="121">
        <v>4600</v>
      </c>
      <c r="O31" s="121">
        <v>8080</v>
      </c>
      <c r="P31" s="124">
        <v>9530</v>
      </c>
      <c r="Q31" s="125">
        <f>SUM(E31:P31)</f>
        <v>95000</v>
      </c>
      <c r="R31" s="482"/>
      <c r="S31" s="68" t="str">
        <f>IFERROR(Q31/R31,"")</f>
        <v/>
      </c>
    </row>
    <row r="32" spans="1:19">
      <c r="A32" s="463"/>
      <c r="B32" s="467"/>
      <c r="C32" s="470"/>
      <c r="D32" s="141" t="s">
        <v>14</v>
      </c>
      <c r="E32" s="147">
        <f ca="1">SUMIFS(INDIRECT($B$1&amp;"INV!$N:$N"),INDIRECT($B$1&amp;"INV!$A:$A"),$A27,INDIRECT($B$1&amp;"INV!$G:$G"),"&gt;="&amp;E$6,INDIRECT($B$1&amp;"INV!$G:$G"),"&lt;"&amp;EOMONTH(E$6,0)+1)/1000</f>
        <v>2041.37</v>
      </c>
      <c r="F32" s="142">
        <f t="shared" ref="F32:P32" ca="1" si="29">SUMIFS(INDIRECT($B$1&amp;"INV!$N:$N"),INDIRECT($B$1&amp;"INV!$A:$A"),$A27,INDIRECT($B$1&amp;"INV!$G:$G"),"&gt;="&amp;F$6,INDIRECT($B$1&amp;"INV!$G:$G"),"&lt;"&amp;EOMONTH(F$6,0)+1)/1000</f>
        <v>9568.9879999999994</v>
      </c>
      <c r="G32" s="142">
        <f t="shared" ca="1" si="29"/>
        <v>5381.24</v>
      </c>
      <c r="H32" s="142">
        <f t="shared" ca="1" si="29"/>
        <v>2838.47</v>
      </c>
      <c r="I32" s="142">
        <f t="shared" ca="1" si="29"/>
        <v>6633.7330000000002</v>
      </c>
      <c r="J32" s="145">
        <f t="shared" ca="1" si="29"/>
        <v>4407.4949999999999</v>
      </c>
      <c r="K32" s="147">
        <f t="shared" ca="1" si="29"/>
        <v>7488.375</v>
      </c>
      <c r="L32" s="142">
        <f t="shared" ca="1" si="29"/>
        <v>3654.645</v>
      </c>
      <c r="M32" s="142">
        <f t="shared" ca="1" si="29"/>
        <v>6870.92</v>
      </c>
      <c r="N32" s="142">
        <f t="shared" ca="1" si="29"/>
        <v>3041.404</v>
      </c>
      <c r="O32" s="142">
        <f t="shared" ca="1" si="29"/>
        <v>0</v>
      </c>
      <c r="P32" s="143">
        <f t="shared" ca="1" si="29"/>
        <v>0</v>
      </c>
      <c r="Q32" s="146">
        <f ca="1">SUM(E32:P32)</f>
        <v>51926.64</v>
      </c>
      <c r="R32" s="488"/>
      <c r="S32" s="70" t="str">
        <f ca="1">IFERROR(Q32/R31,"")</f>
        <v/>
      </c>
    </row>
    <row r="33" spans="1:19">
      <c r="A33" s="463"/>
      <c r="B33" s="467"/>
      <c r="C33" s="452" t="s">
        <v>16</v>
      </c>
      <c r="D33" s="119" t="s">
        <v>13</v>
      </c>
      <c r="E33" s="120">
        <f>E27-E31</f>
        <v>1900</v>
      </c>
      <c r="F33" s="121">
        <f t="shared" ref="F33:P34" si="30">F27-F31</f>
        <v>4270</v>
      </c>
      <c r="G33" s="121">
        <f t="shared" si="30"/>
        <v>1930</v>
      </c>
      <c r="H33" s="121">
        <f t="shared" si="30"/>
        <v>2590</v>
      </c>
      <c r="I33" s="121">
        <f t="shared" si="30"/>
        <v>1200</v>
      </c>
      <c r="J33" s="122">
        <f t="shared" si="30"/>
        <v>2660</v>
      </c>
      <c r="K33" s="123">
        <f t="shared" si="30"/>
        <v>2700</v>
      </c>
      <c r="L33" s="121">
        <f t="shared" si="30"/>
        <v>2910</v>
      </c>
      <c r="M33" s="121">
        <f t="shared" si="30"/>
        <v>1830</v>
      </c>
      <c r="N33" s="121">
        <f t="shared" si="30"/>
        <v>2240</v>
      </c>
      <c r="O33" s="121">
        <f t="shared" si="30"/>
        <v>2130</v>
      </c>
      <c r="P33" s="124">
        <f>P27-P31</f>
        <v>3640</v>
      </c>
      <c r="Q33" s="125">
        <f>SUM(E33:P33)</f>
        <v>30000</v>
      </c>
      <c r="R33" s="482">
        <f>R27-R31</f>
        <v>0</v>
      </c>
      <c r="S33" s="150" t="str">
        <f>IFERROR(Q33/R33,"")</f>
        <v/>
      </c>
    </row>
    <row r="34" spans="1:19" ht="19.5" thickBot="1">
      <c r="A34" s="463"/>
      <c r="B34" s="467"/>
      <c r="C34" s="453"/>
      <c r="D34" s="134" t="s">
        <v>14</v>
      </c>
      <c r="E34" s="135">
        <f ca="1">E28-E32</f>
        <v>765.85419999999976</v>
      </c>
      <c r="F34" s="136">
        <f t="shared" ca="1" si="30"/>
        <v>2414.1271100000013</v>
      </c>
      <c r="G34" s="136">
        <f t="shared" ca="1" si="30"/>
        <v>1492.08313</v>
      </c>
      <c r="H34" s="136">
        <f t="shared" ca="1" si="30"/>
        <v>1077.9387000000006</v>
      </c>
      <c r="I34" s="136">
        <f t="shared" ca="1" si="30"/>
        <v>1766.36355</v>
      </c>
      <c r="J34" s="139">
        <f t="shared" ca="1" si="30"/>
        <v>1467.5034000000005</v>
      </c>
      <c r="K34" s="135">
        <f t="shared" ca="1" si="30"/>
        <v>2585.9067200000009</v>
      </c>
      <c r="L34" s="136">
        <f t="shared" ca="1" si="30"/>
        <v>1308.9036500000007</v>
      </c>
      <c r="M34" s="136">
        <f t="shared" ca="1" si="30"/>
        <v>2435.721379999999</v>
      </c>
      <c r="N34" s="136">
        <f t="shared" ca="1" si="30"/>
        <v>925.55175999999983</v>
      </c>
      <c r="O34" s="136">
        <f t="shared" ca="1" si="30"/>
        <v>0</v>
      </c>
      <c r="P34" s="137">
        <f t="shared" ca="1" si="30"/>
        <v>0</v>
      </c>
      <c r="Q34" s="140">
        <f ca="1">SUM(E34:P34)</f>
        <v>16239.953600000003</v>
      </c>
      <c r="R34" s="483"/>
      <c r="S34" s="69" t="str">
        <f ca="1">IFERROR(Q34/R33,"")</f>
        <v/>
      </c>
    </row>
    <row r="35" spans="1:19">
      <c r="A35" s="463"/>
      <c r="B35" s="467"/>
      <c r="C35" s="453"/>
      <c r="D35" s="21" t="s">
        <v>17</v>
      </c>
      <c r="E35" s="11">
        <f ca="1">E34/E33</f>
        <v>0.4030811578947367</v>
      </c>
      <c r="F35" s="4">
        <f t="shared" ref="F35:Q35" ca="1" si="31">F34/F33</f>
        <v>0.56536934660421578</v>
      </c>
      <c r="G35" s="4">
        <f t="shared" ca="1" si="31"/>
        <v>0.77310006735751291</v>
      </c>
      <c r="H35" s="4">
        <f t="shared" ca="1" si="31"/>
        <v>0.41619254826254848</v>
      </c>
      <c r="I35" s="4">
        <f t="shared" ca="1" si="31"/>
        <v>1.4719696250000001</v>
      </c>
      <c r="J35" s="6">
        <f t="shared" ca="1" si="31"/>
        <v>0.55169300751879713</v>
      </c>
      <c r="K35" s="8">
        <f t="shared" ca="1" si="31"/>
        <v>0.95774322962962999</v>
      </c>
      <c r="L35" s="4">
        <f t="shared" ca="1" si="31"/>
        <v>0.44979506872852254</v>
      </c>
      <c r="M35" s="4">
        <f t="shared" ca="1" si="31"/>
        <v>1.3309952896174859</v>
      </c>
      <c r="N35" s="4">
        <f t="shared" ca="1" si="31"/>
        <v>0.41319274999999994</v>
      </c>
      <c r="O35" s="4">
        <f t="shared" ca="1" si="31"/>
        <v>0</v>
      </c>
      <c r="P35" s="16">
        <f t="shared" ca="1" si="31"/>
        <v>0</v>
      </c>
      <c r="Q35" s="26">
        <f t="shared" ca="1" si="31"/>
        <v>0.5413317866666667</v>
      </c>
      <c r="R35" s="65"/>
    </row>
    <row r="36" spans="1:19" ht="19.5" thickBot="1">
      <c r="A36" s="529"/>
      <c r="B36" s="468"/>
      <c r="C36" s="454"/>
      <c r="D36" s="23" t="s">
        <v>18</v>
      </c>
      <c r="E36" s="14">
        <f ca="1">SUM($E34:E34)/SUM($E33:E33)</f>
        <v>0.4030811578947367</v>
      </c>
      <c r="F36" s="7">
        <f ca="1">SUM($E34:F34)/SUM($E33:F33)</f>
        <v>0.5153940534846031</v>
      </c>
      <c r="G36" s="7">
        <f ca="1">SUM($E34:G34)/SUM($E33:G33)</f>
        <v>0.57679807901234581</v>
      </c>
      <c r="H36" s="7">
        <f ca="1">SUM($E34:H34)/SUM($E33:H33)</f>
        <v>0.53788616838166525</v>
      </c>
      <c r="I36" s="7">
        <f ca="1">SUM($E34:I34)/SUM($E33:I33)</f>
        <v>0.63215867872161491</v>
      </c>
      <c r="J36" s="15">
        <f ca="1">SUM($E34:J34)/SUM($E33:J33)</f>
        <v>0.61744811615120287</v>
      </c>
      <c r="K36" s="10">
        <f ca="1">SUM($E34:K34)/SUM($E33:K33)</f>
        <v>0.67071169913043494</v>
      </c>
      <c r="L36" s="7">
        <f ca="1">SUM($E34:L34)/SUM($E33:L33)</f>
        <v>0.63882343551587317</v>
      </c>
      <c r="M36" s="7">
        <f ca="1">SUM($E34:M34)/SUM($E33:M33)</f>
        <v>0.69642573169622568</v>
      </c>
      <c r="N36" s="7">
        <f ca="1">SUM($E34:N34)/SUM($E33:N33)</f>
        <v>0.67024158481221641</v>
      </c>
      <c r="O36" s="7">
        <f ca="1">SUM($E34:O34)/SUM($E33:O33)</f>
        <v>0.61608321699544777</v>
      </c>
      <c r="P36" s="18">
        <f ca="1">SUM($E34:P34)/SUM($E33:P33)</f>
        <v>0.5413317866666667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9450</v>
      </c>
      <c r="F37" s="128">
        <f t="shared" ref="F37:Q38" si="32">SUM(F7,F17,F27)</f>
        <v>20980</v>
      </c>
      <c r="G37" s="129">
        <f t="shared" si="32"/>
        <v>14600</v>
      </c>
      <c r="H37" s="128">
        <f t="shared" si="32"/>
        <v>19910</v>
      </c>
      <c r="I37" s="128">
        <f t="shared" si="32"/>
        <v>15770</v>
      </c>
      <c r="J37" s="130">
        <f t="shared" si="32"/>
        <v>25830</v>
      </c>
      <c r="K37" s="127">
        <f t="shared" si="32"/>
        <v>22620</v>
      </c>
      <c r="L37" s="128">
        <f t="shared" si="32"/>
        <v>21220</v>
      </c>
      <c r="M37" s="129">
        <f t="shared" si="32"/>
        <v>26180</v>
      </c>
      <c r="N37" s="128">
        <f t="shared" si="32"/>
        <v>17070</v>
      </c>
      <c r="O37" s="128">
        <f t="shared" si="32"/>
        <v>22260</v>
      </c>
      <c r="P37" s="130">
        <f t="shared" si="32"/>
        <v>29530</v>
      </c>
      <c r="Q37" s="131">
        <f t="shared" si="32"/>
        <v>245420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ca="1">SUM(E8,E18,E28)</f>
        <v>9017.6241999999984</v>
      </c>
      <c r="F38" s="136">
        <f t="shared" ca="1" si="32"/>
        <v>17298.51511</v>
      </c>
      <c r="G38" s="139">
        <f t="shared" ca="1" si="32"/>
        <v>7122.9231300000001</v>
      </c>
      <c r="H38" s="136">
        <f t="shared" ca="1" si="32"/>
        <v>18206.808700000001</v>
      </c>
      <c r="I38" s="136">
        <f t="shared" ca="1" si="32"/>
        <v>13226.296549999999</v>
      </c>
      <c r="J38" s="137">
        <f t="shared" ca="1" si="32"/>
        <v>9623.3984</v>
      </c>
      <c r="K38" s="135">
        <f t="shared" ca="1" si="32"/>
        <v>33609.68172</v>
      </c>
      <c r="L38" s="136">
        <f t="shared" ca="1" si="32"/>
        <v>4963.5486500000006</v>
      </c>
      <c r="M38" s="139">
        <f t="shared" ca="1" si="32"/>
        <v>19227.041379999999</v>
      </c>
      <c r="N38" s="136">
        <f t="shared" ca="1" si="32"/>
        <v>4204.5557600000002</v>
      </c>
      <c r="O38" s="136">
        <f t="shared" ca="1" si="32"/>
        <v>0</v>
      </c>
      <c r="P38" s="137">
        <f t="shared" ca="1" si="32"/>
        <v>0</v>
      </c>
      <c r="Q38" s="149">
        <f t="shared" ca="1" si="32"/>
        <v>136500.39359999998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>
        <f ca="1">E38/E37</f>
        <v>0.95424594708994692</v>
      </c>
      <c r="F39" s="4">
        <f t="shared" ref="F39:Q39" ca="1" si="33">F38/F37</f>
        <v>0.82452407578646336</v>
      </c>
      <c r="G39" s="16">
        <f t="shared" ca="1" si="33"/>
        <v>0.48787144726027398</v>
      </c>
      <c r="H39" s="4">
        <f t="shared" ca="1" si="33"/>
        <v>0.91445548468106486</v>
      </c>
      <c r="I39" s="4">
        <f t="shared" ca="1" si="33"/>
        <v>0.83869984464172476</v>
      </c>
      <c r="J39" s="6">
        <f t="shared" ca="1" si="33"/>
        <v>0.37256672086720866</v>
      </c>
      <c r="K39" s="11">
        <f t="shared" ca="1" si="33"/>
        <v>1.4858391564986737</v>
      </c>
      <c r="L39" s="4">
        <f t="shared" ca="1" si="33"/>
        <v>0.23390898444863339</v>
      </c>
      <c r="M39" s="16">
        <f t="shared" ca="1" si="33"/>
        <v>0.73441716501145904</v>
      </c>
      <c r="N39" s="4">
        <f t="shared" ca="1" si="33"/>
        <v>0.24631258113649679</v>
      </c>
      <c r="O39" s="4">
        <f t="shared" ca="1" si="33"/>
        <v>0</v>
      </c>
      <c r="P39" s="6">
        <f t="shared" ca="1" si="33"/>
        <v>0</v>
      </c>
      <c r="Q39" s="26">
        <f t="shared" ca="1" si="33"/>
        <v>0.55619099339907085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0.95424594708994692</v>
      </c>
      <c r="F40" s="5">
        <f ca="1">SUM($E38:F38)/SUM($E37:F37)</f>
        <v>0.86480904732172192</v>
      </c>
      <c r="G40" s="17">
        <f ca="1">SUM($E38:G38)/SUM($E37:G37)</f>
        <v>0.74259521296913167</v>
      </c>
      <c r="H40" s="5">
        <f ca="1">SUM($E38:H38)/SUM($E37:H37)</f>
        <v>0.79528597382198962</v>
      </c>
      <c r="I40" s="5">
        <f ca="1">SUM($E38:I38)/SUM($E37:I37)</f>
        <v>0.80376864936191306</v>
      </c>
      <c r="J40" s="13">
        <f ca="1">SUM($E38:J38)/SUM($E37:J37)</f>
        <v>0.6992262632813967</v>
      </c>
      <c r="K40" s="12">
        <f ca="1">SUM($E38:K38)/SUM($E37:K37)</f>
        <v>0.83698705334468881</v>
      </c>
      <c r="L40" s="5">
        <f ca="1">SUM($E38:L38)/SUM($E37:L37)</f>
        <v>0.75188719550472138</v>
      </c>
      <c r="M40" s="17">
        <f ca="1">SUM($E38:M38)/SUM($E37:M37)</f>
        <v>0.74929677072949696</v>
      </c>
      <c r="N40" s="5">
        <f ca="1">SUM($E38:N38)/SUM($E37:N37)</f>
        <v>0.70495477766874959</v>
      </c>
      <c r="O40" s="5">
        <f ca="1">SUM($E38:O38)/SUM($E37:O37)</f>
        <v>0.63226825512992724</v>
      </c>
      <c r="P40" s="13">
        <f ca="1">SUM($E38:P38)/SUM($E37:P37)</f>
        <v>0.55619099339907085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2030</v>
      </c>
      <c r="F41" s="114">
        <f t="shared" ref="F41:Q42" si="34">SUM(F13,F23,F33)</f>
        <v>4500</v>
      </c>
      <c r="G41" s="117">
        <f t="shared" si="34"/>
        <v>2450</v>
      </c>
      <c r="H41" s="114">
        <f t="shared" si="34"/>
        <v>3300</v>
      </c>
      <c r="I41" s="114">
        <f t="shared" si="34"/>
        <v>2780</v>
      </c>
      <c r="J41" s="115">
        <f t="shared" si="34"/>
        <v>4090</v>
      </c>
      <c r="K41" s="113">
        <f t="shared" si="34"/>
        <v>4040</v>
      </c>
      <c r="L41" s="114">
        <f t="shared" si="34"/>
        <v>3960</v>
      </c>
      <c r="M41" s="117">
        <f t="shared" si="34"/>
        <v>3300</v>
      </c>
      <c r="N41" s="114">
        <f t="shared" si="34"/>
        <v>3290</v>
      </c>
      <c r="O41" s="114">
        <f t="shared" si="34"/>
        <v>3500</v>
      </c>
      <c r="P41" s="115">
        <f t="shared" si="34"/>
        <v>5570</v>
      </c>
      <c r="Q41" s="133">
        <f t="shared" si="34"/>
        <v>42810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ca="1">SUM(E14,E24,E34)</f>
        <v>1198.0541999999994</v>
      </c>
      <c r="F42" s="136">
        <f t="shared" ca="1" si="34"/>
        <v>2861.2271100000007</v>
      </c>
      <c r="G42" s="139">
        <f t="shared" ca="1" si="34"/>
        <v>1533.1831299999999</v>
      </c>
      <c r="H42" s="136">
        <f t="shared" ca="1" si="34"/>
        <v>2460.6387000000004</v>
      </c>
      <c r="I42" s="136">
        <f t="shared" ca="1" si="34"/>
        <v>2186.2535499999994</v>
      </c>
      <c r="J42" s="137">
        <f t="shared" ca="1" si="34"/>
        <v>1806.2084000000004</v>
      </c>
      <c r="K42" s="135">
        <f t="shared" ca="1" si="34"/>
        <v>5103.7117200000012</v>
      </c>
      <c r="L42" s="136">
        <f t="shared" ca="1" si="34"/>
        <v>1308.9036500000007</v>
      </c>
      <c r="M42" s="139">
        <f t="shared" ca="1" si="34"/>
        <v>3385.051379999999</v>
      </c>
      <c r="N42" s="136">
        <f t="shared" ca="1" si="34"/>
        <v>948.25175999999988</v>
      </c>
      <c r="O42" s="136">
        <f t="shared" ca="1" si="34"/>
        <v>0</v>
      </c>
      <c r="P42" s="137">
        <f t="shared" ca="1" si="34"/>
        <v>0</v>
      </c>
      <c r="Q42" s="149">
        <f t="shared" ca="1" si="34"/>
        <v>22791.4836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>
        <f ca="1">E42/E41</f>
        <v>0.59017448275862039</v>
      </c>
      <c r="F43" s="4">
        <f t="shared" ref="F43:Q43" ca="1" si="35">F42/F41</f>
        <v>0.63582824666666682</v>
      </c>
      <c r="G43" s="16">
        <f t="shared" ca="1" si="35"/>
        <v>0.62578903265306118</v>
      </c>
      <c r="H43" s="4">
        <f t="shared" ca="1" si="35"/>
        <v>0.74564809090909101</v>
      </c>
      <c r="I43" s="4">
        <f t="shared" ca="1" si="35"/>
        <v>0.78642214028776958</v>
      </c>
      <c r="J43" s="6">
        <f t="shared" ca="1" si="35"/>
        <v>0.44161574572127149</v>
      </c>
      <c r="K43" s="11">
        <f t="shared" ca="1" si="35"/>
        <v>1.26329498019802</v>
      </c>
      <c r="L43" s="4">
        <f t="shared" ca="1" si="35"/>
        <v>0.33053122474747493</v>
      </c>
      <c r="M43" s="16">
        <f t="shared" ca="1" si="35"/>
        <v>1.0257731454545451</v>
      </c>
      <c r="N43" s="4">
        <f t="shared" ca="1" si="35"/>
        <v>0.28822241945288751</v>
      </c>
      <c r="O43" s="4">
        <f t="shared" ca="1" si="35"/>
        <v>0</v>
      </c>
      <c r="P43" s="6">
        <f t="shared" ca="1" si="35"/>
        <v>0</v>
      </c>
      <c r="Q43" s="26">
        <f t="shared" ca="1" si="35"/>
        <v>0.53238690960056057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0.59017448275862039</v>
      </c>
      <c r="F44" s="7">
        <f ca="1">SUM($E42:F42)/SUM($E41:F41)</f>
        <v>0.62163572894333852</v>
      </c>
      <c r="G44" s="18">
        <f ca="1">SUM($E42:G42)/SUM($E41:G41)</f>
        <v>0.62276886859688196</v>
      </c>
      <c r="H44" s="7">
        <f ca="1">SUM($E42:H42)/SUM($E41:H41)</f>
        <v>0.65579015798045603</v>
      </c>
      <c r="I44" s="7">
        <f ca="1">SUM($E42:I42)/SUM($E41:I41)</f>
        <v>0.67990416268260301</v>
      </c>
      <c r="J44" s="15">
        <f ca="1">SUM($E42:J42)/SUM($E41:J41)</f>
        <v>0.62901123185378593</v>
      </c>
      <c r="K44" s="14">
        <f ca="1">SUM($E42:K42)/SUM($E41:K41)</f>
        <v>0.73951172100043139</v>
      </c>
      <c r="L44" s="7">
        <f ca="1">SUM($E42:L42)/SUM($E41:L41)</f>
        <v>0.67985931712707193</v>
      </c>
      <c r="M44" s="18">
        <f ca="1">SUM($E42:M42)/SUM($E41:M41)</f>
        <v>0.71734751527093599</v>
      </c>
      <c r="N44" s="7">
        <f ca="1">SUM($E42:N42)/SUM($E41:N41)</f>
        <v>0.67550336692353286</v>
      </c>
      <c r="O44" s="7">
        <f ca="1">SUM($E42:O42)/SUM($E41:O41)</f>
        <v>0.61201620837808801</v>
      </c>
      <c r="P44" s="15">
        <f ca="1">SUM($E42:P42)/SUM($E41:P41)</f>
        <v>0.53238690960056057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SF上海</v>
      </c>
      <c r="D49" s="81" t="s">
        <v>34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MOBILONテープ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FRAMIS</v>
      </c>
      <c r="D53" s="81" t="s">
        <v>34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MOBILONテープ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4"/>
      <c r="G56" s="74"/>
      <c r="H56" s="525"/>
      <c r="I56" s="526"/>
      <c r="J56" s="80"/>
      <c r="K56" s="93"/>
      <c r="L56" s="74"/>
      <c r="M56" s="74"/>
      <c r="N56" s="74"/>
      <c r="O56" s="74"/>
      <c r="P56" s="80"/>
    </row>
    <row r="57" spans="1:16" ht="39" customHeight="1">
      <c r="A57" s="441"/>
      <c r="B57" s="442"/>
      <c r="C57" s="486" t="str">
        <f>A27</f>
        <v>その他
SEI, MINYUEN等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392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MOBILONテープ
MOBILONバンド</v>
      </c>
      <c r="D59" s="89" t="s">
        <v>33</v>
      </c>
      <c r="E59" s="90"/>
      <c r="F59" s="91"/>
      <c r="G59" s="91"/>
      <c r="H59" s="91"/>
      <c r="I59" s="91"/>
      <c r="J59" s="92"/>
      <c r="K59" s="90"/>
      <c r="L59" s="395"/>
      <c r="M59" s="91"/>
      <c r="N59" s="91"/>
      <c r="O59" s="91"/>
      <c r="P59" s="92"/>
    </row>
  </sheetData>
  <mergeCells count="46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H56:I56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2DCB2-04BD-4B7A-8F29-A9AFF7209B3F}">
  <sheetPr codeName="Sheet8">
    <tabColor theme="1" tint="0.499984740745262"/>
  </sheetPr>
  <dimension ref="A1:R399"/>
  <sheetViews>
    <sheetView topLeftCell="A106" workbookViewId="0">
      <selection activeCell="A137" sqref="A137"/>
    </sheetView>
  </sheetViews>
  <sheetFormatPr defaultColWidth="9" defaultRowHeight="18.75"/>
  <cols>
    <col min="1" max="2" width="15.875" style="163" customWidth="1"/>
    <col min="3" max="4" width="15.875" style="209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9.25" style="168" customWidth="1"/>
    <col min="17" max="17" width="16.125" style="163" customWidth="1"/>
    <col min="18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406"/>
      <c r="D3" s="406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深串!A7</f>
        <v>SF上海</v>
      </c>
      <c r="N3" s="180" t="str">
        <f>深串!A17</f>
        <v>FRAMIS</v>
      </c>
      <c r="O3" s="180" t="str">
        <f>深串!A27</f>
        <v>その他
SEI, MINYUEN等</v>
      </c>
      <c r="P3" s="172">
        <v>0.6</v>
      </c>
    </row>
    <row r="4" spans="1:18">
      <c r="A4" s="181" t="s">
        <v>180</v>
      </c>
      <c r="B4" s="163" t="s">
        <v>181</v>
      </c>
      <c r="C4" s="407" t="s">
        <v>180</v>
      </c>
      <c r="D4" s="409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408" t="s">
        <v>186</v>
      </c>
      <c r="D5" s="410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261</v>
      </c>
      <c r="B6" s="163">
        <v>7142</v>
      </c>
      <c r="C6" s="405">
        <v>1451000</v>
      </c>
      <c r="D6" s="411">
        <v>103000</v>
      </c>
      <c r="E6" s="202" t="s">
        <v>200</v>
      </c>
      <c r="F6" s="405">
        <v>1945000</v>
      </c>
      <c r="G6" s="162">
        <v>45810</v>
      </c>
      <c r="H6" s="203" t="s">
        <v>200</v>
      </c>
      <c r="I6" s="186" t="str">
        <f>IF(H6="","",IF(H6="JPY","",IF($H6="USD",4, IF(H6="EUR",7,IF(H6="CNY",47,IF(H6="HKD",34))))))</f>
        <v/>
      </c>
      <c r="J6" s="204" t="str">
        <f>IF($H6="USD",IF(OR($I6="",$I6="-"),"",VLOOKUP($G6,為替!$A:$AX,$I6,FALSE))+$J$3,IF(OR($I6="",$I6="-"),"",VLOOKUP($G6,為替!$A:$AX,$I6,FALSE)))</f>
        <v/>
      </c>
      <c r="K6" s="205">
        <f>IF($H6="JPY",$F6,IF($H6="","",$F6*$J6))</f>
        <v>1945000</v>
      </c>
      <c r="L6" s="189" t="str">
        <f>IF(H6="","",IF(H6="JPY","",IF($H6="USD",3, IF(H6="EUR",6,IF(H6="CNY",46,IF(H6="HKD",33))))))</f>
        <v/>
      </c>
      <c r="M6" s="204" t="str">
        <f>IF($H6="USD",IF(OR($L6="",$L6="-"),"",VLOOKUP($G6,為替!$A:$AX,$L6,FALSE))+$K$3,IF(OR($L6="",$L6="-"),"",VLOOKUP($G6,為替!$A:$AX,$L6,FALSE)))</f>
        <v/>
      </c>
      <c r="N6" s="205">
        <f>IF($E6="JPY",($C6+$D6),IF($E6="","",($C6+$D6)*$M6))</f>
        <v>1554000</v>
      </c>
      <c r="O6" s="206">
        <f t="shared" ref="O6:O69" si="0">IF(OR(K6="",N6=""),"",K6-N6)</f>
        <v>391000</v>
      </c>
      <c r="P6" s="207">
        <f>IF(OR(K6="",O6=""),"",O6/K6)</f>
        <v>0.20102827763496145</v>
      </c>
      <c r="Q6" s="163" t="s">
        <v>301</v>
      </c>
    </row>
    <row r="7" spans="1:18">
      <c r="A7" s="163" t="s">
        <v>261</v>
      </c>
      <c r="B7" s="163">
        <v>7190</v>
      </c>
      <c r="C7" s="405">
        <v>73600</v>
      </c>
      <c r="D7" s="411">
        <v>0</v>
      </c>
      <c r="E7" s="202" t="s">
        <v>200</v>
      </c>
      <c r="F7" s="405">
        <v>91000</v>
      </c>
      <c r="G7" s="162">
        <v>45819</v>
      </c>
      <c r="H7" s="203" t="s">
        <v>200</v>
      </c>
      <c r="I7" s="186" t="str">
        <f t="shared" ref="I7:I70" si="1">IF(H7="","",IF(H7="JPY","",IF($H7="USD",4, IF(H7="EUR",7,IF(H7="CNY",47,IF(H7="HKD",34))))))</f>
        <v/>
      </c>
      <c r="J7" s="204" t="str">
        <f>IF($H7="USD",IF(OR($I7="",$I7="-"),"",VLOOKUP($G7,為替!$A:$AX,$I7,FALSE))+$J$3,IF(OR($I7="",$I7="-"),"",VLOOKUP($G7,為替!$A:$AX,$I7,FALSE)))</f>
        <v/>
      </c>
      <c r="K7" s="205">
        <f t="shared" ref="K7:K70" si="2">IF($H7="JPY",$F7,IF($H7="","",$F7*$J7))</f>
        <v>91000</v>
      </c>
      <c r="L7" s="189" t="str">
        <f t="shared" ref="L7:L70" si="3">IF(H7="","",IF(H7="JPY","",IF($H7="USD",3, IF(H7="EUR",6,IF(H7="CNY",46,IF(H7="HKD",33))))))</f>
        <v/>
      </c>
      <c r="M7" s="204" t="str">
        <f>IF($H7="USD",IF(OR($L7="",$L7="-"),"",VLOOKUP($G7,為替!$A:$AX,$L7,FALSE))+$K$3,IF(OR($L7="",$L7="-"),"",VLOOKUP($G7,為替!$A:$AX,$L7,FALSE)))</f>
        <v/>
      </c>
      <c r="N7" s="205">
        <f t="shared" ref="N7:N70" si="4">IF($E7="JPY",($C7+$D7),IF($E7="","",($C7+$D7)*$M7))</f>
        <v>73600</v>
      </c>
      <c r="O7" s="206">
        <f t="shared" si="0"/>
        <v>17400</v>
      </c>
      <c r="P7" s="207">
        <f t="shared" ref="P7:P70" si="5">IF(OR(K7="",O7=""),"",O7/K7)</f>
        <v>0.1912087912087912</v>
      </c>
      <c r="Q7" s="163" t="s">
        <v>298</v>
      </c>
      <c r="R7" s="208"/>
    </row>
    <row r="8" spans="1:18">
      <c r="A8" s="163" t="s">
        <v>261</v>
      </c>
      <c r="B8" s="163">
        <v>7201</v>
      </c>
      <c r="C8" s="405">
        <v>40700</v>
      </c>
      <c r="D8" s="411">
        <v>4200</v>
      </c>
      <c r="E8" s="202" t="s">
        <v>200</v>
      </c>
      <c r="F8" s="405">
        <v>60400</v>
      </c>
      <c r="G8" s="162">
        <v>45821</v>
      </c>
      <c r="H8" s="203" t="s">
        <v>296</v>
      </c>
      <c r="I8" s="186" t="str">
        <f t="shared" si="1"/>
        <v/>
      </c>
      <c r="J8" s="204" t="str">
        <f>IF($H8="USD",IF(OR($I8="",$I8="-"),"",VLOOKUP($G8,為替!$A:$AX,$I8,FALSE))+$J$3,IF(OR($I8="",$I8="-"),"",VLOOKUP($G8,為替!$A:$AX,$I8,FALSE)))</f>
        <v/>
      </c>
      <c r="K8" s="205">
        <f t="shared" si="2"/>
        <v>60400</v>
      </c>
      <c r="L8" s="189" t="str">
        <f t="shared" si="3"/>
        <v/>
      </c>
      <c r="M8" s="204" t="str">
        <f>IF($H8="USD",IF(OR($L8="",$L8="-"),"",VLOOKUP($G8,為替!$A:$AX,$L8,FALSE))+$K$3,IF(OR($L8="",$L8="-"),"",VLOOKUP($G8,為替!$A:$AX,$L8,FALSE)))</f>
        <v/>
      </c>
      <c r="N8" s="205">
        <f t="shared" si="4"/>
        <v>44900</v>
      </c>
      <c r="O8" s="206">
        <f t="shared" si="0"/>
        <v>15500</v>
      </c>
      <c r="P8" s="207">
        <f t="shared" si="5"/>
        <v>0.25662251655629137</v>
      </c>
      <c r="Q8" s="163" t="s">
        <v>297</v>
      </c>
    </row>
    <row r="9" spans="1:18">
      <c r="A9" s="163" t="s">
        <v>261</v>
      </c>
      <c r="B9" s="163">
        <v>7208</v>
      </c>
      <c r="C9" s="405">
        <v>13200</v>
      </c>
      <c r="D9" s="411">
        <v>0</v>
      </c>
      <c r="E9" s="202" t="s">
        <v>200</v>
      </c>
      <c r="F9" s="200">
        <v>208</v>
      </c>
      <c r="G9" s="162">
        <v>45826</v>
      </c>
      <c r="H9" s="203" t="s">
        <v>25</v>
      </c>
      <c r="I9" s="186">
        <f t="shared" si="1"/>
        <v>4</v>
      </c>
      <c r="J9" s="204">
        <f>IF($H9="USD",IF(OR($I9="",$I9="-"),"",VLOOKUP($G9,為替!$A:$AX,$I9,FALSE))+$J$3,IF(OR($I9="",$I9="-"),"",VLOOKUP($G9,為替!$A:$AX,$I9,FALSE)))</f>
        <v>144.86000000000001</v>
      </c>
      <c r="K9" s="205">
        <f t="shared" si="2"/>
        <v>30130.880000000005</v>
      </c>
      <c r="L9" s="189">
        <f t="shared" si="3"/>
        <v>3</v>
      </c>
      <c r="M9" s="204">
        <f>IF($H9="USD",IF(OR($L9="",$L9="-"),"",VLOOKUP($G9,為替!$A:$AX,$L9,FALSE))+$K$3,IF(OR($L9="",$L9="-"),"",VLOOKUP($G9,為替!$A:$AX,$L9,FALSE)))</f>
        <v>145.86000000000001</v>
      </c>
      <c r="N9" s="205">
        <f t="shared" si="4"/>
        <v>13200</v>
      </c>
      <c r="O9" s="206">
        <f t="shared" si="0"/>
        <v>16930.880000000005</v>
      </c>
      <c r="P9" s="207">
        <f t="shared" si="5"/>
        <v>0.56191123525101161</v>
      </c>
      <c r="Q9" s="163" t="s">
        <v>299</v>
      </c>
    </row>
    <row r="10" spans="1:18">
      <c r="A10" s="163" t="s">
        <v>261</v>
      </c>
      <c r="B10" s="163">
        <v>7225</v>
      </c>
      <c r="C10" s="405">
        <v>202800</v>
      </c>
      <c r="D10" s="411">
        <v>55000</v>
      </c>
      <c r="E10" s="202" t="s">
        <v>200</v>
      </c>
      <c r="F10" s="200">
        <v>3420</v>
      </c>
      <c r="G10" s="162">
        <v>45828</v>
      </c>
      <c r="H10" s="203" t="s">
        <v>199</v>
      </c>
      <c r="I10" s="186">
        <f t="shared" si="1"/>
        <v>4</v>
      </c>
      <c r="J10" s="204">
        <f>IF($H10="USD",IF(OR($I10="",$I10="-"),"",VLOOKUP($G10,為替!$A:$AX,$I10,FALSE))+$J$3,IF(OR($I10="",$I10="-"),"",VLOOKUP($G10,為替!$A:$AX,$I10,FALSE)))</f>
        <v>144.85</v>
      </c>
      <c r="K10" s="205">
        <f t="shared" si="2"/>
        <v>495387</v>
      </c>
      <c r="L10" s="189">
        <f t="shared" si="3"/>
        <v>3</v>
      </c>
      <c r="M10" s="204">
        <f>IF($H10="USD",IF(OR($L10="",$L10="-"),"",VLOOKUP($G10,為替!$A:$AX,$L10,FALSE))+$K$3,IF(OR($L10="",$L10="-"),"",VLOOKUP($G10,為替!$A:$AX,$L10,FALSE)))</f>
        <v>145.85</v>
      </c>
      <c r="N10" s="205">
        <f t="shared" si="4"/>
        <v>257800</v>
      </c>
      <c r="O10" s="206">
        <f t="shared" si="0"/>
        <v>237587</v>
      </c>
      <c r="P10" s="207">
        <f t="shared" si="5"/>
        <v>0.47959877832886211</v>
      </c>
      <c r="Q10" s="163" t="s">
        <v>302</v>
      </c>
    </row>
    <row r="11" spans="1:18">
      <c r="A11" s="163" t="s">
        <v>260</v>
      </c>
      <c r="B11" s="163">
        <v>7206</v>
      </c>
      <c r="C11" s="405">
        <v>147200</v>
      </c>
      <c r="D11" s="411">
        <v>12000</v>
      </c>
      <c r="E11" s="202" t="s">
        <v>296</v>
      </c>
      <c r="F11" s="405">
        <v>178000</v>
      </c>
      <c r="G11" s="162">
        <v>45831</v>
      </c>
      <c r="H11" s="203" t="s">
        <v>296</v>
      </c>
      <c r="I11" s="186" t="str">
        <f t="shared" si="1"/>
        <v/>
      </c>
      <c r="J11" s="204" t="str">
        <f>IF($H11="USD",IF(OR($I11="",$I11="-"),"",VLOOKUP($G11,為替!$A:$AX,$I11,FALSE))+$J$3,IF(OR($I11="",$I11="-"),"",VLOOKUP($G11,為替!$A:$AX,$I11,FALSE)))</f>
        <v/>
      </c>
      <c r="K11" s="205">
        <f t="shared" si="2"/>
        <v>178000</v>
      </c>
      <c r="L11" s="189" t="str">
        <f t="shared" si="3"/>
        <v/>
      </c>
      <c r="M11" s="204" t="str">
        <f>IF($H11="USD",IF(OR($L11="",$L11="-"),"",VLOOKUP($G11,為替!$A:$AX,$L11,FALSE))+$K$3,IF(OR($L11="",$L11="-"),"",VLOOKUP($G11,為替!$A:$AX,$L11,FALSE)))</f>
        <v/>
      </c>
      <c r="N11" s="205">
        <f t="shared" si="4"/>
        <v>159200</v>
      </c>
      <c r="O11" s="206">
        <f t="shared" si="0"/>
        <v>18800</v>
      </c>
      <c r="P11" s="207">
        <f t="shared" si="5"/>
        <v>0.10561797752808989</v>
      </c>
      <c r="Q11" s="163" t="s">
        <v>300</v>
      </c>
    </row>
    <row r="12" spans="1:18">
      <c r="A12" s="163" t="s">
        <v>201</v>
      </c>
      <c r="B12" s="163">
        <v>7235</v>
      </c>
      <c r="C12" s="405">
        <v>75600</v>
      </c>
      <c r="D12" s="411">
        <v>7000</v>
      </c>
      <c r="E12" s="202" t="s">
        <v>200</v>
      </c>
      <c r="F12" s="405">
        <v>92400</v>
      </c>
      <c r="G12" s="162">
        <v>45832</v>
      </c>
      <c r="H12" s="203" t="s">
        <v>296</v>
      </c>
      <c r="I12" s="186" t="str">
        <f t="shared" si="1"/>
        <v/>
      </c>
      <c r="J12" s="204" t="str">
        <f>IF($H12="USD",IF(OR($I12="",$I12="-"),"",VLOOKUP($G12,為替!$A:$AX,$I12,FALSE))+$J$3,IF(OR($I12="",$I12="-"),"",VLOOKUP($G12,為替!$A:$AX,$I12,FALSE)))</f>
        <v/>
      </c>
      <c r="K12" s="205">
        <f t="shared" si="2"/>
        <v>92400</v>
      </c>
      <c r="L12" s="189" t="str">
        <f t="shared" si="3"/>
        <v/>
      </c>
      <c r="M12" s="204" t="str">
        <f>IF($H12="USD",IF(OR($L12="",$L12="-"),"",VLOOKUP($G12,為替!$A:$AX,$L12,FALSE))+$K$3,IF(OR($L12="",$L12="-"),"",VLOOKUP($G12,為替!$A:$AX,$L12,FALSE)))</f>
        <v/>
      </c>
      <c r="N12" s="205">
        <f t="shared" si="4"/>
        <v>82600</v>
      </c>
      <c r="O12" s="206">
        <f t="shared" si="0"/>
        <v>9800</v>
      </c>
      <c r="P12" s="207">
        <f t="shared" si="5"/>
        <v>0.10606060606060606</v>
      </c>
      <c r="Q12" s="163" t="s">
        <v>75</v>
      </c>
    </row>
    <row r="13" spans="1:18">
      <c r="A13" s="163" t="s">
        <v>261</v>
      </c>
      <c r="B13" s="163">
        <v>7234</v>
      </c>
      <c r="C13" s="405">
        <v>59400</v>
      </c>
      <c r="D13" s="411">
        <v>9000</v>
      </c>
      <c r="E13" s="202" t="s">
        <v>200</v>
      </c>
      <c r="F13" s="200">
        <v>997</v>
      </c>
      <c r="G13" s="162">
        <v>45833</v>
      </c>
      <c r="H13" s="203" t="s">
        <v>199</v>
      </c>
      <c r="I13" s="186">
        <f t="shared" si="1"/>
        <v>4</v>
      </c>
      <c r="J13" s="204">
        <f>IF($H13="USD",IF(OR($I13="",$I13="-"),"",VLOOKUP($G13,為替!$A:$AX,$I13,FALSE))+$J$3,IF(OR($I13="",$I13="-"),"",VLOOKUP($G13,為替!$A:$AX,$I13,FALSE)))</f>
        <v>144.56</v>
      </c>
      <c r="K13" s="205">
        <f t="shared" si="2"/>
        <v>144126.32</v>
      </c>
      <c r="L13" s="189">
        <f t="shared" si="3"/>
        <v>3</v>
      </c>
      <c r="M13" s="204">
        <f>IF($H13="USD",IF(OR($L13="",$L13="-"),"",VLOOKUP($G13,為替!$A:$AX,$L13,FALSE))+$K$3,IF(OR($L13="",$L13="-"),"",VLOOKUP($G13,為替!$A:$AX,$L13,FALSE)))</f>
        <v>145.56</v>
      </c>
      <c r="N13" s="205">
        <f t="shared" si="4"/>
        <v>68400</v>
      </c>
      <c r="O13" s="206">
        <f t="shared" si="0"/>
        <v>75726.320000000007</v>
      </c>
      <c r="P13" s="207">
        <f t="shared" si="5"/>
        <v>0.52541631535447519</v>
      </c>
      <c r="Q13" s="163" t="s">
        <v>308</v>
      </c>
    </row>
    <row r="14" spans="1:18">
      <c r="A14" s="163" t="s">
        <v>261</v>
      </c>
      <c r="B14" s="163">
        <v>7243</v>
      </c>
      <c r="C14" s="405">
        <v>25270</v>
      </c>
      <c r="D14" s="411">
        <v>4200</v>
      </c>
      <c r="E14" s="202" t="s">
        <v>200</v>
      </c>
      <c r="F14" s="405">
        <v>41180</v>
      </c>
      <c r="G14" s="162">
        <v>45835</v>
      </c>
      <c r="H14" s="203" t="s">
        <v>307</v>
      </c>
      <c r="I14" s="186" t="str">
        <f t="shared" si="1"/>
        <v/>
      </c>
      <c r="J14" s="204" t="str">
        <f>IF($H14="USD",IF(OR($I14="",$I14="-"),"",VLOOKUP($G14,為替!$A:$AX,$I14,FALSE))+$J$3,IF(OR($I14="",$I14="-"),"",VLOOKUP($G14,為替!$A:$AX,$I14,FALSE)))</f>
        <v/>
      </c>
      <c r="K14" s="205">
        <f t="shared" si="2"/>
        <v>41180</v>
      </c>
      <c r="L14" s="189" t="str">
        <f t="shared" si="3"/>
        <v/>
      </c>
      <c r="M14" s="204" t="str">
        <f>IF($H14="USD",IF(OR($L14="",$L14="-"),"",VLOOKUP($G14,為替!$A:$AX,$L14,FALSE))+$K$3,IF(OR($L14="",$L14="-"),"",VLOOKUP($G14,為替!$A:$AX,$L14,FALSE)))</f>
        <v/>
      </c>
      <c r="N14" s="205">
        <f t="shared" si="4"/>
        <v>29470</v>
      </c>
      <c r="O14" s="206">
        <f t="shared" si="0"/>
        <v>11710</v>
      </c>
      <c r="P14" s="207">
        <f t="shared" si="5"/>
        <v>0.28436134045653227</v>
      </c>
      <c r="Q14" s="163" t="s">
        <v>297</v>
      </c>
    </row>
    <row r="15" spans="1:18">
      <c r="A15" s="163" t="s">
        <v>260</v>
      </c>
      <c r="B15" s="163">
        <v>7231</v>
      </c>
      <c r="C15" s="405">
        <v>5430400</v>
      </c>
      <c r="D15" s="411">
        <v>106000</v>
      </c>
      <c r="E15" s="202" t="s">
        <v>200</v>
      </c>
      <c r="F15" s="405">
        <v>5940000</v>
      </c>
      <c r="G15" s="162">
        <v>45838</v>
      </c>
      <c r="H15" s="203" t="s">
        <v>296</v>
      </c>
      <c r="I15" s="186" t="str">
        <f t="shared" si="1"/>
        <v/>
      </c>
      <c r="J15" s="204" t="str">
        <f>IF($H15="USD",IF(OR($I15="",$I15="-"),"",VLOOKUP($G15,為替!$A:$AX,$I15,FALSE))+$J$3,IF(OR($I15="",$I15="-"),"",VLOOKUP($G15,為替!$A:$AX,$I15,FALSE)))</f>
        <v/>
      </c>
      <c r="K15" s="205">
        <f t="shared" si="2"/>
        <v>5940000</v>
      </c>
      <c r="L15" s="189" t="str">
        <f t="shared" si="3"/>
        <v/>
      </c>
      <c r="M15" s="204" t="str">
        <f>IF($H15="USD",IF(OR($L15="",$L15="-"),"",VLOOKUP($G15,為替!$A:$AX,$L15,FALSE))+$K$3,IF(OR($L15="",$L15="-"),"",VLOOKUP($G15,為替!$A:$AX,$L15,FALSE)))</f>
        <v/>
      </c>
      <c r="N15" s="205">
        <f t="shared" si="4"/>
        <v>5536400</v>
      </c>
      <c r="O15" s="206">
        <f t="shared" si="0"/>
        <v>403600</v>
      </c>
      <c r="P15" s="207">
        <f t="shared" si="5"/>
        <v>6.7946127946127949E-2</v>
      </c>
      <c r="Q15" s="163" t="s">
        <v>300</v>
      </c>
    </row>
    <row r="16" spans="1:18">
      <c r="A16" s="163" t="s">
        <v>261</v>
      </c>
      <c r="B16" s="163">
        <v>7230</v>
      </c>
      <c r="C16" s="405">
        <v>1605000</v>
      </c>
      <c r="D16" s="411">
        <v>31000</v>
      </c>
      <c r="E16" s="202" t="s">
        <v>200</v>
      </c>
      <c r="F16" s="405">
        <v>2075000</v>
      </c>
      <c r="G16" s="162">
        <v>45840</v>
      </c>
      <c r="H16" s="203" t="s">
        <v>200</v>
      </c>
      <c r="I16" s="186" t="str">
        <f t="shared" si="1"/>
        <v/>
      </c>
      <c r="J16" s="204" t="str">
        <f>IF($H16="USD",IF(OR($I16="",$I16="-"),"",VLOOKUP($G16,為替!$A:$AX,$I16,FALSE))+$J$3,IF(OR($I16="",$I16="-"),"",VLOOKUP($G16,為替!$A:$AX,$I16,FALSE)))</f>
        <v/>
      </c>
      <c r="K16" s="205">
        <f t="shared" si="2"/>
        <v>2075000</v>
      </c>
      <c r="L16" s="189" t="str">
        <f t="shared" si="3"/>
        <v/>
      </c>
      <c r="M16" s="204" t="str">
        <f>IF($H16="USD",IF(OR($L16="",$L16="-"),"",VLOOKUP($G16,為替!$A:$AX,$L16,FALSE))+$K$3,IF(OR($L16="",$L16="-"),"",VLOOKUP($G16,為替!$A:$AX,$L16,FALSE)))</f>
        <v/>
      </c>
      <c r="N16" s="205">
        <f t="shared" si="4"/>
        <v>1636000</v>
      </c>
      <c r="O16" s="206">
        <f t="shared" si="0"/>
        <v>439000</v>
      </c>
      <c r="P16" s="207">
        <f t="shared" si="5"/>
        <v>0.21156626506024095</v>
      </c>
      <c r="Q16" s="163" t="s">
        <v>310</v>
      </c>
    </row>
    <row r="17" spans="1:17">
      <c r="A17" s="163" t="s">
        <v>261</v>
      </c>
      <c r="B17" s="163">
        <v>7232</v>
      </c>
      <c r="C17" s="405">
        <v>6159000</v>
      </c>
      <c r="D17" s="411">
        <v>383000</v>
      </c>
      <c r="E17" s="202" t="s">
        <v>200</v>
      </c>
      <c r="F17" s="405">
        <v>7797000</v>
      </c>
      <c r="G17" s="162">
        <v>45846</v>
      </c>
      <c r="H17" s="203" t="s">
        <v>200</v>
      </c>
      <c r="I17" s="186" t="str">
        <f t="shared" si="1"/>
        <v/>
      </c>
      <c r="J17" s="204" t="str">
        <f>IF($H17="USD",IF(OR($I17="",$I17="-"),"",VLOOKUP($G17,為替!$A:$AX,$I17,FALSE))+$J$3,IF(OR($I17="",$I17="-"),"",VLOOKUP($G17,為替!$A:$AX,$I17,FALSE)))</f>
        <v/>
      </c>
      <c r="K17" s="205">
        <f t="shared" si="2"/>
        <v>7797000</v>
      </c>
      <c r="L17" s="189" t="str">
        <f t="shared" si="3"/>
        <v/>
      </c>
      <c r="M17" s="204" t="str">
        <f>IF($H17="USD",IF(OR($L17="",$L17="-"),"",VLOOKUP($G17,為替!$A:$AX,$L17,FALSE))+$K$3,IF(OR($L17="",$L17="-"),"",VLOOKUP($G17,為替!$A:$AX,$L17,FALSE)))</f>
        <v/>
      </c>
      <c r="N17" s="205">
        <f t="shared" si="4"/>
        <v>6542000</v>
      </c>
      <c r="O17" s="206">
        <f t="shared" si="0"/>
        <v>1255000</v>
      </c>
      <c r="P17" s="207">
        <f t="shared" si="5"/>
        <v>0.16095934333718095</v>
      </c>
      <c r="Q17" s="163" t="s">
        <v>301</v>
      </c>
    </row>
    <row r="18" spans="1:17">
      <c r="A18" s="163" t="s">
        <v>260</v>
      </c>
      <c r="B18" s="163">
        <v>7269</v>
      </c>
      <c r="C18" s="405">
        <v>220800</v>
      </c>
      <c r="D18" s="411">
        <v>17000</v>
      </c>
      <c r="E18" s="202" t="s">
        <v>200</v>
      </c>
      <c r="F18" s="405">
        <v>260000</v>
      </c>
      <c r="G18" s="162">
        <v>45849</v>
      </c>
      <c r="H18" s="203" t="s">
        <v>200</v>
      </c>
      <c r="I18" s="186" t="str">
        <f t="shared" si="1"/>
        <v/>
      </c>
      <c r="J18" s="204" t="str">
        <f>IF($H18="USD",IF(OR($I18="",$I18="-"),"",VLOOKUP($G18,為替!$A:$AX,$I18,FALSE))+$J$3,IF(OR($I18="",$I18="-"),"",VLOOKUP($G18,為替!$A:$AX,$I18,FALSE)))</f>
        <v/>
      </c>
      <c r="K18" s="205">
        <f t="shared" si="2"/>
        <v>260000</v>
      </c>
      <c r="L18" s="189" t="str">
        <f t="shared" si="3"/>
        <v/>
      </c>
      <c r="M18" s="204" t="str">
        <f>IF($H18="USD",IF(OR($L18="",$L18="-"),"",VLOOKUP($G18,為替!$A:$AX,$L18,FALSE))+$K$3,IF(OR($L18="",$L18="-"),"",VLOOKUP($G18,為替!$A:$AX,$L18,FALSE)))</f>
        <v/>
      </c>
      <c r="N18" s="205">
        <f t="shared" si="4"/>
        <v>237800</v>
      </c>
      <c r="O18" s="206">
        <f t="shared" si="0"/>
        <v>22200</v>
      </c>
      <c r="P18" s="207">
        <f t="shared" si="5"/>
        <v>8.5384615384615378E-2</v>
      </c>
      <c r="Q18" s="163" t="s">
        <v>300</v>
      </c>
    </row>
    <row r="19" spans="1:17">
      <c r="A19" s="163" t="s">
        <v>261</v>
      </c>
      <c r="B19" s="163">
        <v>7270</v>
      </c>
      <c r="C19" s="405">
        <v>14888</v>
      </c>
      <c r="D19" s="411">
        <v>3000</v>
      </c>
      <c r="E19" s="202" t="s">
        <v>200</v>
      </c>
      <c r="F19" s="405">
        <v>25830</v>
      </c>
      <c r="G19" s="162">
        <v>45849</v>
      </c>
      <c r="H19" s="203" t="s">
        <v>200</v>
      </c>
      <c r="I19" s="186" t="str">
        <f t="shared" si="1"/>
        <v/>
      </c>
      <c r="J19" s="204" t="str">
        <f>IF($H19="USD",IF(OR($I19="",$I19="-"),"",VLOOKUP($G19,為替!$A:$AX,$I19,FALSE))+$J$3,IF(OR($I19="",$I19="-"),"",VLOOKUP($G19,為替!$A:$AX,$I19,FALSE)))</f>
        <v/>
      </c>
      <c r="K19" s="205">
        <f t="shared" si="2"/>
        <v>25830</v>
      </c>
      <c r="L19" s="189" t="str">
        <f t="shared" si="3"/>
        <v/>
      </c>
      <c r="M19" s="204" t="str">
        <f>IF($H19="USD",IF(OR($L19="",$L19="-"),"",VLOOKUP($G19,為替!$A:$AX,$L19,FALSE))+$K$3,IF(OR($L19="",$L19="-"),"",VLOOKUP($G19,為替!$A:$AX,$L19,FALSE)))</f>
        <v/>
      </c>
      <c r="N19" s="205">
        <f t="shared" si="4"/>
        <v>17888</v>
      </c>
      <c r="O19" s="206">
        <f t="shared" si="0"/>
        <v>7942</v>
      </c>
      <c r="P19" s="207">
        <f t="shared" si="5"/>
        <v>0.30747193186217575</v>
      </c>
      <c r="Q19" s="163" t="s">
        <v>297</v>
      </c>
    </row>
    <row r="20" spans="1:17">
      <c r="A20" s="163" t="s">
        <v>201</v>
      </c>
      <c r="B20" s="163">
        <v>7281</v>
      </c>
      <c r="C20" s="405">
        <v>86600</v>
      </c>
      <c r="D20" s="411">
        <v>12000</v>
      </c>
      <c r="E20" s="202" t="s">
        <v>200</v>
      </c>
      <c r="F20" s="405">
        <v>112000</v>
      </c>
      <c r="G20" s="162">
        <v>45852</v>
      </c>
      <c r="H20" s="203" t="s">
        <v>200</v>
      </c>
      <c r="I20" s="186" t="str">
        <f t="shared" si="1"/>
        <v/>
      </c>
      <c r="J20" s="204" t="str">
        <f>IF($H20="USD",IF(OR($I20="",$I20="-"),"",VLOOKUP($G20,為替!$A:$AX,$I20,FALSE))+$J$3,IF(OR($I20="",$I20="-"),"",VLOOKUP($G20,為替!$A:$AX,$I20,FALSE)))</f>
        <v/>
      </c>
      <c r="K20" s="205">
        <f t="shared" si="2"/>
        <v>112000</v>
      </c>
      <c r="L20" s="189" t="str">
        <f t="shared" si="3"/>
        <v/>
      </c>
      <c r="M20" s="204" t="str">
        <f>IF($H20="USD",IF(OR($L20="",$L20="-"),"",VLOOKUP($G20,為替!$A:$AX,$L20,FALSE))+$K$3,IF(OR($L20="",$L20="-"),"",VLOOKUP($G20,為替!$A:$AX,$L20,FALSE)))</f>
        <v/>
      </c>
      <c r="N20" s="205">
        <f t="shared" si="4"/>
        <v>98600</v>
      </c>
      <c r="O20" s="206">
        <f t="shared" si="0"/>
        <v>13400</v>
      </c>
      <c r="P20" s="207">
        <f t="shared" si="5"/>
        <v>0.11964285714285715</v>
      </c>
      <c r="Q20" s="163" t="s">
        <v>75</v>
      </c>
    </row>
    <row r="21" spans="1:17">
      <c r="A21" s="163" t="s">
        <v>261</v>
      </c>
      <c r="B21" s="163">
        <v>7279</v>
      </c>
      <c r="C21" s="405">
        <v>262800</v>
      </c>
      <c r="D21" s="411">
        <v>0</v>
      </c>
      <c r="E21" s="202" t="s">
        <v>200</v>
      </c>
      <c r="F21" s="405">
        <v>357000</v>
      </c>
      <c r="G21" s="162">
        <v>45856</v>
      </c>
      <c r="H21" s="203" t="s">
        <v>200</v>
      </c>
      <c r="I21" s="186" t="str">
        <f t="shared" si="1"/>
        <v/>
      </c>
      <c r="J21" s="204" t="str">
        <f>IF($H21="USD",IF(OR($I21="",$I21="-"),"",VLOOKUP($G21,為替!$A:$AX,$I21,FALSE))+$J$3,IF(OR($I21="",$I21="-"),"",VLOOKUP($G21,為替!$A:$AX,$I21,FALSE)))</f>
        <v/>
      </c>
      <c r="K21" s="205">
        <f t="shared" si="2"/>
        <v>357000</v>
      </c>
      <c r="L21" s="189" t="str">
        <f t="shared" si="3"/>
        <v/>
      </c>
      <c r="M21" s="204" t="str">
        <f>IF($H21="USD",IF(OR($L21="",$L21="-"),"",VLOOKUP($G21,為替!$A:$AX,$L21,FALSE))+$K$3,IF(OR($L21="",$L21="-"),"",VLOOKUP($G21,為替!$A:$AX,$L21,FALSE)))</f>
        <v/>
      </c>
      <c r="N21" s="205">
        <f t="shared" si="4"/>
        <v>262800</v>
      </c>
      <c r="O21" s="206">
        <f t="shared" si="0"/>
        <v>94200</v>
      </c>
      <c r="P21" s="207">
        <f t="shared" si="5"/>
        <v>0.2638655462184874</v>
      </c>
      <c r="Q21" s="163" t="s">
        <v>334</v>
      </c>
    </row>
    <row r="22" spans="1:17">
      <c r="A22" s="163" t="s">
        <v>201</v>
      </c>
      <c r="B22" s="163">
        <v>7301</v>
      </c>
      <c r="C22" s="405">
        <v>75600</v>
      </c>
      <c r="D22" s="411">
        <v>7000</v>
      </c>
      <c r="E22" s="202" t="s">
        <v>335</v>
      </c>
      <c r="F22" s="405">
        <v>92400</v>
      </c>
      <c r="G22" s="162">
        <v>45861</v>
      </c>
      <c r="H22" s="203" t="s">
        <v>335</v>
      </c>
      <c r="I22" s="186" t="str">
        <f t="shared" si="1"/>
        <v/>
      </c>
      <c r="J22" s="204" t="str">
        <f>IF($H22="USD",IF(OR($I22="",$I22="-"),"",VLOOKUP($G22,為替!$A:$AX,$I22,FALSE))+$J$3,IF(OR($I22="",$I22="-"),"",VLOOKUP($G22,為替!$A:$AX,$I22,FALSE)))</f>
        <v/>
      </c>
      <c r="K22" s="205">
        <f t="shared" si="2"/>
        <v>92400</v>
      </c>
      <c r="L22" s="189" t="str">
        <f t="shared" si="3"/>
        <v/>
      </c>
      <c r="M22" s="204" t="str">
        <f>IF($H22="USD",IF(OR($L22="",$L22="-"),"",VLOOKUP($G22,為替!$A:$AX,$L22,FALSE))+$K$3,IF(OR($L22="",$L22="-"),"",VLOOKUP($G22,為替!$A:$AX,$L22,FALSE)))</f>
        <v/>
      </c>
      <c r="N22" s="205">
        <f t="shared" si="4"/>
        <v>82600</v>
      </c>
      <c r="O22" s="206">
        <f t="shared" si="0"/>
        <v>9800</v>
      </c>
      <c r="P22" s="207">
        <f t="shared" si="5"/>
        <v>0.10606060606060606</v>
      </c>
      <c r="Q22" s="163" t="s">
        <v>75</v>
      </c>
    </row>
    <row r="23" spans="1:17">
      <c r="A23" s="163" t="s">
        <v>261</v>
      </c>
      <c r="B23" s="163">
        <v>7302</v>
      </c>
      <c r="C23" s="405">
        <v>16500</v>
      </c>
      <c r="D23" s="411">
        <v>0</v>
      </c>
      <c r="E23" s="202" t="s">
        <v>335</v>
      </c>
      <c r="F23" s="200">
        <v>260</v>
      </c>
      <c r="G23" s="162">
        <v>45861</v>
      </c>
      <c r="H23" s="203" t="s">
        <v>25</v>
      </c>
      <c r="I23" s="186">
        <f t="shared" si="1"/>
        <v>4</v>
      </c>
      <c r="J23" s="204">
        <f>IF($H23="USD",IF(OR($I23="",$I23="-"),"",VLOOKUP($G23,為替!$A:$AX,$I23,FALSE))+$J$3,IF(OR($I23="",$I23="-"),"",VLOOKUP($G23,為替!$A:$AX,$I23,FALSE)))</f>
        <v>145.97999999999999</v>
      </c>
      <c r="K23" s="205">
        <f>IF($H23="JPY",$F23,IF($H23="","",$F23*$J23))</f>
        <v>37954.799999999996</v>
      </c>
      <c r="L23" s="189">
        <f t="shared" si="3"/>
        <v>3</v>
      </c>
      <c r="M23" s="204">
        <f>IF($H23="USD",IF(OR($L23="",$L23="-"),"",VLOOKUP($G23,為替!$A:$AX,$L23,FALSE))+$K$3,IF(OR($L23="",$L23="-"),"",VLOOKUP($G23,為替!$A:$AX,$L23,FALSE)))</f>
        <v>146.97999999999999</v>
      </c>
      <c r="N23" s="205">
        <f t="shared" si="4"/>
        <v>16500</v>
      </c>
      <c r="O23" s="206">
        <f>IF(OR(K23="",N23=""),"",K23-N23)</f>
        <v>21454.799999999996</v>
      </c>
      <c r="P23" s="207">
        <f t="shared" si="5"/>
        <v>0.56527237661639629</v>
      </c>
      <c r="Q23" s="163" t="s">
        <v>299</v>
      </c>
    </row>
    <row r="24" spans="1:17">
      <c r="A24" s="163" t="s">
        <v>260</v>
      </c>
      <c r="B24" s="163">
        <v>7309</v>
      </c>
      <c r="C24" s="405">
        <v>220800</v>
      </c>
      <c r="D24" s="411">
        <v>25000</v>
      </c>
      <c r="E24" s="202" t="s">
        <v>200</v>
      </c>
      <c r="F24" s="405">
        <v>243000</v>
      </c>
      <c r="G24" s="162">
        <v>45861</v>
      </c>
      <c r="H24" s="203" t="s">
        <v>200</v>
      </c>
      <c r="I24" s="186" t="str">
        <f t="shared" si="1"/>
        <v/>
      </c>
      <c r="J24" s="204" t="str">
        <f>IF($H24="USD",IF(OR($I24="",$I24="-"),"",VLOOKUP($G24,為替!$A:$AX,$I24,FALSE))+$J$3,IF(OR($I24="",$I24="-"),"",VLOOKUP($G24,為替!$A:$AX,$I24,FALSE)))</f>
        <v/>
      </c>
      <c r="K24" s="205">
        <f t="shared" si="2"/>
        <v>243000</v>
      </c>
      <c r="L24" s="189" t="str">
        <f t="shared" si="3"/>
        <v/>
      </c>
      <c r="M24" s="204" t="str">
        <f>IF($H24="USD",IF(OR($L24="",$L24="-"),"",VLOOKUP($G24,為替!$A:$AX,$L24,FALSE))+$K$3,IF(OR($L24="",$L24="-"),"",VLOOKUP($G24,為替!$A:$AX,$L24,FALSE)))</f>
        <v/>
      </c>
      <c r="N24" s="205">
        <f t="shared" si="4"/>
        <v>245800</v>
      </c>
      <c r="O24" s="206">
        <f t="shared" si="0"/>
        <v>-2800</v>
      </c>
      <c r="P24" s="207">
        <f t="shared" si="5"/>
        <v>-1.1522633744855968E-2</v>
      </c>
      <c r="Q24" s="163" t="s">
        <v>340</v>
      </c>
    </row>
    <row r="25" spans="1:17">
      <c r="A25" s="163" t="s">
        <v>261</v>
      </c>
      <c r="B25" s="163">
        <v>7317</v>
      </c>
      <c r="C25" s="405">
        <v>3300</v>
      </c>
      <c r="D25" s="411">
        <v>0</v>
      </c>
      <c r="E25" s="202" t="s">
        <v>336</v>
      </c>
      <c r="F25" s="200">
        <v>52</v>
      </c>
      <c r="G25" s="162">
        <v>45863</v>
      </c>
      <c r="H25" s="203" t="s">
        <v>25</v>
      </c>
      <c r="I25" s="186">
        <f t="shared" si="1"/>
        <v>4</v>
      </c>
      <c r="J25" s="204">
        <f>IF($H25="USD",IF(OR($I25="",$I25="-"),"",VLOOKUP($G25,為替!$A:$AX,$I25,FALSE))+$J$3,IF(OR($I25="",$I25="-"),"",VLOOKUP($G25,為替!$A:$AX,$I25,FALSE)))</f>
        <v>146.91999999999999</v>
      </c>
      <c r="K25" s="205">
        <f t="shared" si="2"/>
        <v>7639.8399999999992</v>
      </c>
      <c r="L25" s="189">
        <f t="shared" si="3"/>
        <v>3</v>
      </c>
      <c r="M25" s="204">
        <f>IF($H25="USD",IF(OR($L25="",$L25="-"),"",VLOOKUP($G25,為替!$A:$AX,$L25,FALSE))+$K$3,IF(OR($L25="",$L25="-"),"",VLOOKUP($G25,為替!$A:$AX,$L25,FALSE)))</f>
        <v>147.91999999999999</v>
      </c>
      <c r="N25" s="205">
        <f t="shared" si="4"/>
        <v>3300</v>
      </c>
      <c r="O25" s="206">
        <f t="shared" si="0"/>
        <v>4339.8399999999992</v>
      </c>
      <c r="P25" s="207">
        <f t="shared" si="5"/>
        <v>0.56805378123102046</v>
      </c>
      <c r="Q25" s="163" t="s">
        <v>299</v>
      </c>
    </row>
    <row r="26" spans="1:17">
      <c r="A26" s="163" t="s">
        <v>261</v>
      </c>
      <c r="B26" s="163">
        <v>7308</v>
      </c>
      <c r="C26" s="405">
        <v>147200</v>
      </c>
      <c r="D26" s="411">
        <v>0</v>
      </c>
      <c r="E26" s="202" t="s">
        <v>200</v>
      </c>
      <c r="F26" s="405">
        <v>182000</v>
      </c>
      <c r="G26" s="162">
        <v>45863</v>
      </c>
      <c r="H26" s="203" t="s">
        <v>336</v>
      </c>
      <c r="I26" s="186" t="str">
        <f t="shared" si="1"/>
        <v/>
      </c>
      <c r="J26" s="204" t="str">
        <f>IF($H26="USD",IF(OR($I26="",$I26="-"),"",VLOOKUP($G26,為替!$A:$AX,$I26,FALSE))+$J$3,IF(OR($I26="",$I26="-"),"",VLOOKUP($G26,為替!$A:$AX,$I26,FALSE)))</f>
        <v/>
      </c>
      <c r="K26" s="205">
        <f t="shared" si="2"/>
        <v>182000</v>
      </c>
      <c r="L26" s="189" t="str">
        <f t="shared" si="3"/>
        <v/>
      </c>
      <c r="M26" s="204" t="str">
        <f>IF($H26="USD",IF(OR($L26="",$L26="-"),"",VLOOKUP($G26,為替!$A:$AX,$L26,FALSE))+$K$3,IF(OR($L26="",$L26="-"),"",VLOOKUP($G26,為替!$A:$AX,$L26,FALSE)))</f>
        <v/>
      </c>
      <c r="N26" s="205">
        <f t="shared" si="4"/>
        <v>147200</v>
      </c>
      <c r="O26" s="206">
        <f t="shared" si="0"/>
        <v>34800</v>
      </c>
      <c r="P26" s="207">
        <f t="shared" si="5"/>
        <v>0.1912087912087912</v>
      </c>
      <c r="Q26" s="163" t="s">
        <v>298</v>
      </c>
    </row>
    <row r="27" spans="1:17">
      <c r="A27" s="163" t="s">
        <v>261</v>
      </c>
      <c r="B27" s="163">
        <v>7295</v>
      </c>
      <c r="C27" s="405">
        <v>309600</v>
      </c>
      <c r="D27" s="411">
        <v>20500</v>
      </c>
      <c r="E27" s="202" t="s">
        <v>200</v>
      </c>
      <c r="F27" s="200">
        <v>3960</v>
      </c>
      <c r="G27" s="162">
        <v>45867</v>
      </c>
      <c r="H27" s="203" t="s">
        <v>199</v>
      </c>
      <c r="I27" s="186">
        <f t="shared" si="1"/>
        <v>4</v>
      </c>
      <c r="J27" s="204">
        <f>IF($H27="USD",IF(OR($I27="",$I27="-"),"",VLOOKUP($G27,為替!$A:$AX,$I27,FALSE))+$J$3,IF(OR($I27="",$I27="-"),"",VLOOKUP($G27,為替!$A:$AX,$I27,FALSE)))</f>
        <v>148.04</v>
      </c>
      <c r="K27" s="205">
        <f>IF($H27="JPY",$F27,IF($H27="","",$F27*$J27))</f>
        <v>586238.4</v>
      </c>
      <c r="L27" s="189">
        <f t="shared" si="3"/>
        <v>3</v>
      </c>
      <c r="M27" s="204">
        <f>IF($H27="USD",IF(OR($L27="",$L27="-"),"",VLOOKUP($G27,為替!$A:$AX,$L27,FALSE))+$K$3,IF(OR($L27="",$L27="-"),"",VLOOKUP($G27,為替!$A:$AX,$L27,FALSE)))</f>
        <v>149.04</v>
      </c>
      <c r="N27" s="205">
        <f t="shared" si="4"/>
        <v>330100</v>
      </c>
      <c r="O27" s="206">
        <f t="shared" si="0"/>
        <v>256138.40000000002</v>
      </c>
      <c r="P27" s="207">
        <f t="shared" si="5"/>
        <v>0.43691849595659377</v>
      </c>
      <c r="Q27" s="163" t="s">
        <v>337</v>
      </c>
    </row>
    <row r="28" spans="1:17">
      <c r="A28" s="163" t="s">
        <v>261</v>
      </c>
      <c r="B28" s="163">
        <v>7310</v>
      </c>
      <c r="C28" s="405">
        <v>350600</v>
      </c>
      <c r="D28" s="411">
        <v>28000</v>
      </c>
      <c r="E28" s="202" t="s">
        <v>200</v>
      </c>
      <c r="F28" s="405">
        <v>479600</v>
      </c>
      <c r="G28" s="162">
        <v>45868</v>
      </c>
      <c r="H28" s="203" t="s">
        <v>338</v>
      </c>
      <c r="I28" s="186" t="str">
        <f t="shared" si="1"/>
        <v/>
      </c>
      <c r="J28" s="204" t="str">
        <f>IF($H28="USD",IF(OR($I28="",$I28="-"),"",VLOOKUP($G28,為替!$A:$AX,$I28,FALSE))+$J$3,IF(OR($I28="",$I28="-"),"",VLOOKUP($G28,為替!$A:$AX,$I28,FALSE)))</f>
        <v/>
      </c>
      <c r="K28" s="205">
        <f t="shared" si="2"/>
        <v>479600</v>
      </c>
      <c r="L28" s="189" t="str">
        <f t="shared" si="3"/>
        <v/>
      </c>
      <c r="M28" s="204" t="str">
        <f>IF($H28="USD",IF(OR($L28="",$L28="-"),"",VLOOKUP($G28,為替!$A:$AX,$L28,FALSE))+$K$3,IF(OR($L28="",$L28="-"),"",VLOOKUP($G28,為替!$A:$AX,$L28,FALSE)))</f>
        <v/>
      </c>
      <c r="N28" s="205">
        <f t="shared" si="4"/>
        <v>378600</v>
      </c>
      <c r="O28" s="206">
        <f t="shared" si="0"/>
        <v>101000</v>
      </c>
      <c r="P28" s="207">
        <f t="shared" si="5"/>
        <v>0.21059216013344453</v>
      </c>
      <c r="Q28" s="163" t="s">
        <v>339</v>
      </c>
    </row>
    <row r="29" spans="1:17">
      <c r="A29" s="163" t="s">
        <v>261</v>
      </c>
      <c r="B29" s="163">
        <v>7316</v>
      </c>
      <c r="C29" s="405">
        <v>135200</v>
      </c>
      <c r="D29" s="411">
        <v>40000</v>
      </c>
      <c r="E29" s="202" t="s">
        <v>200</v>
      </c>
      <c r="F29" s="200">
        <v>2280</v>
      </c>
      <c r="G29" s="162">
        <v>45868</v>
      </c>
      <c r="H29" s="203" t="s">
        <v>199</v>
      </c>
      <c r="I29" s="186">
        <f t="shared" si="1"/>
        <v>4</v>
      </c>
      <c r="J29" s="204">
        <f>IF($H29="USD",IF(OR($I29="",$I29="-"),"",VLOOKUP($G29,為替!$A:$AX,$I29,FALSE))+$J$3,IF(OR($I29="",$I29="-"),"",VLOOKUP($G29,為替!$A:$AX,$I29,FALSE)))</f>
        <v>147.75</v>
      </c>
      <c r="K29" s="205">
        <f t="shared" si="2"/>
        <v>336870</v>
      </c>
      <c r="L29" s="189">
        <f t="shared" si="3"/>
        <v>3</v>
      </c>
      <c r="M29" s="204">
        <f>IF($H29="USD",IF(OR($L29="",$L29="-"),"",VLOOKUP($G29,為替!$A:$AX,$L29,FALSE))+$K$3,IF(OR($L29="",$L29="-"),"",VLOOKUP($G29,為替!$A:$AX,$L29,FALSE)))</f>
        <v>148.75</v>
      </c>
      <c r="N29" s="205">
        <f t="shared" si="4"/>
        <v>175200</v>
      </c>
      <c r="O29" s="206">
        <f t="shared" si="0"/>
        <v>161670</v>
      </c>
      <c r="P29" s="207">
        <f t="shared" si="5"/>
        <v>0.47991806928488734</v>
      </c>
      <c r="Q29" s="163" t="s">
        <v>302</v>
      </c>
    </row>
    <row r="30" spans="1:17">
      <c r="A30" s="163" t="s">
        <v>260</v>
      </c>
      <c r="B30" s="163">
        <v>7294</v>
      </c>
      <c r="C30" s="405">
        <v>4116000</v>
      </c>
      <c r="D30" s="411">
        <v>87500</v>
      </c>
      <c r="E30" s="202" t="s">
        <v>200</v>
      </c>
      <c r="F30" s="405">
        <v>4608000</v>
      </c>
      <c r="G30" s="162">
        <v>45866</v>
      </c>
      <c r="H30" s="203" t="s">
        <v>200</v>
      </c>
      <c r="I30" s="186" t="str">
        <f t="shared" si="1"/>
        <v/>
      </c>
      <c r="J30" s="204" t="str">
        <f>IF($H30="USD",IF(OR($I30="",$I30="-"),"",VLOOKUP($G30,為替!$A:$AX,$I30,FALSE))+$J$3,IF(OR($I30="",$I30="-"),"",VLOOKUP($G30,為替!$A:$AX,$I30,FALSE)))</f>
        <v/>
      </c>
      <c r="K30" s="205">
        <f t="shared" si="2"/>
        <v>4608000</v>
      </c>
      <c r="L30" s="189" t="str">
        <f t="shared" si="3"/>
        <v/>
      </c>
      <c r="M30" s="204" t="str">
        <f>IF($H30="USD",IF(OR($L30="",$L30="-"),"",VLOOKUP($G30,為替!$A:$AX,$L30,FALSE))+$K$3,IF(OR($L30="",$L30="-"),"",VLOOKUP($G30,為替!$A:$AX,$L30,FALSE)))</f>
        <v/>
      </c>
      <c r="N30" s="205">
        <f t="shared" si="4"/>
        <v>4203500</v>
      </c>
      <c r="O30" s="206">
        <f t="shared" si="0"/>
        <v>404500</v>
      </c>
      <c r="P30" s="207">
        <f t="shared" si="5"/>
        <v>8.7782118055555552E-2</v>
      </c>
      <c r="Q30" s="163" t="s">
        <v>300</v>
      </c>
    </row>
    <row r="31" spans="1:17">
      <c r="A31" s="163" t="s">
        <v>261</v>
      </c>
      <c r="B31" s="163">
        <v>7332</v>
      </c>
      <c r="C31" s="405">
        <v>109400</v>
      </c>
      <c r="D31" s="411">
        <v>18000</v>
      </c>
      <c r="E31" s="202" t="s">
        <v>345</v>
      </c>
      <c r="F31" s="200">
        <v>1697</v>
      </c>
      <c r="G31" s="162">
        <v>45870</v>
      </c>
      <c r="H31" s="203" t="s">
        <v>25</v>
      </c>
      <c r="I31" s="186">
        <f t="shared" si="1"/>
        <v>4</v>
      </c>
      <c r="J31" s="204">
        <f>IF($H31="USD",IF(OR($I31="",$I31="-"),"",VLOOKUP($G31,為替!$A:$AX,$I31,FALSE))+$J$3,IF(OR($I31="",$I31="-"),"",VLOOKUP($G31,為替!$A:$AX,$I31,FALSE)))</f>
        <v>150.29</v>
      </c>
      <c r="K31" s="205">
        <f t="shared" si="2"/>
        <v>255042.12999999998</v>
      </c>
      <c r="L31" s="189">
        <f t="shared" si="3"/>
        <v>3</v>
      </c>
      <c r="M31" s="204">
        <f>IF($H31="USD",IF(OR($L31="",$L31="-"),"",VLOOKUP($G31,為替!$A:$AX,$L31,FALSE))+$K$3,IF(OR($L31="",$L31="-"),"",VLOOKUP($G31,為替!$A:$AX,$L31,FALSE)))</f>
        <v>151.29</v>
      </c>
      <c r="N31" s="205">
        <f t="shared" si="4"/>
        <v>127400</v>
      </c>
      <c r="O31" s="206">
        <f t="shared" si="0"/>
        <v>127642.12999999998</v>
      </c>
      <c r="P31" s="207">
        <f t="shared" si="5"/>
        <v>0.5004746862802627</v>
      </c>
      <c r="Q31" s="163" t="s">
        <v>308</v>
      </c>
    </row>
    <row r="32" spans="1:17">
      <c r="A32" s="163" t="s">
        <v>201</v>
      </c>
      <c r="B32" s="163">
        <v>7350</v>
      </c>
      <c r="C32" s="405">
        <v>126000</v>
      </c>
      <c r="D32" s="411">
        <v>13900</v>
      </c>
      <c r="E32" s="202" t="s">
        <v>200</v>
      </c>
      <c r="F32" s="200">
        <v>166400</v>
      </c>
      <c r="G32" s="162">
        <v>45873</v>
      </c>
      <c r="H32" s="203" t="s">
        <v>200</v>
      </c>
      <c r="I32" s="186" t="str">
        <f t="shared" si="1"/>
        <v/>
      </c>
      <c r="J32" s="204" t="str">
        <f>IF($H32="USD",IF(OR($I32="",$I32="-"),"",VLOOKUP($G32,為替!$A:$AX,$I32,FALSE))+$J$3,IF(OR($I32="",$I32="-"),"",VLOOKUP($G32,為替!$A:$AX,$I32,FALSE)))</f>
        <v/>
      </c>
      <c r="K32" s="205">
        <f t="shared" si="2"/>
        <v>166400</v>
      </c>
      <c r="L32" s="189" t="str">
        <f t="shared" si="3"/>
        <v/>
      </c>
      <c r="M32" s="204" t="str">
        <f>IF($H32="USD",IF(OR($L32="",$L32="-"),"",VLOOKUP($G32,為替!$A:$AX,$L32,FALSE))+$K$3,IF(OR($L32="",$L32="-"),"",VLOOKUP($G32,為替!$A:$AX,$L32,FALSE)))</f>
        <v/>
      </c>
      <c r="N32" s="205">
        <f t="shared" si="4"/>
        <v>139900</v>
      </c>
      <c r="O32" s="206">
        <f t="shared" si="0"/>
        <v>26500</v>
      </c>
      <c r="P32" s="207">
        <f t="shared" si="5"/>
        <v>0.15925480769230768</v>
      </c>
      <c r="Q32" s="163" t="s">
        <v>75</v>
      </c>
    </row>
    <row r="33" spans="1:17">
      <c r="A33" s="163" t="s">
        <v>201</v>
      </c>
      <c r="B33" s="163">
        <v>7360</v>
      </c>
      <c r="C33" s="405">
        <v>61600</v>
      </c>
      <c r="D33" s="411">
        <v>7000</v>
      </c>
      <c r="E33" s="202" t="s">
        <v>200</v>
      </c>
      <c r="F33" s="200">
        <v>83200</v>
      </c>
      <c r="G33" s="162">
        <v>45875</v>
      </c>
      <c r="H33" s="203" t="s">
        <v>200</v>
      </c>
      <c r="I33" s="186" t="str">
        <f t="shared" si="1"/>
        <v/>
      </c>
      <c r="J33" s="204" t="str">
        <f>IF($H33="USD",IF(OR($I33="",$I33="-"),"",VLOOKUP($G33,為替!$A:$AX,$I33,FALSE))+$J$3,IF(OR($I33="",$I33="-"),"",VLOOKUP($G33,為替!$A:$AX,$I33,FALSE)))</f>
        <v/>
      </c>
      <c r="K33" s="205">
        <f t="shared" si="2"/>
        <v>83200</v>
      </c>
      <c r="L33" s="189" t="str">
        <f t="shared" si="3"/>
        <v/>
      </c>
      <c r="M33" s="204" t="str">
        <f>IF($H33="USD",IF(OR($L33="",$L33="-"),"",VLOOKUP($G33,為替!$A:$AX,$L33,FALSE))+$K$3,IF(OR($L33="",$L33="-"),"",VLOOKUP($G33,為替!$A:$AX,$L33,FALSE)))</f>
        <v/>
      </c>
      <c r="N33" s="205">
        <f t="shared" si="4"/>
        <v>68600</v>
      </c>
      <c r="O33" s="206">
        <f t="shared" si="0"/>
        <v>14600</v>
      </c>
      <c r="P33" s="207">
        <f t="shared" si="5"/>
        <v>0.17548076923076922</v>
      </c>
      <c r="Q33" s="163" t="s">
        <v>75</v>
      </c>
    </row>
    <row r="34" spans="1:17">
      <c r="A34" s="163" t="s">
        <v>261</v>
      </c>
      <c r="B34" s="163">
        <v>7344</v>
      </c>
      <c r="C34" s="405">
        <v>39600</v>
      </c>
      <c r="D34" s="411">
        <v>0</v>
      </c>
      <c r="E34" s="202" t="s">
        <v>200</v>
      </c>
      <c r="F34" s="200">
        <v>624</v>
      </c>
      <c r="G34" s="162">
        <v>45875</v>
      </c>
      <c r="H34" s="203" t="s">
        <v>199</v>
      </c>
      <c r="I34" s="186">
        <f t="shared" si="1"/>
        <v>4</v>
      </c>
      <c r="J34" s="204">
        <f>IF($H34="USD",IF(OR($I34="",$I34="-"),"",VLOOKUP($G34,為替!$A:$AX,$I34,FALSE))+$J$3,IF(OR($I34="",$I34="-"),"",VLOOKUP($G34,為替!$A:$AX,$I34,FALSE)))</f>
        <v>147.13</v>
      </c>
      <c r="K34" s="205">
        <f t="shared" si="2"/>
        <v>91809.12</v>
      </c>
      <c r="L34" s="189">
        <f t="shared" si="3"/>
        <v>3</v>
      </c>
      <c r="M34" s="204">
        <f>IF($H34="USD",IF(OR($L34="",$L34="-"),"",VLOOKUP($G34,為替!$A:$AX,$L34,FALSE))+$K$3,IF(OR($L34="",$L34="-"),"",VLOOKUP($G34,為替!$A:$AX,$L34,FALSE)))</f>
        <v>148.13</v>
      </c>
      <c r="N34" s="205">
        <f t="shared" si="4"/>
        <v>39600</v>
      </c>
      <c r="O34" s="206">
        <f t="shared" si="0"/>
        <v>52209.119999999995</v>
      </c>
      <c r="P34" s="207">
        <f t="shared" si="5"/>
        <v>0.56867030203535329</v>
      </c>
      <c r="Q34" s="163" t="s">
        <v>366</v>
      </c>
    </row>
    <row r="35" spans="1:17">
      <c r="A35" s="163" t="s">
        <v>261</v>
      </c>
      <c r="B35" s="163">
        <v>7299</v>
      </c>
      <c r="C35" s="425">
        <v>2148000</v>
      </c>
      <c r="D35" s="411">
        <v>45000</v>
      </c>
      <c r="E35" s="202" t="s">
        <v>200</v>
      </c>
      <c r="F35" s="200">
        <v>2820000</v>
      </c>
      <c r="G35" s="162">
        <v>45873</v>
      </c>
      <c r="H35" s="203" t="s">
        <v>200</v>
      </c>
      <c r="I35" s="186" t="str">
        <f t="shared" si="1"/>
        <v/>
      </c>
      <c r="J35" s="204" t="str">
        <f>IF($H35="USD",IF(OR($I35="",$I35="-"),"",VLOOKUP($G35,為替!$A:$AX,$I35,FALSE))+$J$3,IF(OR($I35="",$I35="-"),"",VLOOKUP($G35,為替!$A:$AX,$I35,FALSE)))</f>
        <v/>
      </c>
      <c r="K35" s="205">
        <f t="shared" si="2"/>
        <v>2820000</v>
      </c>
      <c r="L35" s="189" t="str">
        <f t="shared" si="3"/>
        <v/>
      </c>
      <c r="M35" s="204" t="str">
        <f>IF($H35="USD",IF(OR($L35="",$L35="-"),"",VLOOKUP($G35,為替!$A:$AX,$L35,FALSE))+$K$3,IF(OR($L35="",$L35="-"),"",VLOOKUP($G35,為替!$A:$AX,$L35,FALSE)))</f>
        <v/>
      </c>
      <c r="N35" s="205">
        <f t="shared" si="4"/>
        <v>2193000</v>
      </c>
      <c r="O35" s="206">
        <f t="shared" si="0"/>
        <v>627000</v>
      </c>
      <c r="P35" s="207">
        <f t="shared" si="5"/>
        <v>0.22234042553191488</v>
      </c>
      <c r="Q35" s="163" t="s">
        <v>367</v>
      </c>
    </row>
    <row r="36" spans="1:17">
      <c r="A36" s="163" t="s">
        <v>261</v>
      </c>
      <c r="B36" s="163">
        <v>7319</v>
      </c>
      <c r="C36" s="405">
        <v>430900</v>
      </c>
      <c r="D36" s="411">
        <v>11100</v>
      </c>
      <c r="E36" s="202" t="s">
        <v>200</v>
      </c>
      <c r="F36" s="200">
        <v>553600</v>
      </c>
      <c r="G36" s="162">
        <v>45872</v>
      </c>
      <c r="H36" s="203" t="s">
        <v>200</v>
      </c>
      <c r="I36" s="186" t="str">
        <f t="shared" si="1"/>
        <v/>
      </c>
      <c r="J36" s="204" t="str">
        <f>IF($H36="USD",IF(OR($I36="",$I36="-"),"",VLOOKUP($G36,為替!$A:$AX,$I36,FALSE))+$J$3,IF(OR($I36="",$I36="-"),"",VLOOKUP($G36,為替!$A:$AX,$I36,FALSE)))</f>
        <v/>
      </c>
      <c r="K36" s="205">
        <f t="shared" si="2"/>
        <v>553600</v>
      </c>
      <c r="L36" s="189" t="str">
        <f t="shared" si="3"/>
        <v/>
      </c>
      <c r="M36" s="204" t="str">
        <f>IF($H36="USD",IF(OR($L36="",$L36="-"),"",VLOOKUP($G36,為替!$A:$AX,$L36,FALSE))+$K$3,IF(OR($L36="",$L36="-"),"",VLOOKUP($G36,為替!$A:$AX,$L36,FALSE)))</f>
        <v/>
      </c>
      <c r="N36" s="205">
        <f t="shared" si="4"/>
        <v>442000</v>
      </c>
      <c r="O36" s="206">
        <f t="shared" si="0"/>
        <v>111600</v>
      </c>
      <c r="P36" s="207">
        <f t="shared" si="5"/>
        <v>0.20158959537572255</v>
      </c>
      <c r="Q36" s="163" t="s">
        <v>368</v>
      </c>
    </row>
    <row r="37" spans="1:17">
      <c r="A37" s="163" t="s">
        <v>261</v>
      </c>
      <c r="B37" s="163">
        <v>7273</v>
      </c>
      <c r="C37" s="405">
        <v>29700</v>
      </c>
      <c r="D37" s="411">
        <v>29700</v>
      </c>
      <c r="E37" s="202" t="s">
        <v>200</v>
      </c>
      <c r="F37" s="200">
        <v>673</v>
      </c>
      <c r="G37" s="162">
        <v>45846</v>
      </c>
      <c r="H37" s="203" t="s">
        <v>199</v>
      </c>
      <c r="I37" s="186">
        <f t="shared" si="1"/>
        <v>4</v>
      </c>
      <c r="J37" s="204">
        <f>IF($H37="USD",IF(OR($I37="",$I37="-"),"",VLOOKUP($G37,為替!$A:$AX,$I37,FALSE))+$J$3,IF(OR($I37="",$I37="-"),"",VLOOKUP($G37,為替!$A:$AX,$I37,FALSE)))</f>
        <v>145.59</v>
      </c>
      <c r="K37" s="205">
        <f t="shared" si="2"/>
        <v>97982.07</v>
      </c>
      <c r="L37" s="189">
        <f t="shared" si="3"/>
        <v>3</v>
      </c>
      <c r="M37" s="204">
        <f>IF($H37="USD",IF(OR($L37="",$L37="-"),"",VLOOKUP($G37,為替!$A:$AX,$L37,FALSE))+$K$3,IF(OR($L37="",$L37="-"),"",VLOOKUP($G37,為替!$A:$AX,$L37,FALSE)))</f>
        <v>146.59</v>
      </c>
      <c r="N37" s="205">
        <f t="shared" si="4"/>
        <v>59400</v>
      </c>
      <c r="O37" s="206">
        <f t="shared" si="0"/>
        <v>38582.070000000007</v>
      </c>
      <c r="P37" s="207">
        <f t="shared" si="5"/>
        <v>0.39376663505884296</v>
      </c>
      <c r="Q37" s="163" t="s">
        <v>308</v>
      </c>
    </row>
    <row r="38" spans="1:17">
      <c r="A38" s="163" t="s">
        <v>261</v>
      </c>
      <c r="B38" s="163">
        <v>7343</v>
      </c>
      <c r="C38" s="405">
        <v>19600</v>
      </c>
      <c r="D38" s="411">
        <v>5100</v>
      </c>
      <c r="E38" s="202" t="s">
        <v>200</v>
      </c>
      <c r="F38" s="200">
        <v>32240</v>
      </c>
      <c r="G38" s="162">
        <v>45877</v>
      </c>
      <c r="H38" s="203" t="s">
        <v>369</v>
      </c>
      <c r="I38" s="186" t="str">
        <f t="shared" si="1"/>
        <v/>
      </c>
      <c r="J38" s="204" t="str">
        <f>IF($H38="USD",IF(OR($I38="",$I38="-"),"",VLOOKUP($G38,為替!$A:$AX,$I38,FALSE))+$J$3,IF(OR($I38="",$I38="-"),"",VLOOKUP($G38,為替!$A:$AX,$I38,FALSE)))</f>
        <v/>
      </c>
      <c r="K38" s="205">
        <f t="shared" si="2"/>
        <v>32240</v>
      </c>
      <c r="L38" s="189" t="str">
        <f t="shared" si="3"/>
        <v/>
      </c>
      <c r="M38" s="204" t="str">
        <f>IF($H38="USD",IF(OR($L38="",$L38="-"),"",VLOOKUP($G38,為替!$A:$AX,$L38,FALSE))+$K$3,IF(OR($L38="",$L38="-"),"",VLOOKUP($G38,為替!$A:$AX,$L38,FALSE)))</f>
        <v/>
      </c>
      <c r="N38" s="205">
        <f t="shared" si="4"/>
        <v>24700</v>
      </c>
      <c r="O38" s="206">
        <f t="shared" si="0"/>
        <v>7540</v>
      </c>
      <c r="P38" s="207">
        <f t="shared" si="5"/>
        <v>0.23387096774193547</v>
      </c>
      <c r="Q38" s="163" t="s">
        <v>297</v>
      </c>
    </row>
    <row r="39" spans="1:17">
      <c r="A39" s="163" t="s">
        <v>261</v>
      </c>
      <c r="B39" s="163">
        <v>7336</v>
      </c>
      <c r="C39" s="405">
        <v>1995800</v>
      </c>
      <c r="D39" s="411">
        <v>127000</v>
      </c>
      <c r="E39" s="202" t="s">
        <v>200</v>
      </c>
      <c r="F39" s="200">
        <v>2526000</v>
      </c>
      <c r="G39" s="162">
        <v>45881</v>
      </c>
      <c r="H39" s="203" t="s">
        <v>200</v>
      </c>
      <c r="I39" s="186" t="str">
        <f t="shared" si="1"/>
        <v/>
      </c>
      <c r="J39" s="204" t="str">
        <f>IF($H39="USD",IF(OR($I39="",$I39="-"),"",VLOOKUP($G39,為替!$A:$AX,$I39,FALSE))+$J$3,IF(OR($I39="",$I39="-"),"",VLOOKUP($G39,為替!$A:$AX,$I39,FALSE)))</f>
        <v/>
      </c>
      <c r="K39" s="205">
        <f t="shared" si="2"/>
        <v>2526000</v>
      </c>
      <c r="L39" s="189" t="str">
        <f t="shared" si="3"/>
        <v/>
      </c>
      <c r="M39" s="204" t="str">
        <f>IF($H39="USD",IF(OR($L39="",$L39="-"),"",VLOOKUP($G39,為替!$A:$AX,$L39,FALSE))+$K$3,IF(OR($L39="",$L39="-"),"",VLOOKUP($G39,為替!$A:$AX,$L39,FALSE)))</f>
        <v/>
      </c>
      <c r="N39" s="205">
        <f t="shared" si="4"/>
        <v>2122800</v>
      </c>
      <c r="O39" s="206">
        <f t="shared" si="0"/>
        <v>403200</v>
      </c>
      <c r="P39" s="207">
        <f t="shared" si="5"/>
        <v>0.15961995249406175</v>
      </c>
      <c r="Q39" s="163" t="s">
        <v>301</v>
      </c>
    </row>
    <row r="40" spans="1:17">
      <c r="A40" s="163" t="s">
        <v>261</v>
      </c>
      <c r="B40" s="163">
        <v>7362</v>
      </c>
      <c r="C40" s="405">
        <v>89000</v>
      </c>
      <c r="D40" s="411">
        <v>0</v>
      </c>
      <c r="E40" s="202" t="s">
        <v>200</v>
      </c>
      <c r="F40" s="200">
        <v>920</v>
      </c>
      <c r="G40" s="162">
        <v>45887</v>
      </c>
      <c r="H40" s="203" t="s">
        <v>199</v>
      </c>
      <c r="I40" s="186">
        <f t="shared" si="1"/>
        <v>4</v>
      </c>
      <c r="J40" s="204">
        <f>IF($H40="USD",IF(OR($I40="",$I40="-"),"",VLOOKUP($G40,為替!$A:$AX,$I40,FALSE))+$J$3,IF(OR($I40="",$I40="-"),"",VLOOKUP($G40,為替!$A:$AX,$I40,FALSE)))</f>
        <v>147</v>
      </c>
      <c r="K40" s="205">
        <f t="shared" si="2"/>
        <v>135240</v>
      </c>
      <c r="L40" s="189">
        <f t="shared" si="3"/>
        <v>3</v>
      </c>
      <c r="M40" s="204">
        <f>IF($H40="USD",IF(OR($L40="",$L40="-"),"",VLOOKUP($G40,為替!$A:$AX,$L40,FALSE))+$K$3,IF(OR($L40="",$L40="-"),"",VLOOKUP($G40,為替!$A:$AX,$L40,FALSE)))</f>
        <v>148</v>
      </c>
      <c r="N40" s="205">
        <f t="shared" si="4"/>
        <v>89000</v>
      </c>
      <c r="O40" s="206">
        <f t="shared" si="0"/>
        <v>46240</v>
      </c>
      <c r="P40" s="207">
        <f t="shared" si="5"/>
        <v>0.341910677314404</v>
      </c>
      <c r="Q40" s="163" t="s">
        <v>371</v>
      </c>
    </row>
    <row r="41" spans="1:17">
      <c r="A41" s="163" t="s">
        <v>261</v>
      </c>
      <c r="B41" s="163">
        <v>7378</v>
      </c>
      <c r="C41" s="405">
        <v>9690</v>
      </c>
      <c r="D41" s="411">
        <v>24000</v>
      </c>
      <c r="E41" s="202" t="s">
        <v>372</v>
      </c>
      <c r="F41" s="200">
        <v>316</v>
      </c>
      <c r="G41" s="162">
        <v>45889</v>
      </c>
      <c r="H41" s="203" t="s">
        <v>25</v>
      </c>
      <c r="I41" s="186">
        <f t="shared" si="1"/>
        <v>4</v>
      </c>
      <c r="J41" s="204">
        <f>IF($H41="USD",IF(OR($I41="",$I41="-"),"",VLOOKUP($G41,為替!$A:$AX,$I41,FALSE))+$J$3,IF(OR($I41="",$I41="-"),"",VLOOKUP($G41,為替!$A:$AX,$I41,FALSE)))</f>
        <v>147.22999999999999</v>
      </c>
      <c r="K41" s="205">
        <f t="shared" si="2"/>
        <v>46524.68</v>
      </c>
      <c r="L41" s="189">
        <f t="shared" si="3"/>
        <v>3</v>
      </c>
      <c r="M41" s="204">
        <f>IF($H41="USD",IF(OR($L41="",$L41="-"),"",VLOOKUP($G41,為替!$A:$AX,$L41,FALSE))+$K$3,IF(OR($L41="",$L41="-"),"",VLOOKUP($G41,為替!$A:$AX,$L41,FALSE)))</f>
        <v>148.22999999999999</v>
      </c>
      <c r="N41" s="205">
        <f t="shared" si="4"/>
        <v>33690</v>
      </c>
      <c r="O41" s="206">
        <f t="shared" si="0"/>
        <v>12834.68</v>
      </c>
      <c r="P41" s="207">
        <f t="shared" si="5"/>
        <v>0.2758682058640704</v>
      </c>
      <c r="Q41" s="163" t="s">
        <v>373</v>
      </c>
    </row>
    <row r="42" spans="1:17">
      <c r="A42" s="163" t="s">
        <v>261</v>
      </c>
      <c r="B42" s="163">
        <v>7404</v>
      </c>
      <c r="C42" s="405">
        <v>151200</v>
      </c>
      <c r="D42" s="411">
        <v>39000</v>
      </c>
      <c r="E42" s="202" t="s">
        <v>200</v>
      </c>
      <c r="F42" s="200">
        <v>190000</v>
      </c>
      <c r="G42" s="162">
        <v>45896</v>
      </c>
      <c r="H42" s="203" t="s">
        <v>200</v>
      </c>
      <c r="I42" s="186" t="str">
        <f t="shared" si="1"/>
        <v/>
      </c>
      <c r="J42" s="204" t="str">
        <f>IF($H42="USD",IF(OR($I42="",$I42="-"),"",VLOOKUP($G42,為替!$A:$AX,$I42,FALSE))+$J$3,IF(OR($I42="",$I42="-"),"",VLOOKUP($G42,為替!$A:$AX,$I42,FALSE)))</f>
        <v/>
      </c>
      <c r="K42" s="205">
        <f t="shared" si="2"/>
        <v>190000</v>
      </c>
      <c r="L42" s="189" t="str">
        <f t="shared" si="3"/>
        <v/>
      </c>
      <c r="M42" s="204" t="str">
        <f>IF($H42="USD",IF(OR($L42="",$L42="-"),"",VLOOKUP($G42,為替!$A:$AX,$L42,FALSE))+$K$3,IF(OR($L42="",$L42="-"),"",VLOOKUP($G42,為替!$A:$AX,$L42,FALSE)))</f>
        <v/>
      </c>
      <c r="N42" s="205">
        <f t="shared" si="4"/>
        <v>190200</v>
      </c>
      <c r="O42" s="206">
        <f t="shared" si="0"/>
        <v>-200</v>
      </c>
      <c r="P42" s="207">
        <f t="shared" si="5"/>
        <v>-1.0526315789473684E-3</v>
      </c>
      <c r="Q42" s="163" t="s">
        <v>368</v>
      </c>
    </row>
    <row r="43" spans="1:17">
      <c r="A43" s="163" t="s">
        <v>261</v>
      </c>
      <c r="B43" s="163">
        <v>7384</v>
      </c>
      <c r="C43" s="405">
        <v>34450</v>
      </c>
      <c r="D43" s="411">
        <v>6300</v>
      </c>
      <c r="E43" s="202" t="s">
        <v>200</v>
      </c>
      <c r="F43" s="200">
        <v>53020</v>
      </c>
      <c r="G43" s="162">
        <v>45898</v>
      </c>
      <c r="H43" s="203" t="s">
        <v>200</v>
      </c>
      <c r="I43" s="186" t="str">
        <f t="shared" si="1"/>
        <v/>
      </c>
      <c r="J43" s="204" t="str">
        <f>IF($H43="USD",IF(OR($I43="",$I43="-"),"",VLOOKUP($G43,為替!$A:$AX,$I43,FALSE))+$J$3,IF(OR($I43="",$I43="-"),"",VLOOKUP($G43,為替!$A:$AX,$I43,FALSE)))</f>
        <v/>
      </c>
      <c r="K43" s="205">
        <f t="shared" si="2"/>
        <v>53020</v>
      </c>
      <c r="L43" s="189" t="str">
        <f t="shared" si="3"/>
        <v/>
      </c>
      <c r="M43" s="204" t="str">
        <f>IF($H43="USD",IF(OR($L43="",$L43="-"),"",VLOOKUP($G43,為替!$A:$AX,$L43,FALSE))+$K$3,IF(OR($L43="",$L43="-"),"",VLOOKUP($G43,為替!$A:$AX,$L43,FALSE)))</f>
        <v/>
      </c>
      <c r="N43" s="205">
        <f t="shared" si="4"/>
        <v>40750</v>
      </c>
      <c r="O43" s="206">
        <f t="shared" si="0"/>
        <v>12270</v>
      </c>
      <c r="P43" s="207">
        <f t="shared" si="5"/>
        <v>0.23142210486608827</v>
      </c>
      <c r="Q43" s="163" t="s">
        <v>297</v>
      </c>
    </row>
    <row r="44" spans="1:17">
      <c r="A44" s="163" t="s">
        <v>261</v>
      </c>
      <c r="B44" s="163">
        <v>7405</v>
      </c>
      <c r="C44" s="405">
        <v>68200</v>
      </c>
      <c r="D44" s="411">
        <v>9900</v>
      </c>
      <c r="E44" s="202" t="s">
        <v>200</v>
      </c>
      <c r="F44" s="200">
        <v>1160</v>
      </c>
      <c r="G44" s="162">
        <v>45898</v>
      </c>
      <c r="H44" s="203" t="s">
        <v>199</v>
      </c>
      <c r="I44" s="186">
        <f t="shared" si="1"/>
        <v>4</v>
      </c>
      <c r="J44" s="204">
        <f>IF($H44="USD",IF(OR($I44="",$I44="-"),"",VLOOKUP($G44,為替!$A:$AX,$I44,FALSE))+$J$3,IF(OR($I44="",$I44="-"),"",VLOOKUP($G44,為替!$A:$AX,$I44,FALSE)))</f>
        <v>146.41999999999999</v>
      </c>
      <c r="K44" s="205">
        <f t="shared" si="2"/>
        <v>169847.19999999998</v>
      </c>
      <c r="L44" s="189">
        <f t="shared" si="3"/>
        <v>3</v>
      </c>
      <c r="M44" s="204">
        <f>IF($H44="USD",IF(OR($L44="",$L44="-"),"",VLOOKUP($G44,為替!$A:$AX,$L44,FALSE))+$K$3,IF(OR($L44="",$L44="-"),"",VLOOKUP($G44,為替!$A:$AX,$L44,FALSE)))</f>
        <v>147.41999999999999</v>
      </c>
      <c r="N44" s="205">
        <f t="shared" si="4"/>
        <v>78100</v>
      </c>
      <c r="O44" s="206">
        <f t="shared" si="0"/>
        <v>91747.199999999983</v>
      </c>
      <c r="P44" s="207">
        <f t="shared" si="5"/>
        <v>0.54017493370511849</v>
      </c>
      <c r="Q44" s="163" t="s">
        <v>308</v>
      </c>
    </row>
    <row r="45" spans="1:17">
      <c r="A45" s="163" t="s">
        <v>261</v>
      </c>
      <c r="B45" s="163">
        <v>7381</v>
      </c>
      <c r="C45" s="405">
        <v>1605000</v>
      </c>
      <c r="D45" s="411">
        <v>29500</v>
      </c>
      <c r="E45" s="202" t="s">
        <v>200</v>
      </c>
      <c r="F45" s="200">
        <v>2075000</v>
      </c>
      <c r="G45" s="162">
        <v>45903</v>
      </c>
      <c r="H45" s="203" t="s">
        <v>200</v>
      </c>
      <c r="I45" s="186" t="str">
        <f t="shared" si="1"/>
        <v/>
      </c>
      <c r="J45" s="204" t="str">
        <f>IF($H45="USD",IF(OR($I45="",$I45="-"),"",VLOOKUP($G45,為替!$A:$AX,$I45,FALSE))+$J$3,IF(OR($I45="",$I45="-"),"",VLOOKUP($G45,為替!$A:$AX,$I45,FALSE)))</f>
        <v/>
      </c>
      <c r="K45" s="205">
        <f t="shared" si="2"/>
        <v>2075000</v>
      </c>
      <c r="L45" s="189" t="str">
        <f t="shared" si="3"/>
        <v/>
      </c>
      <c r="M45" s="204" t="str">
        <f>IF($H45="USD",IF(OR($L45="",$L45="-"),"",VLOOKUP($G45,為替!$A:$AX,$L45,FALSE))+$K$3,IF(OR($L45="",$L45="-"),"",VLOOKUP($G45,為替!$A:$AX,$L45,FALSE)))</f>
        <v/>
      </c>
      <c r="N45" s="205">
        <f t="shared" si="4"/>
        <v>1634500</v>
      </c>
      <c r="O45" s="206">
        <f t="shared" si="0"/>
        <v>440500</v>
      </c>
      <c r="P45" s="207">
        <f t="shared" si="5"/>
        <v>0.21228915662650602</v>
      </c>
      <c r="Q45" s="163" t="s">
        <v>310</v>
      </c>
    </row>
    <row r="46" spans="1:17">
      <c r="A46" s="163" t="s">
        <v>260</v>
      </c>
      <c r="B46" s="163">
        <v>7400</v>
      </c>
      <c r="C46" s="405">
        <v>2992000</v>
      </c>
      <c r="D46" s="411">
        <v>68200</v>
      </c>
      <c r="E46" s="202" t="s">
        <v>200</v>
      </c>
      <c r="F46" s="200">
        <v>3348000</v>
      </c>
      <c r="G46" s="162">
        <v>45901</v>
      </c>
      <c r="H46" s="203" t="s">
        <v>200</v>
      </c>
      <c r="I46" s="186" t="str">
        <f t="shared" si="1"/>
        <v/>
      </c>
      <c r="J46" s="204" t="str">
        <f>IF($H46="USD",IF(OR($I46="",$I46="-"),"",VLOOKUP($G46,為替!$A:$AX,$I46,FALSE))+$J$3,IF(OR($I46="",$I46="-"),"",VLOOKUP($G46,為替!$A:$AX,$I46,FALSE)))</f>
        <v/>
      </c>
      <c r="K46" s="205">
        <f t="shared" si="2"/>
        <v>3348000</v>
      </c>
      <c r="L46" s="189" t="str">
        <f t="shared" si="3"/>
        <v/>
      </c>
      <c r="M46" s="204" t="str">
        <f>IF($H46="USD",IF(OR($L46="",$L46="-"),"",VLOOKUP($G46,為替!$A:$AX,$L46,FALSE))+$K$3,IF(OR($L46="",$L46="-"),"",VLOOKUP($G46,為替!$A:$AX,$L46,FALSE)))</f>
        <v/>
      </c>
      <c r="N46" s="205">
        <f t="shared" si="4"/>
        <v>3060200</v>
      </c>
      <c r="O46" s="206">
        <f t="shared" si="0"/>
        <v>287800</v>
      </c>
      <c r="P46" s="207">
        <f t="shared" si="5"/>
        <v>8.5961768219832729E-2</v>
      </c>
      <c r="Q46" s="163" t="s">
        <v>300</v>
      </c>
    </row>
    <row r="47" spans="1:17">
      <c r="A47" s="163" t="s">
        <v>201</v>
      </c>
      <c r="B47" s="163">
        <v>7409</v>
      </c>
      <c r="C47" s="405">
        <v>6983200</v>
      </c>
      <c r="D47" s="411">
        <v>101000</v>
      </c>
      <c r="E47" s="202" t="s">
        <v>200</v>
      </c>
      <c r="F47" s="200">
        <v>7918400</v>
      </c>
      <c r="G47" s="162">
        <v>45905</v>
      </c>
      <c r="H47" s="203" t="s">
        <v>200</v>
      </c>
      <c r="I47" s="186" t="str">
        <f t="shared" si="1"/>
        <v/>
      </c>
      <c r="J47" s="204" t="str">
        <f>IF($H47="USD",IF(OR($I47="",$I47="-"),"",VLOOKUP($G47,為替!$A:$AX,$I47,FALSE))+$J$3,IF(OR($I47="",$I47="-"),"",VLOOKUP($G47,為替!$A:$AX,$I47,FALSE)))</f>
        <v/>
      </c>
      <c r="K47" s="205">
        <f t="shared" si="2"/>
        <v>7918400</v>
      </c>
      <c r="L47" s="189" t="str">
        <f t="shared" si="3"/>
        <v/>
      </c>
      <c r="M47" s="204" t="str">
        <f>IF($H47="USD",IF(OR($L47="",$L47="-"),"",VLOOKUP($G47,為替!$A:$AX,$L47,FALSE))+$K$3,IF(OR($L47="",$L47="-"),"",VLOOKUP($G47,為替!$A:$AX,$L47,FALSE)))</f>
        <v/>
      </c>
      <c r="N47" s="205">
        <f t="shared" si="4"/>
        <v>7084200</v>
      </c>
      <c r="O47" s="206">
        <f t="shared" si="0"/>
        <v>834200</v>
      </c>
      <c r="P47" s="207">
        <f t="shared" si="5"/>
        <v>0.10534956556880178</v>
      </c>
      <c r="Q47" s="163" t="s">
        <v>75</v>
      </c>
    </row>
    <row r="48" spans="1:17">
      <c r="A48" s="163" t="s">
        <v>261</v>
      </c>
      <c r="B48" s="163">
        <v>7408</v>
      </c>
      <c r="C48" s="405">
        <v>262800</v>
      </c>
      <c r="D48" s="411">
        <v>0</v>
      </c>
      <c r="E48" s="202" t="s">
        <v>398</v>
      </c>
      <c r="F48" s="200">
        <v>357000</v>
      </c>
      <c r="G48" s="162">
        <v>45905</v>
      </c>
      <c r="H48" s="203" t="s">
        <v>398</v>
      </c>
      <c r="I48" s="186" t="str">
        <f t="shared" si="1"/>
        <v/>
      </c>
      <c r="J48" s="204" t="str">
        <f>IF($H48="USD",IF(OR($I48="",$I48="-"),"",VLOOKUP($G48,為替!$A:$AX,$I48,FALSE))+$J$3,IF(OR($I48="",$I48="-"),"",VLOOKUP($G48,為替!$A:$AX,$I48,FALSE)))</f>
        <v/>
      </c>
      <c r="K48" s="205">
        <f t="shared" si="2"/>
        <v>357000</v>
      </c>
      <c r="L48" s="189" t="str">
        <f t="shared" si="3"/>
        <v/>
      </c>
      <c r="M48" s="204" t="str">
        <f>IF($H48="USD",IF(OR($L48="",$L48="-"),"",VLOOKUP($G48,為替!$A:$AX,$L48,FALSE))+$K$3,IF(OR($L48="",$L48="-"),"",VLOOKUP($G48,為替!$A:$AX,$L48,FALSE)))</f>
        <v/>
      </c>
      <c r="N48" s="205">
        <f t="shared" si="4"/>
        <v>262800</v>
      </c>
      <c r="O48" s="206">
        <f t="shared" si="0"/>
        <v>94200</v>
      </c>
      <c r="P48" s="207">
        <f t="shared" si="5"/>
        <v>0.2638655462184874</v>
      </c>
      <c r="Q48" s="163" t="s">
        <v>334</v>
      </c>
    </row>
    <row r="49" spans="1:17">
      <c r="A49" s="163" t="s">
        <v>261</v>
      </c>
      <c r="B49" s="163">
        <v>7380</v>
      </c>
      <c r="C49" s="405">
        <v>18900</v>
      </c>
      <c r="D49" s="411">
        <v>0</v>
      </c>
      <c r="E49" s="202" t="s">
        <v>399</v>
      </c>
      <c r="F49" s="200">
        <v>23750</v>
      </c>
      <c r="G49" s="162">
        <v>45912</v>
      </c>
      <c r="H49" s="203" t="s">
        <v>399</v>
      </c>
      <c r="I49" s="186" t="str">
        <f t="shared" si="1"/>
        <v/>
      </c>
      <c r="J49" s="204" t="str">
        <f>IF($H49="USD",IF(OR($I49="",$I49="-"),"",VLOOKUP($G49,為替!$A:$AX,$I49,FALSE))+$J$3,IF(OR($I49="",$I49="-"),"",VLOOKUP($G49,為替!$A:$AX,$I49,FALSE)))</f>
        <v/>
      </c>
      <c r="K49" s="205">
        <f t="shared" si="2"/>
        <v>23750</v>
      </c>
      <c r="L49" s="189" t="str">
        <f t="shared" si="3"/>
        <v/>
      </c>
      <c r="M49" s="204" t="str">
        <f>IF($H49="USD",IF(OR($L49="",$L49="-"),"",VLOOKUP($G49,為替!$A:$AX,$L49,FALSE))+$K$3,IF(OR($L49="",$L49="-"),"",VLOOKUP($G49,為替!$A:$AX,$L49,FALSE)))</f>
        <v/>
      </c>
      <c r="N49" s="205">
        <f t="shared" si="4"/>
        <v>18900</v>
      </c>
      <c r="O49" s="206">
        <f t="shared" si="0"/>
        <v>4850</v>
      </c>
      <c r="P49" s="207">
        <f t="shared" si="5"/>
        <v>0.20421052631578948</v>
      </c>
      <c r="Q49" s="163" t="s">
        <v>400</v>
      </c>
    </row>
    <row r="50" spans="1:17">
      <c r="A50" s="163" t="s">
        <v>261</v>
      </c>
      <c r="B50" s="163">
        <v>7456</v>
      </c>
      <c r="C50" s="405">
        <v>3300</v>
      </c>
      <c r="D50" s="411">
        <v>0</v>
      </c>
      <c r="E50" s="202" t="s">
        <v>200</v>
      </c>
      <c r="F50" s="200">
        <v>52</v>
      </c>
      <c r="G50" s="162">
        <v>45917</v>
      </c>
      <c r="H50" s="203" t="s">
        <v>199</v>
      </c>
      <c r="I50" s="186">
        <f t="shared" si="1"/>
        <v>4</v>
      </c>
      <c r="J50" s="204">
        <f>IF($H50="USD",IF(OR($I50="",$I50="-"),"",VLOOKUP($G50,為替!$A:$AX,$I50,FALSE))+$J$3,IF(OR($I50="",$I50="-"),"",VLOOKUP($G50,為替!$A:$AX,$I50,FALSE)))</f>
        <v>146.05000000000001</v>
      </c>
      <c r="K50" s="205">
        <f t="shared" si="2"/>
        <v>7594.6</v>
      </c>
      <c r="L50" s="189">
        <f t="shared" si="3"/>
        <v>3</v>
      </c>
      <c r="M50" s="204">
        <f>IF($H50="USD",IF(OR($L50="",$L50="-"),"",VLOOKUP($G50,為替!$A:$AX,$L50,FALSE))+$K$3,IF(OR($L50="",$L50="-"),"",VLOOKUP($G50,為替!$A:$AX,$L50,FALSE)))</f>
        <v>147.05000000000001</v>
      </c>
      <c r="N50" s="205">
        <f t="shared" si="4"/>
        <v>3300</v>
      </c>
      <c r="O50" s="206">
        <f t="shared" si="0"/>
        <v>4294.6000000000004</v>
      </c>
      <c r="P50" s="207">
        <f t="shared" si="5"/>
        <v>0.56548073631264317</v>
      </c>
      <c r="Q50" s="163" t="s">
        <v>299</v>
      </c>
    </row>
    <row r="51" spans="1:17">
      <c r="A51" s="163" t="s">
        <v>261</v>
      </c>
      <c r="B51" s="163">
        <v>7451</v>
      </c>
      <c r="C51" s="405">
        <v>105050</v>
      </c>
      <c r="D51" s="411">
        <v>15900</v>
      </c>
      <c r="E51" s="202" t="s">
        <v>401</v>
      </c>
      <c r="F51" s="200">
        <v>1630</v>
      </c>
      <c r="G51" s="162">
        <v>45919</v>
      </c>
      <c r="H51" s="203" t="s">
        <v>199</v>
      </c>
      <c r="I51" s="186">
        <f t="shared" si="1"/>
        <v>4</v>
      </c>
      <c r="J51" s="204">
        <f>IF($H51="USD",IF(OR($I51="",$I51="-"),"",VLOOKUP($G51,為替!$A:$AX,$I51,FALSE))+$J$3,IF(OR($I51="",$I51="-"),"",VLOOKUP($G51,為替!$A:$AX,$I51,FALSE)))</f>
        <v>147.55000000000001</v>
      </c>
      <c r="K51" s="205">
        <f t="shared" si="2"/>
        <v>240506.50000000003</v>
      </c>
      <c r="L51" s="189">
        <f t="shared" si="3"/>
        <v>3</v>
      </c>
      <c r="M51" s="204">
        <f>IF($H51="USD",IF(OR($L51="",$L51="-"),"",VLOOKUP($G51,為替!$A:$AX,$L51,FALSE))+$K$3,IF(OR($L51="",$L51="-"),"",VLOOKUP($G51,為替!$A:$AX,$L51,FALSE)))</f>
        <v>148.55000000000001</v>
      </c>
      <c r="N51" s="205">
        <f t="shared" si="4"/>
        <v>120950</v>
      </c>
      <c r="O51" s="206">
        <f t="shared" si="0"/>
        <v>119556.50000000003</v>
      </c>
      <c r="P51" s="207">
        <f t="shared" si="5"/>
        <v>0.49710298890050797</v>
      </c>
      <c r="Q51" s="163" t="s">
        <v>308</v>
      </c>
    </row>
    <row r="52" spans="1:17">
      <c r="A52" s="163" t="s">
        <v>261</v>
      </c>
      <c r="B52" s="163">
        <v>7464</v>
      </c>
      <c r="C52" s="405">
        <v>24700</v>
      </c>
      <c r="D52" s="411">
        <v>3100</v>
      </c>
      <c r="E52" s="202" t="s">
        <v>401</v>
      </c>
      <c r="F52" s="200">
        <v>36610</v>
      </c>
      <c r="G52" s="162">
        <v>45919</v>
      </c>
      <c r="H52" s="203" t="s">
        <v>401</v>
      </c>
      <c r="I52" s="186" t="str">
        <f t="shared" si="1"/>
        <v/>
      </c>
      <c r="J52" s="204" t="str">
        <f>IF($H52="USD",IF(OR($I52="",$I52="-"),"",VLOOKUP($G52,為替!$A:$AX,$I52,FALSE))+$J$3,IF(OR($I52="",$I52="-"),"",VLOOKUP($G52,為替!$A:$AX,$I52,FALSE)))</f>
        <v/>
      </c>
      <c r="K52" s="205">
        <f t="shared" si="2"/>
        <v>36610</v>
      </c>
      <c r="L52" s="189" t="str">
        <f t="shared" si="3"/>
        <v/>
      </c>
      <c r="M52" s="204" t="str">
        <f>IF($H52="USD",IF(OR($L52="",$L52="-"),"",VLOOKUP($G52,為替!$A:$AX,$L52,FALSE))+$K$3,IF(OR($L52="",$L52="-"),"",VLOOKUP($G52,為替!$A:$AX,$L52,FALSE)))</f>
        <v/>
      </c>
      <c r="N52" s="205">
        <f t="shared" si="4"/>
        <v>27800</v>
      </c>
      <c r="O52" s="206">
        <f t="shared" si="0"/>
        <v>8810</v>
      </c>
      <c r="P52" s="207">
        <f t="shared" si="5"/>
        <v>0.24064463261403987</v>
      </c>
      <c r="Q52" s="163" t="s">
        <v>297</v>
      </c>
    </row>
    <row r="53" spans="1:17">
      <c r="A53" s="163" t="s">
        <v>260</v>
      </c>
      <c r="B53" s="163">
        <v>7441</v>
      </c>
      <c r="C53" s="405">
        <v>2697000</v>
      </c>
      <c r="D53" s="411">
        <v>66300</v>
      </c>
      <c r="E53" s="202" t="s">
        <v>200</v>
      </c>
      <c r="F53" s="200">
        <v>3024000</v>
      </c>
      <c r="G53" s="162">
        <v>45915</v>
      </c>
      <c r="H53" s="203" t="s">
        <v>200</v>
      </c>
      <c r="I53" s="186" t="str">
        <f t="shared" si="1"/>
        <v/>
      </c>
      <c r="J53" s="204" t="str">
        <f>IF($H53="USD",IF(OR($I53="",$I53="-"),"",VLOOKUP($G53,為替!$A:$AX,$I53,FALSE))+$J$3,IF(OR($I53="",$I53="-"),"",VLOOKUP($G53,為替!$A:$AX,$I53,FALSE)))</f>
        <v/>
      </c>
      <c r="K53" s="205">
        <f t="shared" si="2"/>
        <v>3024000</v>
      </c>
      <c r="L53" s="189" t="str">
        <f t="shared" si="3"/>
        <v/>
      </c>
      <c r="M53" s="204" t="str">
        <f>IF($H53="USD",IF(OR($L53="",$L53="-"),"",VLOOKUP($G53,為替!$A:$AX,$L53,FALSE))+$K$3,IF(OR($L53="",$L53="-"),"",VLOOKUP($G53,為替!$A:$AX,$L53,FALSE)))</f>
        <v/>
      </c>
      <c r="N53" s="205">
        <f t="shared" si="4"/>
        <v>2763300</v>
      </c>
      <c r="O53" s="206">
        <f t="shared" si="0"/>
        <v>260700</v>
      </c>
      <c r="P53" s="207">
        <f t="shared" si="5"/>
        <v>8.6210317460317459E-2</v>
      </c>
      <c r="Q53" s="163" t="s">
        <v>300</v>
      </c>
    </row>
    <row r="54" spans="1:17">
      <c r="A54" s="163" t="s">
        <v>261</v>
      </c>
      <c r="B54" s="163">
        <v>7481</v>
      </c>
      <c r="C54" s="405">
        <v>2820</v>
      </c>
      <c r="D54" s="411">
        <v>0</v>
      </c>
      <c r="E54" s="202" t="s">
        <v>200</v>
      </c>
      <c r="F54" s="200">
        <v>56</v>
      </c>
      <c r="G54" s="162">
        <v>45924</v>
      </c>
      <c r="H54" s="203" t="s">
        <v>199</v>
      </c>
      <c r="I54" s="186">
        <f t="shared" si="1"/>
        <v>4</v>
      </c>
      <c r="J54" s="204">
        <f>IF($H54="USD",IF(OR($I54="",$I54="-"),"",VLOOKUP($G54,為替!$A:$AX,$I54,FALSE))+$J$3,IF(OR($I54="",$I54="-"),"",VLOOKUP($G54,為替!$A:$AX,$I54,FALSE)))</f>
        <v>147.35</v>
      </c>
      <c r="K54" s="205">
        <f>IF($H54="JPY",$F54,IF($H54="","",$F54*$J54))</f>
        <v>8251.6</v>
      </c>
      <c r="L54" s="189">
        <f t="shared" si="3"/>
        <v>3</v>
      </c>
      <c r="M54" s="204">
        <f>IF($H54="USD",IF(OR($L54="",$L54="-"),"",VLOOKUP($G54,為替!$A:$AX,$L54,FALSE))+$K$3,IF(OR($L54="",$L54="-"),"",VLOOKUP($G54,為替!$A:$AX,$L54,FALSE)))</f>
        <v>148.35</v>
      </c>
      <c r="N54" s="205">
        <f t="shared" si="4"/>
        <v>2820</v>
      </c>
      <c r="O54" s="206">
        <f t="shared" si="0"/>
        <v>5431.6</v>
      </c>
      <c r="P54" s="207">
        <f t="shared" si="5"/>
        <v>0.65824809733869794</v>
      </c>
      <c r="Q54" s="163" t="s">
        <v>402</v>
      </c>
    </row>
    <row r="55" spans="1:17">
      <c r="A55" s="163" t="s">
        <v>261</v>
      </c>
      <c r="B55" s="163">
        <v>7461</v>
      </c>
      <c r="C55" s="405">
        <v>262800</v>
      </c>
      <c r="D55" s="411">
        <v>0</v>
      </c>
      <c r="E55" s="202" t="s">
        <v>200</v>
      </c>
      <c r="F55" s="200">
        <v>357000</v>
      </c>
      <c r="G55" s="162">
        <v>45926</v>
      </c>
      <c r="H55" s="203" t="s">
        <v>403</v>
      </c>
      <c r="I55" s="186" t="str">
        <f t="shared" si="1"/>
        <v/>
      </c>
      <c r="J55" s="204" t="str">
        <f>IF($H55="USD",IF(OR($I55="",$I55="-"),"",VLOOKUP($G55,為替!$A:$AX,$I55,FALSE))+$J$3,IF(OR($I55="",$I55="-"),"",VLOOKUP($G55,為替!$A:$AX,$I55,FALSE)))</f>
        <v/>
      </c>
      <c r="K55" s="205">
        <f t="shared" si="2"/>
        <v>357000</v>
      </c>
      <c r="L55" s="189" t="str">
        <f t="shared" si="3"/>
        <v/>
      </c>
      <c r="M55" s="204" t="str">
        <f>IF($H55="USD",IF(OR($L55="",$L55="-"),"",VLOOKUP($G55,為替!$A:$AX,$L55,FALSE))+$K$3,IF(OR($L55="",$L55="-"),"",VLOOKUP($G55,為替!$A:$AX,$L55,FALSE)))</f>
        <v/>
      </c>
      <c r="N55" s="205">
        <f t="shared" si="4"/>
        <v>262800</v>
      </c>
      <c r="O55" s="206">
        <f t="shared" si="0"/>
        <v>94200</v>
      </c>
      <c r="P55" s="207">
        <f t="shared" si="5"/>
        <v>0.2638655462184874</v>
      </c>
      <c r="Q55" s="163" t="s">
        <v>404</v>
      </c>
    </row>
    <row r="56" spans="1:17">
      <c r="A56" s="163" t="s">
        <v>261</v>
      </c>
      <c r="B56" s="163">
        <v>7492</v>
      </c>
      <c r="C56" s="405">
        <v>81600</v>
      </c>
      <c r="D56" s="411">
        <v>0</v>
      </c>
      <c r="E56" s="202" t="s">
        <v>200</v>
      </c>
      <c r="F56" s="200">
        <v>99000</v>
      </c>
      <c r="G56" s="162">
        <v>45926</v>
      </c>
      <c r="H56" s="203" t="s">
        <v>296</v>
      </c>
      <c r="I56" s="186" t="str">
        <f t="shared" si="1"/>
        <v/>
      </c>
      <c r="J56" s="204" t="str">
        <f>IF($H56="USD",IF(OR($I56="",$I56="-"),"",VLOOKUP($G56,為替!$A:$AX,$I56,FALSE))+$J$3,IF(OR($I56="",$I56="-"),"",VLOOKUP($G56,為替!$A:$AX,$I56,FALSE)))</f>
        <v/>
      </c>
      <c r="K56" s="205">
        <f t="shared" si="2"/>
        <v>99000</v>
      </c>
      <c r="L56" s="189" t="str">
        <f t="shared" si="3"/>
        <v/>
      </c>
      <c r="M56" s="204" t="str">
        <f>IF($H56="USD",IF(OR($L56="",$L56="-"),"",VLOOKUP($G56,為替!$A:$AX,$L56,FALSE))+$K$3,IF(OR($L56="",$L56="-"),"",VLOOKUP($G56,為替!$A:$AX,$L56,FALSE)))</f>
        <v/>
      </c>
      <c r="N56" s="205">
        <f t="shared" si="4"/>
        <v>81600</v>
      </c>
      <c r="O56" s="206">
        <f t="shared" si="0"/>
        <v>17400</v>
      </c>
      <c r="P56" s="207">
        <f t="shared" si="5"/>
        <v>0.17575757575757575</v>
      </c>
      <c r="Q56" s="163" t="s">
        <v>405</v>
      </c>
    </row>
    <row r="57" spans="1:17">
      <c r="A57" s="163" t="s">
        <v>261</v>
      </c>
      <c r="B57" s="163">
        <v>7498</v>
      </c>
      <c r="C57" s="405">
        <v>4380</v>
      </c>
      <c r="D57" s="411">
        <v>0</v>
      </c>
      <c r="E57" s="202" t="s">
        <v>200</v>
      </c>
      <c r="F57" s="200">
        <v>60</v>
      </c>
      <c r="G57" s="162">
        <v>45931</v>
      </c>
      <c r="H57" s="203" t="s">
        <v>25</v>
      </c>
      <c r="I57" s="186">
        <f t="shared" si="1"/>
        <v>4</v>
      </c>
      <c r="J57" s="204">
        <f>IF($H57="USD",IF(OR($I57="",$I57="-"),"",VLOOKUP($G57,為替!$A:$AX,$I57,FALSE))+$J$3,IF(OR($I57="",$I57="-"),"",VLOOKUP($G57,為替!$A:$AX,$I57,FALSE)))</f>
        <v>147.66999999999999</v>
      </c>
      <c r="K57" s="205">
        <f t="shared" si="2"/>
        <v>8860.1999999999989</v>
      </c>
      <c r="L57" s="189">
        <f t="shared" si="3"/>
        <v>3</v>
      </c>
      <c r="M57" s="204">
        <f>IF($H57="USD",IF(OR($L57="",$L57="-"),"",VLOOKUP($G57,為替!$A:$AX,$L57,FALSE))+$K$3,IF(OR($L57="",$L57="-"),"",VLOOKUP($G57,為替!$A:$AX,$L57,FALSE)))</f>
        <v>148.66999999999999</v>
      </c>
      <c r="N57" s="205">
        <f t="shared" si="4"/>
        <v>4380</v>
      </c>
      <c r="O57" s="206">
        <f t="shared" si="0"/>
        <v>4480.1999999999989</v>
      </c>
      <c r="P57" s="207">
        <f t="shared" si="5"/>
        <v>0.50565449989842215</v>
      </c>
      <c r="Q57" s="163" t="s">
        <v>406</v>
      </c>
    </row>
    <row r="58" spans="1:17">
      <c r="A58" s="163" t="s">
        <v>261</v>
      </c>
      <c r="B58" s="163">
        <v>7494</v>
      </c>
      <c r="C58" s="405">
        <v>202800</v>
      </c>
      <c r="D58" s="411">
        <v>56000</v>
      </c>
      <c r="E58" s="202" t="s">
        <v>407</v>
      </c>
      <c r="F58" s="200">
        <v>3420</v>
      </c>
      <c r="G58" s="162">
        <v>45933</v>
      </c>
      <c r="H58" s="203" t="s">
        <v>25</v>
      </c>
      <c r="I58" s="186">
        <f t="shared" si="1"/>
        <v>4</v>
      </c>
      <c r="J58" s="204">
        <f>IF($H58="USD",IF(OR($I58="",$I58="-"),"",VLOOKUP($G58,為替!$A:$AX,$I58,FALSE))+$J$3,IF(OR($I58="",$I58="-"),"",VLOOKUP($G58,為替!$A:$AX,$I58,FALSE)))</f>
        <v>146.9</v>
      </c>
      <c r="K58" s="205">
        <f t="shared" si="2"/>
        <v>502398</v>
      </c>
      <c r="L58" s="189">
        <f t="shared" si="3"/>
        <v>3</v>
      </c>
      <c r="M58" s="204">
        <f>IF($H58="USD",IF(OR($L58="",$L58="-"),"",VLOOKUP($G58,為替!$A:$AX,$L58,FALSE))+$K$3,IF(OR($L58="",$L58="-"),"",VLOOKUP($G58,為替!$A:$AX,$L58,FALSE)))</f>
        <v>147.9</v>
      </c>
      <c r="N58" s="205">
        <f t="shared" si="4"/>
        <v>258800</v>
      </c>
      <c r="O58" s="206">
        <f t="shared" si="0"/>
        <v>243598</v>
      </c>
      <c r="P58" s="207">
        <f t="shared" si="5"/>
        <v>0.48487056079044899</v>
      </c>
      <c r="Q58" s="163" t="s">
        <v>302</v>
      </c>
    </row>
    <row r="59" spans="1:17">
      <c r="A59" s="163" t="s">
        <v>261</v>
      </c>
      <c r="B59" s="163">
        <v>7460</v>
      </c>
      <c r="C59" s="405">
        <v>1605000</v>
      </c>
      <c r="D59" s="411">
        <v>28600</v>
      </c>
      <c r="E59" s="202" t="s">
        <v>200</v>
      </c>
      <c r="F59" s="200">
        <v>2075000</v>
      </c>
      <c r="G59" s="162">
        <v>45933</v>
      </c>
      <c r="H59" s="203" t="s">
        <v>200</v>
      </c>
      <c r="I59" s="186" t="str">
        <f t="shared" si="1"/>
        <v/>
      </c>
      <c r="J59" s="204" t="str">
        <f>IF($H59="USD",IF(OR($I59="",$I59="-"),"",VLOOKUP($G59,為替!$A:$AX,$I59,FALSE))+$J$3,IF(OR($I59="",$I59="-"),"",VLOOKUP($G59,為替!$A:$AX,$I59,FALSE)))</f>
        <v/>
      </c>
      <c r="K59" s="205">
        <f t="shared" si="2"/>
        <v>2075000</v>
      </c>
      <c r="L59" s="189" t="str">
        <f t="shared" si="3"/>
        <v/>
      </c>
      <c r="M59" s="204" t="str">
        <f>IF($H59="USD",IF(OR($L59="",$L59="-"),"",VLOOKUP($G59,為替!$A:$AX,$L59,FALSE))+$K$3,IF(OR($L59="",$L59="-"),"",VLOOKUP($G59,為替!$A:$AX,$L59,FALSE)))</f>
        <v/>
      </c>
      <c r="N59" s="205">
        <f t="shared" si="4"/>
        <v>1633600</v>
      </c>
      <c r="O59" s="206">
        <f t="shared" si="0"/>
        <v>441400</v>
      </c>
      <c r="P59" s="207">
        <f t="shared" si="5"/>
        <v>0.21272289156626506</v>
      </c>
      <c r="Q59" s="163" t="s">
        <v>310</v>
      </c>
    </row>
    <row r="60" spans="1:17">
      <c r="A60" s="163" t="s">
        <v>261</v>
      </c>
      <c r="B60" s="163">
        <v>7423</v>
      </c>
      <c r="C60" s="405">
        <v>385200</v>
      </c>
      <c r="D60" s="411">
        <v>37800</v>
      </c>
      <c r="E60" s="202" t="s">
        <v>200</v>
      </c>
      <c r="F60" s="200">
        <v>4800</v>
      </c>
      <c r="G60" s="162">
        <v>45925</v>
      </c>
      <c r="H60" s="203" t="s">
        <v>199</v>
      </c>
      <c r="I60" s="186">
        <f t="shared" si="1"/>
        <v>4</v>
      </c>
      <c r="J60" s="204">
        <f>IF($H60="USD",IF(OR($I60="",$I60="-"),"",VLOOKUP($G60,為替!$A:$AX,$I60,FALSE))+$J$3,IF(OR($I60="",$I60="-"),"",VLOOKUP($G60,為替!$A:$AX,$I60,FALSE)))</f>
        <v>148.27000000000001</v>
      </c>
      <c r="K60" s="205">
        <f t="shared" si="2"/>
        <v>711696</v>
      </c>
      <c r="L60" s="189">
        <f t="shared" si="3"/>
        <v>3</v>
      </c>
      <c r="M60" s="204">
        <f>IF($H60="USD",IF(OR($L60="",$L60="-"),"",VLOOKUP($G60,為替!$A:$AX,$L60,FALSE))+$K$3,IF(OR($L60="",$L60="-"),"",VLOOKUP($G60,為替!$A:$AX,$L60,FALSE)))</f>
        <v>149.27000000000001</v>
      </c>
      <c r="N60" s="205">
        <f t="shared" si="4"/>
        <v>423000</v>
      </c>
      <c r="O60" s="206">
        <f t="shared" si="0"/>
        <v>288696</v>
      </c>
      <c r="P60" s="207">
        <f t="shared" si="5"/>
        <v>0.40564510689957511</v>
      </c>
      <c r="Q60" s="163" t="s">
        <v>408</v>
      </c>
    </row>
    <row r="61" spans="1:17">
      <c r="A61" s="163" t="s">
        <v>261</v>
      </c>
      <c r="B61" s="163">
        <v>7504</v>
      </c>
      <c r="C61" s="405">
        <v>180800</v>
      </c>
      <c r="D61" s="411">
        <v>19000</v>
      </c>
      <c r="E61" s="202" t="s">
        <v>200</v>
      </c>
      <c r="F61" s="200">
        <v>236600</v>
      </c>
      <c r="G61" s="162">
        <v>45940</v>
      </c>
      <c r="H61" s="203" t="s">
        <v>296</v>
      </c>
      <c r="I61" s="186" t="str">
        <f t="shared" si="1"/>
        <v/>
      </c>
      <c r="J61" s="204" t="str">
        <f>IF($H61="USD",IF(OR($I61="",$I61="-"),"",VLOOKUP($G61,為替!$A:$AX,$I61,FALSE))+$J$3,IF(OR($I61="",$I61="-"),"",VLOOKUP($G61,為替!$A:$AX,$I61,FALSE)))</f>
        <v/>
      </c>
      <c r="K61" s="205">
        <f t="shared" si="2"/>
        <v>236600</v>
      </c>
      <c r="L61" s="189" t="str">
        <f t="shared" si="3"/>
        <v/>
      </c>
      <c r="M61" s="204" t="str">
        <f>IF($H61="USD",IF(OR($L61="",$L61="-"),"",VLOOKUP($G61,為替!$A:$AX,$L61,FALSE))+$K$3,IF(OR($L61="",$L61="-"),"",VLOOKUP($G61,為替!$A:$AX,$L61,FALSE)))</f>
        <v/>
      </c>
      <c r="N61" s="205">
        <f t="shared" si="4"/>
        <v>199800</v>
      </c>
      <c r="O61" s="206">
        <f t="shared" si="0"/>
        <v>36800</v>
      </c>
      <c r="P61" s="207">
        <f t="shared" si="5"/>
        <v>0.15553677092138632</v>
      </c>
      <c r="Q61" s="163" t="s">
        <v>339</v>
      </c>
    </row>
    <row r="62" spans="1:17">
      <c r="A62" s="163" t="s">
        <v>261</v>
      </c>
      <c r="B62" s="163">
        <v>7523</v>
      </c>
      <c r="C62" s="405">
        <v>39270</v>
      </c>
      <c r="D62" s="411">
        <v>2000</v>
      </c>
      <c r="E62" s="202" t="s">
        <v>200</v>
      </c>
      <c r="F62" s="200">
        <v>54270</v>
      </c>
      <c r="G62" s="162">
        <v>45940</v>
      </c>
      <c r="H62" s="203" t="s">
        <v>296</v>
      </c>
      <c r="I62" s="186" t="str">
        <f t="shared" si="1"/>
        <v/>
      </c>
      <c r="J62" s="204" t="str">
        <f>IF($H62="USD",IF(OR($I62="",$I62="-"),"",VLOOKUP($G62,為替!$A:$AX,$I62,FALSE))+$J$3,IF(OR($I62="",$I62="-"),"",VLOOKUP($G62,為替!$A:$AX,$I62,FALSE)))</f>
        <v/>
      </c>
      <c r="K62" s="205">
        <f t="shared" si="2"/>
        <v>54270</v>
      </c>
      <c r="L62" s="189" t="str">
        <f t="shared" si="3"/>
        <v/>
      </c>
      <c r="M62" s="204" t="str">
        <f>IF($H62="USD",IF(OR($L62="",$L62="-"),"",VLOOKUP($G62,為替!$A:$AX,$L62,FALSE))+$K$3,IF(OR($L62="",$L62="-"),"",VLOOKUP($G62,為替!$A:$AX,$L62,FALSE)))</f>
        <v/>
      </c>
      <c r="N62" s="205">
        <f t="shared" si="4"/>
        <v>41270</v>
      </c>
      <c r="O62" s="206">
        <f t="shared" si="0"/>
        <v>13000</v>
      </c>
      <c r="P62" s="207">
        <f t="shared" si="5"/>
        <v>0.23954302561267735</v>
      </c>
      <c r="Q62" s="163" t="s">
        <v>297</v>
      </c>
    </row>
    <row r="63" spans="1:17">
      <c r="A63" s="163" t="s">
        <v>261</v>
      </c>
      <c r="B63" s="163">
        <v>7530</v>
      </c>
      <c r="C63" s="405">
        <v>22610</v>
      </c>
      <c r="D63" s="411">
        <v>28000</v>
      </c>
      <c r="E63" s="202" t="s">
        <v>423</v>
      </c>
      <c r="F63" s="200">
        <v>549</v>
      </c>
      <c r="G63" s="162">
        <v>45944</v>
      </c>
      <c r="H63" s="203" t="s">
        <v>199</v>
      </c>
      <c r="I63" s="186">
        <f t="shared" si="1"/>
        <v>4</v>
      </c>
      <c r="J63" s="204">
        <f>IF($H63="USD",IF(OR($I63="",$I63="-"),"",VLOOKUP($G63,為替!$A:$AX,$I63,FALSE))+$J$3,IF(OR($I63="",$I63="-"),"",VLOOKUP($G63,為替!$A:$AX,$I63,FALSE)))</f>
        <v>151.99</v>
      </c>
      <c r="K63" s="205">
        <f t="shared" si="2"/>
        <v>83442.510000000009</v>
      </c>
      <c r="L63" s="189">
        <f t="shared" si="3"/>
        <v>3</v>
      </c>
      <c r="M63" s="204">
        <f>IF($H63="USD",IF(OR($L63="",$L63="-"),"",VLOOKUP($G63,為替!$A:$AX,$L63,FALSE))+$K$3,IF(OR($L63="",$L63="-"),"",VLOOKUP($G63,為替!$A:$AX,$L63,FALSE)))</f>
        <v>152.99</v>
      </c>
      <c r="N63" s="205">
        <f t="shared" si="4"/>
        <v>50610</v>
      </c>
      <c r="O63" s="206">
        <f t="shared" si="0"/>
        <v>32832.510000000009</v>
      </c>
      <c r="P63" s="207">
        <f t="shared" si="5"/>
        <v>0.39347462102949693</v>
      </c>
      <c r="Q63" s="163" t="s">
        <v>308</v>
      </c>
    </row>
    <row r="64" spans="1:17">
      <c r="A64" s="163" t="s">
        <v>261</v>
      </c>
      <c r="B64" s="163">
        <v>7521</v>
      </c>
      <c r="C64" s="405">
        <v>85600</v>
      </c>
      <c r="D64" s="411">
        <v>0</v>
      </c>
      <c r="E64" s="202" t="s">
        <v>200</v>
      </c>
      <c r="F64" s="200">
        <v>108000</v>
      </c>
      <c r="G64" s="162">
        <v>45945</v>
      </c>
      <c r="H64" s="203" t="s">
        <v>200</v>
      </c>
      <c r="I64" s="186" t="str">
        <f t="shared" si="1"/>
        <v/>
      </c>
      <c r="J64" s="204" t="str">
        <f>IF($H64="USD",IF(OR($I64="",$I64="-"),"",VLOOKUP($G64,為替!$A:$AX,$I64,FALSE))+$J$3,IF(OR($I64="",$I64="-"),"",VLOOKUP($G64,為替!$A:$AX,$I64,FALSE)))</f>
        <v/>
      </c>
      <c r="K64" s="205">
        <f t="shared" si="2"/>
        <v>108000</v>
      </c>
      <c r="L64" s="189" t="str">
        <f t="shared" si="3"/>
        <v/>
      </c>
      <c r="M64" s="204" t="str">
        <f>IF($H64="USD",IF(OR($L64="",$L64="-"),"",VLOOKUP($G64,為替!$A:$AX,$L64,FALSE))+$K$3,IF(OR($L64="",$L64="-"),"",VLOOKUP($G64,為替!$A:$AX,$L64,FALSE)))</f>
        <v/>
      </c>
      <c r="N64" s="205">
        <f t="shared" si="4"/>
        <v>85600</v>
      </c>
      <c r="O64" s="206">
        <f t="shared" si="0"/>
        <v>22400</v>
      </c>
      <c r="P64" s="207">
        <f t="shared" si="5"/>
        <v>0.2074074074074074</v>
      </c>
      <c r="Q64" s="163" t="s">
        <v>424</v>
      </c>
    </row>
    <row r="65" spans="1:17">
      <c r="A65" s="163" t="s">
        <v>261</v>
      </c>
      <c r="B65" s="163">
        <v>7544</v>
      </c>
      <c r="C65" s="405">
        <v>6460</v>
      </c>
      <c r="D65" s="411">
        <v>0</v>
      </c>
      <c r="E65" s="202" t="s">
        <v>425</v>
      </c>
      <c r="F65" s="200">
        <v>104</v>
      </c>
      <c r="G65" s="162">
        <v>45952</v>
      </c>
      <c r="H65" s="203" t="s">
        <v>25</v>
      </c>
      <c r="I65" s="186">
        <f t="shared" si="1"/>
        <v>4</v>
      </c>
      <c r="J65" s="204">
        <f>IF($H65="USD",IF(OR($I65="",$I65="-"),"",VLOOKUP($G65,為替!$A:$AX,$I65,FALSE))+$J$3,IF(OR($I65="",$I65="-"),"",VLOOKUP($G65,為替!$A:$AX,$I65,FALSE)))</f>
        <v>151.21</v>
      </c>
      <c r="K65" s="205">
        <f t="shared" si="2"/>
        <v>15725.84</v>
      </c>
      <c r="L65" s="189">
        <f t="shared" si="3"/>
        <v>3</v>
      </c>
      <c r="M65" s="204">
        <f>IF($H65="USD",IF(OR($L65="",$L65="-"),"",VLOOKUP($G65,為替!$A:$AX,$L65,FALSE))+$K$3,IF(OR($L65="",$L65="-"),"",VLOOKUP($G65,為替!$A:$AX,$L65,FALSE)))</f>
        <v>152.21</v>
      </c>
      <c r="N65" s="205">
        <f t="shared" si="4"/>
        <v>6460</v>
      </c>
      <c r="O65" s="206">
        <f t="shared" si="0"/>
        <v>9265.84</v>
      </c>
      <c r="P65" s="207">
        <f t="shared" si="5"/>
        <v>0.58921113275983983</v>
      </c>
      <c r="Q65" s="163" t="s">
        <v>299</v>
      </c>
    </row>
    <row r="66" spans="1:17">
      <c r="A66" s="163" t="s">
        <v>261</v>
      </c>
      <c r="B66" s="163">
        <v>7565</v>
      </c>
      <c r="C66" s="405">
        <v>3713</v>
      </c>
      <c r="D66" s="411">
        <v>1100</v>
      </c>
      <c r="E66" s="202" t="s">
        <v>200</v>
      </c>
      <c r="F66" s="200">
        <v>5800</v>
      </c>
      <c r="G66" s="162">
        <v>45954</v>
      </c>
      <c r="H66" s="203" t="s">
        <v>200</v>
      </c>
      <c r="I66" s="186" t="str">
        <f t="shared" si="1"/>
        <v/>
      </c>
      <c r="J66" s="204" t="str">
        <f>IF($H66="USD",IF(OR($I66="",$I66="-"),"",VLOOKUP($G66,為替!$A:$AX,$I66,FALSE))+$J$3,IF(OR($I66="",$I66="-"),"",VLOOKUP($G66,為替!$A:$AX,$I66,FALSE)))</f>
        <v/>
      </c>
      <c r="K66" s="205">
        <f t="shared" si="2"/>
        <v>5800</v>
      </c>
      <c r="L66" s="189" t="str">
        <f t="shared" si="3"/>
        <v/>
      </c>
      <c r="M66" s="204" t="str">
        <f>IF($H66="USD",IF(OR($L66="",$L66="-"),"",VLOOKUP($G66,為替!$A:$AX,$L66,FALSE))+$K$3,IF(OR($L66="",$L66="-"),"",VLOOKUP($G66,為替!$A:$AX,$L66,FALSE)))</f>
        <v/>
      </c>
      <c r="N66" s="205">
        <f t="shared" si="4"/>
        <v>4813</v>
      </c>
      <c r="O66" s="206">
        <f t="shared" si="0"/>
        <v>987</v>
      </c>
      <c r="P66" s="207">
        <f t="shared" si="5"/>
        <v>0.17017241379310344</v>
      </c>
      <c r="Q66" s="433" t="s">
        <v>426</v>
      </c>
    </row>
    <row r="67" spans="1:17">
      <c r="A67" s="163" t="s">
        <v>261</v>
      </c>
      <c r="B67" s="163">
        <v>7563</v>
      </c>
      <c r="C67" s="405">
        <v>65200</v>
      </c>
      <c r="D67" s="411">
        <v>12000</v>
      </c>
      <c r="E67" s="202" t="s">
        <v>200</v>
      </c>
      <c r="F67" s="200">
        <v>107000</v>
      </c>
      <c r="G67" s="162">
        <v>45957</v>
      </c>
      <c r="H67" s="203" t="s">
        <v>200</v>
      </c>
      <c r="I67" s="186" t="str">
        <f t="shared" si="1"/>
        <v/>
      </c>
      <c r="J67" s="204" t="str">
        <f>IF($H67="USD",IF(OR($I67="",$I67="-"),"",VLOOKUP($G67,為替!$A:$AX,$I67,FALSE))+$J$3,IF(OR($I67="",$I67="-"),"",VLOOKUP($G67,為替!$A:$AX,$I67,FALSE)))</f>
        <v/>
      </c>
      <c r="K67" s="205">
        <f t="shared" si="2"/>
        <v>107000</v>
      </c>
      <c r="L67" s="189" t="str">
        <f t="shared" si="3"/>
        <v/>
      </c>
      <c r="M67" s="204" t="str">
        <f>IF($H67="USD",IF(OR($L67="",$L67="-"),"",VLOOKUP($G67,為替!$A:$AX,$L67,FALSE))+$K$3,IF(OR($L67="",$L67="-"),"",VLOOKUP($G67,為替!$A:$AX,$L67,FALSE)))</f>
        <v/>
      </c>
      <c r="N67" s="205">
        <f t="shared" si="4"/>
        <v>77200</v>
      </c>
      <c r="O67" s="206">
        <f t="shared" si="0"/>
        <v>29800</v>
      </c>
      <c r="P67" s="207">
        <f t="shared" si="5"/>
        <v>0.27850467289719627</v>
      </c>
      <c r="Q67" s="163" t="s">
        <v>339</v>
      </c>
    </row>
    <row r="68" spans="1:17">
      <c r="A68" s="163" t="s">
        <v>201</v>
      </c>
      <c r="B68" s="163">
        <v>7574</v>
      </c>
      <c r="C68" s="405">
        <v>61600</v>
      </c>
      <c r="D68" s="411">
        <v>6900</v>
      </c>
      <c r="E68" s="202" t="s">
        <v>200</v>
      </c>
      <c r="F68" s="200">
        <v>83200</v>
      </c>
      <c r="G68" s="162">
        <v>45958</v>
      </c>
      <c r="H68" s="203" t="s">
        <v>427</v>
      </c>
      <c r="I68" s="186" t="str">
        <f t="shared" si="1"/>
        <v/>
      </c>
      <c r="J68" s="204" t="str">
        <f>IF($H68="USD",IF(OR($I68="",$I68="-"),"",VLOOKUP($G68,為替!$A:$AX,$I68,FALSE))+$J$3,IF(OR($I68="",$I68="-"),"",VLOOKUP($G68,為替!$A:$AX,$I68,FALSE)))</f>
        <v/>
      </c>
      <c r="K68" s="205">
        <f t="shared" si="2"/>
        <v>83200</v>
      </c>
      <c r="L68" s="189" t="str">
        <f t="shared" si="3"/>
        <v/>
      </c>
      <c r="M68" s="204" t="str">
        <f>IF($H68="USD",IF(OR($L68="",$L68="-"),"",VLOOKUP($G68,為替!$A:$AX,$L68,FALSE))+$K$3,IF(OR($L68="",$L68="-"),"",VLOOKUP($G68,為替!$A:$AX,$L68,FALSE)))</f>
        <v/>
      </c>
      <c r="N68" s="205">
        <f t="shared" si="4"/>
        <v>68500</v>
      </c>
      <c r="O68" s="206">
        <f t="shared" si="0"/>
        <v>14700</v>
      </c>
      <c r="P68" s="207">
        <f t="shared" si="5"/>
        <v>0.17668269230769232</v>
      </c>
      <c r="Q68" s="163" t="s">
        <v>75</v>
      </c>
    </row>
    <row r="69" spans="1:17">
      <c r="A69" s="163" t="s">
        <v>261</v>
      </c>
      <c r="B69" s="163">
        <v>7557</v>
      </c>
      <c r="C69" s="405">
        <v>1990200</v>
      </c>
      <c r="D69" s="411">
        <v>34000</v>
      </c>
      <c r="E69" s="202" t="s">
        <v>200</v>
      </c>
      <c r="F69" s="200">
        <v>2573000</v>
      </c>
      <c r="G69" s="162">
        <v>45956</v>
      </c>
      <c r="H69" s="203" t="s">
        <v>200</v>
      </c>
      <c r="I69" s="186" t="str">
        <f t="shared" si="1"/>
        <v/>
      </c>
      <c r="J69" s="204" t="str">
        <f>IF($H69="USD",IF(OR($I69="",$I69="-"),"",VLOOKUP($G69,為替!$A:$AX,$I69,FALSE))+$J$3,IF(OR($I69="",$I69="-"),"",VLOOKUP($G69,為替!$A:$AX,$I69,FALSE)))</f>
        <v/>
      </c>
      <c r="K69" s="205">
        <f t="shared" si="2"/>
        <v>2573000</v>
      </c>
      <c r="L69" s="189" t="str">
        <f t="shared" si="3"/>
        <v/>
      </c>
      <c r="M69" s="204" t="str">
        <f>IF($H69="USD",IF(OR($L69="",$L69="-"),"",VLOOKUP($G69,為替!$A:$AX,$L69,FALSE))+$K$3,IF(OR($L69="",$L69="-"),"",VLOOKUP($G69,為替!$A:$AX,$L69,FALSE)))</f>
        <v/>
      </c>
      <c r="N69" s="205">
        <f t="shared" si="4"/>
        <v>2024200</v>
      </c>
      <c r="O69" s="206">
        <f t="shared" si="0"/>
        <v>548800</v>
      </c>
      <c r="P69" s="207">
        <f t="shared" si="5"/>
        <v>0.21329187718616402</v>
      </c>
      <c r="Q69" s="163" t="s">
        <v>310</v>
      </c>
    </row>
    <row r="70" spans="1:17">
      <c r="A70" s="163" t="s">
        <v>261</v>
      </c>
      <c r="B70" s="163">
        <v>7534</v>
      </c>
      <c r="C70" s="405">
        <v>2111000</v>
      </c>
      <c r="D70" s="411">
        <v>136000</v>
      </c>
      <c r="E70" s="202" t="s">
        <v>200</v>
      </c>
      <c r="F70" s="200">
        <v>2630000</v>
      </c>
      <c r="G70" s="162">
        <v>45957</v>
      </c>
      <c r="H70" s="203" t="s">
        <v>200</v>
      </c>
      <c r="I70" s="186" t="str">
        <f t="shared" si="1"/>
        <v/>
      </c>
      <c r="J70" s="204" t="str">
        <f>IF($H70="USD",IF(OR($I70="",$I70="-"),"",VLOOKUP($G70,為替!$A:$AX,$I70,FALSE))+$J$3,IF(OR($I70="",$I70="-"),"",VLOOKUP($G70,為替!$A:$AX,$I70,FALSE)))</f>
        <v/>
      </c>
      <c r="K70" s="205">
        <f t="shared" si="2"/>
        <v>2630000</v>
      </c>
      <c r="L70" s="189" t="str">
        <f t="shared" si="3"/>
        <v/>
      </c>
      <c r="M70" s="204" t="str">
        <f>IF($H70="USD",IF(OR($L70="",$L70="-"),"",VLOOKUP($G70,為替!$A:$AX,$L70,FALSE))+$K$3,IF(OR($L70="",$L70="-"),"",VLOOKUP($G70,為替!$A:$AX,$L70,FALSE)))</f>
        <v/>
      </c>
      <c r="N70" s="205">
        <f t="shared" si="4"/>
        <v>2247000</v>
      </c>
      <c r="O70" s="206">
        <f t="shared" ref="O70:O132" si="6">IF(OR(K70="",N70=""),"",K70-N70)</f>
        <v>383000</v>
      </c>
      <c r="P70" s="207">
        <f t="shared" si="5"/>
        <v>0.14562737642585552</v>
      </c>
      <c r="Q70" s="163" t="s">
        <v>301</v>
      </c>
    </row>
    <row r="71" spans="1:17">
      <c r="A71" s="163" t="s">
        <v>260</v>
      </c>
      <c r="B71" s="163">
        <v>7559</v>
      </c>
      <c r="C71" s="405">
        <v>3679800</v>
      </c>
      <c r="D71" s="411">
        <v>79500</v>
      </c>
      <c r="E71" s="202" t="s">
        <v>200</v>
      </c>
      <c r="F71" s="200">
        <v>4113000</v>
      </c>
      <c r="G71" s="162">
        <v>45958</v>
      </c>
      <c r="H71" s="203" t="s">
        <v>200</v>
      </c>
      <c r="I71" s="186" t="str">
        <f t="shared" ref="I71:I133" si="7">IF(H71="","",IF(H71="JPY","",IF($H71="USD",4, IF(H71="EUR",7,IF(H71="CNY",47,IF(H71="HKD",34))))))</f>
        <v/>
      </c>
      <c r="J71" s="204" t="str">
        <f>IF($H71="USD",IF(OR($I71="",$I71="-"),"",VLOOKUP($G71,為替!$A:$AX,$I71,FALSE))+$J$3,IF(OR($I71="",$I71="-"),"",VLOOKUP($G71,為替!$A:$AX,$I71,FALSE)))</f>
        <v/>
      </c>
      <c r="K71" s="205">
        <f t="shared" ref="K71:K133" si="8">IF($H71="JPY",$F71,IF($H71="","",$F71*$J71))</f>
        <v>4113000</v>
      </c>
      <c r="L71" s="189" t="str">
        <f t="shared" ref="L71:L133" si="9">IF(H71="","",IF(H71="JPY","",IF($H71="USD",3, IF(H71="EUR",6,IF(H71="CNY",46,IF(H71="HKD",33))))))</f>
        <v/>
      </c>
      <c r="M71" s="204" t="str">
        <f>IF($H71="USD",IF(OR($L71="",$L71="-"),"",VLOOKUP($G71,為替!$A:$AX,$L71,FALSE))+$K$3,IF(OR($L71="",$L71="-"),"",VLOOKUP($G71,為替!$A:$AX,$L71,FALSE)))</f>
        <v/>
      </c>
      <c r="N71" s="205">
        <f t="shared" ref="N71:N133" si="10">IF($E71="JPY",($C71+$D71),IF($E71="","",($C71+$D71)*$M71))</f>
        <v>3759300</v>
      </c>
      <c r="O71" s="206">
        <f t="shared" si="6"/>
        <v>353700</v>
      </c>
      <c r="P71" s="207">
        <f t="shared" ref="P71:P133" si="11">IF(OR(K71="",O71=""),"",O71/K71)</f>
        <v>8.5995623632385124E-2</v>
      </c>
      <c r="Q71" s="163" t="s">
        <v>300</v>
      </c>
    </row>
    <row r="72" spans="1:17">
      <c r="A72" s="163" t="s">
        <v>260</v>
      </c>
      <c r="B72" s="163">
        <v>7558</v>
      </c>
      <c r="C72" s="405">
        <v>562000</v>
      </c>
      <c r="D72" s="411">
        <v>16510</v>
      </c>
      <c r="E72" s="202" t="s">
        <v>200</v>
      </c>
      <c r="F72" s="200">
        <v>630000</v>
      </c>
      <c r="G72" s="162">
        <v>45957</v>
      </c>
      <c r="H72" s="203" t="s">
        <v>200</v>
      </c>
      <c r="I72" s="186" t="str">
        <f t="shared" si="7"/>
        <v/>
      </c>
      <c r="J72" s="204" t="str">
        <f>IF($H72="USD",IF(OR($I72="",$I72="-"),"",VLOOKUP($G72,為替!$A:$AX,$I72,FALSE))+$J$3,IF(OR($I72="",$I72="-"),"",VLOOKUP($G72,為替!$A:$AX,$I72,FALSE)))</f>
        <v/>
      </c>
      <c r="K72" s="205">
        <f t="shared" si="8"/>
        <v>630000</v>
      </c>
      <c r="L72" s="189" t="str">
        <f t="shared" si="9"/>
        <v/>
      </c>
      <c r="M72" s="204" t="str">
        <f>IF($H72="USD",IF(OR($L72="",$L72="-"),"",VLOOKUP($G72,為替!$A:$AX,$L72,FALSE))+$K$3,IF(OR($L72="",$L72="-"),"",VLOOKUP($G72,為替!$A:$AX,$L72,FALSE)))</f>
        <v/>
      </c>
      <c r="N72" s="205">
        <f t="shared" si="10"/>
        <v>578510</v>
      </c>
      <c r="O72" s="206">
        <f t="shared" si="6"/>
        <v>51490</v>
      </c>
      <c r="P72" s="207">
        <f t="shared" si="11"/>
        <v>8.1730158730158736E-2</v>
      </c>
      <c r="Q72" s="163" t="s">
        <v>300</v>
      </c>
    </row>
    <row r="73" spans="1:17">
      <c r="A73" s="163" t="s">
        <v>261</v>
      </c>
      <c r="B73" s="163">
        <v>7584</v>
      </c>
      <c r="C73" s="405">
        <v>51680</v>
      </c>
      <c r="D73" s="411">
        <v>34000</v>
      </c>
      <c r="E73" s="202" t="s">
        <v>200</v>
      </c>
      <c r="F73" s="200">
        <v>1052</v>
      </c>
      <c r="G73" s="162">
        <v>45965</v>
      </c>
      <c r="H73" s="203" t="s">
        <v>25</v>
      </c>
      <c r="I73" s="186">
        <f t="shared" si="7"/>
        <v>4</v>
      </c>
      <c r="J73" s="204">
        <f>IF($H73="USD",IF(OR($I73="",$I73="-"),"",VLOOKUP($G73,為替!$A:$AX,$I73,FALSE))+$J$3,IF(OR($I73="",$I73="-"),"",VLOOKUP($G73,為替!$A:$AX,$I73,FALSE)))</f>
        <v>153.88</v>
      </c>
      <c r="K73" s="205">
        <f t="shared" si="8"/>
        <v>161881.76</v>
      </c>
      <c r="L73" s="189">
        <f t="shared" si="9"/>
        <v>3</v>
      </c>
      <c r="M73" s="204">
        <f>IF($H73="USD",IF(OR($L73="",$L73="-"),"",VLOOKUP($G73,為替!$A:$AX,$L73,FALSE))+$K$3,IF(OR($L73="",$L73="-"),"",VLOOKUP($G73,為替!$A:$AX,$L73,FALSE)))</f>
        <v>154.88</v>
      </c>
      <c r="N73" s="205">
        <f t="shared" si="10"/>
        <v>85680</v>
      </c>
      <c r="O73" s="206">
        <f t="shared" si="6"/>
        <v>76201.760000000009</v>
      </c>
      <c r="P73" s="207">
        <f t="shared" si="11"/>
        <v>0.47072480556178786</v>
      </c>
      <c r="Q73" s="163" t="s">
        <v>308</v>
      </c>
    </row>
    <row r="74" spans="1:17">
      <c r="A74" s="163" t="s">
        <v>261</v>
      </c>
      <c r="B74" s="163">
        <v>7599</v>
      </c>
      <c r="C74" s="405">
        <v>17800</v>
      </c>
      <c r="D74" s="411">
        <v>4200</v>
      </c>
      <c r="E74" s="202" t="s">
        <v>449</v>
      </c>
      <c r="F74" s="200">
        <v>28770</v>
      </c>
      <c r="G74" s="162">
        <v>45968</v>
      </c>
      <c r="H74" s="203" t="s">
        <v>449</v>
      </c>
      <c r="I74" s="186" t="str">
        <f t="shared" si="7"/>
        <v/>
      </c>
      <c r="J74" s="204" t="str">
        <f>IF($H74="USD",IF(OR($I74="",$I74="-"),"",VLOOKUP($G74,為替!$A:$AX,$I74,FALSE))+$J$3,IF(OR($I74="",$I74="-"),"",VLOOKUP($G74,為替!$A:$AX,$I74,FALSE)))</f>
        <v/>
      </c>
      <c r="K74" s="205">
        <f t="shared" si="8"/>
        <v>28770</v>
      </c>
      <c r="L74" s="189" t="str">
        <f t="shared" si="9"/>
        <v/>
      </c>
      <c r="M74" s="204" t="str">
        <f>IF($H74="USD",IF(OR($L74="",$L74="-"),"",VLOOKUP($G74,為替!$A:$AX,$L74,FALSE))+$K$3,IF(OR($L74="",$L74="-"),"",VLOOKUP($G74,為替!$A:$AX,$L74,FALSE)))</f>
        <v/>
      </c>
      <c r="N74" s="205">
        <f t="shared" si="10"/>
        <v>22000</v>
      </c>
      <c r="O74" s="206">
        <f t="shared" si="6"/>
        <v>6770</v>
      </c>
      <c r="P74" s="207">
        <f t="shared" si="11"/>
        <v>0.23531456378171706</v>
      </c>
      <c r="Q74" s="163" t="s">
        <v>297</v>
      </c>
    </row>
    <row r="75" spans="1:17">
      <c r="A75" s="163" t="s">
        <v>261</v>
      </c>
      <c r="B75" s="163">
        <v>7568</v>
      </c>
      <c r="C75" s="405">
        <v>625200</v>
      </c>
      <c r="D75" s="411">
        <v>27000</v>
      </c>
      <c r="E75" s="202" t="s">
        <v>200</v>
      </c>
      <c r="F75" s="200">
        <v>728000</v>
      </c>
      <c r="G75" s="162">
        <v>45966</v>
      </c>
      <c r="H75" s="203" t="s">
        <v>200</v>
      </c>
      <c r="I75" s="186" t="str">
        <f t="shared" si="7"/>
        <v/>
      </c>
      <c r="J75" s="204" t="str">
        <f>IF($H75="USD",IF(OR($I75="",$I75="-"),"",VLOOKUP($G75,為替!$A:$AX,$I75,FALSE))+$J$3,IF(OR($I75="",$I75="-"),"",VLOOKUP($G75,為替!$A:$AX,$I75,FALSE)))</f>
        <v/>
      </c>
      <c r="K75" s="205">
        <f t="shared" si="8"/>
        <v>728000</v>
      </c>
      <c r="L75" s="189" t="str">
        <f t="shared" si="9"/>
        <v/>
      </c>
      <c r="M75" s="204" t="str">
        <f>IF($H75="USD",IF(OR($L75="",$L75="-"),"",VLOOKUP($G75,為替!$A:$AX,$L75,FALSE))+$K$3,IF(OR($L75="",$L75="-"),"",VLOOKUP($G75,為替!$A:$AX,$L75,FALSE)))</f>
        <v/>
      </c>
      <c r="N75" s="205">
        <f t="shared" si="10"/>
        <v>652200</v>
      </c>
      <c r="O75" s="206">
        <f t="shared" si="6"/>
        <v>75800</v>
      </c>
      <c r="P75" s="207">
        <f t="shared" si="11"/>
        <v>0.10412087912087913</v>
      </c>
      <c r="Q75" s="163" t="s">
        <v>450</v>
      </c>
    </row>
    <row r="76" spans="1:17">
      <c r="A76" s="163" t="s">
        <v>261</v>
      </c>
      <c r="B76" s="163">
        <v>7500</v>
      </c>
      <c r="C76" s="405">
        <v>36300</v>
      </c>
      <c r="D76" s="411">
        <v>0</v>
      </c>
      <c r="E76" s="202" t="s">
        <v>200</v>
      </c>
      <c r="F76" s="200">
        <v>616</v>
      </c>
      <c r="G76" s="162">
        <v>45968</v>
      </c>
      <c r="H76" s="203" t="s">
        <v>451</v>
      </c>
      <c r="I76" s="186">
        <f t="shared" si="7"/>
        <v>4</v>
      </c>
      <c r="J76" s="204">
        <f>IF($H76="USD",IF(OR($I76="",$I76="-"),"",VLOOKUP($G76,為替!$A:$AX,$I76,FALSE))+$J$3,IF(OR($I76="",$I76="-"),"",VLOOKUP($G76,為替!$A:$AX,$I76,FALSE)))</f>
        <v>152.74</v>
      </c>
      <c r="K76" s="205">
        <f t="shared" si="8"/>
        <v>94087.840000000011</v>
      </c>
      <c r="L76" s="189">
        <f t="shared" si="9"/>
        <v>3</v>
      </c>
      <c r="M76" s="204">
        <f>IF($H76="USD",IF(OR($L76="",$L76="-"),"",VLOOKUP($G76,為替!$A:$AX,$L76,FALSE))+$K$3,IF(OR($L76="",$L76="-"),"",VLOOKUP($G76,為替!$A:$AX,$L76,FALSE)))</f>
        <v>153.74</v>
      </c>
      <c r="N76" s="205">
        <f t="shared" si="10"/>
        <v>36300</v>
      </c>
      <c r="O76" s="206">
        <f t="shared" si="6"/>
        <v>57787.840000000011</v>
      </c>
      <c r="P76" s="207">
        <f t="shared" si="11"/>
        <v>0.61419031407246683</v>
      </c>
      <c r="Q76" s="163" t="s">
        <v>452</v>
      </c>
    </row>
    <row r="77" spans="1:17">
      <c r="A77" s="163" t="s">
        <v>261</v>
      </c>
      <c r="B77" s="163">
        <v>7619</v>
      </c>
      <c r="C77" s="405">
        <v>240800</v>
      </c>
      <c r="D77" s="411">
        <v>90000</v>
      </c>
      <c r="E77" s="202" t="s">
        <v>200</v>
      </c>
      <c r="F77" s="200">
        <v>390000</v>
      </c>
      <c r="G77" s="162">
        <v>45975</v>
      </c>
      <c r="H77" s="203" t="s">
        <v>296</v>
      </c>
      <c r="I77" s="186" t="str">
        <f t="shared" si="7"/>
        <v/>
      </c>
      <c r="J77" s="204" t="str">
        <f>IF($H77="USD",IF(OR($I77="",$I77="-"),"",VLOOKUP($G77,為替!$A:$AX,$I77,FALSE))+$J$3,IF(OR($I77="",$I77="-"),"",VLOOKUP($G77,為替!$A:$AX,$I77,FALSE)))</f>
        <v/>
      </c>
      <c r="K77" s="205">
        <f t="shared" si="8"/>
        <v>390000</v>
      </c>
      <c r="L77" s="189" t="str">
        <f t="shared" si="9"/>
        <v/>
      </c>
      <c r="M77" s="204" t="str">
        <f>IF($H77="USD",IF(OR($L77="",$L77="-"),"",VLOOKUP($G77,為替!$A:$AX,$L77,FALSE))+$K$3,IF(OR($L77="",$L77="-"),"",VLOOKUP($G77,為替!$A:$AX,$L77,FALSE)))</f>
        <v/>
      </c>
      <c r="N77" s="205">
        <f t="shared" si="10"/>
        <v>330800</v>
      </c>
      <c r="O77" s="206">
        <f t="shared" si="6"/>
        <v>59200</v>
      </c>
      <c r="P77" s="207">
        <f t="shared" si="11"/>
        <v>0.15179487179487181</v>
      </c>
      <c r="Q77" s="163" t="s">
        <v>455</v>
      </c>
    </row>
    <row r="78" spans="1:17">
      <c r="A78" s="163" t="s">
        <v>261</v>
      </c>
      <c r="B78" s="163">
        <v>7648</v>
      </c>
      <c r="C78" s="405">
        <v>6460</v>
      </c>
      <c r="D78" s="411">
        <v>0</v>
      </c>
      <c r="E78" s="202" t="s">
        <v>456</v>
      </c>
      <c r="F78" s="200">
        <v>104</v>
      </c>
      <c r="G78" s="162">
        <v>45978</v>
      </c>
      <c r="H78" s="203" t="s">
        <v>457</v>
      </c>
      <c r="I78" s="186">
        <f t="shared" si="7"/>
        <v>4</v>
      </c>
      <c r="J78" s="204">
        <f>IF($H78="USD",IF(OR($I78="",$I78="-"),"",VLOOKUP($G78,為替!$A:$AX,$I78,FALSE))+$J$3,IF(OR($I78="",$I78="-"),"",VLOOKUP($G78,為替!$A:$AX,$I78,FALSE)))</f>
        <v>154.19999999999999</v>
      </c>
      <c r="K78" s="205">
        <f t="shared" si="8"/>
        <v>16036.8</v>
      </c>
      <c r="L78" s="189">
        <f t="shared" si="9"/>
        <v>3</v>
      </c>
      <c r="M78" s="204">
        <f>IF($H78="USD",IF(OR($L78="",$L78="-"),"",VLOOKUP($G78,為替!$A:$AX,$L78,FALSE))+$K$3,IF(OR($L78="",$L78="-"),"",VLOOKUP($G78,為替!$A:$AX,$L78,FALSE)))</f>
        <v>155.19999999999999</v>
      </c>
      <c r="N78" s="205">
        <f t="shared" si="10"/>
        <v>6460</v>
      </c>
      <c r="O78" s="206">
        <f t="shared" si="6"/>
        <v>9576.7999999999993</v>
      </c>
      <c r="P78" s="207">
        <f t="shared" si="11"/>
        <v>0.59717649406365358</v>
      </c>
      <c r="Q78" s="163" t="s">
        <v>299</v>
      </c>
    </row>
    <row r="79" spans="1:17">
      <c r="A79" s="163" t="s">
        <v>261</v>
      </c>
      <c r="B79" s="163">
        <v>7649</v>
      </c>
      <c r="C79" s="405">
        <v>2000</v>
      </c>
      <c r="D79" s="411">
        <v>10445</v>
      </c>
      <c r="E79" s="202" t="s">
        <v>458</v>
      </c>
      <c r="F79" s="200">
        <v>17590</v>
      </c>
      <c r="G79" s="162">
        <v>45982</v>
      </c>
      <c r="H79" s="203" t="s">
        <v>458</v>
      </c>
      <c r="I79" s="186" t="str">
        <f t="shared" si="7"/>
        <v/>
      </c>
      <c r="J79" s="204" t="str">
        <f>IF($H79="USD",IF(OR($I79="",$I79="-"),"",VLOOKUP($G79,為替!$A:$AX,$I79,FALSE))+$J$3,IF(OR($I79="",$I79="-"),"",VLOOKUP($G79,為替!$A:$AX,$I79,FALSE)))</f>
        <v/>
      </c>
      <c r="K79" s="205">
        <f t="shared" si="8"/>
        <v>17590</v>
      </c>
      <c r="L79" s="189" t="str">
        <f t="shared" si="9"/>
        <v/>
      </c>
      <c r="M79" s="204" t="str">
        <f>IF($H79="USD",IF(OR($L79="",$L79="-"),"",VLOOKUP($G79,為替!$A:$AX,$L79,FALSE))+$K$3,IF(OR($L79="",$L79="-"),"",VLOOKUP($G79,為替!$A:$AX,$L79,FALSE)))</f>
        <v/>
      </c>
      <c r="N79" s="205">
        <f t="shared" si="10"/>
        <v>12445</v>
      </c>
      <c r="O79" s="206">
        <f t="shared" si="6"/>
        <v>5145</v>
      </c>
      <c r="P79" s="207">
        <f t="shared" si="11"/>
        <v>0.2924957362137578</v>
      </c>
      <c r="Q79" s="163" t="s">
        <v>297</v>
      </c>
    </row>
    <row r="80" spans="1:17">
      <c r="A80" s="163" t="s">
        <v>261</v>
      </c>
      <c r="B80" s="163">
        <v>7633</v>
      </c>
      <c r="C80" s="405">
        <v>2568000</v>
      </c>
      <c r="D80" s="411">
        <v>41430</v>
      </c>
      <c r="E80" s="202" t="s">
        <v>200</v>
      </c>
      <c r="F80" s="200">
        <v>3320000</v>
      </c>
      <c r="G80" s="162">
        <v>45986</v>
      </c>
      <c r="H80" s="203" t="s">
        <v>200</v>
      </c>
      <c r="I80" s="186" t="str">
        <f t="shared" si="7"/>
        <v/>
      </c>
      <c r="J80" s="204" t="str">
        <f>IF($H80="USD",IF(OR($I80="",$I80="-"),"",VLOOKUP($G80,為替!$A:$AX,$I80,FALSE))+$J$3,IF(OR($I80="",$I80="-"),"",VLOOKUP($G80,為替!$A:$AX,$I80,FALSE)))</f>
        <v/>
      </c>
      <c r="K80" s="205">
        <f t="shared" si="8"/>
        <v>3320000</v>
      </c>
      <c r="L80" s="189" t="str">
        <f t="shared" si="9"/>
        <v/>
      </c>
      <c r="M80" s="204" t="str">
        <f>IF($H80="USD",IF(OR($L80="",$L80="-"),"",VLOOKUP($G80,為替!$A:$AX,$L80,FALSE))+$K$3,IF(OR($L80="",$L80="-"),"",VLOOKUP($G80,為替!$A:$AX,$L80,FALSE)))</f>
        <v/>
      </c>
      <c r="N80" s="205">
        <f t="shared" si="10"/>
        <v>2609430</v>
      </c>
      <c r="O80" s="206">
        <f t="shared" si="6"/>
        <v>710570</v>
      </c>
      <c r="P80" s="207">
        <f t="shared" si="11"/>
        <v>0.21402710843373493</v>
      </c>
      <c r="Q80" s="163" t="s">
        <v>310</v>
      </c>
    </row>
    <row r="81" spans="1:17">
      <c r="A81" s="163" t="s">
        <v>201</v>
      </c>
      <c r="B81" s="163">
        <v>7665</v>
      </c>
      <c r="C81" s="405">
        <v>123200</v>
      </c>
      <c r="D81" s="411">
        <v>13845</v>
      </c>
      <c r="E81" s="202" t="s">
        <v>200</v>
      </c>
      <c r="F81" s="200">
        <v>166400</v>
      </c>
      <c r="G81" s="162">
        <v>45986</v>
      </c>
      <c r="H81" s="203" t="s">
        <v>200</v>
      </c>
      <c r="I81" s="186" t="str">
        <f t="shared" si="7"/>
        <v/>
      </c>
      <c r="J81" s="204" t="str">
        <f>IF($H81="USD",IF(OR($I81="",$I81="-"),"",VLOOKUP($G81,為替!$A:$AX,$I81,FALSE))+$J$3,IF(OR($I81="",$I81="-"),"",VLOOKUP($G81,為替!$A:$AX,$I81,FALSE)))</f>
        <v/>
      </c>
      <c r="K81" s="205">
        <f t="shared" si="8"/>
        <v>166400</v>
      </c>
      <c r="L81" s="189" t="str">
        <f t="shared" si="9"/>
        <v/>
      </c>
      <c r="M81" s="204" t="str">
        <f>IF($H81="USD",IF(OR($L81="",$L81="-"),"",VLOOKUP($G81,為替!$A:$AX,$L81,FALSE))+$K$3,IF(OR($L81="",$L81="-"),"",VLOOKUP($G81,為替!$A:$AX,$L81,FALSE)))</f>
        <v/>
      </c>
      <c r="N81" s="205">
        <f t="shared" si="10"/>
        <v>137045</v>
      </c>
      <c r="O81" s="206">
        <f t="shared" si="6"/>
        <v>29355</v>
      </c>
      <c r="P81" s="207">
        <f t="shared" si="11"/>
        <v>0.17641225961538462</v>
      </c>
      <c r="Q81" s="163" t="s">
        <v>75</v>
      </c>
    </row>
    <row r="82" spans="1:17">
      <c r="A82" s="163" t="s">
        <v>260</v>
      </c>
      <c r="B82" s="163">
        <v>7652</v>
      </c>
      <c r="C82" s="405">
        <v>3199400</v>
      </c>
      <c r="D82" s="411">
        <v>73250</v>
      </c>
      <c r="E82" s="202" t="s">
        <v>200</v>
      </c>
      <c r="F82" s="200">
        <v>3582000</v>
      </c>
      <c r="G82" s="162">
        <v>45985</v>
      </c>
      <c r="H82" s="203" t="s">
        <v>200</v>
      </c>
      <c r="I82" s="186" t="str">
        <f t="shared" si="7"/>
        <v/>
      </c>
      <c r="J82" s="204" t="str">
        <f>IF($H82="USD",IF(OR($I82="",$I82="-"),"",VLOOKUP($G82,為替!$A:$AX,$I82,FALSE))+$J$3,IF(OR($I82="",$I82="-"),"",VLOOKUP($G82,為替!$A:$AX,$I82,FALSE)))</f>
        <v/>
      </c>
      <c r="K82" s="205">
        <f t="shared" si="8"/>
        <v>3582000</v>
      </c>
      <c r="L82" s="189" t="str">
        <f t="shared" si="9"/>
        <v/>
      </c>
      <c r="M82" s="204" t="str">
        <f>IF($H82="USD",IF(OR($L82="",$L82="-"),"",VLOOKUP($G82,為替!$A:$AX,$L82,FALSE))+$K$3,IF(OR($L82="",$L82="-"),"",VLOOKUP($G82,為替!$A:$AX,$L82,FALSE)))</f>
        <v/>
      </c>
      <c r="N82" s="205">
        <f t="shared" si="10"/>
        <v>3272650</v>
      </c>
      <c r="O82" s="206">
        <f t="shared" si="6"/>
        <v>309350</v>
      </c>
      <c r="P82" s="207">
        <f t="shared" si="11"/>
        <v>8.6362367392518152E-2</v>
      </c>
      <c r="Q82" s="163" t="s">
        <v>459</v>
      </c>
    </row>
    <row r="83" spans="1:17">
      <c r="A83" s="163" t="s">
        <v>261</v>
      </c>
      <c r="B83" s="163">
        <v>7591</v>
      </c>
      <c r="C83" s="405">
        <v>513600</v>
      </c>
      <c r="D83" s="411">
        <v>46980</v>
      </c>
      <c r="E83" s="202" t="s">
        <v>200</v>
      </c>
      <c r="F83" s="200">
        <v>6400</v>
      </c>
      <c r="G83" s="162">
        <v>45987</v>
      </c>
      <c r="H83" s="203" t="s">
        <v>199</v>
      </c>
      <c r="I83" s="186">
        <f t="shared" si="7"/>
        <v>4</v>
      </c>
      <c r="J83" s="204">
        <f>IF($H83="USD",IF(OR($I83="",$I83="-"),"",VLOOKUP($G83,為替!$A:$AX,$I83,FALSE))+$J$3,IF(OR($I83="",$I83="-"),"",VLOOKUP($G83,為替!$A:$AX,$I83,FALSE)))</f>
        <v>155.88</v>
      </c>
      <c r="K83" s="205">
        <f t="shared" si="8"/>
        <v>997632</v>
      </c>
      <c r="L83" s="189">
        <f t="shared" si="9"/>
        <v>3</v>
      </c>
      <c r="M83" s="204">
        <f>IF($H83="USD",IF(OR($L83="",$L83="-"),"",VLOOKUP($G83,為替!$A:$AX,$L83,FALSE))+$K$3,IF(OR($L83="",$L83="-"),"",VLOOKUP($G83,為替!$A:$AX,$L83,FALSE)))</f>
        <v>156.88</v>
      </c>
      <c r="N83" s="205">
        <f t="shared" si="10"/>
        <v>560580</v>
      </c>
      <c r="O83" s="206">
        <f t="shared" si="6"/>
        <v>437052</v>
      </c>
      <c r="P83" s="207">
        <f t="shared" si="11"/>
        <v>0.43808939568899152</v>
      </c>
      <c r="Q83" s="163" t="s">
        <v>408</v>
      </c>
    </row>
    <row r="84" spans="1:17">
      <c r="A84" s="163" t="s">
        <v>261</v>
      </c>
      <c r="B84" s="163">
        <v>7650</v>
      </c>
      <c r="C84" s="405">
        <v>91600</v>
      </c>
      <c r="D84" s="411">
        <v>0</v>
      </c>
      <c r="E84" s="202" t="s">
        <v>460</v>
      </c>
      <c r="F84" s="200">
        <v>121000</v>
      </c>
      <c r="G84" s="162">
        <v>45989</v>
      </c>
      <c r="H84" s="203" t="s">
        <v>460</v>
      </c>
      <c r="I84" s="186" t="str">
        <f t="shared" si="7"/>
        <v/>
      </c>
      <c r="J84" s="204" t="str">
        <f>IF($H84="USD",IF(OR($I84="",$I84="-"),"",VLOOKUP($G84,為替!$A:$AX,$I84,FALSE))+$J$3,IF(OR($I84="",$I84="-"),"",VLOOKUP($G84,為替!$A:$AX,$I84,FALSE)))</f>
        <v/>
      </c>
      <c r="K84" s="205">
        <f t="shared" si="8"/>
        <v>121000</v>
      </c>
      <c r="L84" s="189" t="str">
        <f t="shared" si="9"/>
        <v/>
      </c>
      <c r="M84" s="204" t="str">
        <f>IF($H84="USD",IF(OR($L84="",$L84="-"),"",VLOOKUP($G84,為替!$A:$AX,$L84,FALSE))+$K$3,IF(OR($L84="",$L84="-"),"",VLOOKUP($G84,為替!$A:$AX,$L84,FALSE)))</f>
        <v/>
      </c>
      <c r="N84" s="205">
        <f t="shared" si="10"/>
        <v>91600</v>
      </c>
      <c r="O84" s="206">
        <f t="shared" si="6"/>
        <v>29400</v>
      </c>
      <c r="P84" s="207">
        <f t="shared" si="11"/>
        <v>0.24297520661157024</v>
      </c>
      <c r="Q84" s="163" t="s">
        <v>461</v>
      </c>
    </row>
    <row r="85" spans="1:17">
      <c r="A85" s="163" t="s">
        <v>201</v>
      </c>
      <c r="B85" s="163">
        <v>7675</v>
      </c>
      <c r="C85" s="405">
        <v>6983200</v>
      </c>
      <c r="D85" s="411">
        <v>98275</v>
      </c>
      <c r="E85" s="202" t="s">
        <v>200</v>
      </c>
      <c r="F85" s="200">
        <v>7918400</v>
      </c>
      <c r="G85" s="162">
        <v>45993</v>
      </c>
      <c r="H85" s="203" t="s">
        <v>200</v>
      </c>
      <c r="I85" s="186" t="str">
        <f t="shared" si="7"/>
        <v/>
      </c>
      <c r="J85" s="204" t="str">
        <f>IF($H85="USD",IF(OR($I85="",$I85="-"),"",VLOOKUP($G85,為替!$A:$AX,$I85,FALSE))+$J$3,IF(OR($I85="",$I85="-"),"",VLOOKUP($G85,為替!$A:$AX,$I85,FALSE)))</f>
        <v/>
      </c>
      <c r="K85" s="205">
        <f t="shared" si="8"/>
        <v>7918400</v>
      </c>
      <c r="L85" s="189" t="str">
        <f t="shared" si="9"/>
        <v/>
      </c>
      <c r="M85" s="204" t="str">
        <f>IF($H85="USD",IF(OR($L85="",$L85="-"),"",VLOOKUP($G85,為替!$A:$AX,$L85,FALSE))+$K$3,IF(OR($L85="",$L85="-"),"",VLOOKUP($G85,為替!$A:$AX,$L85,FALSE)))</f>
        <v/>
      </c>
      <c r="N85" s="205">
        <f t="shared" si="10"/>
        <v>7081475</v>
      </c>
      <c r="O85" s="206">
        <f t="shared" si="6"/>
        <v>836925</v>
      </c>
      <c r="P85" s="207">
        <f t="shared" si="11"/>
        <v>0.10569370074762578</v>
      </c>
      <c r="Q85" s="163" t="s">
        <v>75</v>
      </c>
    </row>
    <row r="86" spans="1:17">
      <c r="A86" s="163" t="s">
        <v>261</v>
      </c>
      <c r="B86" s="163">
        <v>7658</v>
      </c>
      <c r="C86" s="405">
        <v>3242000</v>
      </c>
      <c r="D86" s="411">
        <v>177130</v>
      </c>
      <c r="E86" s="202" t="s">
        <v>200</v>
      </c>
      <c r="F86" s="200">
        <v>4720018</v>
      </c>
      <c r="G86" s="162">
        <v>45993</v>
      </c>
      <c r="H86" s="203" t="s">
        <v>200</v>
      </c>
      <c r="I86" s="186" t="str">
        <f t="shared" si="7"/>
        <v/>
      </c>
      <c r="J86" s="204" t="str">
        <f>IF($H86="USD",IF(OR($I86="",$I86="-"),"",VLOOKUP($G86,為替!$A:$AX,$I86,FALSE))+$J$3,IF(OR($I86="",$I86="-"),"",VLOOKUP($G86,為替!$A:$AX,$I86,FALSE)))</f>
        <v/>
      </c>
      <c r="K86" s="205">
        <f t="shared" si="8"/>
        <v>4720018</v>
      </c>
      <c r="L86" s="189" t="str">
        <f t="shared" si="9"/>
        <v/>
      </c>
      <c r="M86" s="204" t="str">
        <f>IF($H86="USD",IF(OR($L86="",$L86="-"),"",VLOOKUP($G86,為替!$A:$AX,$L86,FALSE))+$K$3,IF(OR($L86="",$L86="-"),"",VLOOKUP($G86,為替!$A:$AX,$L86,FALSE)))</f>
        <v/>
      </c>
      <c r="N86" s="205">
        <f t="shared" si="10"/>
        <v>3419130</v>
      </c>
      <c r="O86" s="206">
        <f t="shared" si="6"/>
        <v>1300888</v>
      </c>
      <c r="P86" s="207">
        <f t="shared" si="11"/>
        <v>0.27561081334859316</v>
      </c>
      <c r="Q86" s="163" t="s">
        <v>462</v>
      </c>
    </row>
    <row r="87" spans="1:17">
      <c r="A87" s="163" t="s">
        <v>261</v>
      </c>
      <c r="B87" s="163">
        <v>7692</v>
      </c>
      <c r="C87" s="405">
        <v>37800</v>
      </c>
      <c r="D87" s="411">
        <v>0</v>
      </c>
      <c r="E87" s="202" t="s">
        <v>200</v>
      </c>
      <c r="F87" s="200">
        <v>483</v>
      </c>
      <c r="G87" s="162">
        <v>45995</v>
      </c>
      <c r="H87" s="203" t="s">
        <v>199</v>
      </c>
      <c r="I87" s="186">
        <f t="shared" si="7"/>
        <v>4</v>
      </c>
      <c r="J87" s="204">
        <f>IF($H87="USD",IF(OR($I87="",$I87="-"),"",VLOOKUP($G87,為替!$A:$AX,$I87,FALSE))+$J$3,IF(OR($I87="",$I87="-"),"",VLOOKUP($G87,為替!$A:$AX,$I87,FALSE)))</f>
        <v>154.80000000000001</v>
      </c>
      <c r="K87" s="205">
        <f t="shared" si="8"/>
        <v>74768.400000000009</v>
      </c>
      <c r="L87" s="189">
        <f t="shared" si="9"/>
        <v>3</v>
      </c>
      <c r="M87" s="204">
        <f>IF($H87="USD",IF(OR($L87="",$L87="-"),"",VLOOKUP($G87,為替!$A:$AX,$L87,FALSE))+$K$3,IF(OR($L87="",$L87="-"),"",VLOOKUP($G87,為替!$A:$AX,$L87,FALSE)))</f>
        <v>155.80000000000001</v>
      </c>
      <c r="N87" s="205">
        <f t="shared" si="10"/>
        <v>37800</v>
      </c>
      <c r="O87" s="206">
        <f t="shared" si="6"/>
        <v>36968.400000000009</v>
      </c>
      <c r="P87" s="207">
        <f t="shared" si="11"/>
        <v>0.4944388270980789</v>
      </c>
      <c r="Q87" s="163" t="s">
        <v>463</v>
      </c>
    </row>
    <row r="88" spans="1:17">
      <c r="A88" s="163" t="s">
        <v>261</v>
      </c>
      <c r="B88" s="163">
        <v>7683</v>
      </c>
      <c r="C88" s="405">
        <v>262800</v>
      </c>
      <c r="D88" s="411"/>
      <c r="E88" s="202" t="s">
        <v>200</v>
      </c>
      <c r="F88" s="200">
        <v>357000</v>
      </c>
      <c r="G88" s="162">
        <v>46003</v>
      </c>
      <c r="H88" s="203" t="s">
        <v>200</v>
      </c>
      <c r="I88" s="186" t="str">
        <f t="shared" si="7"/>
        <v/>
      </c>
      <c r="J88" s="204" t="str">
        <f>IF($H88="USD",IF(OR($I88="",$I88="-"),"",VLOOKUP($G88,為替!$A:$AX,$I88,FALSE))+$J$3,IF(OR($I88="",$I88="-"),"",VLOOKUP($G88,為替!$A:$AX,$I88,FALSE)))</f>
        <v/>
      </c>
      <c r="K88" s="205">
        <f t="shared" si="8"/>
        <v>357000</v>
      </c>
      <c r="L88" s="189" t="str">
        <f t="shared" si="9"/>
        <v/>
      </c>
      <c r="M88" s="204" t="str">
        <f>IF($H88="USD",IF(OR($L88="",$L88="-"),"",VLOOKUP($G88,為替!$A:$AX,$L88,FALSE))+$K$3,IF(OR($L88="",$L88="-"),"",VLOOKUP($G88,為替!$A:$AX,$L88,FALSE)))</f>
        <v/>
      </c>
      <c r="N88" s="205">
        <f t="shared" si="10"/>
        <v>262800</v>
      </c>
      <c r="O88" s="206">
        <f t="shared" si="6"/>
        <v>94200</v>
      </c>
      <c r="P88" s="207">
        <f t="shared" si="11"/>
        <v>0.2638655462184874</v>
      </c>
      <c r="Q88" s="163" t="s">
        <v>493</v>
      </c>
    </row>
    <row r="89" spans="1:17">
      <c r="A89" s="163" t="s">
        <v>261</v>
      </c>
      <c r="B89" s="163">
        <v>7684</v>
      </c>
      <c r="C89" s="405">
        <v>56600</v>
      </c>
      <c r="D89" s="411">
        <v>7505</v>
      </c>
      <c r="E89" s="202" t="s">
        <v>200</v>
      </c>
      <c r="F89" s="200">
        <v>92900</v>
      </c>
      <c r="G89" s="162">
        <v>46003</v>
      </c>
      <c r="H89" s="203" t="s">
        <v>200</v>
      </c>
      <c r="I89" s="186" t="str">
        <f t="shared" si="7"/>
        <v/>
      </c>
      <c r="J89" s="204" t="str">
        <f>IF($H89="USD",IF(OR($I89="",$I89="-"),"",VLOOKUP($G89,為替!$A:$AX,$I89,FALSE))+$J$3,IF(OR($I89="",$I89="-"),"",VLOOKUP($G89,為替!$A:$AX,$I89,FALSE)))</f>
        <v/>
      </c>
      <c r="K89" s="205">
        <f t="shared" si="8"/>
        <v>92900</v>
      </c>
      <c r="L89" s="189" t="str">
        <f t="shared" si="9"/>
        <v/>
      </c>
      <c r="M89" s="204" t="str">
        <f>IF($H89="USD",IF(OR($L89="",$L89="-"),"",VLOOKUP($G89,為替!$A:$AX,$L89,FALSE))+$K$3,IF(OR($L89="",$L89="-"),"",VLOOKUP($G89,為替!$A:$AX,$L89,FALSE)))</f>
        <v/>
      </c>
      <c r="N89" s="205">
        <f t="shared" si="10"/>
        <v>64105</v>
      </c>
      <c r="O89" s="206">
        <f t="shared" si="6"/>
        <v>28795</v>
      </c>
      <c r="P89" s="207">
        <f t="shared" si="11"/>
        <v>0.30995694294940795</v>
      </c>
      <c r="Q89" s="163" t="s">
        <v>339</v>
      </c>
    </row>
    <row r="90" spans="1:17">
      <c r="A90" s="163" t="s">
        <v>261</v>
      </c>
      <c r="B90" s="163">
        <v>7694</v>
      </c>
      <c r="C90" s="405">
        <v>22590</v>
      </c>
      <c r="D90" s="411">
        <v>4100</v>
      </c>
      <c r="E90" s="202" t="s">
        <v>200</v>
      </c>
      <c r="F90" s="200">
        <v>36400</v>
      </c>
      <c r="G90" s="162">
        <v>46006</v>
      </c>
      <c r="H90" s="203" t="s">
        <v>200</v>
      </c>
      <c r="I90" s="186" t="str">
        <f t="shared" si="7"/>
        <v/>
      </c>
      <c r="J90" s="204" t="str">
        <f>IF($H90="USD",IF(OR($I90="",$I90="-"),"",VLOOKUP($G90,為替!$A:$AX,$I90,FALSE))+$J$3,IF(OR($I90="",$I90="-"),"",VLOOKUP($G90,為替!$A:$AX,$I90,FALSE)))</f>
        <v/>
      </c>
      <c r="K90" s="205">
        <f t="shared" si="8"/>
        <v>36400</v>
      </c>
      <c r="L90" s="189" t="str">
        <f t="shared" si="9"/>
        <v/>
      </c>
      <c r="M90" s="204" t="str">
        <f>IF($H90="USD",IF(OR($L90="",$L90="-"),"",VLOOKUP($G90,為替!$A:$AX,$L90,FALSE))+$K$3,IF(OR($L90="",$L90="-"),"",VLOOKUP($G90,為替!$A:$AX,$L90,FALSE)))</f>
        <v/>
      </c>
      <c r="N90" s="205">
        <f t="shared" si="10"/>
        <v>26690</v>
      </c>
      <c r="O90" s="206">
        <f t="shared" si="6"/>
        <v>9710</v>
      </c>
      <c r="P90" s="207">
        <f t="shared" si="11"/>
        <v>0.26675824175824175</v>
      </c>
      <c r="Q90" s="163" t="s">
        <v>297</v>
      </c>
    </row>
    <row r="91" spans="1:17">
      <c r="A91" s="163" t="s">
        <v>261</v>
      </c>
      <c r="B91" s="163">
        <v>7688</v>
      </c>
      <c r="C91" s="405">
        <v>2360000</v>
      </c>
      <c r="D91" s="411">
        <v>154530</v>
      </c>
      <c r="E91" s="202" t="s">
        <v>200</v>
      </c>
      <c r="F91" s="200">
        <v>3177000</v>
      </c>
      <c r="G91" s="162">
        <v>46007</v>
      </c>
      <c r="H91" s="203" t="s">
        <v>200</v>
      </c>
      <c r="I91" s="186" t="str">
        <f t="shared" si="7"/>
        <v/>
      </c>
      <c r="J91" s="204" t="str">
        <f>IF($H91="USD",IF(OR($I91="",$I91="-"),"",VLOOKUP($G91,為替!$A:$AX,$I91,FALSE))+$J$3,IF(OR($I91="",$I91="-"),"",VLOOKUP($G91,為替!$A:$AX,$I91,FALSE)))</f>
        <v/>
      </c>
      <c r="K91" s="205">
        <f t="shared" si="8"/>
        <v>3177000</v>
      </c>
      <c r="L91" s="189" t="str">
        <f t="shared" si="9"/>
        <v/>
      </c>
      <c r="M91" s="204" t="str">
        <f>IF($H91="USD",IF(OR($L91="",$L91="-"),"",VLOOKUP($G91,為替!$A:$AX,$L91,FALSE))+$K$3,IF(OR($L91="",$L91="-"),"",VLOOKUP($G91,為替!$A:$AX,$L91,FALSE)))</f>
        <v/>
      </c>
      <c r="N91" s="205">
        <f t="shared" si="10"/>
        <v>2514530</v>
      </c>
      <c r="O91" s="206">
        <f t="shared" si="6"/>
        <v>662470</v>
      </c>
      <c r="P91" s="207">
        <f t="shared" si="11"/>
        <v>0.20852061693421467</v>
      </c>
      <c r="Q91" s="163" t="s">
        <v>301</v>
      </c>
    </row>
    <row r="92" spans="1:17">
      <c r="A92" s="163" t="s">
        <v>261</v>
      </c>
      <c r="B92" s="163">
        <v>7701</v>
      </c>
      <c r="C92" s="405">
        <v>963000</v>
      </c>
      <c r="D92" s="411">
        <v>22300</v>
      </c>
      <c r="E92" s="202" t="s">
        <v>200</v>
      </c>
      <c r="F92" s="200">
        <v>1305000</v>
      </c>
      <c r="G92" s="162">
        <v>46009</v>
      </c>
      <c r="H92" s="203" t="s">
        <v>200</v>
      </c>
      <c r="I92" s="186" t="str">
        <f t="shared" si="7"/>
        <v/>
      </c>
      <c r="J92" s="204" t="str">
        <f>IF($H92="USD",IF(OR($I92="",$I92="-"),"",VLOOKUP($G92,為替!$A:$AX,$I92,FALSE))+$J$3,IF(OR($I92="",$I92="-"),"",VLOOKUP($G92,為替!$A:$AX,$I92,FALSE)))</f>
        <v/>
      </c>
      <c r="K92" s="205">
        <f t="shared" si="8"/>
        <v>1305000</v>
      </c>
      <c r="L92" s="189" t="str">
        <f t="shared" si="9"/>
        <v/>
      </c>
      <c r="M92" s="204" t="str">
        <f>IF($H92="USD",IF(OR($L92="",$L92="-"),"",VLOOKUP($G92,為替!$A:$AX,$L92,FALSE))+$K$3,IF(OR($L92="",$L92="-"),"",VLOOKUP($G92,為替!$A:$AX,$L92,FALSE)))</f>
        <v/>
      </c>
      <c r="N92" s="205">
        <f t="shared" si="10"/>
        <v>985300</v>
      </c>
      <c r="O92" s="206">
        <f t="shared" si="6"/>
        <v>319700</v>
      </c>
      <c r="P92" s="207">
        <f t="shared" si="11"/>
        <v>0.24498084291187738</v>
      </c>
      <c r="Q92" s="163" t="s">
        <v>310</v>
      </c>
    </row>
    <row r="93" spans="1:17">
      <c r="A93" s="163" t="s">
        <v>201</v>
      </c>
      <c r="B93" s="163">
        <v>7731</v>
      </c>
      <c r="C93" s="405">
        <v>6690000</v>
      </c>
      <c r="D93" s="411">
        <v>97120</v>
      </c>
      <c r="E93" s="202" t="s">
        <v>200</v>
      </c>
      <c r="F93" s="200">
        <v>7760000</v>
      </c>
      <c r="G93" s="162">
        <v>46014</v>
      </c>
      <c r="H93" s="203" t="s">
        <v>200</v>
      </c>
      <c r="I93" s="186" t="str">
        <f t="shared" si="7"/>
        <v/>
      </c>
      <c r="J93" s="204" t="str">
        <f>IF($H93="USD",IF(OR($I93="",$I93="-"),"",VLOOKUP($G93,為替!$A:$AX,$I93,FALSE))+$J$3,IF(OR($I93="",$I93="-"),"",VLOOKUP($G93,為替!$A:$AX,$I93,FALSE)))</f>
        <v/>
      </c>
      <c r="K93" s="205">
        <f t="shared" si="8"/>
        <v>7760000</v>
      </c>
      <c r="L93" s="189" t="str">
        <f t="shared" si="9"/>
        <v/>
      </c>
      <c r="M93" s="204" t="str">
        <f>IF($H93="USD",IF(OR($L93="",$L93="-"),"",VLOOKUP($G93,為替!$A:$AX,$L93,FALSE))+$K$3,IF(OR($L93="",$L93="-"),"",VLOOKUP($G93,為替!$A:$AX,$L93,FALSE)))</f>
        <v/>
      </c>
      <c r="N93" s="205">
        <f t="shared" si="10"/>
        <v>6787120</v>
      </c>
      <c r="O93" s="206">
        <f t="shared" si="6"/>
        <v>972880</v>
      </c>
      <c r="P93" s="207">
        <f t="shared" si="11"/>
        <v>0.12537113402061856</v>
      </c>
      <c r="Q93" s="163" t="s">
        <v>75</v>
      </c>
    </row>
    <row r="94" spans="1:17">
      <c r="A94" s="163" t="s">
        <v>261</v>
      </c>
      <c r="B94" s="163">
        <v>7703</v>
      </c>
      <c r="C94" s="405">
        <v>2820</v>
      </c>
      <c r="D94" s="411">
        <v>0</v>
      </c>
      <c r="E94" s="202" t="s">
        <v>494</v>
      </c>
      <c r="F94" s="200">
        <v>56</v>
      </c>
      <c r="G94" s="162">
        <v>46015</v>
      </c>
      <c r="H94" s="203" t="s">
        <v>495</v>
      </c>
      <c r="I94" s="186">
        <f t="shared" si="7"/>
        <v>4</v>
      </c>
      <c r="J94" s="204">
        <f>IF($H94="USD",IF(OR($I94="",$I94="-"),"",VLOOKUP($G94,為替!$A:$AX,$I94,FALSE))+$J$3,IF(OR($I94="",$I94="-"),"",VLOOKUP($G94,為替!$A:$AX,$I94,FALSE)))</f>
        <v>155.72</v>
      </c>
      <c r="K94" s="205">
        <f t="shared" si="8"/>
        <v>8720.32</v>
      </c>
      <c r="L94" s="189">
        <f t="shared" si="9"/>
        <v>3</v>
      </c>
      <c r="M94" s="204">
        <f>IF($H94="USD",IF(OR($L94="",$L94="-"),"",VLOOKUP($G94,為替!$A:$AX,$L94,FALSE))+$K$3,IF(OR($L94="",$L94="-"),"",VLOOKUP($G94,為替!$A:$AX,$L94,FALSE)))</f>
        <v>156.72</v>
      </c>
      <c r="N94" s="205">
        <f t="shared" si="10"/>
        <v>2820</v>
      </c>
      <c r="O94" s="206">
        <f t="shared" si="6"/>
        <v>5900.32</v>
      </c>
      <c r="P94" s="207">
        <f t="shared" si="11"/>
        <v>0.6766173718395655</v>
      </c>
      <c r="Q94" s="163" t="s">
        <v>496</v>
      </c>
    </row>
    <row r="95" spans="1:17">
      <c r="A95" s="163" t="s">
        <v>261</v>
      </c>
      <c r="B95" s="163">
        <v>7718</v>
      </c>
      <c r="C95" s="405">
        <v>113200</v>
      </c>
      <c r="D95" s="411">
        <v>12500</v>
      </c>
      <c r="E95" s="202" t="s">
        <v>494</v>
      </c>
      <c r="F95" s="200">
        <v>180600</v>
      </c>
      <c r="G95" s="162">
        <v>46013</v>
      </c>
      <c r="H95" s="203" t="s">
        <v>494</v>
      </c>
      <c r="I95" s="186" t="str">
        <f t="shared" si="7"/>
        <v/>
      </c>
      <c r="J95" s="204" t="str">
        <f>IF($H95="USD",IF(OR($I95="",$I95="-"),"",VLOOKUP($G95,為替!$A:$AX,$I95,FALSE))+$J$3,IF(OR($I95="",$I95="-"),"",VLOOKUP($G95,為替!$A:$AX,$I95,FALSE)))</f>
        <v/>
      </c>
      <c r="K95" s="205">
        <f t="shared" si="8"/>
        <v>180600</v>
      </c>
      <c r="L95" s="189" t="str">
        <f t="shared" si="9"/>
        <v/>
      </c>
      <c r="M95" s="204" t="str">
        <f>IF($H95="USD",IF(OR($L95="",$L95="-"),"",VLOOKUP($G95,為替!$A:$AX,$L95,FALSE))+$K$3,IF(OR($L95="",$L95="-"),"",VLOOKUP($G95,為替!$A:$AX,$L95,FALSE)))</f>
        <v/>
      </c>
      <c r="N95" s="205">
        <f t="shared" si="10"/>
        <v>125700</v>
      </c>
      <c r="O95" s="206">
        <f t="shared" si="6"/>
        <v>54900</v>
      </c>
      <c r="P95" s="207">
        <f t="shared" si="11"/>
        <v>0.30398671096345514</v>
      </c>
      <c r="Q95" s="163" t="s">
        <v>339</v>
      </c>
    </row>
    <row r="96" spans="1:17">
      <c r="A96" s="163" t="s">
        <v>261</v>
      </c>
      <c r="B96" s="163">
        <v>7738</v>
      </c>
      <c r="C96" s="405">
        <v>49500</v>
      </c>
      <c r="D96" s="411">
        <v>0</v>
      </c>
      <c r="E96" s="202" t="s">
        <v>200</v>
      </c>
      <c r="F96" s="200">
        <v>780</v>
      </c>
      <c r="G96" s="162">
        <v>46014</v>
      </c>
      <c r="H96" s="203" t="s">
        <v>199</v>
      </c>
      <c r="I96" s="186">
        <f t="shared" si="7"/>
        <v>4</v>
      </c>
      <c r="J96" s="204">
        <f>IF($H96="USD",IF(OR($I96="",$I96="-"),"",VLOOKUP($G96,為替!$A:$AX,$I96,FALSE))+$J$3,IF(OR($I96="",$I96="-"),"",VLOOKUP($G96,為替!$A:$AX,$I96,FALSE)))</f>
        <v>156.25</v>
      </c>
      <c r="K96" s="205">
        <f t="shared" si="8"/>
        <v>121875</v>
      </c>
      <c r="L96" s="189">
        <f t="shared" si="9"/>
        <v>3</v>
      </c>
      <c r="M96" s="204">
        <f>IF($H96="USD",IF(OR($L96="",$L96="-"),"",VLOOKUP($G96,為替!$A:$AX,$L96,FALSE))+$K$3,IF(OR($L96="",$L96="-"),"",VLOOKUP($G96,為替!$A:$AX,$L96,FALSE)))</f>
        <v>157.25</v>
      </c>
      <c r="N96" s="205">
        <f t="shared" si="10"/>
        <v>49500</v>
      </c>
      <c r="O96" s="206">
        <f t="shared" si="6"/>
        <v>72375</v>
      </c>
      <c r="P96" s="207">
        <f t="shared" si="11"/>
        <v>0.5938461538461538</v>
      </c>
      <c r="Q96" s="163" t="s">
        <v>366</v>
      </c>
    </row>
    <row r="97" spans="1:17">
      <c r="A97" s="163" t="s">
        <v>260</v>
      </c>
      <c r="B97" s="163">
        <v>7739</v>
      </c>
      <c r="C97" s="405">
        <v>7017000</v>
      </c>
      <c r="D97" s="411">
        <v>132000</v>
      </c>
      <c r="E97" s="202" t="s">
        <v>200</v>
      </c>
      <c r="F97" s="200">
        <v>7857000</v>
      </c>
      <c r="G97" s="162">
        <v>46021</v>
      </c>
      <c r="H97" s="203" t="s">
        <v>200</v>
      </c>
      <c r="I97" s="186" t="str">
        <f t="shared" si="7"/>
        <v/>
      </c>
      <c r="J97" s="204" t="str">
        <f>IF($H97="USD",IF(OR($I97="",$I97="-"),"",VLOOKUP($G97,為替!$A:$AX,$I97,FALSE))+$J$3,IF(OR($I97="",$I97="-"),"",VLOOKUP($G97,為替!$A:$AX,$I97,FALSE)))</f>
        <v/>
      </c>
      <c r="K97" s="205">
        <f t="shared" si="8"/>
        <v>7857000</v>
      </c>
      <c r="L97" s="189" t="str">
        <f t="shared" si="9"/>
        <v/>
      </c>
      <c r="M97" s="204" t="str">
        <f>IF($H97="USD",IF(OR($L97="",$L97="-"),"",VLOOKUP($G97,為替!$A:$AX,$L97,FALSE))+$K$3,IF(OR($L97="",$L97="-"),"",VLOOKUP($G97,為替!$A:$AX,$L97,FALSE)))</f>
        <v/>
      </c>
      <c r="N97" s="205">
        <f t="shared" si="10"/>
        <v>7149000</v>
      </c>
      <c r="O97" s="206">
        <f t="shared" si="6"/>
        <v>708000</v>
      </c>
      <c r="P97" s="207">
        <f t="shared" si="11"/>
        <v>9.0110729285987012E-2</v>
      </c>
      <c r="Q97" s="163" t="s">
        <v>517</v>
      </c>
    </row>
    <row r="98" spans="1:17">
      <c r="A98" s="163" t="s">
        <v>261</v>
      </c>
      <c r="B98" s="163">
        <v>7743</v>
      </c>
      <c r="C98" s="405">
        <v>1605000</v>
      </c>
      <c r="D98" s="411">
        <v>29900</v>
      </c>
      <c r="E98" s="202" t="s">
        <v>200</v>
      </c>
      <c r="F98" s="200">
        <v>2175000</v>
      </c>
      <c r="G98" s="162">
        <v>46028</v>
      </c>
      <c r="H98" s="203" t="s">
        <v>200</v>
      </c>
      <c r="I98" s="186" t="str">
        <f t="shared" si="7"/>
        <v/>
      </c>
      <c r="J98" s="204" t="str">
        <f>IF($H98="USD",IF(OR($I98="",$I98="-"),"",VLOOKUP($G98,為替!$A:$AX,$I98,FALSE))+$J$3,IF(OR($I98="",$I98="-"),"",VLOOKUP($G98,為替!$A:$AX,$I98,FALSE)))</f>
        <v/>
      </c>
      <c r="K98" s="205">
        <f t="shared" si="8"/>
        <v>2175000</v>
      </c>
      <c r="L98" s="189" t="str">
        <f t="shared" si="9"/>
        <v/>
      </c>
      <c r="M98" s="204" t="str">
        <f>IF($H98="USD",IF(OR($L98="",$L98="-"),"",VLOOKUP($G98,為替!$A:$AX,$L98,FALSE))+$K$3,IF(OR($L98="",$L98="-"),"",VLOOKUP($G98,為替!$A:$AX,$L98,FALSE)))</f>
        <v/>
      </c>
      <c r="N98" s="205">
        <f t="shared" si="10"/>
        <v>1634900</v>
      </c>
      <c r="O98" s="206">
        <f t="shared" si="6"/>
        <v>540100</v>
      </c>
      <c r="P98" s="207">
        <f t="shared" si="11"/>
        <v>0.24832183908045977</v>
      </c>
      <c r="Q98" s="163" t="s">
        <v>518</v>
      </c>
    </row>
    <row r="99" spans="1:17">
      <c r="A99" s="163" t="s">
        <v>261</v>
      </c>
      <c r="B99" s="163">
        <v>7756</v>
      </c>
      <c r="C99" s="405">
        <v>9690</v>
      </c>
      <c r="D99" s="411">
        <v>0</v>
      </c>
      <c r="E99" s="202" t="s">
        <v>200</v>
      </c>
      <c r="F99" s="200">
        <v>156</v>
      </c>
      <c r="G99" s="162">
        <v>46029</v>
      </c>
      <c r="H99" s="203" t="s">
        <v>519</v>
      </c>
      <c r="I99" s="186">
        <f t="shared" si="7"/>
        <v>4</v>
      </c>
      <c r="J99" s="204">
        <f>IF($H99="USD",IF(OR($I99="",$I99="-"),"",VLOOKUP($G99,為替!$A:$AX,$I99,FALSE))+$J$3,IF(OR($I99="",$I99="-"),"",VLOOKUP($G99,為替!$A:$AX,$I99,FALSE)))</f>
        <v>156.16</v>
      </c>
      <c r="K99" s="205">
        <f t="shared" si="8"/>
        <v>24360.959999999999</v>
      </c>
      <c r="L99" s="189">
        <f t="shared" si="9"/>
        <v>3</v>
      </c>
      <c r="M99" s="204">
        <f>IF($H99="USD",IF(OR($L99="",$L99="-"),"",VLOOKUP($G99,為替!$A:$AX,$L99,FALSE))+$K$3,IF(OR($L99="",$L99="-"),"",VLOOKUP($G99,為替!$A:$AX,$L99,FALSE)))</f>
        <v>157.16</v>
      </c>
      <c r="N99" s="205">
        <f t="shared" si="10"/>
        <v>9690</v>
      </c>
      <c r="O99" s="206">
        <f t="shared" si="6"/>
        <v>14670.96</v>
      </c>
      <c r="P99" s="207">
        <f t="shared" si="11"/>
        <v>0.6022324243379571</v>
      </c>
      <c r="Q99" s="163" t="s">
        <v>299</v>
      </c>
    </row>
    <row r="100" spans="1:17">
      <c r="A100" s="163" t="s">
        <v>261</v>
      </c>
      <c r="B100" s="163">
        <v>7757</v>
      </c>
      <c r="C100" s="405">
        <v>31420</v>
      </c>
      <c r="D100" s="411">
        <v>3100</v>
      </c>
      <c r="E100" s="202" t="s">
        <v>200</v>
      </c>
      <c r="F100" s="200">
        <v>47330</v>
      </c>
      <c r="G100" s="162">
        <v>46029</v>
      </c>
      <c r="H100" s="203" t="s">
        <v>296</v>
      </c>
      <c r="I100" s="186" t="str">
        <f t="shared" si="7"/>
        <v/>
      </c>
      <c r="J100" s="204" t="str">
        <f>IF($H100="USD",IF(OR($I100="",$I100="-"),"",VLOOKUP($G100,為替!$A:$AX,$I100,FALSE))+$J$3,IF(OR($I100="",$I100="-"),"",VLOOKUP($G100,為替!$A:$AX,$I100,FALSE)))</f>
        <v/>
      </c>
      <c r="K100" s="205">
        <f t="shared" si="8"/>
        <v>47330</v>
      </c>
      <c r="L100" s="189" t="str">
        <f t="shared" si="9"/>
        <v/>
      </c>
      <c r="M100" s="204" t="str">
        <f>IF($H100="USD",IF(OR($L100="",$L100="-"),"",VLOOKUP($G100,為替!$A:$AX,$L100,FALSE))+$K$3,IF(OR($L100="",$L100="-"),"",VLOOKUP($G100,為替!$A:$AX,$L100,FALSE)))</f>
        <v/>
      </c>
      <c r="N100" s="205">
        <f t="shared" si="10"/>
        <v>34520</v>
      </c>
      <c r="O100" s="206">
        <f t="shared" si="6"/>
        <v>12810</v>
      </c>
      <c r="P100" s="207">
        <f t="shared" si="11"/>
        <v>0.27065286287766743</v>
      </c>
      <c r="Q100" s="163" t="s">
        <v>297</v>
      </c>
    </row>
    <row r="101" spans="1:17">
      <c r="A101" s="163" t="s">
        <v>261</v>
      </c>
      <c r="B101" s="163">
        <v>7764</v>
      </c>
      <c r="C101" s="405">
        <v>91600</v>
      </c>
      <c r="D101" s="411">
        <v>0</v>
      </c>
      <c r="E101" s="202" t="s">
        <v>296</v>
      </c>
      <c r="F101" s="200">
        <v>121000</v>
      </c>
      <c r="G101" s="162">
        <v>46031</v>
      </c>
      <c r="H101" s="203" t="s">
        <v>296</v>
      </c>
      <c r="I101" s="186" t="str">
        <f t="shared" si="7"/>
        <v/>
      </c>
      <c r="J101" s="204" t="str">
        <f>IF($H101="USD",IF(OR($I101="",$I101="-"),"",VLOOKUP($G101,為替!$A:$AX,$I101,FALSE))+$J$3,IF(OR($I101="",$I101="-"),"",VLOOKUP($G101,為替!$A:$AX,$I101,FALSE)))</f>
        <v/>
      </c>
      <c r="K101" s="205">
        <f t="shared" si="8"/>
        <v>121000</v>
      </c>
      <c r="L101" s="189" t="str">
        <f t="shared" si="9"/>
        <v/>
      </c>
      <c r="M101" s="204" t="str">
        <f>IF($H101="USD",IF(OR($L101="",$L101="-"),"",VLOOKUP($G101,為替!$A:$AX,$L101,FALSE))+$K$3,IF(OR($L101="",$L101="-"),"",VLOOKUP($G101,為替!$A:$AX,$L101,FALSE)))</f>
        <v/>
      </c>
      <c r="N101" s="205">
        <f t="shared" si="10"/>
        <v>91600</v>
      </c>
      <c r="O101" s="206">
        <f t="shared" si="6"/>
        <v>29400</v>
      </c>
      <c r="P101" s="207">
        <f t="shared" si="11"/>
        <v>0.24297520661157024</v>
      </c>
      <c r="Q101" s="163" t="s">
        <v>461</v>
      </c>
    </row>
    <row r="102" spans="1:17">
      <c r="A102" s="163" t="s">
        <v>261</v>
      </c>
      <c r="B102" s="163">
        <v>7776</v>
      </c>
      <c r="C102" s="405">
        <v>19380</v>
      </c>
      <c r="D102" s="411">
        <v>27035</v>
      </c>
      <c r="E102" s="202" t="s">
        <v>200</v>
      </c>
      <c r="F102" s="200">
        <v>484</v>
      </c>
      <c r="G102" s="162">
        <v>46035</v>
      </c>
      <c r="H102" s="203" t="s">
        <v>199</v>
      </c>
      <c r="I102" s="186">
        <f t="shared" si="7"/>
        <v>4</v>
      </c>
      <c r="J102" s="204">
        <v>158.96</v>
      </c>
      <c r="K102" s="205">
        <f t="shared" si="8"/>
        <v>76936.639999999999</v>
      </c>
      <c r="L102" s="189">
        <f t="shared" si="9"/>
        <v>3</v>
      </c>
      <c r="M102" s="204">
        <f>IF($H102="USD",IF(OR($L102="",$L102="-"),"",VLOOKUP($G102,為替!$A:$AX,$L102,FALSE))+$K$3,IF(OR($L102="",$L102="-"),"",VLOOKUP($G102,為替!$A:$AX,$L102,FALSE)))</f>
        <v>158.78</v>
      </c>
      <c r="N102" s="205">
        <f t="shared" si="10"/>
        <v>46415</v>
      </c>
      <c r="O102" s="206">
        <f t="shared" si="6"/>
        <v>30521.64</v>
      </c>
      <c r="P102" s="207">
        <f t="shared" si="11"/>
        <v>0.39671137185091526</v>
      </c>
      <c r="Q102" s="163" t="s">
        <v>308</v>
      </c>
    </row>
    <row r="103" spans="1:17">
      <c r="A103" s="163" t="s">
        <v>261</v>
      </c>
      <c r="B103" s="163">
        <v>7782</v>
      </c>
      <c r="C103" s="405">
        <v>11940</v>
      </c>
      <c r="D103" s="411">
        <v>0</v>
      </c>
      <c r="E103" s="202" t="s">
        <v>200</v>
      </c>
      <c r="F103" s="200">
        <v>180</v>
      </c>
      <c r="G103" s="162">
        <v>46035</v>
      </c>
      <c r="H103" s="203" t="s">
        <v>199</v>
      </c>
      <c r="I103" s="186">
        <f t="shared" si="7"/>
        <v>4</v>
      </c>
      <c r="J103" s="204">
        <v>158.96</v>
      </c>
      <c r="K103" s="205">
        <f t="shared" si="8"/>
        <v>28612.800000000003</v>
      </c>
      <c r="L103" s="189">
        <f t="shared" si="9"/>
        <v>3</v>
      </c>
      <c r="M103" s="204">
        <f>IF($H103="USD",IF(OR($L103="",$L103="-"),"",VLOOKUP($G103,為替!$A:$AX,$L103,FALSE))+$K$3,IF(OR($L103="",$L103="-"),"",VLOOKUP($G103,為替!$A:$AX,$L103,FALSE)))</f>
        <v>158.78</v>
      </c>
      <c r="N103" s="205">
        <f t="shared" si="10"/>
        <v>11940</v>
      </c>
      <c r="O103" s="206">
        <f t="shared" si="6"/>
        <v>16672.800000000003</v>
      </c>
      <c r="P103" s="207">
        <f t="shared" si="11"/>
        <v>0.58270424425431977</v>
      </c>
      <c r="Q103" s="163" t="s">
        <v>406</v>
      </c>
    </row>
    <row r="104" spans="1:17">
      <c r="A104" s="163" t="s">
        <v>261</v>
      </c>
      <c r="B104" s="163">
        <v>7784</v>
      </c>
      <c r="C104" s="405">
        <v>15000</v>
      </c>
      <c r="D104" s="411">
        <v>0</v>
      </c>
      <c r="E104" s="202" t="s">
        <v>200</v>
      </c>
      <c r="F104" s="200">
        <v>21150</v>
      </c>
      <c r="G104" s="162">
        <v>46037</v>
      </c>
      <c r="H104" s="203" t="s">
        <v>296</v>
      </c>
      <c r="I104" s="186" t="str">
        <f t="shared" si="7"/>
        <v/>
      </c>
      <c r="J104" s="204" t="str">
        <f>IF($H104="USD",IF(OR($I104="",$I104="-"),"",VLOOKUP($G104,為替!$A:$AX,$I104,FALSE))+$J$3,IF(OR($I104="",$I104="-"),"",VLOOKUP($G104,為替!$A:$AX,$I104,FALSE)))</f>
        <v/>
      </c>
      <c r="K104" s="205">
        <f t="shared" si="8"/>
        <v>21150</v>
      </c>
      <c r="L104" s="189" t="str">
        <f t="shared" si="9"/>
        <v/>
      </c>
      <c r="M104" s="204" t="str">
        <f>IF($H104="USD",IF(OR($L104="",$L104="-"),"",VLOOKUP($G104,為替!$A:$AX,$L104,FALSE))+$K$3,IF(OR($L104="",$L104="-"),"",VLOOKUP($G104,為替!$A:$AX,$L104,FALSE)))</f>
        <v/>
      </c>
      <c r="N104" s="205">
        <f t="shared" si="10"/>
        <v>15000</v>
      </c>
      <c r="O104" s="206">
        <f t="shared" si="6"/>
        <v>6150</v>
      </c>
      <c r="P104" s="207">
        <f t="shared" si="11"/>
        <v>0.29078014184397161</v>
      </c>
      <c r="Q104" s="163" t="s">
        <v>297</v>
      </c>
    </row>
    <row r="105" spans="1:17">
      <c r="A105" s="163" t="s">
        <v>261</v>
      </c>
      <c r="B105" s="163">
        <v>7766</v>
      </c>
      <c r="C105" s="405">
        <v>108280</v>
      </c>
      <c r="D105" s="411">
        <v>18000</v>
      </c>
      <c r="E105" s="202" t="s">
        <v>200</v>
      </c>
      <c r="F105" s="200">
        <v>1687</v>
      </c>
      <c r="G105" s="162">
        <v>46038</v>
      </c>
      <c r="H105" s="203" t="s">
        <v>25</v>
      </c>
      <c r="I105" s="186">
        <f t="shared" si="7"/>
        <v>4</v>
      </c>
      <c r="J105" s="204">
        <f>IF($H105="USD",IF(OR($I105="",$I105="-"),"",VLOOKUP($G105,為替!$A:$AX,$I105,FALSE))+$J$3,IF(OR($I105="",$I105="-"),"",VLOOKUP($G105,為替!$A:$AX,$I105,FALSE)))</f>
        <v>158.27000000000001</v>
      </c>
      <c r="K105" s="205">
        <f t="shared" si="8"/>
        <v>267001.49</v>
      </c>
      <c r="L105" s="189">
        <f t="shared" si="9"/>
        <v>3</v>
      </c>
      <c r="M105" s="204">
        <f>IF($H105="USD",IF(OR($L105="",$L105="-"),"",VLOOKUP($G105,為替!$A:$AX,$L105,FALSE))+$K$3,IF(OR($L105="",$L105="-"),"",VLOOKUP($G105,為替!$A:$AX,$L105,FALSE)))</f>
        <v>159.27000000000001</v>
      </c>
      <c r="N105" s="205">
        <f t="shared" si="10"/>
        <v>126280</v>
      </c>
      <c r="O105" s="206">
        <f t="shared" si="6"/>
        <v>140721.49</v>
      </c>
      <c r="P105" s="207">
        <f t="shared" si="11"/>
        <v>0.52704383784524944</v>
      </c>
      <c r="Q105" s="163" t="s">
        <v>308</v>
      </c>
    </row>
    <row r="106" spans="1:17">
      <c r="A106" s="163" t="s">
        <v>261</v>
      </c>
      <c r="B106" s="163">
        <v>7719</v>
      </c>
      <c r="C106" s="405">
        <v>12920</v>
      </c>
      <c r="D106" s="411">
        <v>0</v>
      </c>
      <c r="E106" s="202" t="s">
        <v>200</v>
      </c>
      <c r="F106" s="200">
        <v>224</v>
      </c>
      <c r="G106" s="162">
        <v>46042</v>
      </c>
      <c r="H106" s="203" t="s">
        <v>199</v>
      </c>
      <c r="I106" s="186">
        <f t="shared" si="7"/>
        <v>4</v>
      </c>
      <c r="J106" s="204">
        <v>157.97999999999999</v>
      </c>
      <c r="K106" s="205">
        <f t="shared" si="8"/>
        <v>35387.519999999997</v>
      </c>
      <c r="L106" s="189">
        <f t="shared" si="9"/>
        <v>3</v>
      </c>
      <c r="M106" s="204"/>
      <c r="N106" s="205">
        <f t="shared" si="10"/>
        <v>12920</v>
      </c>
      <c r="O106" s="206">
        <f t="shared" si="6"/>
        <v>22467.519999999997</v>
      </c>
      <c r="P106" s="207">
        <f t="shared" si="11"/>
        <v>0.63489953520337106</v>
      </c>
      <c r="Q106" s="163" t="s">
        <v>521</v>
      </c>
    </row>
    <row r="107" spans="1:17">
      <c r="A107" s="163" t="s">
        <v>261</v>
      </c>
      <c r="B107" s="163">
        <v>7785</v>
      </c>
      <c r="C107" s="405">
        <v>167200</v>
      </c>
      <c r="D107" s="411">
        <v>0</v>
      </c>
      <c r="E107" s="202" t="s">
        <v>522</v>
      </c>
      <c r="F107" s="405">
        <v>206000</v>
      </c>
      <c r="G107" s="162">
        <v>46043</v>
      </c>
      <c r="H107" s="203" t="s">
        <v>200</v>
      </c>
      <c r="I107" s="186" t="str">
        <f t="shared" si="7"/>
        <v/>
      </c>
      <c r="J107" s="204" t="str">
        <f>IF($H107="USD",IF(OR($I107="",$I107="-"),"",VLOOKUP($G107,為替!$A:$AX,$I107,FALSE))+$J$3,IF(OR($I107="",$I107="-"),"",VLOOKUP($G107,為替!$A:$AX,$I107,FALSE)))</f>
        <v/>
      </c>
      <c r="K107" s="205">
        <f t="shared" si="8"/>
        <v>206000</v>
      </c>
      <c r="L107" s="189" t="str">
        <f t="shared" si="9"/>
        <v/>
      </c>
      <c r="M107" s="204" t="str">
        <f>IF($H107="USD",IF(OR($L107="",$L107="-"),"",VLOOKUP($G107,為替!$A:$AX,$L107,FALSE))+$K$3,IF(OR($L107="",$L107="-"),"",VLOOKUP($G107,為替!$A:$AX,$L107,FALSE)))</f>
        <v/>
      </c>
      <c r="N107" s="205">
        <f t="shared" si="10"/>
        <v>167200</v>
      </c>
      <c r="O107" s="206">
        <f t="shared" si="6"/>
        <v>38800</v>
      </c>
      <c r="P107" s="207">
        <f t="shared" si="11"/>
        <v>0.18834951456310681</v>
      </c>
      <c r="Q107" s="163" t="s">
        <v>298</v>
      </c>
    </row>
    <row r="108" spans="1:17">
      <c r="A108" s="163" t="s">
        <v>261</v>
      </c>
      <c r="B108" s="163">
        <v>7791</v>
      </c>
      <c r="C108" s="405">
        <v>350400</v>
      </c>
      <c r="D108" s="411">
        <v>0</v>
      </c>
      <c r="E108" s="202" t="s">
        <v>296</v>
      </c>
      <c r="F108" s="200">
        <v>476000</v>
      </c>
      <c r="G108" s="162">
        <v>46045</v>
      </c>
      <c r="H108" s="203" t="s">
        <v>523</v>
      </c>
      <c r="I108" s="186" t="str">
        <f t="shared" si="7"/>
        <v/>
      </c>
      <c r="J108" s="204" t="str">
        <f>IF($H108="USD",IF(OR($I108="",$I108="-"),"",VLOOKUP($G108,為替!$A:$AX,$I108,FALSE))+$J$3,IF(OR($I108="",$I108="-"),"",VLOOKUP($G108,為替!$A:$AX,$I108,FALSE)))</f>
        <v/>
      </c>
      <c r="K108" s="205">
        <f t="shared" si="8"/>
        <v>476000</v>
      </c>
      <c r="L108" s="189" t="str">
        <f t="shared" si="9"/>
        <v/>
      </c>
      <c r="M108" s="204" t="str">
        <f>IF($H108="USD",IF(OR($L108="",$L108="-"),"",VLOOKUP($G108,為替!$A:$AX,$L108,FALSE))+$K$3,IF(OR($L108="",$L108="-"),"",VLOOKUP($G108,為替!$A:$AX,$L108,FALSE)))</f>
        <v/>
      </c>
      <c r="N108" s="205">
        <f t="shared" si="10"/>
        <v>350400</v>
      </c>
      <c r="O108" s="206">
        <f t="shared" si="6"/>
        <v>125600</v>
      </c>
      <c r="P108" s="207">
        <f t="shared" si="11"/>
        <v>0.2638655462184874</v>
      </c>
      <c r="Q108" s="163" t="s">
        <v>493</v>
      </c>
    </row>
    <row r="109" spans="1:17">
      <c r="A109" s="163" t="s">
        <v>261</v>
      </c>
      <c r="B109" s="163">
        <v>7813</v>
      </c>
      <c r="C109" s="405">
        <v>19380</v>
      </c>
      <c r="D109" s="411">
        <v>27500</v>
      </c>
      <c r="E109" s="202" t="s">
        <v>524</v>
      </c>
      <c r="F109" s="200">
        <v>492</v>
      </c>
      <c r="G109" s="162">
        <v>46050</v>
      </c>
      <c r="H109" s="203" t="s">
        <v>525</v>
      </c>
      <c r="I109" s="186">
        <f t="shared" si="7"/>
        <v>4</v>
      </c>
      <c r="J109" s="204">
        <f>IF($H109="USD",IF(OR($I109="",$I109="-"),"",VLOOKUP($G109,為替!$A:$AX,$I109,FALSE))+$J$3,IF(OR($I109="",$I109="-"),"",VLOOKUP($G109,為替!$A:$AX,$I109,FALSE)))</f>
        <v>151.97</v>
      </c>
      <c r="K109" s="205">
        <f t="shared" si="8"/>
        <v>74769.240000000005</v>
      </c>
      <c r="L109" s="189">
        <f t="shared" si="9"/>
        <v>3</v>
      </c>
      <c r="M109" s="204">
        <f>IF($H109="USD",IF(OR($L109="",$L109="-"),"",VLOOKUP($G109,為替!$A:$AX,$L109,FALSE))+$K$3,IF(OR($L109="",$L109="-"),"",VLOOKUP($G109,為替!$A:$AX,$L109,FALSE)))</f>
        <v>152.97</v>
      </c>
      <c r="N109" s="205">
        <f t="shared" si="10"/>
        <v>46880</v>
      </c>
      <c r="O109" s="206">
        <f t="shared" si="6"/>
        <v>27889.240000000005</v>
      </c>
      <c r="P109" s="207">
        <f t="shared" si="11"/>
        <v>0.37300419263322732</v>
      </c>
      <c r="Q109" s="163" t="s">
        <v>308</v>
      </c>
    </row>
    <row r="110" spans="1:17">
      <c r="A110" s="163" t="s">
        <v>261</v>
      </c>
      <c r="B110" s="163">
        <v>7771</v>
      </c>
      <c r="C110" s="405">
        <v>1074000</v>
      </c>
      <c r="D110" s="411">
        <v>32900</v>
      </c>
      <c r="E110" s="202" t="s">
        <v>200</v>
      </c>
      <c r="F110" s="200">
        <v>1410000</v>
      </c>
      <c r="G110" s="162">
        <v>46042</v>
      </c>
      <c r="H110" s="203" t="s">
        <v>200</v>
      </c>
      <c r="I110" s="186" t="str">
        <f t="shared" si="7"/>
        <v/>
      </c>
      <c r="J110" s="204" t="str">
        <f>IF($H110="USD",IF(OR($I110="",$I110="-"),"",VLOOKUP($G110,為替!$A:$AX,$I110,FALSE))+$J$3,IF(OR($I110="",$I110="-"),"",VLOOKUP($G110,為替!$A:$AX,$I110,FALSE)))</f>
        <v/>
      </c>
      <c r="K110" s="205">
        <f t="shared" si="8"/>
        <v>1410000</v>
      </c>
      <c r="L110" s="189" t="str">
        <f t="shared" si="9"/>
        <v/>
      </c>
      <c r="M110" s="204" t="str">
        <f>IF($H110="USD",IF(OR($L110="",$L110="-"),"",VLOOKUP($G110,為替!$A:$AX,$L110,FALSE))+$K$3,IF(OR($L110="",$L110="-"),"",VLOOKUP($G110,為替!$A:$AX,$L110,FALSE)))</f>
        <v/>
      </c>
      <c r="N110" s="205">
        <f t="shared" si="10"/>
        <v>1106900</v>
      </c>
      <c r="O110" s="206">
        <f t="shared" si="6"/>
        <v>303100</v>
      </c>
      <c r="P110" s="207">
        <f t="shared" si="11"/>
        <v>0.2149645390070922</v>
      </c>
      <c r="Q110" s="163" t="s">
        <v>367</v>
      </c>
    </row>
    <row r="111" spans="1:17">
      <c r="A111" s="163" t="s">
        <v>261</v>
      </c>
      <c r="B111" s="163">
        <v>7770</v>
      </c>
      <c r="C111" s="405">
        <v>772200</v>
      </c>
      <c r="D111" s="411">
        <v>69200</v>
      </c>
      <c r="E111" s="202" t="s">
        <v>200</v>
      </c>
      <c r="F111" s="200">
        <v>1125000</v>
      </c>
      <c r="G111" s="162">
        <v>46054</v>
      </c>
      <c r="H111" s="203" t="s">
        <v>200</v>
      </c>
      <c r="I111" s="186" t="str">
        <f t="shared" si="7"/>
        <v/>
      </c>
      <c r="J111" s="204" t="str">
        <f>IF($H111="USD",IF(OR($I111="",$I111="-"),"",VLOOKUP($G111,為替!$A:$AX,$I111,FALSE))+$J$3,IF(OR($I111="",$I111="-"),"",VLOOKUP($G111,為替!$A:$AX,$I111,FALSE)))</f>
        <v/>
      </c>
      <c r="K111" s="205">
        <f t="shared" si="8"/>
        <v>1125000</v>
      </c>
      <c r="L111" s="189" t="str">
        <f t="shared" si="9"/>
        <v/>
      </c>
      <c r="M111" s="204" t="str">
        <f>IF($H111="USD",IF(OR($L111="",$L111="-"),"",VLOOKUP($G111,為替!$A:$AX,$L111,FALSE))+$K$3,IF(OR($L111="",$L111="-"),"",VLOOKUP($G111,為替!$A:$AX,$L111,FALSE)))</f>
        <v/>
      </c>
      <c r="N111" s="205">
        <f t="shared" si="10"/>
        <v>841400</v>
      </c>
      <c r="O111" s="206">
        <f t="shared" si="6"/>
        <v>283600</v>
      </c>
      <c r="P111" s="207">
        <f t="shared" si="11"/>
        <v>0.25208888888888886</v>
      </c>
      <c r="Q111" s="163" t="s">
        <v>301</v>
      </c>
    </row>
    <row r="112" spans="1:17">
      <c r="A112" s="163" t="s">
        <v>261</v>
      </c>
      <c r="B112" s="163">
        <v>7760</v>
      </c>
      <c r="C112" s="405">
        <v>449400</v>
      </c>
      <c r="D112" s="411">
        <v>47300</v>
      </c>
      <c r="E112" s="202" t="s">
        <v>200</v>
      </c>
      <c r="F112" s="200">
        <v>5600</v>
      </c>
      <c r="G112" s="162">
        <v>46055</v>
      </c>
      <c r="H112" s="203" t="s">
        <v>199</v>
      </c>
      <c r="I112" s="186">
        <f t="shared" si="7"/>
        <v>4</v>
      </c>
      <c r="J112" s="204">
        <v>155.41999999999999</v>
      </c>
      <c r="K112" s="205">
        <f t="shared" si="8"/>
        <v>870351.99999999988</v>
      </c>
      <c r="L112" s="189">
        <f t="shared" si="9"/>
        <v>3</v>
      </c>
      <c r="M112" s="204">
        <f>IF($H112="USD",IF(OR($L112="",$L112="-"),"",VLOOKUP($G112,為替!$A:$AX,$L112,FALSE))+$K$3,IF(OR($L112="",$L112="-"),"",VLOOKUP($G112,為替!$A:$AX,$L112,FALSE)))</f>
        <v>155.79</v>
      </c>
      <c r="N112" s="205">
        <f t="shared" si="10"/>
        <v>496700</v>
      </c>
      <c r="O112" s="206">
        <f t="shared" si="6"/>
        <v>373651.99999999988</v>
      </c>
      <c r="P112" s="207">
        <f t="shared" si="11"/>
        <v>0.42931135908230228</v>
      </c>
      <c r="Q112" s="163" t="s">
        <v>408</v>
      </c>
    </row>
    <row r="113" spans="1:17">
      <c r="A113" s="163" t="s">
        <v>261</v>
      </c>
      <c r="B113" s="163">
        <v>7833</v>
      </c>
      <c r="C113" s="405">
        <v>17010</v>
      </c>
      <c r="D113" s="411">
        <v>3400</v>
      </c>
      <c r="E113" s="202" t="s">
        <v>200</v>
      </c>
      <c r="F113" s="200">
        <v>27910</v>
      </c>
      <c r="G113" s="162">
        <v>46057</v>
      </c>
      <c r="H113" s="203" t="s">
        <v>200</v>
      </c>
      <c r="I113" s="186" t="str">
        <f t="shared" si="7"/>
        <v/>
      </c>
      <c r="J113" s="204" t="str">
        <f>IF($H113="USD",IF(OR($I113="",$I113="-"),"",VLOOKUP($G113,為替!$A:$AX,$I113,FALSE))+$J$3,IF(OR($I113="",$I113="-"),"",VLOOKUP($G113,為替!$A:$AX,$I113,FALSE)))</f>
        <v/>
      </c>
      <c r="K113" s="205">
        <f t="shared" si="8"/>
        <v>27910</v>
      </c>
      <c r="L113" s="189" t="str">
        <f t="shared" si="9"/>
        <v/>
      </c>
      <c r="M113" s="204" t="str">
        <f>IF($H113="USD",IF(OR($L113="",$L113="-"),"",VLOOKUP($G113,為替!$A:$AX,$L113,FALSE))+$K$3,IF(OR($L113="",$L113="-"),"",VLOOKUP($G113,為替!$A:$AX,$L113,FALSE)))</f>
        <v/>
      </c>
      <c r="N113" s="205">
        <f t="shared" si="10"/>
        <v>20410</v>
      </c>
      <c r="O113" s="206">
        <f t="shared" si="6"/>
        <v>7500</v>
      </c>
      <c r="P113" s="207">
        <f t="shared" si="11"/>
        <v>0.26872088857040488</v>
      </c>
      <c r="Q113" s="163" t="s">
        <v>297</v>
      </c>
    </row>
    <row r="114" spans="1:17">
      <c r="A114" s="163" t="s">
        <v>261</v>
      </c>
      <c r="B114" s="163">
        <v>7853</v>
      </c>
      <c r="C114" s="405">
        <v>45300</v>
      </c>
      <c r="D114" s="411">
        <v>0</v>
      </c>
      <c r="E114" s="202" t="s">
        <v>200</v>
      </c>
      <c r="F114" s="200">
        <v>460</v>
      </c>
      <c r="G114" s="162">
        <v>46062</v>
      </c>
      <c r="H114" s="203" t="s">
        <v>25</v>
      </c>
      <c r="I114" s="186">
        <f t="shared" si="7"/>
        <v>4</v>
      </c>
      <c r="J114" s="204">
        <f>IF($H114="USD",IF(OR($I114="",$I114="-"),"",VLOOKUP($G114,為替!$A:$AX,$I114,FALSE))+$J$3,IF(OR($I114="",$I114="-"),"",VLOOKUP($G114,為替!$A:$AX,$I114,FALSE)))</f>
        <v>156.46</v>
      </c>
      <c r="K114" s="205">
        <f t="shared" si="8"/>
        <v>71971.600000000006</v>
      </c>
      <c r="L114" s="189">
        <f t="shared" si="9"/>
        <v>3</v>
      </c>
      <c r="M114" s="204">
        <f>IF($H114="USD",IF(OR($L114="",$L114="-"),"",VLOOKUP($G114,為替!$A:$AX,$L114,FALSE))+$K$3,IF(OR($L114="",$L114="-"),"",VLOOKUP($G114,為替!$A:$AX,$L114,FALSE)))</f>
        <v>157.46</v>
      </c>
      <c r="N114" s="205">
        <f t="shared" si="10"/>
        <v>45300</v>
      </c>
      <c r="O114" s="206">
        <f t="shared" si="6"/>
        <v>26671.600000000006</v>
      </c>
      <c r="P114" s="207">
        <f t="shared" si="11"/>
        <v>0.37058506410862069</v>
      </c>
      <c r="Q114" s="163" t="s">
        <v>371</v>
      </c>
    </row>
    <row r="115" spans="1:17">
      <c r="A115" s="163" t="s">
        <v>261</v>
      </c>
      <c r="B115" s="163">
        <v>7857</v>
      </c>
      <c r="C115" s="405">
        <v>54910</v>
      </c>
      <c r="D115" s="411">
        <v>35800</v>
      </c>
      <c r="E115" s="202" t="s">
        <v>200</v>
      </c>
      <c r="F115" s="200">
        <v>1115</v>
      </c>
      <c r="G115" s="162">
        <v>46062</v>
      </c>
      <c r="H115" s="203" t="s">
        <v>25</v>
      </c>
      <c r="I115" s="186">
        <f t="shared" si="7"/>
        <v>4</v>
      </c>
      <c r="J115" s="204">
        <f>IF($H115="USD",IF(OR($I115="",$I115="-"),"",VLOOKUP($G115,為替!$A:$AX,$I115,FALSE))+$J$3,IF(OR($I115="",$I115="-"),"",VLOOKUP($G115,為替!$A:$AX,$I115,FALSE)))</f>
        <v>156.46</v>
      </c>
      <c r="K115" s="205">
        <f t="shared" si="8"/>
        <v>174452.90000000002</v>
      </c>
      <c r="L115" s="189">
        <f t="shared" si="9"/>
        <v>3</v>
      </c>
      <c r="M115" s="204">
        <f>IF($H115="USD",IF(OR($L115="",$L115="-"),"",VLOOKUP($G115,為替!$A:$AX,$L115,FALSE))+$K$3,IF(OR($L115="",$L115="-"),"",VLOOKUP($G115,為替!$A:$AX,$L115,FALSE)))</f>
        <v>157.46</v>
      </c>
      <c r="N115" s="205">
        <f t="shared" si="10"/>
        <v>90710</v>
      </c>
      <c r="O115" s="206">
        <f t="shared" si="6"/>
        <v>83742.900000000023</v>
      </c>
      <c r="P115" s="207">
        <f t="shared" si="11"/>
        <v>0.48003157299190791</v>
      </c>
      <c r="Q115" s="163" t="s">
        <v>308</v>
      </c>
    </row>
    <row r="116" spans="1:17">
      <c r="A116" s="163" t="s">
        <v>261</v>
      </c>
      <c r="B116" s="163">
        <v>7815</v>
      </c>
      <c r="C116" s="405">
        <v>3210000</v>
      </c>
      <c r="D116" s="411">
        <v>48300</v>
      </c>
      <c r="E116" s="202" t="s">
        <v>526</v>
      </c>
      <c r="F116" s="200">
        <v>4350000</v>
      </c>
      <c r="G116" s="162">
        <v>46060</v>
      </c>
      <c r="H116" s="203" t="s">
        <v>200</v>
      </c>
      <c r="I116" s="186" t="str">
        <f t="shared" si="7"/>
        <v/>
      </c>
      <c r="J116" s="204" t="str">
        <f>IF($H116="USD",IF(OR($I116="",$I116="-"),"",VLOOKUP($G116,為替!$A:$AX,$I116,FALSE))+$J$3,IF(OR($I116="",$I116="-"),"",VLOOKUP($G116,為替!$A:$AX,$I116,FALSE)))</f>
        <v/>
      </c>
      <c r="K116" s="205">
        <f t="shared" si="8"/>
        <v>4350000</v>
      </c>
      <c r="L116" s="189" t="str">
        <f t="shared" si="9"/>
        <v/>
      </c>
      <c r="M116" s="204" t="str">
        <f>IF($H116="USD",IF(OR($L116="",$L116="-"),"",VLOOKUP($G116,為替!$A:$AX,$L116,FALSE))+$K$3,IF(OR($L116="",$L116="-"),"",VLOOKUP($G116,為替!$A:$AX,$L116,FALSE)))</f>
        <v/>
      </c>
      <c r="N116" s="205">
        <f t="shared" si="10"/>
        <v>3258300</v>
      </c>
      <c r="O116" s="206">
        <f t="shared" si="6"/>
        <v>1091700</v>
      </c>
      <c r="P116" s="207">
        <f t="shared" si="11"/>
        <v>0.25096551724137933</v>
      </c>
      <c r="Q116" s="163" t="s">
        <v>310</v>
      </c>
    </row>
    <row r="117" spans="1:17">
      <c r="A117" s="163" t="s">
        <v>260</v>
      </c>
      <c r="B117" s="163">
        <v>7814</v>
      </c>
      <c r="C117" s="405">
        <v>7279200</v>
      </c>
      <c r="D117" s="411">
        <v>159600</v>
      </c>
      <c r="E117" s="202" t="s">
        <v>200</v>
      </c>
      <c r="F117" s="200">
        <v>8019600</v>
      </c>
      <c r="G117" s="162">
        <v>46059</v>
      </c>
      <c r="H117" s="203" t="s">
        <v>200</v>
      </c>
      <c r="I117" s="186" t="str">
        <f t="shared" si="7"/>
        <v/>
      </c>
      <c r="J117" s="204" t="str">
        <f>IF($H117="USD",IF(OR($I117="",$I117="-"),"",VLOOKUP($G117,為替!$A:$AX,$I117,FALSE))+$J$3,IF(OR($I117="",$I117="-"),"",VLOOKUP($G117,為替!$A:$AX,$I117,FALSE)))</f>
        <v/>
      </c>
      <c r="K117" s="205">
        <f t="shared" si="8"/>
        <v>8019600</v>
      </c>
      <c r="L117" s="189" t="str">
        <f t="shared" si="9"/>
        <v/>
      </c>
      <c r="M117" s="204" t="str">
        <f>IF($H117="USD",IF(OR($L117="",$L117="-"),"",VLOOKUP($G117,為替!$A:$AX,$L117,FALSE))+$K$3,IF(OR($L117="",$L117="-"),"",VLOOKUP($G117,為替!$A:$AX,$L117,FALSE)))</f>
        <v/>
      </c>
      <c r="N117" s="205">
        <f t="shared" si="10"/>
        <v>7438800</v>
      </c>
      <c r="O117" s="206">
        <f t="shared" si="6"/>
        <v>580800</v>
      </c>
      <c r="P117" s="207">
        <f t="shared" si="11"/>
        <v>7.2422564716444704E-2</v>
      </c>
      <c r="Q117" s="163" t="s">
        <v>300</v>
      </c>
    </row>
    <row r="118" spans="1:17">
      <c r="A118" s="163" t="s">
        <v>261</v>
      </c>
      <c r="B118" s="163">
        <v>7864</v>
      </c>
      <c r="C118" s="405">
        <v>51680</v>
      </c>
      <c r="D118" s="411">
        <v>11700</v>
      </c>
      <c r="E118" s="202" t="s">
        <v>200</v>
      </c>
      <c r="F118" s="200">
        <v>832</v>
      </c>
      <c r="G118" s="162">
        <v>46069</v>
      </c>
      <c r="H118" s="203" t="s">
        <v>199</v>
      </c>
      <c r="I118" s="186">
        <f t="shared" si="7"/>
        <v>4</v>
      </c>
      <c r="J118" s="204">
        <f>IF($H118="USD",IF(OR($I118="",$I118="-"),"",VLOOKUP($G118,為替!$A:$AX,$I118,FALSE))+$J$3,IF(OR($I118="",$I118="-"),"",VLOOKUP($G118,為替!$A:$AX,$I118,FALSE)))</f>
        <v>152.59</v>
      </c>
      <c r="K118" s="205">
        <f t="shared" si="8"/>
        <v>126954.88</v>
      </c>
      <c r="L118" s="189">
        <f t="shared" si="9"/>
        <v>3</v>
      </c>
      <c r="M118" s="204">
        <f>IF($H118="USD",IF(OR($L118="",$L118="-"),"",VLOOKUP($G118,為替!$A:$AX,$L118,FALSE))+$K$3,IF(OR($L118="",$L118="-"),"",VLOOKUP($G118,為替!$A:$AX,$L118,FALSE)))</f>
        <v>153.59</v>
      </c>
      <c r="N118" s="205">
        <f t="shared" si="10"/>
        <v>63380</v>
      </c>
      <c r="O118" s="206">
        <f t="shared" si="6"/>
        <v>63574.880000000005</v>
      </c>
      <c r="P118" s="207">
        <f t="shared" si="11"/>
        <v>0.50076751677446352</v>
      </c>
      <c r="Q118" s="163" t="s">
        <v>545</v>
      </c>
    </row>
    <row r="119" spans="1:17">
      <c r="A119" s="163" t="s">
        <v>201</v>
      </c>
      <c r="B119" s="163">
        <v>7891</v>
      </c>
      <c r="C119" s="405">
        <v>1505000</v>
      </c>
      <c r="D119" s="411">
        <v>27270</v>
      </c>
      <c r="E119" s="202" t="s">
        <v>200</v>
      </c>
      <c r="F119" s="200">
        <v>1900800</v>
      </c>
      <c r="G119" s="162">
        <v>46073</v>
      </c>
      <c r="H119" s="203" t="s">
        <v>200</v>
      </c>
      <c r="I119" s="186" t="str">
        <f t="shared" si="7"/>
        <v/>
      </c>
      <c r="J119" s="204" t="str">
        <f>IF($H119="USD",IF(OR($I119="",$I119="-"),"",VLOOKUP($G119,為替!$A:$AX,$I119,FALSE))+$J$3,IF(OR($I119="",$I119="-"),"",VLOOKUP($G119,為替!$A:$AX,$I119,FALSE)))</f>
        <v/>
      </c>
      <c r="K119" s="205">
        <f t="shared" si="8"/>
        <v>1900800</v>
      </c>
      <c r="L119" s="189" t="str">
        <f t="shared" si="9"/>
        <v/>
      </c>
      <c r="M119" s="204" t="str">
        <f>IF($H119="USD",IF(OR($L119="",$L119="-"),"",VLOOKUP($G119,為替!$A:$AX,$L119,FALSE))+$K$3,IF(OR($L119="",$L119="-"),"",VLOOKUP($G119,為替!$A:$AX,$L119,FALSE)))</f>
        <v/>
      </c>
      <c r="N119" s="205">
        <f t="shared" si="10"/>
        <v>1532270</v>
      </c>
      <c r="O119" s="206">
        <f t="shared" si="6"/>
        <v>368530</v>
      </c>
      <c r="P119" s="207">
        <f t="shared" si="11"/>
        <v>0.19388152356902358</v>
      </c>
      <c r="Q119" s="163" t="s">
        <v>75</v>
      </c>
    </row>
    <row r="120" spans="1:17">
      <c r="A120" s="163" t="s">
        <v>261</v>
      </c>
      <c r="B120" s="163">
        <v>7863</v>
      </c>
      <c r="C120" s="405">
        <v>1577050</v>
      </c>
      <c r="D120" s="411">
        <v>204870</v>
      </c>
      <c r="E120" s="202" t="s">
        <v>200</v>
      </c>
      <c r="F120" s="200">
        <v>2200000</v>
      </c>
      <c r="G120" s="162">
        <v>46077</v>
      </c>
      <c r="H120" s="203" t="s">
        <v>200</v>
      </c>
      <c r="I120" s="186" t="str">
        <f t="shared" si="7"/>
        <v/>
      </c>
      <c r="J120" s="204" t="str">
        <f>IF($H120="USD",IF(OR($I120="",$I120="-"),"",VLOOKUP($G120,為替!$A:$AX,$I120,FALSE))+$J$3,IF(OR($I120="",$I120="-"),"",VLOOKUP($G120,為替!$A:$AX,$I120,FALSE)))</f>
        <v/>
      </c>
      <c r="K120" s="205">
        <f t="shared" si="8"/>
        <v>2200000</v>
      </c>
      <c r="L120" s="189" t="str">
        <f t="shared" si="9"/>
        <v/>
      </c>
      <c r="M120" s="204" t="str">
        <f>IF($H120="USD",IF(OR($L120="",$L120="-"),"",VLOOKUP($G120,為替!$A:$AX,$L120,FALSE))+$K$3,IF(OR($L120="",$L120="-"),"",VLOOKUP($G120,為替!$A:$AX,$L120,FALSE)))</f>
        <v/>
      </c>
      <c r="N120" s="205">
        <f t="shared" si="10"/>
        <v>1781920</v>
      </c>
      <c r="O120" s="206">
        <f t="shared" si="6"/>
        <v>418080</v>
      </c>
      <c r="P120" s="207">
        <f t="shared" si="11"/>
        <v>0.19003636363636364</v>
      </c>
      <c r="Q120" s="163" t="s">
        <v>546</v>
      </c>
    </row>
    <row r="121" spans="1:17">
      <c r="A121" s="163" t="s">
        <v>261</v>
      </c>
      <c r="B121" s="163">
        <v>7854</v>
      </c>
      <c r="C121" s="405">
        <v>272800</v>
      </c>
      <c r="D121" s="411">
        <v>0</v>
      </c>
      <c r="E121" s="202" t="s">
        <v>200</v>
      </c>
      <c r="F121" s="200">
        <v>360000</v>
      </c>
      <c r="G121" s="162">
        <v>46080</v>
      </c>
      <c r="H121" s="203" t="s">
        <v>200</v>
      </c>
      <c r="I121" s="186" t="str">
        <f t="shared" si="7"/>
        <v/>
      </c>
      <c r="J121" s="204" t="str">
        <f>IF($H121="USD",IF(OR($I121="",$I121="-"),"",VLOOKUP($G121,為替!$A:$AX,$I121,FALSE))+$J$3,IF(OR($I121="",$I121="-"),"",VLOOKUP($G121,為替!$A:$AX,$I121,FALSE)))</f>
        <v/>
      </c>
      <c r="K121" s="205">
        <f t="shared" si="8"/>
        <v>360000</v>
      </c>
      <c r="L121" s="189" t="str">
        <f t="shared" si="9"/>
        <v/>
      </c>
      <c r="M121" s="204" t="str">
        <f>IF($H121="USD",IF(OR($L121="",$L121="-"),"",VLOOKUP($G121,為替!$A:$AX,$L121,FALSE))+$K$3,IF(OR($L121="",$L121="-"),"",VLOOKUP($G121,為替!$A:$AX,$L121,FALSE)))</f>
        <v/>
      </c>
      <c r="N121" s="205">
        <f t="shared" si="10"/>
        <v>272800</v>
      </c>
      <c r="O121" s="206">
        <f t="shared" si="6"/>
        <v>87200</v>
      </c>
      <c r="P121" s="207">
        <f t="shared" si="11"/>
        <v>0.24222222222222223</v>
      </c>
      <c r="Q121" s="163" t="s">
        <v>461</v>
      </c>
    </row>
    <row r="122" spans="1:17">
      <c r="A122" s="163" t="s">
        <v>261</v>
      </c>
      <c r="B122" s="163">
        <v>7897</v>
      </c>
      <c r="C122" s="405">
        <v>35530</v>
      </c>
      <c r="D122" s="411">
        <v>0</v>
      </c>
      <c r="E122" s="202" t="s">
        <v>200</v>
      </c>
      <c r="F122" s="200">
        <v>572</v>
      </c>
      <c r="G122" s="162">
        <v>46087</v>
      </c>
      <c r="H122" s="203" t="s">
        <v>25</v>
      </c>
      <c r="I122" s="186">
        <f t="shared" si="7"/>
        <v>4</v>
      </c>
      <c r="J122" s="204">
        <f>IF($H122="USD",IF(OR($I122="",$I122="-"),"",VLOOKUP($G122,為替!$A:$AX,$I122,FALSE))+$J$3,IF(OR($I122="",$I122="-"),"",VLOOKUP($G122,為替!$A:$AX,$I122,FALSE)))</f>
        <v>156.94999999999999</v>
      </c>
      <c r="K122" s="205">
        <f t="shared" si="8"/>
        <v>89775.4</v>
      </c>
      <c r="L122" s="189">
        <f t="shared" si="9"/>
        <v>3</v>
      </c>
      <c r="M122" s="204">
        <f>IF($H122="USD",IF(OR($L122="",$L122="-"),"",VLOOKUP($G122,為替!$A:$AX,$L122,FALSE))+$K$3,IF(OR($L122="",$L122="-"),"",VLOOKUP($G122,為替!$A:$AX,$L122,FALSE)))</f>
        <v>157.94999999999999</v>
      </c>
      <c r="N122" s="205">
        <f t="shared" si="10"/>
        <v>35530</v>
      </c>
      <c r="O122" s="206">
        <f t="shared" si="6"/>
        <v>54245.399999999994</v>
      </c>
      <c r="P122" s="207">
        <f t="shared" si="11"/>
        <v>0.60423456759869631</v>
      </c>
      <c r="Q122" s="163" t="s">
        <v>366</v>
      </c>
    </row>
    <row r="123" spans="1:17">
      <c r="A123" s="163" t="s">
        <v>261</v>
      </c>
      <c r="B123" s="163">
        <v>7948</v>
      </c>
      <c r="C123" s="405">
        <v>2820</v>
      </c>
      <c r="D123" s="411">
        <v>0</v>
      </c>
      <c r="E123" s="202" t="s">
        <v>200</v>
      </c>
      <c r="F123" s="200">
        <v>56</v>
      </c>
      <c r="G123" s="162">
        <v>46092</v>
      </c>
      <c r="H123" s="203" t="s">
        <v>25</v>
      </c>
      <c r="I123" s="186">
        <f t="shared" si="7"/>
        <v>4</v>
      </c>
      <c r="J123" s="204">
        <f>IF($H123="USD",IF(OR($I123="",$I123="-"),"",VLOOKUP($G123,為替!$A:$AX,$I123,FALSE))+$J$3,IF(OR($I123="",$I123="-"),"",VLOOKUP($G123,為替!$A:$AX,$I123,FALSE)))</f>
        <v>157.72999999999999</v>
      </c>
      <c r="K123" s="205">
        <f t="shared" si="8"/>
        <v>8832.8799999999992</v>
      </c>
      <c r="L123" s="189">
        <f t="shared" si="9"/>
        <v>3</v>
      </c>
      <c r="M123" s="204">
        <f>IF($H123="USD",IF(OR($L123="",$L123="-"),"",VLOOKUP($G123,為替!$A:$AX,$L123,FALSE))+$K$3,IF(OR($L123="",$L123="-"),"",VLOOKUP($G123,為替!$A:$AX,$L123,FALSE)))</f>
        <v>158.72999999999999</v>
      </c>
      <c r="N123" s="205">
        <f t="shared" si="10"/>
        <v>2820</v>
      </c>
      <c r="O123" s="206">
        <f t="shared" si="6"/>
        <v>6012.8799999999992</v>
      </c>
      <c r="P123" s="207">
        <f t="shared" si="11"/>
        <v>0.68073833223138991</v>
      </c>
      <c r="Q123" s="163" t="s">
        <v>402</v>
      </c>
    </row>
    <row r="124" spans="1:17">
      <c r="A124" s="163" t="s">
        <v>261</v>
      </c>
      <c r="B124" s="163">
        <v>7972</v>
      </c>
      <c r="C124" s="405">
        <v>5154</v>
      </c>
      <c r="D124" s="411">
        <v>1000</v>
      </c>
      <c r="E124" s="202" t="s">
        <v>200</v>
      </c>
      <c r="F124" s="200">
        <v>10420</v>
      </c>
      <c r="G124" s="162">
        <v>46092</v>
      </c>
      <c r="H124" s="203" t="s">
        <v>296</v>
      </c>
      <c r="I124" s="186" t="str">
        <f t="shared" si="7"/>
        <v/>
      </c>
      <c r="J124" s="204" t="str">
        <f>IF($H124="USD",IF(OR($I124="",$I124="-"),"",VLOOKUP($G124,為替!$A:$AX,$I124,FALSE))+$J$3,IF(OR($I124="",$I124="-"),"",VLOOKUP($G124,為替!$A:$AX,$I124,FALSE)))</f>
        <v/>
      </c>
      <c r="K124" s="205">
        <f t="shared" si="8"/>
        <v>10420</v>
      </c>
      <c r="L124" s="189" t="str">
        <f t="shared" si="9"/>
        <v/>
      </c>
      <c r="M124" s="204" t="str">
        <f>IF($H124="USD",IF(OR($L124="",$L124="-"),"",VLOOKUP($G124,為替!$A:$AX,$L124,FALSE))+$K$3,IF(OR($L124="",$L124="-"),"",VLOOKUP($G124,為替!$A:$AX,$L124,FALSE)))</f>
        <v/>
      </c>
      <c r="N124" s="205">
        <f t="shared" si="10"/>
        <v>6154</v>
      </c>
      <c r="O124" s="206">
        <f t="shared" si="6"/>
        <v>4266</v>
      </c>
      <c r="P124" s="207">
        <f t="shared" si="11"/>
        <v>0.40940499040307099</v>
      </c>
      <c r="Q124" s="163" t="s">
        <v>297</v>
      </c>
    </row>
    <row r="125" spans="1:17">
      <c r="A125" s="163" t="s">
        <v>261</v>
      </c>
      <c r="B125" s="163">
        <v>7896</v>
      </c>
      <c r="C125" s="405">
        <v>2814000</v>
      </c>
      <c r="D125" s="411">
        <v>180100</v>
      </c>
      <c r="E125" s="202" t="s">
        <v>200</v>
      </c>
      <c r="F125" s="200">
        <v>3835000</v>
      </c>
      <c r="G125" s="162">
        <v>46092</v>
      </c>
      <c r="H125" s="203" t="s">
        <v>200</v>
      </c>
      <c r="I125" s="186" t="str">
        <f t="shared" si="7"/>
        <v/>
      </c>
      <c r="J125" s="204" t="str">
        <f>IF($H125="USD",IF(OR($I125="",$I125="-"),"",VLOOKUP($G125,為替!$A:$AX,$I125,FALSE))+$J$3,IF(OR($I125="",$I125="-"),"",VLOOKUP($G125,為替!$A:$AX,$I125,FALSE)))</f>
        <v/>
      </c>
      <c r="K125" s="205">
        <f t="shared" si="8"/>
        <v>3835000</v>
      </c>
      <c r="L125" s="189" t="str">
        <f t="shared" si="9"/>
        <v/>
      </c>
      <c r="M125" s="204" t="str">
        <f>IF($H125="USD",IF(OR($L125="",$L125="-"),"",VLOOKUP($G125,為替!$A:$AX,$L125,FALSE))+$K$3,IF(OR($L125="",$L125="-"),"",VLOOKUP($G125,為替!$A:$AX,$L125,FALSE)))</f>
        <v/>
      </c>
      <c r="N125" s="205">
        <f t="shared" si="10"/>
        <v>2994100</v>
      </c>
      <c r="O125" s="206">
        <f t="shared" si="6"/>
        <v>840900</v>
      </c>
      <c r="P125" s="207">
        <f t="shared" si="11"/>
        <v>0.21926988265971317</v>
      </c>
      <c r="Q125" s="163" t="s">
        <v>301</v>
      </c>
    </row>
    <row r="126" spans="1:17">
      <c r="A126" s="163" t="s">
        <v>261</v>
      </c>
      <c r="B126" s="163">
        <v>7982</v>
      </c>
      <c r="C126" s="405">
        <v>0</v>
      </c>
      <c r="D126" s="411">
        <v>0</v>
      </c>
      <c r="E126" s="202" t="s">
        <v>200</v>
      </c>
      <c r="F126" s="200">
        <v>123</v>
      </c>
      <c r="G126" s="162">
        <v>46094</v>
      </c>
      <c r="H126" s="203" t="s">
        <v>25</v>
      </c>
      <c r="I126" s="186">
        <f t="shared" si="7"/>
        <v>4</v>
      </c>
      <c r="J126" s="204">
        <f>IF($H126="USD",IF(OR($I126="",$I126="-"),"",VLOOKUP($G126,為替!$A:$AX,$I126,FALSE))+$J$3,IF(OR($I126="",$I126="-"),"",VLOOKUP($G126,為替!$A:$AX,$I126,FALSE)))</f>
        <v>158.76</v>
      </c>
      <c r="K126" s="205">
        <f t="shared" si="8"/>
        <v>19527.48</v>
      </c>
      <c r="L126" s="189">
        <f t="shared" si="9"/>
        <v>3</v>
      </c>
      <c r="M126" s="204">
        <f>IF($H126="USD",IF(OR($L126="",$L126="-"),"",VLOOKUP($G126,為替!$A:$AX,$L126,FALSE))+$K$3,IF(OR($L126="",$L126="-"),"",VLOOKUP($G126,為替!$A:$AX,$L126,FALSE)))</f>
        <v>159.76</v>
      </c>
      <c r="N126" s="205">
        <f t="shared" si="10"/>
        <v>0</v>
      </c>
      <c r="O126" s="206">
        <f t="shared" si="6"/>
        <v>19527.48</v>
      </c>
      <c r="P126" s="207">
        <f t="shared" si="11"/>
        <v>1</v>
      </c>
      <c r="Q126" s="163" t="s">
        <v>371</v>
      </c>
    </row>
    <row r="127" spans="1:17">
      <c r="A127" s="163" t="s">
        <v>563</v>
      </c>
      <c r="B127" s="163">
        <v>7981</v>
      </c>
      <c r="C127" s="405">
        <v>115200</v>
      </c>
      <c r="D127" s="411">
        <v>22600</v>
      </c>
      <c r="E127" s="202" t="s">
        <v>200</v>
      </c>
      <c r="F127" s="200">
        <v>152400</v>
      </c>
      <c r="G127" s="162">
        <v>46094</v>
      </c>
      <c r="H127" s="203" t="s">
        <v>296</v>
      </c>
      <c r="I127" s="186" t="str">
        <f t="shared" si="7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>
        <f t="shared" si="8"/>
        <v>152400</v>
      </c>
      <c r="L127" s="189" t="str">
        <f t="shared" si="9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>
        <f t="shared" si="10"/>
        <v>137800</v>
      </c>
      <c r="O127" s="206">
        <f t="shared" si="6"/>
        <v>14600</v>
      </c>
      <c r="P127" s="207">
        <f t="shared" si="11"/>
        <v>9.5800524934383208E-2</v>
      </c>
      <c r="Q127" s="163" t="s">
        <v>459</v>
      </c>
    </row>
    <row r="128" spans="1:17">
      <c r="A128" s="163" t="s">
        <v>87</v>
      </c>
      <c r="B128" s="163">
        <v>7980</v>
      </c>
      <c r="C128" s="405">
        <v>57600</v>
      </c>
      <c r="D128" s="411">
        <v>19500</v>
      </c>
      <c r="E128" s="202" t="s">
        <v>200</v>
      </c>
      <c r="F128" s="200">
        <v>85200</v>
      </c>
      <c r="G128" s="162">
        <v>46097</v>
      </c>
      <c r="H128" s="203" t="s">
        <v>296</v>
      </c>
      <c r="I128" s="186" t="str">
        <f t="shared" si="7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>
        <f t="shared" si="8"/>
        <v>85200</v>
      </c>
      <c r="L128" s="189" t="str">
        <f t="shared" si="9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>
        <f t="shared" si="10"/>
        <v>77100</v>
      </c>
      <c r="O128" s="206">
        <f t="shared" si="6"/>
        <v>8100</v>
      </c>
      <c r="P128" s="207">
        <f t="shared" si="11"/>
        <v>9.5070422535211266E-2</v>
      </c>
      <c r="Q128" s="163" t="s">
        <v>459</v>
      </c>
    </row>
    <row r="129" spans="1:17">
      <c r="A129" s="163" t="s">
        <v>261</v>
      </c>
      <c r="B129" s="163">
        <v>7994</v>
      </c>
      <c r="C129" s="405">
        <v>1800</v>
      </c>
      <c r="D129" s="411">
        <v>1000</v>
      </c>
      <c r="E129" s="202" t="s">
        <v>200</v>
      </c>
      <c r="F129" s="200">
        <v>3400</v>
      </c>
      <c r="G129" s="162">
        <v>46097</v>
      </c>
      <c r="H129" s="203" t="s">
        <v>296</v>
      </c>
      <c r="I129" s="186" t="str">
        <f t="shared" si="7"/>
        <v/>
      </c>
      <c r="J129" s="204" t="str">
        <f>IF($H129="USD",IF(OR($I129="",$I129="-"),"",VLOOKUP($G129,為替!$A:$AX,$I129,FALSE))+$J$3,IF(OR($I129="",$I129="-"),"",VLOOKUP($G129,為替!$A:$AX,$I129,FALSE)))</f>
        <v/>
      </c>
      <c r="K129" s="205">
        <f t="shared" si="8"/>
        <v>3400</v>
      </c>
      <c r="L129" s="189" t="str">
        <f t="shared" si="9"/>
        <v/>
      </c>
      <c r="M129" s="204" t="str">
        <f>IF($H129="USD",IF(OR($L129="",$L129="-"),"",VLOOKUP($G129,為替!$A:$AX,$L129,FALSE))+$K$3,IF(OR($L129="",$L129="-"),"",VLOOKUP($G129,為替!$A:$AX,$L129,FALSE)))</f>
        <v/>
      </c>
      <c r="N129" s="205">
        <f t="shared" si="10"/>
        <v>2800</v>
      </c>
      <c r="O129" s="206">
        <f t="shared" si="6"/>
        <v>600</v>
      </c>
      <c r="P129" s="207">
        <f t="shared" si="11"/>
        <v>0.17647058823529413</v>
      </c>
      <c r="Q129" s="163" t="s">
        <v>297</v>
      </c>
    </row>
    <row r="130" spans="1:17">
      <c r="C130" s="405"/>
      <c r="D130" s="411"/>
      <c r="E130" s="202"/>
      <c r="F130" s="200"/>
      <c r="H130" s="203"/>
      <c r="I130" s="186" t="str">
        <f t="shared" si="7"/>
        <v/>
      </c>
      <c r="J130" s="204" t="str">
        <f>IF($H130="USD",IF(OR($I130="",$I130="-"),"",VLOOKUP($G130,為替!$A:$AX,$I130,FALSE))+$J$3,IF(OR($I130="",$I130="-"),"",VLOOKUP($G130,為替!$A:$AX,$I130,FALSE)))</f>
        <v/>
      </c>
      <c r="K130" s="205" t="str">
        <f t="shared" si="8"/>
        <v/>
      </c>
      <c r="L130" s="189" t="str">
        <f t="shared" si="9"/>
        <v/>
      </c>
      <c r="M130" s="204" t="str">
        <f>IF($H130="USD",IF(OR($L130="",$L130="-"),"",VLOOKUP($G130,為替!$A:$AX,$L130,FALSE))+$K$3,IF(OR($L130="",$L130="-"),"",VLOOKUP($G130,為替!$A:$AX,$L130,FALSE)))</f>
        <v/>
      </c>
      <c r="N130" s="205" t="str">
        <f t="shared" si="10"/>
        <v/>
      </c>
      <c r="O130" s="206" t="str">
        <f t="shared" si="6"/>
        <v/>
      </c>
      <c r="P130" s="207" t="str">
        <f t="shared" si="11"/>
        <v/>
      </c>
    </row>
    <row r="131" spans="1:17">
      <c r="C131" s="405"/>
      <c r="D131" s="411"/>
      <c r="E131" s="202"/>
      <c r="F131" s="200"/>
      <c r="H131" s="203"/>
      <c r="I131" s="186" t="str">
        <f t="shared" si="7"/>
        <v/>
      </c>
      <c r="J131" s="204" t="str">
        <f>IF($H131="USD",IF(OR($I131="",$I131="-"),"",VLOOKUP($G131,為替!$A:$AX,$I131,FALSE))+$J$3,IF(OR($I131="",$I131="-"),"",VLOOKUP($G131,為替!$A:$AX,$I131,FALSE)))</f>
        <v/>
      </c>
      <c r="K131" s="205" t="str">
        <f t="shared" si="8"/>
        <v/>
      </c>
      <c r="L131" s="189" t="str">
        <f t="shared" si="9"/>
        <v/>
      </c>
      <c r="M131" s="204" t="str">
        <f>IF($H131="USD",IF(OR($L131="",$L131="-"),"",VLOOKUP($G131,為替!$A:$AX,$L131,FALSE))+$K$3,IF(OR($L131="",$L131="-"),"",VLOOKUP($G131,為替!$A:$AX,$L131,FALSE)))</f>
        <v/>
      </c>
      <c r="N131" s="205" t="str">
        <f t="shared" si="10"/>
        <v/>
      </c>
      <c r="O131" s="206" t="str">
        <f t="shared" si="6"/>
        <v/>
      </c>
      <c r="P131" s="207" t="str">
        <f t="shared" si="11"/>
        <v/>
      </c>
    </row>
    <row r="132" spans="1:17">
      <c r="C132" s="405"/>
      <c r="D132" s="411"/>
      <c r="E132" s="202"/>
      <c r="F132" s="200"/>
      <c r="H132" s="203"/>
      <c r="I132" s="186" t="str">
        <f t="shared" si="7"/>
        <v/>
      </c>
      <c r="J132" s="204" t="str">
        <f>IF($H132="USD",IF(OR($I132="",$I132="-"),"",VLOOKUP($G132,為替!$A:$AX,$I132,FALSE))+$J$3,IF(OR($I132="",$I132="-"),"",VLOOKUP($G132,為替!$A:$AX,$I132,FALSE)))</f>
        <v/>
      </c>
      <c r="K132" s="205" t="str">
        <f t="shared" si="8"/>
        <v/>
      </c>
      <c r="L132" s="189" t="str">
        <f t="shared" si="9"/>
        <v/>
      </c>
      <c r="M132" s="204" t="str">
        <f>IF($H132="USD",IF(OR($L132="",$L132="-"),"",VLOOKUP($G132,為替!$A:$AX,$L132,FALSE))+$K$3,IF(OR($L132="",$L132="-"),"",VLOOKUP($G132,為替!$A:$AX,$L132,FALSE)))</f>
        <v/>
      </c>
      <c r="N132" s="205" t="str">
        <f t="shared" si="10"/>
        <v/>
      </c>
      <c r="O132" s="206" t="str">
        <f t="shared" si="6"/>
        <v/>
      </c>
      <c r="P132" s="207" t="str">
        <f t="shared" si="11"/>
        <v/>
      </c>
    </row>
    <row r="133" spans="1:17">
      <c r="C133" s="405"/>
      <c r="D133" s="411"/>
      <c r="E133" s="202"/>
      <c r="F133" s="200"/>
      <c r="H133" s="203"/>
      <c r="I133" s="186" t="str">
        <f t="shared" si="7"/>
        <v/>
      </c>
      <c r="J133" s="204" t="str">
        <f>IF($H133="USD",IF(OR($I133="",$I133="-"),"",VLOOKUP($G133,為替!$A:$AX,$I133,FALSE))+$J$3,IF(OR($I133="",$I133="-"),"",VLOOKUP($G133,為替!$A:$AX,$I133,FALSE)))</f>
        <v/>
      </c>
      <c r="K133" s="205" t="str">
        <f t="shared" si="8"/>
        <v/>
      </c>
      <c r="L133" s="189" t="str">
        <f t="shared" si="9"/>
        <v/>
      </c>
      <c r="M133" s="204" t="str">
        <f>IF($H133="USD",IF(OR($L133="",$L133="-"),"",VLOOKUP($G133,為替!$A:$AX,$L133,FALSE))+$K$3,IF(OR($L133="",$L133="-"),"",VLOOKUP($G133,為替!$A:$AX,$L133,FALSE)))</f>
        <v/>
      </c>
      <c r="N133" s="205" t="str">
        <f t="shared" si="10"/>
        <v/>
      </c>
      <c r="O133" s="206" t="str">
        <f t="shared" ref="O133:O196" si="12">IF(OR(K133="",N133=""),"",K133-N133)</f>
        <v/>
      </c>
      <c r="P133" s="207" t="str">
        <f t="shared" si="11"/>
        <v/>
      </c>
    </row>
    <row r="134" spans="1:17">
      <c r="C134" s="405"/>
      <c r="D134" s="411"/>
      <c r="E134" s="202"/>
      <c r="F134" s="200"/>
      <c r="H134" s="203"/>
      <c r="I134" s="186" t="str">
        <f t="shared" ref="I134:I197" si="13">IF(H134="","",IF(H134="JPY","",IF($H134="USD",4, IF(H134="EUR",7,IF(H134="CNY",47,IF(H134="HKD",34))))))</f>
        <v/>
      </c>
      <c r="J134" s="204" t="str">
        <f>IF($H134="USD",IF(OR($I134="",$I134="-"),"",VLOOKUP($G134,為替!$A:$AX,$I134,FALSE))+$J$3,IF(OR($I134="",$I134="-"),"",VLOOKUP($G134,為替!$A:$AX,$I134,FALSE)))</f>
        <v/>
      </c>
      <c r="K134" s="205" t="str">
        <f t="shared" ref="K134:K197" si="14">IF($H134="JPY",$F134,IF($H134="","",$F134*$J134))</f>
        <v/>
      </c>
      <c r="L134" s="189" t="str">
        <f t="shared" ref="L134:L197" si="15">IF(H134="","",IF(H134="JPY","",IF($H134="USD",3, IF(H134="EUR",6,IF(H134="CNY",46,IF(H134="HKD",33))))))</f>
        <v/>
      </c>
      <c r="M134" s="204" t="str">
        <f>IF($H134="USD",IF(OR($L134="",$L134="-"),"",VLOOKUP($G134,為替!$A:$AX,$L134,FALSE))+$K$3,IF(OR($L134="",$L134="-"),"",VLOOKUP($G134,為替!$A:$AX,$L134,FALSE)))</f>
        <v/>
      </c>
      <c r="N134" s="205" t="str">
        <f t="shared" ref="N134:N197" si="16">IF($E134="JPY",($C134+$D134),IF($E134="","",($C134+$D134)*$M134))</f>
        <v/>
      </c>
      <c r="O134" s="206" t="str">
        <f t="shared" si="12"/>
        <v/>
      </c>
      <c r="P134" s="207" t="str">
        <f t="shared" ref="P134:P197" si="17">IF(OR(K134="",O134=""),"",O134/K134)</f>
        <v/>
      </c>
    </row>
    <row r="135" spans="1:17">
      <c r="C135" s="405"/>
      <c r="D135" s="411"/>
      <c r="E135" s="202"/>
      <c r="F135" s="200"/>
      <c r="H135" s="203"/>
      <c r="I135" s="186" t="str">
        <f t="shared" si="13"/>
        <v/>
      </c>
      <c r="J135" s="204" t="str">
        <f>IF($H135="USD",IF(OR($I135="",$I135="-"),"",VLOOKUP($G135,為替!$A:$AX,$I135,FALSE))+$J$3,IF(OR($I135="",$I135="-"),"",VLOOKUP($G135,為替!$A:$AX,$I135,FALSE)))</f>
        <v/>
      </c>
      <c r="K135" s="205" t="str">
        <f t="shared" si="14"/>
        <v/>
      </c>
      <c r="L135" s="189" t="str">
        <f t="shared" si="15"/>
        <v/>
      </c>
      <c r="M135" s="204" t="str">
        <f>IF($H135="USD",IF(OR($L135="",$L135="-"),"",VLOOKUP($G135,為替!$A:$AX,$L135,FALSE))+$K$3,IF(OR($L135="",$L135="-"),"",VLOOKUP($G135,為替!$A:$AX,$L135,FALSE)))</f>
        <v/>
      </c>
      <c r="N135" s="205" t="str">
        <f t="shared" si="16"/>
        <v/>
      </c>
      <c r="O135" s="206" t="str">
        <f t="shared" si="12"/>
        <v/>
      </c>
      <c r="P135" s="207" t="str">
        <f t="shared" si="17"/>
        <v/>
      </c>
    </row>
    <row r="136" spans="1:17">
      <c r="C136" s="405"/>
      <c r="D136" s="411"/>
      <c r="E136" s="202"/>
      <c r="F136" s="200"/>
      <c r="H136" s="203"/>
      <c r="I136" s="186" t="str">
        <f t="shared" si="13"/>
        <v/>
      </c>
      <c r="J136" s="204" t="str">
        <f>IF($H136="USD",IF(OR($I136="",$I136="-"),"",VLOOKUP($G136,為替!$A:$AX,$I136,FALSE))+$J$3,IF(OR($I136="",$I136="-"),"",VLOOKUP($G136,為替!$A:$AX,$I136,FALSE)))</f>
        <v/>
      </c>
      <c r="K136" s="205" t="str">
        <f t="shared" si="14"/>
        <v/>
      </c>
      <c r="L136" s="189" t="str">
        <f t="shared" si="15"/>
        <v/>
      </c>
      <c r="M136" s="204" t="str">
        <f>IF($H136="USD",IF(OR($L136="",$L136="-"),"",VLOOKUP($G136,為替!$A:$AX,$L136,FALSE))+$K$3,IF(OR($L136="",$L136="-"),"",VLOOKUP($G136,為替!$A:$AX,$L136,FALSE)))</f>
        <v/>
      </c>
      <c r="N136" s="205" t="str">
        <f t="shared" si="16"/>
        <v/>
      </c>
      <c r="O136" s="206" t="str">
        <f t="shared" si="12"/>
        <v/>
      </c>
      <c r="P136" s="207" t="str">
        <f t="shared" si="17"/>
        <v/>
      </c>
    </row>
    <row r="137" spans="1:17">
      <c r="C137" s="405"/>
      <c r="D137" s="411"/>
      <c r="E137" s="202"/>
      <c r="F137" s="200"/>
      <c r="H137" s="203"/>
      <c r="I137" s="186" t="str">
        <f t="shared" si="13"/>
        <v/>
      </c>
      <c r="J137" s="204" t="str">
        <f>IF($H137="USD",IF(OR($I137="",$I137="-"),"",VLOOKUP($G137,為替!$A:$AX,$I137,FALSE))+$J$3,IF(OR($I137="",$I137="-"),"",VLOOKUP($G137,為替!$A:$AX,$I137,FALSE)))</f>
        <v/>
      </c>
      <c r="K137" s="205" t="str">
        <f t="shared" si="14"/>
        <v/>
      </c>
      <c r="L137" s="189" t="str">
        <f t="shared" si="15"/>
        <v/>
      </c>
      <c r="M137" s="204" t="str">
        <f>IF($H137="USD",IF(OR($L137="",$L137="-"),"",VLOOKUP($G137,為替!$A:$AX,$L137,FALSE))+$K$3,IF(OR($L137="",$L137="-"),"",VLOOKUP($G137,為替!$A:$AX,$L137,FALSE)))</f>
        <v/>
      </c>
      <c r="N137" s="205" t="str">
        <f t="shared" si="16"/>
        <v/>
      </c>
      <c r="O137" s="206" t="str">
        <f t="shared" si="12"/>
        <v/>
      </c>
      <c r="P137" s="207" t="str">
        <f t="shared" si="17"/>
        <v/>
      </c>
    </row>
    <row r="138" spans="1:17">
      <c r="C138" s="405"/>
      <c r="D138" s="411"/>
      <c r="E138" s="202"/>
      <c r="F138" s="200"/>
      <c r="H138" s="203"/>
      <c r="I138" s="186" t="str">
        <f t="shared" si="13"/>
        <v/>
      </c>
      <c r="J138" s="204" t="str">
        <f>IF($H138="USD",IF(OR($I138="",$I138="-"),"",VLOOKUP($G138,為替!$A:$AX,$I138,FALSE))+$J$3,IF(OR($I138="",$I138="-"),"",VLOOKUP($G138,為替!$A:$AX,$I138,FALSE)))</f>
        <v/>
      </c>
      <c r="K138" s="205" t="str">
        <f t="shared" si="14"/>
        <v/>
      </c>
      <c r="L138" s="189" t="str">
        <f t="shared" si="15"/>
        <v/>
      </c>
      <c r="M138" s="204" t="str">
        <f>IF($H138="USD",IF(OR($L138="",$L138="-"),"",VLOOKUP($G138,為替!$A:$AX,$L138,FALSE))+$K$3,IF(OR($L138="",$L138="-"),"",VLOOKUP($G138,為替!$A:$AX,$L138,FALSE)))</f>
        <v/>
      </c>
      <c r="N138" s="205" t="str">
        <f t="shared" si="16"/>
        <v/>
      </c>
      <c r="O138" s="206" t="str">
        <f t="shared" si="12"/>
        <v/>
      </c>
      <c r="P138" s="207" t="str">
        <f t="shared" si="17"/>
        <v/>
      </c>
    </row>
    <row r="139" spans="1:17">
      <c r="C139" s="405"/>
      <c r="D139" s="411"/>
      <c r="E139" s="202"/>
      <c r="F139" s="200"/>
      <c r="H139" s="203"/>
      <c r="I139" s="186" t="str">
        <f t="shared" si="13"/>
        <v/>
      </c>
      <c r="J139" s="204" t="str">
        <f>IF($H139="USD",IF(OR($I139="",$I139="-"),"",VLOOKUP($G139,為替!$A:$AX,$I139,FALSE))+$J$3,IF(OR($I139="",$I139="-"),"",VLOOKUP($G139,為替!$A:$AX,$I139,FALSE)))</f>
        <v/>
      </c>
      <c r="K139" s="205" t="str">
        <f t="shared" si="14"/>
        <v/>
      </c>
      <c r="L139" s="189" t="str">
        <f t="shared" si="15"/>
        <v/>
      </c>
      <c r="M139" s="204" t="str">
        <f>IF($H139="USD",IF(OR($L139="",$L139="-"),"",VLOOKUP($G139,為替!$A:$AX,$L139,FALSE))+$K$3,IF(OR($L139="",$L139="-"),"",VLOOKUP($G139,為替!$A:$AX,$L139,FALSE)))</f>
        <v/>
      </c>
      <c r="N139" s="205" t="str">
        <f t="shared" si="16"/>
        <v/>
      </c>
      <c r="O139" s="206" t="str">
        <f t="shared" si="12"/>
        <v/>
      </c>
      <c r="P139" s="207" t="str">
        <f t="shared" si="17"/>
        <v/>
      </c>
    </row>
    <row r="140" spans="1:17">
      <c r="C140" s="405"/>
      <c r="D140" s="411"/>
      <c r="E140" s="202"/>
      <c r="F140" s="200"/>
      <c r="H140" s="203"/>
      <c r="I140" s="186" t="str">
        <f t="shared" si="13"/>
        <v/>
      </c>
      <c r="J140" s="204" t="str">
        <f>IF($H140="USD",IF(OR($I140="",$I140="-"),"",VLOOKUP($G140,為替!$A:$AX,$I140,FALSE))+$J$3,IF(OR($I140="",$I140="-"),"",VLOOKUP($G140,為替!$A:$AX,$I140,FALSE)))</f>
        <v/>
      </c>
      <c r="K140" s="205" t="str">
        <f t="shared" si="14"/>
        <v/>
      </c>
      <c r="L140" s="189" t="str">
        <f t="shared" si="15"/>
        <v/>
      </c>
      <c r="M140" s="204" t="str">
        <f>IF($H140="USD",IF(OR($L140="",$L140="-"),"",VLOOKUP($G140,為替!$A:$AX,$L140,FALSE))+$K$3,IF(OR($L140="",$L140="-"),"",VLOOKUP($G140,為替!$A:$AX,$L140,FALSE)))</f>
        <v/>
      </c>
      <c r="N140" s="205" t="str">
        <f t="shared" si="16"/>
        <v/>
      </c>
      <c r="O140" s="206" t="str">
        <f t="shared" si="12"/>
        <v/>
      </c>
      <c r="P140" s="207" t="str">
        <f t="shared" si="17"/>
        <v/>
      </c>
    </row>
    <row r="141" spans="1:17">
      <c r="C141" s="405"/>
      <c r="D141" s="411"/>
      <c r="E141" s="202"/>
      <c r="F141" s="200"/>
      <c r="H141" s="203"/>
      <c r="I141" s="186" t="str">
        <f t="shared" si="13"/>
        <v/>
      </c>
      <c r="J141" s="204" t="str">
        <f>IF($H141="USD",IF(OR($I141="",$I141="-"),"",VLOOKUP($G141,為替!$A:$AX,$I141,FALSE))+$J$3,IF(OR($I141="",$I141="-"),"",VLOOKUP($G141,為替!$A:$AX,$I141,FALSE)))</f>
        <v/>
      </c>
      <c r="K141" s="205" t="str">
        <f t="shared" si="14"/>
        <v/>
      </c>
      <c r="L141" s="189" t="str">
        <f t="shared" si="15"/>
        <v/>
      </c>
      <c r="M141" s="204" t="str">
        <f>IF($H141="USD",IF(OR($L141="",$L141="-"),"",VLOOKUP($G141,為替!$A:$AX,$L141,FALSE))+$K$3,IF(OR($L141="",$L141="-"),"",VLOOKUP($G141,為替!$A:$AX,$L141,FALSE)))</f>
        <v/>
      </c>
      <c r="N141" s="205" t="str">
        <f t="shared" si="16"/>
        <v/>
      </c>
      <c r="O141" s="206" t="str">
        <f t="shared" si="12"/>
        <v/>
      </c>
      <c r="P141" s="207" t="str">
        <f t="shared" si="17"/>
        <v/>
      </c>
    </row>
    <row r="142" spans="1:17">
      <c r="C142" s="405"/>
      <c r="D142" s="411"/>
      <c r="E142" s="202"/>
      <c r="F142" s="200"/>
      <c r="H142" s="203"/>
      <c r="I142" s="186" t="str">
        <f t="shared" si="13"/>
        <v/>
      </c>
      <c r="J142" s="204" t="str">
        <f>IF($H142="USD",IF(OR($I142="",$I142="-"),"",VLOOKUP($G142,為替!$A:$AX,$I142,FALSE))+$J$3,IF(OR($I142="",$I142="-"),"",VLOOKUP($G142,為替!$A:$AX,$I142,FALSE)))</f>
        <v/>
      </c>
      <c r="K142" s="205" t="str">
        <f t="shared" si="14"/>
        <v/>
      </c>
      <c r="L142" s="189" t="str">
        <f t="shared" si="15"/>
        <v/>
      </c>
      <c r="M142" s="204" t="str">
        <f>IF($H142="USD",IF(OR($L142="",$L142="-"),"",VLOOKUP($G142,為替!$A:$AX,$L142,FALSE))+$K$3,IF(OR($L142="",$L142="-"),"",VLOOKUP($G142,為替!$A:$AX,$L142,FALSE)))</f>
        <v/>
      </c>
      <c r="N142" s="205" t="str">
        <f t="shared" si="16"/>
        <v/>
      </c>
      <c r="O142" s="206" t="str">
        <f t="shared" si="12"/>
        <v/>
      </c>
      <c r="P142" s="207" t="str">
        <f t="shared" si="17"/>
        <v/>
      </c>
    </row>
    <row r="143" spans="1:17">
      <c r="C143" s="405"/>
      <c r="D143" s="411"/>
      <c r="E143" s="202"/>
      <c r="F143" s="200"/>
      <c r="H143" s="203"/>
      <c r="I143" s="186" t="str">
        <f t="shared" si="13"/>
        <v/>
      </c>
      <c r="J143" s="204" t="str">
        <f>IF($H143="USD",IF(OR($I143="",$I143="-"),"",VLOOKUP($G143,為替!$A:$AX,$I143,FALSE))+$J$3,IF(OR($I143="",$I143="-"),"",VLOOKUP($G143,為替!$A:$AX,$I143,FALSE)))</f>
        <v/>
      </c>
      <c r="K143" s="205" t="str">
        <f t="shared" si="14"/>
        <v/>
      </c>
      <c r="L143" s="189" t="str">
        <f t="shared" si="15"/>
        <v/>
      </c>
      <c r="M143" s="204" t="str">
        <f>IF($H143="USD",IF(OR($L143="",$L143="-"),"",VLOOKUP($G143,為替!$A:$AX,$L143,FALSE))+$K$3,IF(OR($L143="",$L143="-"),"",VLOOKUP($G143,為替!$A:$AX,$L143,FALSE)))</f>
        <v/>
      </c>
      <c r="N143" s="205" t="str">
        <f t="shared" si="16"/>
        <v/>
      </c>
      <c r="O143" s="206" t="str">
        <f t="shared" si="12"/>
        <v/>
      </c>
      <c r="P143" s="207" t="str">
        <f t="shared" si="17"/>
        <v/>
      </c>
    </row>
    <row r="144" spans="1:17">
      <c r="C144" s="405"/>
      <c r="D144" s="411"/>
      <c r="E144" s="202"/>
      <c r="F144" s="200"/>
      <c r="H144" s="203"/>
      <c r="I144" s="186" t="str">
        <f t="shared" si="13"/>
        <v/>
      </c>
      <c r="J144" s="204" t="str">
        <f>IF($H144="USD",IF(OR($I144="",$I144="-"),"",VLOOKUP($G144,為替!$A:$AX,$I144,FALSE))+$J$3,IF(OR($I144="",$I144="-"),"",VLOOKUP($G144,為替!$A:$AX,$I144,FALSE)))</f>
        <v/>
      </c>
      <c r="K144" s="205" t="str">
        <f t="shared" si="14"/>
        <v/>
      </c>
      <c r="L144" s="189" t="str">
        <f t="shared" si="15"/>
        <v/>
      </c>
      <c r="M144" s="204" t="str">
        <f>IF($H144="USD",IF(OR($L144="",$L144="-"),"",VLOOKUP($G144,為替!$A:$AX,$L144,FALSE))+$K$3,IF(OR($L144="",$L144="-"),"",VLOOKUP($G144,為替!$A:$AX,$L144,FALSE)))</f>
        <v/>
      </c>
      <c r="N144" s="205" t="str">
        <f t="shared" si="16"/>
        <v/>
      </c>
      <c r="O144" s="206" t="str">
        <f t="shared" si="12"/>
        <v/>
      </c>
      <c r="P144" s="207" t="str">
        <f t="shared" si="17"/>
        <v/>
      </c>
    </row>
    <row r="145" spans="3:16">
      <c r="C145" s="405"/>
      <c r="D145" s="411"/>
      <c r="E145" s="202"/>
      <c r="F145" s="200"/>
      <c r="H145" s="203"/>
      <c r="I145" s="186" t="str">
        <f t="shared" si="13"/>
        <v/>
      </c>
      <c r="J145" s="204" t="str">
        <f>IF($H145="USD",IF(OR($I145="",$I145="-"),"",VLOOKUP($G145,為替!$A:$AX,$I145,FALSE))+$J$3,IF(OR($I145="",$I145="-"),"",VLOOKUP($G145,為替!$A:$AX,$I145,FALSE)))</f>
        <v/>
      </c>
      <c r="K145" s="205" t="str">
        <f t="shared" si="14"/>
        <v/>
      </c>
      <c r="L145" s="189" t="str">
        <f t="shared" si="15"/>
        <v/>
      </c>
      <c r="M145" s="204" t="str">
        <f>IF($H145="USD",IF(OR($L145="",$L145="-"),"",VLOOKUP($G145,為替!$A:$AX,$L145,FALSE))+$K$3,IF(OR($L145="",$L145="-"),"",VLOOKUP($G145,為替!$A:$AX,$L145,FALSE)))</f>
        <v/>
      </c>
      <c r="N145" s="205" t="str">
        <f t="shared" si="16"/>
        <v/>
      </c>
      <c r="O145" s="206" t="str">
        <f t="shared" si="12"/>
        <v/>
      </c>
      <c r="P145" s="207" t="str">
        <f t="shared" si="17"/>
        <v/>
      </c>
    </row>
    <row r="146" spans="3:16">
      <c r="C146" s="405"/>
      <c r="D146" s="411"/>
      <c r="E146" s="202"/>
      <c r="F146" s="200"/>
      <c r="H146" s="203"/>
      <c r="I146" s="186" t="str">
        <f t="shared" si="13"/>
        <v/>
      </c>
      <c r="J146" s="204" t="str">
        <f>IF($H146="USD",IF(OR($I146="",$I146="-"),"",VLOOKUP($G146,為替!$A:$AX,$I146,FALSE))+$J$3,IF(OR($I146="",$I146="-"),"",VLOOKUP($G146,為替!$A:$AX,$I146,FALSE)))</f>
        <v/>
      </c>
      <c r="K146" s="205" t="str">
        <f t="shared" si="14"/>
        <v/>
      </c>
      <c r="L146" s="189" t="str">
        <f t="shared" si="15"/>
        <v/>
      </c>
      <c r="M146" s="204" t="str">
        <f>IF($H146="USD",IF(OR($L146="",$L146="-"),"",VLOOKUP($G146,為替!$A:$AX,$L146,FALSE))+$K$3,IF(OR($L146="",$L146="-"),"",VLOOKUP($G146,為替!$A:$AX,$L146,FALSE)))</f>
        <v/>
      </c>
      <c r="N146" s="205" t="str">
        <f t="shared" si="16"/>
        <v/>
      </c>
      <c r="O146" s="206" t="str">
        <f t="shared" si="12"/>
        <v/>
      </c>
      <c r="P146" s="207" t="str">
        <f t="shared" si="17"/>
        <v/>
      </c>
    </row>
    <row r="147" spans="3:16">
      <c r="C147" s="405"/>
      <c r="D147" s="411"/>
      <c r="E147" s="202"/>
      <c r="F147" s="200"/>
      <c r="H147" s="203"/>
      <c r="I147" s="186" t="str">
        <f t="shared" si="13"/>
        <v/>
      </c>
      <c r="J147" s="204" t="str">
        <f>IF($H147="USD",IF(OR($I147="",$I147="-"),"",VLOOKUP($G147,為替!$A:$AX,$I147,FALSE))+$J$3,IF(OR($I147="",$I147="-"),"",VLOOKUP($G147,為替!$A:$AX,$I147,FALSE)))</f>
        <v/>
      </c>
      <c r="K147" s="205" t="str">
        <f t="shared" si="14"/>
        <v/>
      </c>
      <c r="L147" s="189" t="str">
        <f t="shared" si="15"/>
        <v/>
      </c>
      <c r="M147" s="204" t="str">
        <f>IF($H147="USD",IF(OR($L147="",$L147="-"),"",VLOOKUP($G147,為替!$A:$AX,$L147,FALSE))+$K$3,IF(OR($L147="",$L147="-"),"",VLOOKUP($G147,為替!$A:$AX,$L147,FALSE)))</f>
        <v/>
      </c>
      <c r="N147" s="205" t="str">
        <f t="shared" si="16"/>
        <v/>
      </c>
      <c r="O147" s="206" t="str">
        <f t="shared" si="12"/>
        <v/>
      </c>
      <c r="P147" s="207" t="str">
        <f t="shared" si="17"/>
        <v/>
      </c>
    </row>
    <row r="148" spans="3:16">
      <c r="C148" s="405"/>
      <c r="D148" s="411"/>
      <c r="E148" s="202"/>
      <c r="F148" s="200"/>
      <c r="H148" s="203"/>
      <c r="I148" s="186" t="str">
        <f t="shared" si="13"/>
        <v/>
      </c>
      <c r="J148" s="204" t="str">
        <f>IF($H148="USD",IF(OR($I148="",$I148="-"),"",VLOOKUP($G148,為替!$A:$AX,$I148,FALSE))+$J$3,IF(OR($I148="",$I148="-"),"",VLOOKUP($G148,為替!$A:$AX,$I148,FALSE)))</f>
        <v/>
      </c>
      <c r="K148" s="205" t="str">
        <f t="shared" si="14"/>
        <v/>
      </c>
      <c r="L148" s="189" t="str">
        <f t="shared" si="15"/>
        <v/>
      </c>
      <c r="M148" s="204" t="str">
        <f>IF($H148="USD",IF(OR($L148="",$L148="-"),"",VLOOKUP($G148,為替!$A:$AX,$L148,FALSE))+$K$3,IF(OR($L148="",$L148="-"),"",VLOOKUP($G148,為替!$A:$AX,$L148,FALSE)))</f>
        <v/>
      </c>
      <c r="N148" s="205" t="str">
        <f t="shared" si="16"/>
        <v/>
      </c>
      <c r="O148" s="206" t="str">
        <f t="shared" si="12"/>
        <v/>
      </c>
      <c r="P148" s="207" t="str">
        <f t="shared" si="17"/>
        <v/>
      </c>
    </row>
    <row r="149" spans="3:16">
      <c r="C149" s="405"/>
      <c r="D149" s="411"/>
      <c r="E149" s="202"/>
      <c r="F149" s="200"/>
      <c r="H149" s="203"/>
      <c r="I149" s="186" t="str">
        <f t="shared" si="13"/>
        <v/>
      </c>
      <c r="J149" s="204" t="str">
        <f>IF($H149="USD",IF(OR($I149="",$I149="-"),"",VLOOKUP($G149,為替!$A:$AX,$I149,FALSE))+$J$3,IF(OR($I149="",$I149="-"),"",VLOOKUP($G149,為替!$A:$AX,$I149,FALSE)))</f>
        <v/>
      </c>
      <c r="K149" s="205" t="str">
        <f t="shared" si="14"/>
        <v/>
      </c>
      <c r="L149" s="189" t="str">
        <f t="shared" si="15"/>
        <v/>
      </c>
      <c r="M149" s="204" t="str">
        <f>IF($H149="USD",IF(OR($L149="",$L149="-"),"",VLOOKUP($G149,為替!$A:$AX,$L149,FALSE))+$K$3,IF(OR($L149="",$L149="-"),"",VLOOKUP($G149,為替!$A:$AX,$L149,FALSE)))</f>
        <v/>
      </c>
      <c r="N149" s="205" t="str">
        <f t="shared" si="16"/>
        <v/>
      </c>
      <c r="O149" s="206" t="str">
        <f t="shared" si="12"/>
        <v/>
      </c>
      <c r="P149" s="207" t="str">
        <f t="shared" si="17"/>
        <v/>
      </c>
    </row>
    <row r="150" spans="3:16">
      <c r="C150" s="405"/>
      <c r="D150" s="411"/>
      <c r="E150" s="202"/>
      <c r="F150" s="200"/>
      <c r="H150" s="203"/>
      <c r="I150" s="186" t="str">
        <f t="shared" si="13"/>
        <v/>
      </c>
      <c r="J150" s="204" t="str">
        <f>IF($H150="USD",IF(OR($I150="",$I150="-"),"",VLOOKUP($G150,為替!$A:$AX,$I150,FALSE))+$J$3,IF(OR($I150="",$I150="-"),"",VLOOKUP($G150,為替!$A:$AX,$I150,FALSE)))</f>
        <v/>
      </c>
      <c r="K150" s="205" t="str">
        <f t="shared" si="14"/>
        <v/>
      </c>
      <c r="L150" s="189" t="str">
        <f t="shared" si="15"/>
        <v/>
      </c>
      <c r="M150" s="204" t="str">
        <f>IF($H150="USD",IF(OR($L150="",$L150="-"),"",VLOOKUP($G150,為替!$A:$AX,$L150,FALSE))+$K$3,IF(OR($L150="",$L150="-"),"",VLOOKUP($G150,為替!$A:$AX,$L150,FALSE)))</f>
        <v/>
      </c>
      <c r="N150" s="205" t="str">
        <f t="shared" si="16"/>
        <v/>
      </c>
      <c r="O150" s="206" t="str">
        <f t="shared" si="12"/>
        <v/>
      </c>
      <c r="P150" s="207" t="str">
        <f t="shared" si="17"/>
        <v/>
      </c>
    </row>
    <row r="151" spans="3:16">
      <c r="C151" s="405"/>
      <c r="D151" s="411"/>
      <c r="E151" s="202"/>
      <c r="F151" s="200"/>
      <c r="H151" s="203"/>
      <c r="I151" s="186" t="str">
        <f t="shared" si="13"/>
        <v/>
      </c>
      <c r="J151" s="204" t="str">
        <f>IF($H151="USD",IF(OR($I151="",$I151="-"),"",VLOOKUP($G151,為替!$A:$AX,$I151,FALSE))+$J$3,IF(OR($I151="",$I151="-"),"",VLOOKUP($G151,為替!$A:$AX,$I151,FALSE)))</f>
        <v/>
      </c>
      <c r="K151" s="205" t="str">
        <f t="shared" si="14"/>
        <v/>
      </c>
      <c r="L151" s="189" t="str">
        <f t="shared" si="15"/>
        <v/>
      </c>
      <c r="M151" s="204" t="str">
        <f>IF($H151="USD",IF(OR($L151="",$L151="-"),"",VLOOKUP($G151,為替!$A:$AX,$L151,FALSE))+$K$3,IF(OR($L151="",$L151="-"),"",VLOOKUP($G151,為替!$A:$AX,$L151,FALSE)))</f>
        <v/>
      </c>
      <c r="N151" s="205" t="str">
        <f t="shared" si="16"/>
        <v/>
      </c>
      <c r="O151" s="206" t="str">
        <f t="shared" si="12"/>
        <v/>
      </c>
      <c r="P151" s="207" t="str">
        <f t="shared" si="17"/>
        <v/>
      </c>
    </row>
    <row r="152" spans="3:16">
      <c r="C152" s="405"/>
      <c r="D152" s="411"/>
      <c r="E152" s="202"/>
      <c r="F152" s="200"/>
      <c r="H152" s="203"/>
      <c r="I152" s="186" t="str">
        <f t="shared" si="13"/>
        <v/>
      </c>
      <c r="J152" s="204" t="str">
        <f>IF($H152="USD",IF(OR($I152="",$I152="-"),"",VLOOKUP($G152,為替!$A:$AX,$I152,FALSE))+$J$3,IF(OR($I152="",$I152="-"),"",VLOOKUP($G152,為替!$A:$AX,$I152,FALSE)))</f>
        <v/>
      </c>
      <c r="K152" s="205" t="str">
        <f t="shared" si="14"/>
        <v/>
      </c>
      <c r="L152" s="189" t="str">
        <f t="shared" si="15"/>
        <v/>
      </c>
      <c r="M152" s="204" t="str">
        <f>IF($H152="USD",IF(OR($L152="",$L152="-"),"",VLOOKUP($G152,為替!$A:$AX,$L152,FALSE))+$K$3,IF(OR($L152="",$L152="-"),"",VLOOKUP($G152,為替!$A:$AX,$L152,FALSE)))</f>
        <v/>
      </c>
      <c r="N152" s="205" t="str">
        <f t="shared" si="16"/>
        <v/>
      </c>
      <c r="O152" s="206" t="str">
        <f t="shared" si="12"/>
        <v/>
      </c>
      <c r="P152" s="207" t="str">
        <f t="shared" si="17"/>
        <v/>
      </c>
    </row>
    <row r="153" spans="3:16">
      <c r="C153" s="405"/>
      <c r="D153" s="411"/>
      <c r="E153" s="202"/>
      <c r="F153" s="200"/>
      <c r="H153" s="203"/>
      <c r="I153" s="186" t="str">
        <f t="shared" si="13"/>
        <v/>
      </c>
      <c r="J153" s="204" t="str">
        <f>IF($H153="USD",IF(OR($I153="",$I153="-"),"",VLOOKUP($G153,為替!$A:$AX,$I153,FALSE))+$J$3,IF(OR($I153="",$I153="-"),"",VLOOKUP($G153,為替!$A:$AX,$I153,FALSE)))</f>
        <v/>
      </c>
      <c r="K153" s="205" t="str">
        <f t="shared" si="14"/>
        <v/>
      </c>
      <c r="L153" s="189" t="str">
        <f t="shared" si="15"/>
        <v/>
      </c>
      <c r="M153" s="204" t="str">
        <f>IF($H153="USD",IF(OR($L153="",$L153="-"),"",VLOOKUP($G153,為替!$A:$AX,$L153,FALSE))+$K$3,IF(OR($L153="",$L153="-"),"",VLOOKUP($G153,為替!$A:$AX,$L153,FALSE)))</f>
        <v/>
      </c>
      <c r="N153" s="205" t="str">
        <f t="shared" si="16"/>
        <v/>
      </c>
      <c r="O153" s="206" t="str">
        <f t="shared" si="12"/>
        <v/>
      </c>
      <c r="P153" s="207" t="str">
        <f t="shared" si="17"/>
        <v/>
      </c>
    </row>
    <row r="154" spans="3:16">
      <c r="C154" s="405"/>
      <c r="D154" s="411"/>
      <c r="E154" s="202"/>
      <c r="F154" s="200"/>
      <c r="H154" s="203"/>
      <c r="I154" s="186" t="str">
        <f t="shared" si="13"/>
        <v/>
      </c>
      <c r="J154" s="204" t="str">
        <f>IF($H154="USD",IF(OR($I154="",$I154="-"),"",VLOOKUP($G154,為替!$A:$AX,$I154,FALSE))+$J$3,IF(OR($I154="",$I154="-"),"",VLOOKUP($G154,為替!$A:$AX,$I154,FALSE)))</f>
        <v/>
      </c>
      <c r="K154" s="205" t="str">
        <f t="shared" si="14"/>
        <v/>
      </c>
      <c r="L154" s="189" t="str">
        <f t="shared" si="15"/>
        <v/>
      </c>
      <c r="M154" s="204" t="str">
        <f>IF($H154="USD",IF(OR($L154="",$L154="-"),"",VLOOKUP($G154,為替!$A:$AX,$L154,FALSE))+$K$3,IF(OR($L154="",$L154="-"),"",VLOOKUP($G154,為替!$A:$AX,$L154,FALSE)))</f>
        <v/>
      </c>
      <c r="N154" s="205" t="str">
        <f t="shared" si="16"/>
        <v/>
      </c>
      <c r="O154" s="206" t="str">
        <f t="shared" si="12"/>
        <v/>
      </c>
      <c r="P154" s="207" t="str">
        <f t="shared" si="17"/>
        <v/>
      </c>
    </row>
    <row r="155" spans="3:16">
      <c r="C155" s="405"/>
      <c r="D155" s="411"/>
      <c r="E155" s="202"/>
      <c r="F155" s="200"/>
      <c r="H155" s="203"/>
      <c r="I155" s="186" t="str">
        <f t="shared" si="13"/>
        <v/>
      </c>
      <c r="J155" s="204" t="str">
        <f>IF($H155="USD",IF(OR($I155="",$I155="-"),"",VLOOKUP($G155,為替!$A:$AX,$I155,FALSE))+$J$3,IF(OR($I155="",$I155="-"),"",VLOOKUP($G155,為替!$A:$AX,$I155,FALSE)))</f>
        <v/>
      </c>
      <c r="K155" s="205" t="str">
        <f t="shared" si="14"/>
        <v/>
      </c>
      <c r="L155" s="189" t="str">
        <f t="shared" si="15"/>
        <v/>
      </c>
      <c r="M155" s="204" t="str">
        <f>IF($H155="USD",IF(OR($L155="",$L155="-"),"",VLOOKUP($G155,為替!$A:$AX,$L155,FALSE))+$K$3,IF(OR($L155="",$L155="-"),"",VLOOKUP($G155,為替!$A:$AX,$L155,FALSE)))</f>
        <v/>
      </c>
      <c r="N155" s="205" t="str">
        <f t="shared" si="16"/>
        <v/>
      </c>
      <c r="O155" s="206" t="str">
        <f t="shared" si="12"/>
        <v/>
      </c>
      <c r="P155" s="207" t="str">
        <f t="shared" si="17"/>
        <v/>
      </c>
    </row>
    <row r="156" spans="3:16">
      <c r="C156" s="405"/>
      <c r="D156" s="411"/>
      <c r="E156" s="202"/>
      <c r="F156" s="200"/>
      <c r="H156" s="203"/>
      <c r="I156" s="186" t="str">
        <f t="shared" si="13"/>
        <v/>
      </c>
      <c r="J156" s="204" t="str">
        <f>IF($H156="USD",IF(OR($I156="",$I156="-"),"",VLOOKUP($G156,為替!$A:$AX,$I156,FALSE))+$J$3,IF(OR($I156="",$I156="-"),"",VLOOKUP($G156,為替!$A:$AX,$I156,FALSE)))</f>
        <v/>
      </c>
      <c r="K156" s="205" t="str">
        <f t="shared" si="14"/>
        <v/>
      </c>
      <c r="L156" s="189" t="str">
        <f t="shared" si="15"/>
        <v/>
      </c>
      <c r="M156" s="204" t="str">
        <f>IF($H156="USD",IF(OR($L156="",$L156="-"),"",VLOOKUP($G156,為替!$A:$AX,$L156,FALSE))+$K$3,IF(OR($L156="",$L156="-"),"",VLOOKUP($G156,為替!$A:$AX,$L156,FALSE)))</f>
        <v/>
      </c>
      <c r="N156" s="205" t="str">
        <f t="shared" si="16"/>
        <v/>
      </c>
      <c r="O156" s="206" t="str">
        <f t="shared" si="12"/>
        <v/>
      </c>
      <c r="P156" s="207" t="str">
        <f t="shared" si="17"/>
        <v/>
      </c>
    </row>
    <row r="157" spans="3:16">
      <c r="C157" s="405"/>
      <c r="D157" s="411"/>
      <c r="E157" s="202"/>
      <c r="F157" s="200"/>
      <c r="H157" s="203"/>
      <c r="I157" s="186" t="str">
        <f t="shared" si="13"/>
        <v/>
      </c>
      <c r="J157" s="204" t="str">
        <f>IF($H157="USD",IF(OR($I157="",$I157="-"),"",VLOOKUP($G157,為替!$A:$AX,$I157,FALSE))+$J$3,IF(OR($I157="",$I157="-"),"",VLOOKUP($G157,為替!$A:$AX,$I157,FALSE)))</f>
        <v/>
      </c>
      <c r="K157" s="205" t="str">
        <f t="shared" si="14"/>
        <v/>
      </c>
      <c r="L157" s="189" t="str">
        <f t="shared" si="15"/>
        <v/>
      </c>
      <c r="M157" s="204" t="str">
        <f>IF($H157="USD",IF(OR($L157="",$L157="-"),"",VLOOKUP($G157,為替!$A:$AX,$L157,FALSE))+$K$3,IF(OR($L157="",$L157="-"),"",VLOOKUP($G157,為替!$A:$AX,$L157,FALSE)))</f>
        <v/>
      </c>
      <c r="N157" s="205" t="str">
        <f t="shared" si="16"/>
        <v/>
      </c>
      <c r="O157" s="206" t="str">
        <f t="shared" si="12"/>
        <v/>
      </c>
      <c r="P157" s="207" t="str">
        <f t="shared" si="17"/>
        <v/>
      </c>
    </row>
    <row r="158" spans="3:16">
      <c r="C158" s="405"/>
      <c r="D158" s="411"/>
      <c r="E158" s="202"/>
      <c r="F158" s="200"/>
      <c r="H158" s="203"/>
      <c r="I158" s="186" t="str">
        <f t="shared" si="13"/>
        <v/>
      </c>
      <c r="J158" s="204" t="str">
        <f>IF($H158="USD",IF(OR($I158="",$I158="-"),"",VLOOKUP($G158,為替!$A:$AX,$I158,FALSE))+$J$3,IF(OR($I158="",$I158="-"),"",VLOOKUP($G158,為替!$A:$AX,$I158,FALSE)))</f>
        <v/>
      </c>
      <c r="K158" s="205" t="str">
        <f t="shared" si="14"/>
        <v/>
      </c>
      <c r="L158" s="189" t="str">
        <f t="shared" si="15"/>
        <v/>
      </c>
      <c r="M158" s="204" t="str">
        <f>IF($H158="USD",IF(OR($L158="",$L158="-"),"",VLOOKUP($G158,為替!$A:$AX,$L158,FALSE))+$K$3,IF(OR($L158="",$L158="-"),"",VLOOKUP($G158,為替!$A:$AX,$L158,FALSE)))</f>
        <v/>
      </c>
      <c r="N158" s="205" t="str">
        <f t="shared" si="16"/>
        <v/>
      </c>
      <c r="O158" s="206" t="str">
        <f t="shared" si="12"/>
        <v/>
      </c>
      <c r="P158" s="207" t="str">
        <f t="shared" si="17"/>
        <v/>
      </c>
    </row>
    <row r="159" spans="3:16">
      <c r="C159" s="405"/>
      <c r="D159" s="411"/>
      <c r="E159" s="202"/>
      <c r="F159" s="200"/>
      <c r="H159" s="203"/>
      <c r="I159" s="186" t="str">
        <f t="shared" si="13"/>
        <v/>
      </c>
      <c r="J159" s="204" t="str">
        <f>IF($H159="USD",IF(OR($I159="",$I159="-"),"",VLOOKUP($G159,為替!$A:$AX,$I159,FALSE))+$J$3,IF(OR($I159="",$I159="-"),"",VLOOKUP($G159,為替!$A:$AX,$I159,FALSE)))</f>
        <v/>
      </c>
      <c r="K159" s="205" t="str">
        <f t="shared" si="14"/>
        <v/>
      </c>
      <c r="L159" s="189" t="str">
        <f t="shared" si="15"/>
        <v/>
      </c>
      <c r="M159" s="204" t="str">
        <f>IF($H159="USD",IF(OR($L159="",$L159="-"),"",VLOOKUP($G159,為替!$A:$AX,$L159,FALSE))+$K$3,IF(OR($L159="",$L159="-"),"",VLOOKUP($G159,為替!$A:$AX,$L159,FALSE)))</f>
        <v/>
      </c>
      <c r="N159" s="205" t="str">
        <f t="shared" si="16"/>
        <v/>
      </c>
      <c r="O159" s="206" t="str">
        <f t="shared" si="12"/>
        <v/>
      </c>
      <c r="P159" s="207" t="str">
        <f t="shared" si="17"/>
        <v/>
      </c>
    </row>
    <row r="160" spans="3:16">
      <c r="C160" s="405"/>
      <c r="D160" s="411"/>
      <c r="E160" s="202"/>
      <c r="F160" s="200"/>
      <c r="H160" s="203"/>
      <c r="I160" s="186" t="str">
        <f t="shared" si="13"/>
        <v/>
      </c>
      <c r="J160" s="204" t="str">
        <f>IF($H160="USD",IF(OR($I160="",$I160="-"),"",VLOOKUP($G160,為替!$A:$AX,$I160,FALSE))+$J$3,IF(OR($I160="",$I160="-"),"",VLOOKUP($G160,為替!$A:$AX,$I160,FALSE)))</f>
        <v/>
      </c>
      <c r="K160" s="205" t="str">
        <f t="shared" si="14"/>
        <v/>
      </c>
      <c r="L160" s="189" t="str">
        <f t="shared" si="15"/>
        <v/>
      </c>
      <c r="M160" s="204" t="str">
        <f>IF($H160="USD",IF(OR($L160="",$L160="-"),"",VLOOKUP($G160,為替!$A:$AX,$L160,FALSE))+$K$3,IF(OR($L160="",$L160="-"),"",VLOOKUP($G160,為替!$A:$AX,$L160,FALSE)))</f>
        <v/>
      </c>
      <c r="N160" s="205" t="str">
        <f t="shared" si="16"/>
        <v/>
      </c>
      <c r="O160" s="206" t="str">
        <f t="shared" si="12"/>
        <v/>
      </c>
      <c r="P160" s="207" t="str">
        <f t="shared" si="17"/>
        <v/>
      </c>
    </row>
    <row r="161" spans="3:17">
      <c r="C161" s="405"/>
      <c r="D161" s="411"/>
      <c r="E161" s="202"/>
      <c r="F161" s="200"/>
      <c r="H161" s="203"/>
      <c r="I161" s="186" t="str">
        <f t="shared" si="13"/>
        <v/>
      </c>
      <c r="J161" s="204" t="str">
        <f>IF($H161="USD",IF(OR($I161="",$I161="-"),"",VLOOKUP($G161,為替!$A:$AX,$I161,FALSE))+$J$3,IF(OR($I161="",$I161="-"),"",VLOOKUP($G161,為替!$A:$AX,$I161,FALSE)))</f>
        <v/>
      </c>
      <c r="K161" s="205" t="str">
        <f t="shared" si="14"/>
        <v/>
      </c>
      <c r="L161" s="189" t="str">
        <f t="shared" si="15"/>
        <v/>
      </c>
      <c r="M161" s="204" t="str">
        <f>IF($H161="USD",IF(OR($L161="",$L161="-"),"",VLOOKUP($G161,為替!$A:$AX,$L161,FALSE))+$K$3,IF(OR($L161="",$L161="-"),"",VLOOKUP($G161,為替!$A:$AX,$L161,FALSE)))</f>
        <v/>
      </c>
      <c r="N161" s="205" t="str">
        <f t="shared" si="16"/>
        <v/>
      </c>
      <c r="O161" s="206" t="str">
        <f t="shared" si="12"/>
        <v/>
      </c>
      <c r="P161" s="207" t="str">
        <f t="shared" si="17"/>
        <v/>
      </c>
    </row>
    <row r="162" spans="3:17">
      <c r="C162" s="405"/>
      <c r="D162" s="411"/>
      <c r="E162" s="202"/>
      <c r="F162" s="200"/>
      <c r="H162" s="203"/>
      <c r="I162" s="186" t="str">
        <f t="shared" si="13"/>
        <v/>
      </c>
      <c r="J162" s="204" t="str">
        <f>IF($H162="USD",IF(OR($I162="",$I162="-"),"",VLOOKUP($G162,為替!$A:$AX,$I162,FALSE))+$J$3,IF(OR($I162="",$I162="-"),"",VLOOKUP($G162,為替!$A:$AX,$I162,FALSE)))</f>
        <v/>
      </c>
      <c r="K162" s="205" t="str">
        <f t="shared" si="14"/>
        <v/>
      </c>
      <c r="L162" s="189" t="str">
        <f t="shared" si="15"/>
        <v/>
      </c>
      <c r="M162" s="204" t="str">
        <f>IF($H162="USD",IF(OR($L162="",$L162="-"),"",VLOOKUP($G162,為替!$A:$AX,$L162,FALSE))+$K$3,IF(OR($L162="",$L162="-"),"",VLOOKUP($G162,為替!$A:$AX,$L162,FALSE)))</f>
        <v/>
      </c>
      <c r="N162" s="205" t="str">
        <f t="shared" si="16"/>
        <v/>
      </c>
      <c r="O162" s="206" t="str">
        <f t="shared" si="12"/>
        <v/>
      </c>
      <c r="P162" s="207" t="str">
        <f t="shared" si="17"/>
        <v/>
      </c>
    </row>
    <row r="163" spans="3:17">
      <c r="C163" s="405"/>
      <c r="D163" s="411"/>
      <c r="E163" s="202"/>
      <c r="F163" s="200"/>
      <c r="H163" s="203"/>
      <c r="I163" s="186" t="str">
        <f t="shared" si="13"/>
        <v/>
      </c>
      <c r="J163" s="204" t="str">
        <f>IF($H163="USD",IF(OR($I163="",$I163="-"),"",VLOOKUP($G163,為替!$A:$AX,$I163,FALSE))+$J$3,IF(OR($I163="",$I163="-"),"",VLOOKUP($G163,為替!$A:$AX,$I163,FALSE)))</f>
        <v/>
      </c>
      <c r="K163" s="205" t="str">
        <f t="shared" si="14"/>
        <v/>
      </c>
      <c r="L163" s="189" t="str">
        <f t="shared" si="15"/>
        <v/>
      </c>
      <c r="M163" s="204" t="str">
        <f>IF($H163="USD",IF(OR($L163="",$L163="-"),"",VLOOKUP($G163,為替!$A:$AX,$L163,FALSE))+$K$3,IF(OR($L163="",$L163="-"),"",VLOOKUP($G163,為替!$A:$AX,$L163,FALSE)))</f>
        <v/>
      </c>
      <c r="N163" s="205" t="str">
        <f t="shared" si="16"/>
        <v/>
      </c>
      <c r="O163" s="206" t="str">
        <f t="shared" si="12"/>
        <v/>
      </c>
      <c r="P163" s="207" t="str">
        <f t="shared" si="17"/>
        <v/>
      </c>
    </row>
    <row r="164" spans="3:17">
      <c r="C164" s="405"/>
      <c r="D164" s="411"/>
      <c r="E164" s="202"/>
      <c r="F164" s="200"/>
      <c r="H164" s="203"/>
      <c r="I164" s="186" t="str">
        <f t="shared" si="13"/>
        <v/>
      </c>
      <c r="J164" s="204" t="str">
        <f>IF($H164="USD",IF(OR($I164="",$I164="-"),"",VLOOKUP($G164,為替!$A:$AX,$I164,FALSE))+$J$3,IF(OR($I164="",$I164="-"),"",VLOOKUP($G164,為替!$A:$AX,$I164,FALSE)))</f>
        <v/>
      </c>
      <c r="K164" s="205" t="str">
        <f t="shared" si="14"/>
        <v/>
      </c>
      <c r="L164" s="189" t="str">
        <f t="shared" si="15"/>
        <v/>
      </c>
      <c r="M164" s="204" t="str">
        <f>IF($H164="USD",IF(OR($L164="",$L164="-"),"",VLOOKUP($G164,為替!$A:$AX,$L164,FALSE))+$K$3,IF(OR($L164="",$L164="-"),"",VLOOKUP($G164,為替!$A:$AX,$L164,FALSE)))</f>
        <v/>
      </c>
      <c r="N164" s="205" t="str">
        <f t="shared" si="16"/>
        <v/>
      </c>
      <c r="O164" s="206" t="str">
        <f t="shared" si="12"/>
        <v/>
      </c>
      <c r="P164" s="207" t="str">
        <f t="shared" si="17"/>
        <v/>
      </c>
    </row>
    <row r="165" spans="3:17">
      <c r="C165" s="405"/>
      <c r="D165" s="411"/>
      <c r="E165" s="202"/>
      <c r="F165" s="200"/>
      <c r="H165" s="203"/>
      <c r="I165" s="186" t="str">
        <f t="shared" si="13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 t="str">
        <f t="shared" si="14"/>
        <v/>
      </c>
      <c r="L165" s="189" t="str">
        <f t="shared" si="15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 t="str">
        <f t="shared" si="16"/>
        <v/>
      </c>
      <c r="O165" s="206" t="str">
        <f t="shared" si="12"/>
        <v/>
      </c>
      <c r="P165" s="207" t="str">
        <f t="shared" si="17"/>
        <v/>
      </c>
    </row>
    <row r="166" spans="3:17">
      <c r="C166" s="405"/>
      <c r="D166" s="411"/>
      <c r="E166" s="202"/>
      <c r="F166" s="200"/>
      <c r="H166" s="203"/>
      <c r="I166" s="186" t="str">
        <f t="shared" si="13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 t="str">
        <f t="shared" si="14"/>
        <v/>
      </c>
      <c r="L166" s="189" t="str">
        <f t="shared" si="15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 t="str">
        <f t="shared" si="16"/>
        <v/>
      </c>
      <c r="O166" s="206" t="str">
        <f t="shared" si="12"/>
        <v/>
      </c>
      <c r="P166" s="207" t="str">
        <f t="shared" si="17"/>
        <v/>
      </c>
    </row>
    <row r="167" spans="3:17">
      <c r="C167" s="405"/>
      <c r="D167" s="411"/>
      <c r="E167" s="202"/>
      <c r="F167" s="200"/>
      <c r="H167" s="203"/>
      <c r="I167" s="186" t="str">
        <f t="shared" si="13"/>
        <v/>
      </c>
      <c r="J167" s="204" t="str">
        <f>IF($H167="USD",IF(OR($I167="",$I167="-"),"",VLOOKUP($G167,為替!$A:$AX,$I167,FALSE))+$J$3,IF(OR($I167="",$I167="-"),"",VLOOKUP($G167,為替!$A:$AX,$I167,FALSE)))</f>
        <v/>
      </c>
      <c r="K167" s="205" t="str">
        <f t="shared" si="14"/>
        <v/>
      </c>
      <c r="L167" s="189" t="str">
        <f t="shared" si="15"/>
        <v/>
      </c>
      <c r="M167" s="204" t="str">
        <f>IF($H167="USD",IF(OR($L167="",$L167="-"),"",VLOOKUP($G167,為替!$A:$AX,$L167,FALSE))+$K$3,IF(OR($L167="",$L167="-"),"",VLOOKUP($G167,為替!$A:$AX,$L167,FALSE)))</f>
        <v/>
      </c>
      <c r="N167" s="205" t="str">
        <f t="shared" si="16"/>
        <v/>
      </c>
      <c r="O167" s="206" t="str">
        <f t="shared" si="12"/>
        <v/>
      </c>
      <c r="P167" s="207" t="str">
        <f t="shared" si="17"/>
        <v/>
      </c>
    </row>
    <row r="168" spans="3:17">
      <c r="C168" s="405"/>
      <c r="D168" s="411"/>
      <c r="E168" s="202"/>
      <c r="F168" s="200"/>
      <c r="H168" s="203"/>
      <c r="I168" s="186" t="str">
        <f t="shared" si="13"/>
        <v/>
      </c>
      <c r="J168" s="204" t="str">
        <f>IF($H168="USD",IF(OR($I168="",$I168="-"),"",VLOOKUP($G168,為替!$A:$AX,$I168,FALSE))+$J$3,IF(OR($I168="",$I168="-"),"",VLOOKUP($G168,為替!$A:$AX,$I168,FALSE)))</f>
        <v/>
      </c>
      <c r="K168" s="205" t="str">
        <f t="shared" si="14"/>
        <v/>
      </c>
      <c r="L168" s="189" t="str">
        <f t="shared" si="15"/>
        <v/>
      </c>
      <c r="M168" s="204" t="str">
        <f>IF($H168="USD",IF(OR($L168="",$L168="-"),"",VLOOKUP($G168,為替!$A:$AX,$L168,FALSE))+$K$3,IF(OR($L168="",$L168="-"),"",VLOOKUP($G168,為替!$A:$AX,$L168,FALSE)))</f>
        <v/>
      </c>
      <c r="N168" s="205" t="str">
        <f t="shared" si="16"/>
        <v/>
      </c>
      <c r="O168" s="206" t="str">
        <f t="shared" si="12"/>
        <v/>
      </c>
      <c r="P168" s="207" t="str">
        <f t="shared" si="17"/>
        <v/>
      </c>
    </row>
    <row r="169" spans="3:17">
      <c r="C169" s="405"/>
      <c r="D169" s="411"/>
      <c r="E169" s="202"/>
      <c r="F169" s="200"/>
      <c r="H169" s="203"/>
      <c r="I169" s="186" t="str">
        <f t="shared" si="13"/>
        <v/>
      </c>
      <c r="J169" s="204" t="str">
        <f>IF($H169="USD",IF(OR($I169="",$I169="-"),"",VLOOKUP($G169,為替!$A:$AX,$I169,FALSE))+$J$3,IF(OR($I169="",$I169="-"),"",VLOOKUP($G169,為替!$A:$AX,$I169,FALSE)))</f>
        <v/>
      </c>
      <c r="K169" s="205" t="str">
        <f t="shared" si="14"/>
        <v/>
      </c>
      <c r="L169" s="189" t="str">
        <f t="shared" si="15"/>
        <v/>
      </c>
      <c r="M169" s="204" t="str">
        <f>IF($H169="USD",IF(OR($L169="",$L169="-"),"",VLOOKUP($G169,為替!$A:$AX,$L169,FALSE))+$K$3,IF(OR($L169="",$L169="-"),"",VLOOKUP($G169,為替!$A:$AX,$L169,FALSE)))</f>
        <v/>
      </c>
      <c r="N169" s="205" t="str">
        <f t="shared" si="16"/>
        <v/>
      </c>
      <c r="O169" s="206" t="str">
        <f t="shared" si="12"/>
        <v/>
      </c>
      <c r="P169" s="207" t="str">
        <f t="shared" si="17"/>
        <v/>
      </c>
    </row>
    <row r="170" spans="3:17">
      <c r="C170" s="405"/>
      <c r="D170" s="411"/>
      <c r="E170" s="202"/>
      <c r="F170" s="200"/>
      <c r="H170" s="203"/>
      <c r="I170" s="186" t="str">
        <f t="shared" si="13"/>
        <v/>
      </c>
      <c r="J170" s="204" t="str">
        <f>IF($H170="USD",IF(OR($I170="",$I170="-"),"",VLOOKUP($G170,為替!$A:$AX,$I170,FALSE))+$J$3,IF(OR($I170="",$I170="-"),"",VLOOKUP($G170,為替!$A:$AX,$I170,FALSE)))</f>
        <v/>
      </c>
      <c r="K170" s="205" t="str">
        <f t="shared" si="14"/>
        <v/>
      </c>
      <c r="L170" s="189" t="str">
        <f t="shared" si="15"/>
        <v/>
      </c>
      <c r="M170" s="204" t="str">
        <f>IF($H170="USD",IF(OR($L170="",$L170="-"),"",VLOOKUP($G170,為替!$A:$AX,$L170,FALSE))+$K$3,IF(OR($L170="",$L170="-"),"",VLOOKUP($G170,為替!$A:$AX,$L170,FALSE)))</f>
        <v/>
      </c>
      <c r="N170" s="205" t="str">
        <f t="shared" si="16"/>
        <v/>
      </c>
      <c r="O170" s="206" t="str">
        <f t="shared" si="12"/>
        <v/>
      </c>
      <c r="P170" s="207" t="str">
        <f t="shared" si="17"/>
        <v/>
      </c>
    </row>
    <row r="171" spans="3:17">
      <c r="C171" s="405"/>
      <c r="D171" s="411"/>
      <c r="E171" s="202"/>
      <c r="F171" s="200"/>
      <c r="H171" s="203"/>
      <c r="I171" s="186" t="str">
        <f t="shared" si="13"/>
        <v/>
      </c>
      <c r="J171" s="204" t="str">
        <f>IF($H171="USD",IF(OR($I171="",$I171="-"),"",VLOOKUP($G171,為替!$A:$AX,$I171,FALSE))+$J$3,IF(OR($I171="",$I171="-"),"",VLOOKUP($G171,為替!$A:$AX,$I171,FALSE)))</f>
        <v/>
      </c>
      <c r="K171" s="205" t="str">
        <f t="shared" si="14"/>
        <v/>
      </c>
      <c r="L171" s="189" t="str">
        <f t="shared" si="15"/>
        <v/>
      </c>
      <c r="M171" s="204" t="str">
        <f>IF($H171="USD",IF(OR($L171="",$L171="-"),"",VLOOKUP($G171,為替!$A:$AX,$L171,FALSE))+$K$3,IF(OR($L171="",$L171="-"),"",VLOOKUP($G171,為替!$A:$AX,$L171,FALSE)))</f>
        <v/>
      </c>
      <c r="N171" s="205" t="str">
        <f t="shared" si="16"/>
        <v/>
      </c>
      <c r="O171" s="206" t="str">
        <f t="shared" si="12"/>
        <v/>
      </c>
      <c r="P171" s="207" t="str">
        <f t="shared" si="17"/>
        <v/>
      </c>
      <c r="Q171" s="163" t="s">
        <v>301</v>
      </c>
    </row>
    <row r="172" spans="3:17">
      <c r="C172" s="405"/>
      <c r="D172" s="411"/>
      <c r="E172" s="202"/>
      <c r="F172" s="200"/>
      <c r="H172" s="203"/>
      <c r="I172" s="186" t="str">
        <f t="shared" si="13"/>
        <v/>
      </c>
      <c r="J172" s="204" t="str">
        <f>IF($H172="USD",IF(OR($I172="",$I172="-"),"",VLOOKUP($G172,為替!$A:$AX,$I172,FALSE))+$J$3,IF(OR($I172="",$I172="-"),"",VLOOKUP($G172,為替!$A:$AX,$I172,FALSE)))</f>
        <v/>
      </c>
      <c r="K172" s="205" t="str">
        <f t="shared" si="14"/>
        <v/>
      </c>
      <c r="L172" s="189" t="str">
        <f t="shared" si="15"/>
        <v/>
      </c>
      <c r="M172" s="204" t="str">
        <f>IF($H172="USD",IF(OR($L172="",$L172="-"),"",VLOOKUP($G172,為替!$A:$AX,$L172,FALSE))+$K$3,IF(OR($L172="",$L172="-"),"",VLOOKUP($G172,為替!$A:$AX,$L172,FALSE)))</f>
        <v/>
      </c>
      <c r="N172" s="205" t="str">
        <f t="shared" si="16"/>
        <v/>
      </c>
      <c r="O172" s="206" t="str">
        <f t="shared" si="12"/>
        <v/>
      </c>
      <c r="P172" s="207" t="str">
        <f t="shared" si="17"/>
        <v/>
      </c>
      <c r="Q172" s="163" t="s">
        <v>298</v>
      </c>
    </row>
    <row r="173" spans="3:17">
      <c r="C173" s="405"/>
      <c r="D173" s="411"/>
      <c r="E173" s="202"/>
      <c r="F173" s="200"/>
      <c r="H173" s="203"/>
      <c r="I173" s="186" t="str">
        <f t="shared" si="13"/>
        <v/>
      </c>
      <c r="J173" s="204" t="str">
        <f>IF($H173="USD",IF(OR($I173="",$I173="-"),"",VLOOKUP($G173,為替!$A:$AX,$I173,FALSE))+$J$3,IF(OR($I173="",$I173="-"),"",VLOOKUP($G173,為替!$A:$AX,$I173,FALSE)))</f>
        <v/>
      </c>
      <c r="K173" s="205" t="str">
        <f t="shared" si="14"/>
        <v/>
      </c>
      <c r="L173" s="189" t="str">
        <f t="shared" si="15"/>
        <v/>
      </c>
      <c r="M173" s="204" t="str">
        <f>IF($H173="USD",IF(OR($L173="",$L173="-"),"",VLOOKUP($G173,為替!$A:$AX,$L173,FALSE))+$K$3,IF(OR($L173="",$L173="-"),"",VLOOKUP($G173,為替!$A:$AX,$L173,FALSE)))</f>
        <v/>
      </c>
      <c r="N173" s="205" t="str">
        <f t="shared" si="16"/>
        <v/>
      </c>
      <c r="O173" s="206" t="str">
        <f t="shared" si="12"/>
        <v/>
      </c>
      <c r="P173" s="207" t="str">
        <f t="shared" si="17"/>
        <v/>
      </c>
      <c r="Q173" s="163" t="s">
        <v>297</v>
      </c>
    </row>
    <row r="174" spans="3:17">
      <c r="C174" s="405"/>
      <c r="D174" s="411"/>
      <c r="E174" s="202"/>
      <c r="F174" s="200"/>
      <c r="H174" s="203"/>
      <c r="I174" s="186" t="str">
        <f t="shared" si="13"/>
        <v/>
      </c>
      <c r="J174" s="204" t="str">
        <f>IF($H174="USD",IF(OR($I174="",$I174="-"),"",VLOOKUP($G174,為替!$A:$AX,$I174,FALSE))+$J$3,IF(OR($I174="",$I174="-"),"",VLOOKUP($G174,為替!$A:$AX,$I174,FALSE)))</f>
        <v/>
      </c>
      <c r="K174" s="205" t="str">
        <f t="shared" si="14"/>
        <v/>
      </c>
      <c r="L174" s="189" t="str">
        <f t="shared" si="15"/>
        <v/>
      </c>
      <c r="M174" s="204" t="str">
        <f>IF($H174="USD",IF(OR($L174="",$L174="-"),"",VLOOKUP($G174,為替!$A:$AX,$L174,FALSE))+$K$3,IF(OR($L174="",$L174="-"),"",VLOOKUP($G174,為替!$A:$AX,$L174,FALSE)))</f>
        <v/>
      </c>
      <c r="N174" s="205" t="str">
        <f t="shared" si="16"/>
        <v/>
      </c>
      <c r="O174" s="206" t="str">
        <f t="shared" si="12"/>
        <v/>
      </c>
      <c r="P174" s="207" t="str">
        <f t="shared" si="17"/>
        <v/>
      </c>
      <c r="Q174" s="163" t="s">
        <v>299</v>
      </c>
    </row>
    <row r="175" spans="3:17">
      <c r="C175" s="405"/>
      <c r="D175" s="411"/>
      <c r="E175" s="202"/>
      <c r="F175" s="200"/>
      <c r="H175" s="203"/>
      <c r="I175" s="186" t="str">
        <f t="shared" si="13"/>
        <v/>
      </c>
      <c r="J175" s="204" t="str">
        <f>IF($H175="USD",IF(OR($I175="",$I175="-"),"",VLOOKUP($G175,為替!$A:$AX,$I175,FALSE))+$J$3,IF(OR($I175="",$I175="-"),"",VLOOKUP($G175,為替!$A:$AX,$I175,FALSE)))</f>
        <v/>
      </c>
      <c r="K175" s="205" t="str">
        <f t="shared" si="14"/>
        <v/>
      </c>
      <c r="L175" s="189" t="str">
        <f t="shared" si="15"/>
        <v/>
      </c>
      <c r="M175" s="204" t="str">
        <f>IF($H175="USD",IF(OR($L175="",$L175="-"),"",VLOOKUP($G175,為替!$A:$AX,$L175,FALSE))+$K$3,IF(OR($L175="",$L175="-"),"",VLOOKUP($G175,為替!$A:$AX,$L175,FALSE)))</f>
        <v/>
      </c>
      <c r="N175" s="205" t="str">
        <f t="shared" si="16"/>
        <v/>
      </c>
      <c r="O175" s="206" t="str">
        <f t="shared" si="12"/>
        <v/>
      </c>
      <c r="P175" s="207" t="str">
        <f t="shared" si="17"/>
        <v/>
      </c>
      <c r="Q175" s="163" t="s">
        <v>302</v>
      </c>
    </row>
    <row r="176" spans="3:17">
      <c r="C176" s="405"/>
      <c r="D176" s="411"/>
      <c r="E176" s="202"/>
      <c r="F176" s="200"/>
      <c r="H176" s="203"/>
      <c r="I176" s="186" t="str">
        <f t="shared" si="13"/>
        <v/>
      </c>
      <c r="J176" s="204" t="str">
        <f>IF($H176="USD",IF(OR($I176="",$I176="-"),"",VLOOKUP($G176,為替!$A:$AX,$I176,FALSE))+$J$3,IF(OR($I176="",$I176="-"),"",VLOOKUP($G176,為替!$A:$AX,$I176,FALSE)))</f>
        <v/>
      </c>
      <c r="K176" s="205" t="str">
        <f t="shared" si="14"/>
        <v/>
      </c>
      <c r="L176" s="189" t="str">
        <f t="shared" si="15"/>
        <v/>
      </c>
      <c r="M176" s="204" t="str">
        <f>IF($H176="USD",IF(OR($L176="",$L176="-"),"",VLOOKUP($G176,為替!$A:$AX,$L176,FALSE))+$K$3,IF(OR($L176="",$L176="-"),"",VLOOKUP($G176,為替!$A:$AX,$L176,FALSE)))</f>
        <v/>
      </c>
      <c r="N176" s="205" t="str">
        <f t="shared" si="16"/>
        <v/>
      </c>
      <c r="O176" s="206" t="str">
        <f t="shared" si="12"/>
        <v/>
      </c>
      <c r="P176" s="207" t="str">
        <f t="shared" si="17"/>
        <v/>
      </c>
      <c r="Q176" s="163" t="s">
        <v>300</v>
      </c>
    </row>
    <row r="177" spans="3:17">
      <c r="C177" s="405"/>
      <c r="D177" s="201"/>
      <c r="E177" s="202"/>
      <c r="F177" s="200"/>
      <c r="H177" s="203"/>
      <c r="I177" s="186" t="str">
        <f t="shared" si="13"/>
        <v/>
      </c>
      <c r="J177" s="204" t="str">
        <f>IF($H177="USD",IF(OR($I177="",$I177="-"),"",VLOOKUP($G177,為替!$A:$AX,$I177,FALSE))+$J$3,IF(OR($I177="",$I177="-"),"",VLOOKUP($G177,為替!$A:$AX,$I177,FALSE)))</f>
        <v/>
      </c>
      <c r="K177" s="205" t="str">
        <f t="shared" si="14"/>
        <v/>
      </c>
      <c r="L177" s="189" t="str">
        <f t="shared" si="15"/>
        <v/>
      </c>
      <c r="M177" s="204" t="str">
        <f>IF($H177="USD",IF(OR($L177="",$L177="-"),"",VLOOKUP($G177,為替!$A:$AX,$L177,FALSE))+$K$3,IF(OR($L177="",$L177="-"),"",VLOOKUP($G177,為替!$A:$AX,$L177,FALSE)))</f>
        <v/>
      </c>
      <c r="N177" s="205" t="str">
        <f t="shared" si="16"/>
        <v/>
      </c>
      <c r="O177" s="206" t="str">
        <f t="shared" si="12"/>
        <v/>
      </c>
      <c r="P177" s="207" t="str">
        <f t="shared" si="17"/>
        <v/>
      </c>
      <c r="Q177" s="163" t="s">
        <v>75</v>
      </c>
    </row>
    <row r="178" spans="3:17">
      <c r="C178" s="405"/>
      <c r="D178" s="411"/>
      <c r="E178" s="202"/>
      <c r="F178" s="200"/>
      <c r="H178" s="203"/>
      <c r="I178" s="186" t="str">
        <f t="shared" si="13"/>
        <v/>
      </c>
      <c r="J178" s="204" t="str">
        <f>IF($H178="USD",IF(OR($I178="",$I178="-"),"",VLOOKUP($G178,為替!$A:$AX,$I178,FALSE))+$J$3,IF(OR($I178="",$I178="-"),"",VLOOKUP($G178,為替!$A:$AX,$I178,FALSE)))</f>
        <v/>
      </c>
      <c r="K178" s="205" t="str">
        <f t="shared" si="14"/>
        <v/>
      </c>
      <c r="L178" s="189" t="str">
        <f t="shared" si="15"/>
        <v/>
      </c>
      <c r="M178" s="204" t="str">
        <f>IF($H178="USD",IF(OR($L178="",$L178="-"),"",VLOOKUP($G178,為替!$A:$AX,$L178,FALSE))+$K$3,IF(OR($L178="",$L178="-"),"",VLOOKUP($G178,為替!$A:$AX,$L178,FALSE)))</f>
        <v/>
      </c>
      <c r="N178" s="205" t="str">
        <f t="shared" si="16"/>
        <v/>
      </c>
      <c r="O178" s="206" t="str">
        <f t="shared" si="12"/>
        <v/>
      </c>
      <c r="P178" s="207" t="str">
        <f t="shared" si="17"/>
        <v/>
      </c>
    </row>
    <row r="179" spans="3:17">
      <c r="C179" s="405"/>
      <c r="D179" s="411"/>
      <c r="E179" s="202"/>
      <c r="F179" s="200"/>
      <c r="H179" s="203"/>
      <c r="I179" s="186" t="str">
        <f t="shared" si="13"/>
        <v/>
      </c>
      <c r="J179" s="204" t="str">
        <f>IF($H179="USD",IF(OR($I179="",$I179="-"),"",VLOOKUP($G179,為替!$A:$AX,$I179,FALSE))+$J$3,IF(OR($I179="",$I179="-"),"",VLOOKUP($G179,為替!$A:$AX,$I179,FALSE)))</f>
        <v/>
      </c>
      <c r="K179" s="205" t="str">
        <f t="shared" si="14"/>
        <v/>
      </c>
      <c r="L179" s="189" t="str">
        <f t="shared" si="15"/>
        <v/>
      </c>
      <c r="M179" s="204" t="str">
        <f>IF($H179="USD",IF(OR($L179="",$L179="-"),"",VLOOKUP($G179,為替!$A:$AX,$L179,FALSE))+$K$3,IF(OR($L179="",$L179="-"),"",VLOOKUP($G179,為替!$A:$AX,$L179,FALSE)))</f>
        <v/>
      </c>
      <c r="N179" s="205" t="str">
        <f t="shared" si="16"/>
        <v/>
      </c>
      <c r="O179" s="206" t="str">
        <f t="shared" si="12"/>
        <v/>
      </c>
      <c r="P179" s="207" t="str">
        <f t="shared" si="17"/>
        <v/>
      </c>
    </row>
    <row r="180" spans="3:17">
      <c r="C180" s="405"/>
      <c r="D180" s="411"/>
      <c r="E180" s="202"/>
      <c r="F180" s="200"/>
      <c r="H180" s="203"/>
      <c r="I180" s="186" t="str">
        <f t="shared" si="13"/>
        <v/>
      </c>
      <c r="J180" s="204" t="str">
        <f>IF($H180="USD",IF(OR($I180="",$I180="-"),"",VLOOKUP($G180,為替!$A:$AX,$I180,FALSE))+$J$3,IF(OR($I180="",$I180="-"),"",VLOOKUP($G180,為替!$A:$AX,$I180,FALSE)))</f>
        <v/>
      </c>
      <c r="K180" s="205" t="str">
        <f t="shared" si="14"/>
        <v/>
      </c>
      <c r="L180" s="189" t="str">
        <f t="shared" si="15"/>
        <v/>
      </c>
      <c r="M180" s="204" t="str">
        <f>IF($H180="USD",IF(OR($L180="",$L180="-"),"",VLOOKUP($G180,為替!$A:$AX,$L180,FALSE))+$K$3,IF(OR($L180="",$L180="-"),"",VLOOKUP($G180,為替!$A:$AX,$L180,FALSE)))</f>
        <v/>
      </c>
      <c r="N180" s="205" t="str">
        <f t="shared" si="16"/>
        <v/>
      </c>
      <c r="O180" s="206" t="str">
        <f t="shared" si="12"/>
        <v/>
      </c>
      <c r="P180" s="207" t="str">
        <f t="shared" si="17"/>
        <v/>
      </c>
    </row>
    <row r="181" spans="3:17">
      <c r="C181" s="405"/>
      <c r="D181" s="411"/>
      <c r="E181" s="202"/>
      <c r="F181" s="200"/>
      <c r="H181" s="203"/>
      <c r="I181" s="186" t="str">
        <f t="shared" si="13"/>
        <v/>
      </c>
      <c r="J181" s="204" t="str">
        <f>IF($H181="USD",IF(OR($I181="",$I181="-"),"",VLOOKUP($G181,為替!$A:$AX,$I181,FALSE))+$J$3,IF(OR($I181="",$I181="-"),"",VLOOKUP($G181,為替!$A:$AX,$I181,FALSE)))</f>
        <v/>
      </c>
      <c r="K181" s="205" t="str">
        <f t="shared" si="14"/>
        <v/>
      </c>
      <c r="L181" s="189" t="str">
        <f t="shared" si="15"/>
        <v/>
      </c>
      <c r="M181" s="204" t="str">
        <f>IF($H181="USD",IF(OR($L181="",$L181="-"),"",VLOOKUP($G181,為替!$A:$AX,$L181,FALSE))+$K$3,IF(OR($L181="",$L181="-"),"",VLOOKUP($G181,為替!$A:$AX,$L181,FALSE)))</f>
        <v/>
      </c>
      <c r="N181" s="205" t="str">
        <f t="shared" si="16"/>
        <v/>
      </c>
      <c r="O181" s="206" t="str">
        <f t="shared" si="12"/>
        <v/>
      </c>
      <c r="P181" s="207" t="str">
        <f t="shared" si="17"/>
        <v/>
      </c>
    </row>
    <row r="182" spans="3:17">
      <c r="C182" s="405"/>
      <c r="D182" s="411"/>
      <c r="E182" s="202"/>
      <c r="F182" s="200"/>
      <c r="H182" s="203"/>
      <c r="I182" s="186" t="str">
        <f t="shared" si="13"/>
        <v/>
      </c>
      <c r="J182" s="204" t="str">
        <f>IF($H182="USD",IF(OR($I182="",$I182="-"),"",VLOOKUP($G182,為替!$A:$AX,$I182,FALSE))+$J$3,IF(OR($I182="",$I182="-"),"",VLOOKUP($G182,為替!$A:$AX,$I182,FALSE)))</f>
        <v/>
      </c>
      <c r="K182" s="205" t="str">
        <f t="shared" si="14"/>
        <v/>
      </c>
      <c r="L182" s="189" t="str">
        <f t="shared" si="15"/>
        <v/>
      </c>
      <c r="M182" s="204" t="str">
        <f>IF($H182="USD",IF(OR($L182="",$L182="-"),"",VLOOKUP($G182,為替!$A:$AX,$L182,FALSE))+$K$3,IF(OR($L182="",$L182="-"),"",VLOOKUP($G182,為替!$A:$AX,$L182,FALSE)))</f>
        <v/>
      </c>
      <c r="N182" s="205" t="str">
        <f t="shared" si="16"/>
        <v/>
      </c>
      <c r="O182" s="206" t="str">
        <f t="shared" si="12"/>
        <v/>
      </c>
      <c r="P182" s="207" t="str">
        <f t="shared" si="17"/>
        <v/>
      </c>
    </row>
    <row r="183" spans="3:17">
      <c r="C183" s="405"/>
      <c r="D183" s="411"/>
      <c r="E183" s="202"/>
      <c r="F183" s="200"/>
      <c r="H183" s="203"/>
      <c r="I183" s="186" t="str">
        <f t="shared" si="13"/>
        <v/>
      </c>
      <c r="J183" s="204" t="str">
        <f>IF($H183="USD",IF(OR($I183="",$I183="-"),"",VLOOKUP($G183,為替!$A:$AX,$I183,FALSE))+$J$3,IF(OR($I183="",$I183="-"),"",VLOOKUP($G183,為替!$A:$AX,$I183,FALSE)))</f>
        <v/>
      </c>
      <c r="K183" s="205" t="str">
        <f t="shared" si="14"/>
        <v/>
      </c>
      <c r="L183" s="189" t="str">
        <f t="shared" si="15"/>
        <v/>
      </c>
      <c r="M183" s="204" t="str">
        <f>IF($H183="USD",IF(OR($L183="",$L183="-"),"",VLOOKUP($G183,為替!$A:$AX,$L183,FALSE))+$K$3,IF(OR($L183="",$L183="-"),"",VLOOKUP($G183,為替!$A:$AX,$L183,FALSE)))</f>
        <v/>
      </c>
      <c r="N183" s="205" t="str">
        <f t="shared" si="16"/>
        <v/>
      </c>
      <c r="O183" s="206" t="str">
        <f t="shared" si="12"/>
        <v/>
      </c>
      <c r="P183" s="207" t="str">
        <f t="shared" si="17"/>
        <v/>
      </c>
    </row>
    <row r="184" spans="3:17">
      <c r="C184" s="405"/>
      <c r="D184" s="411"/>
      <c r="E184" s="202"/>
      <c r="F184" s="200"/>
      <c r="H184" s="203"/>
      <c r="I184" s="186" t="str">
        <f t="shared" si="13"/>
        <v/>
      </c>
      <c r="J184" s="204" t="str">
        <f>IF($H184="USD",IF(OR($I184="",$I184="-"),"",VLOOKUP($G184,為替!$A:$AX,$I184,FALSE))+$J$3,IF(OR($I184="",$I184="-"),"",VLOOKUP($G184,為替!$A:$AX,$I184,FALSE)))</f>
        <v/>
      </c>
      <c r="K184" s="205" t="str">
        <f t="shared" si="14"/>
        <v/>
      </c>
      <c r="L184" s="189" t="str">
        <f t="shared" si="15"/>
        <v/>
      </c>
      <c r="M184" s="204" t="str">
        <f>IF($H184="USD",IF(OR($L184="",$L184="-"),"",VLOOKUP($G184,為替!$A:$AX,$L184,FALSE))+$K$3,IF(OR($L184="",$L184="-"),"",VLOOKUP($G184,為替!$A:$AX,$L184,FALSE)))</f>
        <v/>
      </c>
      <c r="N184" s="205" t="str">
        <f t="shared" si="16"/>
        <v/>
      </c>
      <c r="O184" s="206" t="str">
        <f t="shared" si="12"/>
        <v/>
      </c>
      <c r="P184" s="207" t="str">
        <f t="shared" si="17"/>
        <v/>
      </c>
    </row>
    <row r="185" spans="3:17">
      <c r="C185" s="405"/>
      <c r="D185" s="411"/>
      <c r="E185" s="202"/>
      <c r="F185" s="200"/>
      <c r="H185" s="203"/>
      <c r="I185" s="186" t="str">
        <f t="shared" si="13"/>
        <v/>
      </c>
      <c r="J185" s="204" t="str">
        <f>IF($H185="USD",IF(OR($I185="",$I185="-"),"",VLOOKUP($G185,為替!$A:$AX,$I185,FALSE))+$J$3,IF(OR($I185="",$I185="-"),"",VLOOKUP($G185,為替!$A:$AX,$I185,FALSE)))</f>
        <v/>
      </c>
      <c r="K185" s="205" t="str">
        <f t="shared" si="14"/>
        <v/>
      </c>
      <c r="L185" s="189" t="str">
        <f t="shared" si="15"/>
        <v/>
      </c>
      <c r="M185" s="204" t="str">
        <f>IF($H185="USD",IF(OR($L185="",$L185="-"),"",VLOOKUP($G185,為替!$A:$AX,$L185,FALSE))+$K$3,IF(OR($L185="",$L185="-"),"",VLOOKUP($G185,為替!$A:$AX,$L185,FALSE)))</f>
        <v/>
      </c>
      <c r="N185" s="205" t="str">
        <f t="shared" si="16"/>
        <v/>
      </c>
      <c r="O185" s="206" t="str">
        <f t="shared" si="12"/>
        <v/>
      </c>
      <c r="P185" s="207" t="str">
        <f t="shared" si="17"/>
        <v/>
      </c>
    </row>
    <row r="186" spans="3:17">
      <c r="C186" s="405"/>
      <c r="D186" s="411"/>
      <c r="E186" s="202"/>
      <c r="F186" s="200"/>
      <c r="H186" s="203"/>
      <c r="I186" s="186" t="str">
        <f t="shared" si="13"/>
        <v/>
      </c>
      <c r="J186" s="204" t="str">
        <f>IF($H186="USD",IF(OR($I186="",$I186="-"),"",VLOOKUP($G186,為替!$A:$AX,$I186,FALSE))+$J$3,IF(OR($I186="",$I186="-"),"",VLOOKUP($G186,為替!$A:$AX,$I186,FALSE)))</f>
        <v/>
      </c>
      <c r="K186" s="205" t="str">
        <f t="shared" si="14"/>
        <v/>
      </c>
      <c r="L186" s="189" t="str">
        <f t="shared" si="15"/>
        <v/>
      </c>
      <c r="M186" s="204" t="str">
        <f>IF($H186="USD",IF(OR($L186="",$L186="-"),"",VLOOKUP($G186,為替!$A:$AX,$L186,FALSE))+$K$3,IF(OR($L186="",$L186="-"),"",VLOOKUP($G186,為替!$A:$AX,$L186,FALSE)))</f>
        <v/>
      </c>
      <c r="N186" s="205" t="str">
        <f t="shared" si="16"/>
        <v/>
      </c>
      <c r="O186" s="206" t="str">
        <f t="shared" si="12"/>
        <v/>
      </c>
      <c r="P186" s="207" t="str">
        <f t="shared" si="17"/>
        <v/>
      </c>
    </row>
    <row r="187" spans="3:17">
      <c r="C187" s="405"/>
      <c r="D187" s="411"/>
      <c r="E187" s="202"/>
      <c r="F187" s="200"/>
      <c r="H187" s="203"/>
      <c r="I187" s="186" t="str">
        <f t="shared" si="13"/>
        <v/>
      </c>
      <c r="J187" s="204" t="str">
        <f>IF($H187="USD",IF(OR($I187="",$I187="-"),"",VLOOKUP($G187,為替!$A:$AX,$I187,FALSE))+$J$3,IF(OR($I187="",$I187="-"),"",VLOOKUP($G187,為替!$A:$AX,$I187,FALSE)))</f>
        <v/>
      </c>
      <c r="K187" s="205" t="str">
        <f t="shared" si="14"/>
        <v/>
      </c>
      <c r="L187" s="189" t="str">
        <f t="shared" si="15"/>
        <v/>
      </c>
      <c r="M187" s="204" t="str">
        <f>IF($H187="USD",IF(OR($L187="",$L187="-"),"",VLOOKUP($G187,為替!$A:$AX,$L187,FALSE))+$K$3,IF(OR($L187="",$L187="-"),"",VLOOKUP($G187,為替!$A:$AX,$L187,FALSE)))</f>
        <v/>
      </c>
      <c r="N187" s="205" t="str">
        <f t="shared" si="16"/>
        <v/>
      </c>
      <c r="O187" s="206" t="str">
        <f t="shared" si="12"/>
        <v/>
      </c>
      <c r="P187" s="207" t="str">
        <f t="shared" si="17"/>
        <v/>
      </c>
    </row>
    <row r="188" spans="3:17">
      <c r="C188" s="405"/>
      <c r="D188" s="411"/>
      <c r="E188" s="202"/>
      <c r="F188" s="200"/>
      <c r="H188" s="203"/>
      <c r="I188" s="186" t="str">
        <f t="shared" si="13"/>
        <v/>
      </c>
      <c r="J188" s="204" t="str">
        <f>IF($H188="USD",IF(OR($I188="",$I188="-"),"",VLOOKUP($G188,為替!$A:$AX,$I188,FALSE))+$J$3,IF(OR($I188="",$I188="-"),"",VLOOKUP($G188,為替!$A:$AX,$I188,FALSE)))</f>
        <v/>
      </c>
      <c r="K188" s="205" t="str">
        <f t="shared" si="14"/>
        <v/>
      </c>
      <c r="L188" s="189" t="str">
        <f t="shared" si="15"/>
        <v/>
      </c>
      <c r="M188" s="204" t="str">
        <f>IF($H188="USD",IF(OR($L188="",$L188="-"),"",VLOOKUP($G188,為替!$A:$AX,$L188,FALSE))+$K$3,IF(OR($L188="",$L188="-"),"",VLOOKUP($G188,為替!$A:$AX,$L188,FALSE)))</f>
        <v/>
      </c>
      <c r="N188" s="205" t="str">
        <f t="shared" si="16"/>
        <v/>
      </c>
      <c r="O188" s="206" t="str">
        <f t="shared" si="12"/>
        <v/>
      </c>
      <c r="P188" s="207" t="str">
        <f t="shared" si="17"/>
        <v/>
      </c>
    </row>
    <row r="189" spans="3:17">
      <c r="C189" s="405"/>
      <c r="D189" s="411"/>
      <c r="E189" s="202"/>
      <c r="F189" s="200"/>
      <c r="H189" s="203"/>
      <c r="I189" s="186" t="str">
        <f t="shared" si="13"/>
        <v/>
      </c>
      <c r="J189" s="204" t="str">
        <f>IF($H189="USD",IF(OR($I189="",$I189="-"),"",VLOOKUP($G189,為替!$A:$AX,$I189,FALSE))+$J$3,IF(OR($I189="",$I189="-"),"",VLOOKUP($G189,為替!$A:$AX,$I189,FALSE)))</f>
        <v/>
      </c>
      <c r="K189" s="205" t="str">
        <f t="shared" si="14"/>
        <v/>
      </c>
      <c r="L189" s="189" t="str">
        <f t="shared" si="15"/>
        <v/>
      </c>
      <c r="M189" s="204" t="str">
        <f>IF($H189="USD",IF(OR($L189="",$L189="-"),"",VLOOKUP($G189,為替!$A:$AX,$L189,FALSE))+$K$3,IF(OR($L189="",$L189="-"),"",VLOOKUP($G189,為替!$A:$AX,$L189,FALSE)))</f>
        <v/>
      </c>
      <c r="N189" s="205" t="str">
        <f t="shared" si="16"/>
        <v/>
      </c>
      <c r="O189" s="206" t="str">
        <f t="shared" si="12"/>
        <v/>
      </c>
      <c r="P189" s="207" t="str">
        <f t="shared" si="17"/>
        <v/>
      </c>
    </row>
    <row r="190" spans="3:17">
      <c r="C190" s="405"/>
      <c r="D190" s="411"/>
      <c r="E190" s="202"/>
      <c r="F190" s="200"/>
      <c r="H190" s="203"/>
      <c r="I190" s="186" t="str">
        <f t="shared" si="13"/>
        <v/>
      </c>
      <c r="J190" s="204" t="str">
        <f>IF($H190="USD",IF(OR($I190="",$I190="-"),"",VLOOKUP($G190,為替!$A:$AX,$I190,FALSE))+$J$3,IF(OR($I190="",$I190="-"),"",VLOOKUP($G190,為替!$A:$AX,$I190,FALSE)))</f>
        <v/>
      </c>
      <c r="K190" s="205" t="str">
        <f t="shared" si="14"/>
        <v/>
      </c>
      <c r="L190" s="189" t="str">
        <f t="shared" si="15"/>
        <v/>
      </c>
      <c r="M190" s="204" t="str">
        <f>IF($H190="USD",IF(OR($L190="",$L190="-"),"",VLOOKUP($G190,為替!$A:$AX,$L190,FALSE))+$K$3,IF(OR($L190="",$L190="-"),"",VLOOKUP($G190,為替!$A:$AX,$L190,FALSE)))</f>
        <v/>
      </c>
      <c r="N190" s="205" t="str">
        <f t="shared" si="16"/>
        <v/>
      </c>
      <c r="O190" s="206" t="str">
        <f t="shared" si="12"/>
        <v/>
      </c>
      <c r="P190" s="207" t="str">
        <f t="shared" si="17"/>
        <v/>
      </c>
    </row>
    <row r="191" spans="3:17">
      <c r="C191" s="405"/>
      <c r="D191" s="411"/>
      <c r="E191" s="202"/>
      <c r="F191" s="200"/>
      <c r="H191" s="203"/>
      <c r="I191" s="186" t="str">
        <f t="shared" si="13"/>
        <v/>
      </c>
      <c r="J191" s="204" t="str">
        <f>IF($H191="USD",IF(OR($I191="",$I191="-"),"",VLOOKUP($G191,為替!$A:$AX,$I191,FALSE))+$J$3,IF(OR($I191="",$I191="-"),"",VLOOKUP($G191,為替!$A:$AX,$I191,FALSE)))</f>
        <v/>
      </c>
      <c r="K191" s="205" t="str">
        <f t="shared" si="14"/>
        <v/>
      </c>
      <c r="L191" s="189" t="str">
        <f t="shared" si="15"/>
        <v/>
      </c>
      <c r="M191" s="204" t="str">
        <f>IF($H191="USD",IF(OR($L191="",$L191="-"),"",VLOOKUP($G191,為替!$A:$AX,$L191,FALSE))+$K$3,IF(OR($L191="",$L191="-"),"",VLOOKUP($G191,為替!$A:$AX,$L191,FALSE)))</f>
        <v/>
      </c>
      <c r="N191" s="205" t="str">
        <f t="shared" si="16"/>
        <v/>
      </c>
      <c r="O191" s="206" t="str">
        <f t="shared" si="12"/>
        <v/>
      </c>
      <c r="P191" s="207" t="str">
        <f t="shared" si="17"/>
        <v/>
      </c>
    </row>
    <row r="192" spans="3:17">
      <c r="C192" s="405"/>
      <c r="D192" s="411"/>
      <c r="E192" s="202"/>
      <c r="F192" s="200"/>
      <c r="H192" s="203"/>
      <c r="I192" s="186" t="str">
        <f t="shared" si="13"/>
        <v/>
      </c>
      <c r="J192" s="204" t="str">
        <f>IF($H192="USD",IF(OR($I192="",$I192="-"),"",VLOOKUP($G192,為替!$A:$AX,$I192,FALSE))+$J$3,IF(OR($I192="",$I192="-"),"",VLOOKUP($G192,為替!$A:$AX,$I192,FALSE)))</f>
        <v/>
      </c>
      <c r="K192" s="205" t="str">
        <f t="shared" si="14"/>
        <v/>
      </c>
      <c r="L192" s="189" t="str">
        <f t="shared" si="15"/>
        <v/>
      </c>
      <c r="M192" s="204" t="str">
        <f>IF($H192="USD",IF(OR($L192="",$L192="-"),"",VLOOKUP($G192,為替!$A:$AX,$L192,FALSE))+$K$3,IF(OR($L192="",$L192="-"),"",VLOOKUP($G192,為替!$A:$AX,$L192,FALSE)))</f>
        <v/>
      </c>
      <c r="N192" s="205" t="str">
        <f t="shared" si="16"/>
        <v/>
      </c>
      <c r="O192" s="206" t="str">
        <f t="shared" si="12"/>
        <v/>
      </c>
      <c r="P192" s="207" t="str">
        <f t="shared" si="17"/>
        <v/>
      </c>
    </row>
    <row r="193" spans="3:16">
      <c r="C193" s="405"/>
      <c r="D193" s="411"/>
      <c r="E193" s="202"/>
      <c r="F193" s="200"/>
      <c r="H193" s="203"/>
      <c r="I193" s="186" t="str">
        <f t="shared" si="13"/>
        <v/>
      </c>
      <c r="J193" s="204" t="str">
        <f>IF($H193="USD",IF(OR($I193="",$I193="-"),"",VLOOKUP($G193,為替!$A:$AX,$I193,FALSE))+$J$3,IF(OR($I193="",$I193="-"),"",VLOOKUP($G193,為替!$A:$AX,$I193,FALSE)))</f>
        <v/>
      </c>
      <c r="K193" s="205" t="str">
        <f t="shared" si="14"/>
        <v/>
      </c>
      <c r="L193" s="189" t="str">
        <f t="shared" si="15"/>
        <v/>
      </c>
      <c r="M193" s="204" t="str">
        <f>IF($H193="USD",IF(OR($L193="",$L193="-"),"",VLOOKUP($G193,為替!$A:$AX,$L193,FALSE))+$K$3,IF(OR($L193="",$L193="-"),"",VLOOKUP($G193,為替!$A:$AX,$L193,FALSE)))</f>
        <v/>
      </c>
      <c r="N193" s="205" t="str">
        <f t="shared" si="16"/>
        <v/>
      </c>
      <c r="O193" s="206" t="str">
        <f t="shared" si="12"/>
        <v/>
      </c>
      <c r="P193" s="207" t="str">
        <f t="shared" si="17"/>
        <v/>
      </c>
    </row>
    <row r="194" spans="3:16">
      <c r="C194" s="405"/>
      <c r="D194" s="411"/>
      <c r="E194" s="202"/>
      <c r="F194" s="200"/>
      <c r="H194" s="203"/>
      <c r="I194" s="186" t="str">
        <f t="shared" si="13"/>
        <v/>
      </c>
      <c r="J194" s="204" t="str">
        <f>IF($H194="USD",IF(OR($I194="",$I194="-"),"",VLOOKUP($G194,為替!$A:$AX,$I194,FALSE))+$J$3,IF(OR($I194="",$I194="-"),"",VLOOKUP($G194,為替!$A:$AX,$I194,FALSE)))</f>
        <v/>
      </c>
      <c r="K194" s="205" t="str">
        <f t="shared" si="14"/>
        <v/>
      </c>
      <c r="L194" s="189" t="str">
        <f t="shared" si="15"/>
        <v/>
      </c>
      <c r="M194" s="204" t="str">
        <f>IF($H194="USD",IF(OR($L194="",$L194="-"),"",VLOOKUP($G194,為替!$A:$AX,$L194,FALSE))+$K$3,IF(OR($L194="",$L194="-"),"",VLOOKUP($G194,為替!$A:$AX,$L194,FALSE)))</f>
        <v/>
      </c>
      <c r="N194" s="205" t="str">
        <f t="shared" si="16"/>
        <v/>
      </c>
      <c r="O194" s="206" t="str">
        <f t="shared" si="12"/>
        <v/>
      </c>
      <c r="P194" s="207" t="str">
        <f t="shared" si="17"/>
        <v/>
      </c>
    </row>
    <row r="195" spans="3:16">
      <c r="C195" s="405"/>
      <c r="D195" s="411"/>
      <c r="E195" s="202"/>
      <c r="F195" s="200"/>
      <c r="H195" s="203"/>
      <c r="I195" s="186" t="str">
        <f t="shared" si="13"/>
        <v/>
      </c>
      <c r="J195" s="204" t="str">
        <f>IF($H195="USD",IF(OR($I195="",$I195="-"),"",VLOOKUP($G195,為替!$A:$AX,$I195,FALSE))+$J$3,IF(OR($I195="",$I195="-"),"",VLOOKUP($G195,為替!$A:$AX,$I195,FALSE)))</f>
        <v/>
      </c>
      <c r="K195" s="205" t="str">
        <f t="shared" si="14"/>
        <v/>
      </c>
      <c r="L195" s="189" t="str">
        <f t="shared" si="15"/>
        <v/>
      </c>
      <c r="M195" s="204" t="str">
        <f>IF($H195="USD",IF(OR($L195="",$L195="-"),"",VLOOKUP($G195,為替!$A:$AX,$L195,FALSE))+$K$3,IF(OR($L195="",$L195="-"),"",VLOOKUP($G195,為替!$A:$AX,$L195,FALSE)))</f>
        <v/>
      </c>
      <c r="N195" s="205" t="str">
        <f t="shared" si="16"/>
        <v/>
      </c>
      <c r="O195" s="206" t="str">
        <f t="shared" si="12"/>
        <v/>
      </c>
      <c r="P195" s="207" t="str">
        <f t="shared" si="17"/>
        <v/>
      </c>
    </row>
    <row r="196" spans="3:16">
      <c r="C196" s="405"/>
      <c r="D196" s="411"/>
      <c r="E196" s="202"/>
      <c r="F196" s="200"/>
      <c r="H196" s="203"/>
      <c r="I196" s="186" t="str">
        <f t="shared" si="13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 t="str">
        <f t="shared" si="14"/>
        <v/>
      </c>
      <c r="L196" s="189" t="str">
        <f t="shared" si="15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 t="str">
        <f t="shared" si="16"/>
        <v/>
      </c>
      <c r="O196" s="206" t="str">
        <f t="shared" si="12"/>
        <v/>
      </c>
      <c r="P196" s="207" t="str">
        <f t="shared" si="17"/>
        <v/>
      </c>
    </row>
    <row r="197" spans="3:16">
      <c r="C197" s="405"/>
      <c r="D197" s="411"/>
      <c r="E197" s="202"/>
      <c r="F197" s="200"/>
      <c r="H197" s="203"/>
      <c r="I197" s="186" t="str">
        <f t="shared" si="13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 t="str">
        <f t="shared" si="14"/>
        <v/>
      </c>
      <c r="L197" s="189" t="str">
        <f t="shared" si="15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 t="str">
        <f t="shared" si="16"/>
        <v/>
      </c>
      <c r="O197" s="206" t="str">
        <f t="shared" ref="O197:O260" si="18">IF(OR(K197="",N197=""),"",K197-N197)</f>
        <v/>
      </c>
      <c r="P197" s="207" t="str">
        <f t="shared" si="17"/>
        <v/>
      </c>
    </row>
    <row r="198" spans="3:16">
      <c r="C198" s="405"/>
      <c r="D198" s="411"/>
      <c r="E198" s="202"/>
      <c r="F198" s="200"/>
      <c r="H198" s="203"/>
      <c r="I198" s="186" t="str">
        <f t="shared" ref="I198:I261" si="19">IF(H198="","",IF(H198="JPY","",IF($H198="USD",4, IF(H198="EUR",7,IF(H198="CNY",47,IF(H198="HKD",34))))))</f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 t="str">
        <f t="shared" ref="K198:K261" si="20">IF($H198="JPY",$F198,IF($H198="","",$F198*$J198))</f>
        <v/>
      </c>
      <c r="L198" s="189" t="str">
        <f t="shared" ref="L198:L261" si="21">IF(H198="","",IF(H198="JPY","",IF($H198="USD",3, IF(H198="EUR",6,IF(H198="CNY",46,IF(H198="HKD",33))))))</f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 t="str">
        <f t="shared" ref="N198:N261" si="22">IF($E198="JPY",($C198+$D198),IF($E198="","",($C198+$D198)*$M198))</f>
        <v/>
      </c>
      <c r="O198" s="206" t="str">
        <f t="shared" si="18"/>
        <v/>
      </c>
      <c r="P198" s="207" t="str">
        <f t="shared" ref="P198:P261" si="23">IF(OR(K198="",O198=""),"",O198/K198)</f>
        <v/>
      </c>
    </row>
    <row r="199" spans="3:16">
      <c r="C199" s="405"/>
      <c r="D199" s="411"/>
      <c r="E199" s="202"/>
      <c r="F199" s="200"/>
      <c r="H199" s="203"/>
      <c r="I199" s="186" t="str">
        <f t="shared" si="19"/>
        <v/>
      </c>
      <c r="J199" s="204" t="str">
        <f>IF($H199="USD",IF(OR($I199="",$I199="-"),"",VLOOKUP($G199,為替!$A:$AX,$I199,FALSE))+$J$3,IF(OR($I199="",$I199="-"),"",VLOOKUP($G199,為替!$A:$AX,$I199,FALSE)))</f>
        <v/>
      </c>
      <c r="K199" s="205" t="str">
        <f t="shared" si="20"/>
        <v/>
      </c>
      <c r="L199" s="189" t="str">
        <f t="shared" si="21"/>
        <v/>
      </c>
      <c r="M199" s="204" t="str">
        <f>IF($H199="USD",IF(OR($L199="",$L199="-"),"",VLOOKUP($G199,為替!$A:$AX,$L199,FALSE))+$K$3,IF(OR($L199="",$L199="-"),"",VLOOKUP($G199,為替!$A:$AX,$L199,FALSE)))</f>
        <v/>
      </c>
      <c r="N199" s="205" t="str">
        <f t="shared" si="22"/>
        <v/>
      </c>
      <c r="O199" s="206" t="str">
        <f t="shared" si="18"/>
        <v/>
      </c>
      <c r="P199" s="207" t="str">
        <f t="shared" si="23"/>
        <v/>
      </c>
    </row>
    <row r="200" spans="3:16">
      <c r="C200" s="405"/>
      <c r="D200" s="411"/>
      <c r="E200" s="202"/>
      <c r="F200" s="200"/>
      <c r="H200" s="203"/>
      <c r="I200" s="186" t="str">
        <f t="shared" si="19"/>
        <v/>
      </c>
      <c r="J200" s="204" t="str">
        <f>IF($H200="USD",IF(OR($I200="",$I200="-"),"",VLOOKUP($G200,為替!$A:$AX,$I200,FALSE))+$J$3,IF(OR($I200="",$I200="-"),"",VLOOKUP($G200,為替!$A:$AX,$I200,FALSE)))</f>
        <v/>
      </c>
      <c r="K200" s="205" t="str">
        <f t="shared" si="20"/>
        <v/>
      </c>
      <c r="L200" s="189" t="str">
        <f t="shared" si="21"/>
        <v/>
      </c>
      <c r="M200" s="204" t="str">
        <f>IF($H200="USD",IF(OR($L200="",$L200="-"),"",VLOOKUP($G200,為替!$A:$AX,$L200,FALSE))+$K$3,IF(OR($L200="",$L200="-"),"",VLOOKUP($G200,為替!$A:$AX,$L200,FALSE)))</f>
        <v/>
      </c>
      <c r="N200" s="205" t="str">
        <f t="shared" si="22"/>
        <v/>
      </c>
      <c r="O200" s="206" t="str">
        <f t="shared" si="18"/>
        <v/>
      </c>
      <c r="P200" s="207" t="str">
        <f t="shared" si="23"/>
        <v/>
      </c>
    </row>
    <row r="201" spans="3:16">
      <c r="C201" s="405"/>
      <c r="D201" s="411"/>
      <c r="E201" s="202"/>
      <c r="F201" s="200"/>
      <c r="H201" s="203"/>
      <c r="I201" s="186" t="str">
        <f t="shared" si="19"/>
        <v/>
      </c>
      <c r="J201" s="204" t="str">
        <f>IF($H201="USD",IF(OR($I201="",$I201="-"),"",VLOOKUP($G201,為替!$A:$AX,$I201,FALSE))+$J$3,IF(OR($I201="",$I201="-"),"",VLOOKUP($G201,為替!$A:$AX,$I201,FALSE)))</f>
        <v/>
      </c>
      <c r="K201" s="205" t="str">
        <f t="shared" si="20"/>
        <v/>
      </c>
      <c r="L201" s="189" t="str">
        <f t="shared" si="21"/>
        <v/>
      </c>
      <c r="M201" s="204" t="str">
        <f>IF($H201="USD",IF(OR($L201="",$L201="-"),"",VLOOKUP($G201,為替!$A:$AX,$L201,FALSE))+$K$3,IF(OR($L201="",$L201="-"),"",VLOOKUP($G201,為替!$A:$AX,$L201,FALSE)))</f>
        <v/>
      </c>
      <c r="N201" s="205" t="str">
        <f t="shared" si="22"/>
        <v/>
      </c>
      <c r="O201" s="206" t="str">
        <f t="shared" si="18"/>
        <v/>
      </c>
      <c r="P201" s="207" t="str">
        <f t="shared" si="23"/>
        <v/>
      </c>
    </row>
    <row r="202" spans="3:16">
      <c r="C202" s="405"/>
      <c r="D202" s="411"/>
      <c r="E202" s="202"/>
      <c r="F202" s="200"/>
      <c r="H202" s="203"/>
      <c r="I202" s="186" t="str">
        <f t="shared" si="19"/>
        <v/>
      </c>
      <c r="J202" s="204" t="str">
        <f>IF($H202="USD",IF(OR($I202="",$I202="-"),"",VLOOKUP($G202,為替!$A:$AX,$I202,FALSE))+$J$3,IF(OR($I202="",$I202="-"),"",VLOOKUP($G202,為替!$A:$AX,$I202,FALSE)))</f>
        <v/>
      </c>
      <c r="K202" s="205" t="str">
        <f t="shared" si="20"/>
        <v/>
      </c>
      <c r="L202" s="189" t="str">
        <f t="shared" si="21"/>
        <v/>
      </c>
      <c r="M202" s="204" t="str">
        <f>IF($H202="USD",IF(OR($L202="",$L202="-"),"",VLOOKUP($G202,為替!$A:$AX,$L202,FALSE))+$K$3,IF(OR($L202="",$L202="-"),"",VLOOKUP($G202,為替!$A:$AX,$L202,FALSE)))</f>
        <v/>
      </c>
      <c r="N202" s="205" t="str">
        <f t="shared" si="22"/>
        <v/>
      </c>
      <c r="O202" s="206" t="str">
        <f t="shared" si="18"/>
        <v/>
      </c>
      <c r="P202" s="207" t="str">
        <f t="shared" si="23"/>
        <v/>
      </c>
    </row>
    <row r="203" spans="3:16">
      <c r="C203" s="405"/>
      <c r="D203" s="411"/>
      <c r="E203" s="202"/>
      <c r="F203" s="200"/>
      <c r="H203" s="203"/>
      <c r="I203" s="186" t="str">
        <f t="shared" si="19"/>
        <v/>
      </c>
      <c r="J203" s="204" t="str">
        <f>IF($H203="USD",IF(OR($I203="",$I203="-"),"",VLOOKUP($G203,為替!$A:$AX,$I203,FALSE))+$J$3,IF(OR($I203="",$I203="-"),"",VLOOKUP($G203,為替!$A:$AX,$I203,FALSE)))</f>
        <v/>
      </c>
      <c r="K203" s="205" t="str">
        <f t="shared" si="20"/>
        <v/>
      </c>
      <c r="L203" s="189" t="str">
        <f t="shared" si="21"/>
        <v/>
      </c>
      <c r="M203" s="204" t="str">
        <f>IF($H203="USD",IF(OR($L203="",$L203="-"),"",VLOOKUP($G203,為替!$A:$AX,$L203,FALSE))+$K$3,IF(OR($L203="",$L203="-"),"",VLOOKUP($G203,為替!$A:$AX,$L203,FALSE)))</f>
        <v/>
      </c>
      <c r="N203" s="205" t="str">
        <f t="shared" si="22"/>
        <v/>
      </c>
      <c r="O203" s="206" t="str">
        <f t="shared" si="18"/>
        <v/>
      </c>
      <c r="P203" s="207" t="str">
        <f t="shared" si="23"/>
        <v/>
      </c>
    </row>
    <row r="204" spans="3:16">
      <c r="C204" s="405"/>
      <c r="D204" s="411"/>
      <c r="E204" s="202"/>
      <c r="F204" s="200"/>
      <c r="H204" s="203"/>
      <c r="I204" s="186" t="str">
        <f t="shared" si="19"/>
        <v/>
      </c>
      <c r="J204" s="204" t="str">
        <f>IF($H204="USD",IF(OR($I204="",$I204="-"),"",VLOOKUP($G204,為替!$A:$AX,$I204,FALSE))+$J$3,IF(OR($I204="",$I204="-"),"",VLOOKUP($G204,為替!$A:$AX,$I204,FALSE)))</f>
        <v/>
      </c>
      <c r="K204" s="205" t="str">
        <f t="shared" si="20"/>
        <v/>
      </c>
      <c r="L204" s="189" t="str">
        <f t="shared" si="21"/>
        <v/>
      </c>
      <c r="M204" s="204" t="str">
        <f>IF($H204="USD",IF(OR($L204="",$L204="-"),"",VLOOKUP($G204,為替!$A:$AX,$L204,FALSE))+$K$3,IF(OR($L204="",$L204="-"),"",VLOOKUP($G204,為替!$A:$AX,$L204,FALSE)))</f>
        <v/>
      </c>
      <c r="N204" s="205" t="str">
        <f t="shared" si="22"/>
        <v/>
      </c>
      <c r="O204" s="206" t="str">
        <f t="shared" si="18"/>
        <v/>
      </c>
      <c r="P204" s="207" t="str">
        <f t="shared" si="23"/>
        <v/>
      </c>
    </row>
    <row r="205" spans="3:16">
      <c r="C205" s="405"/>
      <c r="D205" s="411"/>
      <c r="E205" s="202"/>
      <c r="F205" s="200"/>
      <c r="H205" s="203"/>
      <c r="I205" s="186" t="str">
        <f t="shared" si="19"/>
        <v/>
      </c>
      <c r="J205" s="204" t="str">
        <f>IF($H205="USD",IF(OR($I205="",$I205="-"),"",VLOOKUP($G205,為替!$A:$AX,$I205,FALSE))+$J$3,IF(OR($I205="",$I205="-"),"",VLOOKUP($G205,為替!$A:$AX,$I205,FALSE)))</f>
        <v/>
      </c>
      <c r="K205" s="205" t="str">
        <f t="shared" si="20"/>
        <v/>
      </c>
      <c r="L205" s="189" t="str">
        <f t="shared" si="21"/>
        <v/>
      </c>
      <c r="M205" s="204" t="str">
        <f>IF($H205="USD",IF(OR($L205="",$L205="-"),"",VLOOKUP($G205,為替!$A:$AX,$L205,FALSE))+$K$3,IF(OR($L205="",$L205="-"),"",VLOOKUP($G205,為替!$A:$AX,$L205,FALSE)))</f>
        <v/>
      </c>
      <c r="N205" s="205" t="str">
        <f t="shared" si="22"/>
        <v/>
      </c>
      <c r="O205" s="206" t="str">
        <f t="shared" si="18"/>
        <v/>
      </c>
      <c r="P205" s="207" t="str">
        <f t="shared" si="23"/>
        <v/>
      </c>
    </row>
    <row r="206" spans="3:16">
      <c r="C206" s="405"/>
      <c r="D206" s="411"/>
      <c r="E206" s="202"/>
      <c r="F206" s="200"/>
      <c r="H206" s="203"/>
      <c r="I206" s="186" t="str">
        <f t="shared" si="19"/>
        <v/>
      </c>
      <c r="J206" s="204" t="str">
        <f>IF($H206="USD",IF(OR($I206="",$I206="-"),"",VLOOKUP($G206,為替!$A:$AX,$I206,FALSE))+$J$3,IF(OR($I206="",$I206="-"),"",VLOOKUP($G206,為替!$A:$AX,$I206,FALSE)))</f>
        <v/>
      </c>
      <c r="K206" s="205" t="str">
        <f t="shared" si="20"/>
        <v/>
      </c>
      <c r="L206" s="189" t="str">
        <f t="shared" si="21"/>
        <v/>
      </c>
      <c r="M206" s="204" t="str">
        <f>IF($H206="USD",IF(OR($L206="",$L206="-"),"",VLOOKUP($G206,為替!$A:$AX,$L206,FALSE))+$K$3,IF(OR($L206="",$L206="-"),"",VLOOKUP($G206,為替!$A:$AX,$L206,FALSE)))</f>
        <v/>
      </c>
      <c r="N206" s="205" t="str">
        <f t="shared" si="22"/>
        <v/>
      </c>
      <c r="O206" s="206" t="str">
        <f t="shared" si="18"/>
        <v/>
      </c>
      <c r="P206" s="207" t="str">
        <f t="shared" si="23"/>
        <v/>
      </c>
    </row>
    <row r="207" spans="3:16">
      <c r="C207" s="405"/>
      <c r="D207" s="411"/>
      <c r="E207" s="202"/>
      <c r="F207" s="200"/>
      <c r="H207" s="203"/>
      <c r="I207" s="186" t="str">
        <f t="shared" si="19"/>
        <v/>
      </c>
      <c r="J207" s="204" t="str">
        <f>IF($H207="USD",IF(OR($I207="",$I207="-"),"",VLOOKUP($G207,為替!$A:$AX,$I207,FALSE))+$J$3,IF(OR($I207="",$I207="-"),"",VLOOKUP($G207,為替!$A:$AX,$I207,FALSE)))</f>
        <v/>
      </c>
      <c r="K207" s="205" t="str">
        <f t="shared" si="20"/>
        <v/>
      </c>
      <c r="L207" s="189" t="str">
        <f t="shared" si="21"/>
        <v/>
      </c>
      <c r="M207" s="204" t="str">
        <f>IF($H207="USD",IF(OR($L207="",$L207="-"),"",VLOOKUP($G207,為替!$A:$AX,$L207,FALSE))+$K$3,IF(OR($L207="",$L207="-"),"",VLOOKUP($G207,為替!$A:$AX,$L207,FALSE)))</f>
        <v/>
      </c>
      <c r="N207" s="205" t="str">
        <f t="shared" si="22"/>
        <v/>
      </c>
      <c r="O207" s="206" t="str">
        <f t="shared" si="18"/>
        <v/>
      </c>
      <c r="P207" s="207" t="str">
        <f t="shared" si="23"/>
        <v/>
      </c>
    </row>
    <row r="208" spans="3:16">
      <c r="C208" s="405"/>
      <c r="D208" s="411"/>
      <c r="E208" s="202"/>
      <c r="F208" s="200"/>
      <c r="H208" s="203"/>
      <c r="I208" s="186" t="str">
        <f t="shared" si="19"/>
        <v/>
      </c>
      <c r="J208" s="204" t="str">
        <f>IF($H208="USD",IF(OR($I208="",$I208="-"),"",VLOOKUP($G208,為替!$A:$AX,$I208,FALSE))+$J$3,IF(OR($I208="",$I208="-"),"",VLOOKUP($G208,為替!$A:$AX,$I208,FALSE)))</f>
        <v/>
      </c>
      <c r="K208" s="205" t="str">
        <f t="shared" si="20"/>
        <v/>
      </c>
      <c r="L208" s="189" t="str">
        <f t="shared" si="21"/>
        <v/>
      </c>
      <c r="M208" s="204" t="str">
        <f>IF($H208="USD",IF(OR($L208="",$L208="-"),"",VLOOKUP($G208,為替!$A:$AX,$L208,FALSE))+$K$3,IF(OR($L208="",$L208="-"),"",VLOOKUP($G208,為替!$A:$AX,$L208,FALSE)))</f>
        <v/>
      </c>
      <c r="N208" s="205" t="str">
        <f t="shared" si="22"/>
        <v/>
      </c>
      <c r="O208" s="206" t="str">
        <f t="shared" si="18"/>
        <v/>
      </c>
      <c r="P208" s="207" t="str">
        <f t="shared" si="23"/>
        <v/>
      </c>
    </row>
    <row r="209" spans="3:16">
      <c r="C209" s="405"/>
      <c r="D209" s="411"/>
      <c r="E209" s="202"/>
      <c r="F209" s="200"/>
      <c r="H209" s="203"/>
      <c r="I209" s="186" t="str">
        <f t="shared" si="19"/>
        <v/>
      </c>
      <c r="J209" s="204" t="str">
        <f>IF($H209="USD",IF(OR($I209="",$I209="-"),"",VLOOKUP($G209,為替!$A:$AX,$I209,FALSE))+$J$3,IF(OR($I209="",$I209="-"),"",VLOOKUP($G209,為替!$A:$AX,$I209,FALSE)))</f>
        <v/>
      </c>
      <c r="K209" s="205" t="str">
        <f t="shared" si="20"/>
        <v/>
      </c>
      <c r="L209" s="189" t="str">
        <f t="shared" si="21"/>
        <v/>
      </c>
      <c r="M209" s="204" t="str">
        <f>IF($H209="USD",IF(OR($L209="",$L209="-"),"",VLOOKUP($G209,為替!$A:$AX,$L209,FALSE))+$K$3,IF(OR($L209="",$L209="-"),"",VLOOKUP($G209,為替!$A:$AX,$L209,FALSE)))</f>
        <v/>
      </c>
      <c r="N209" s="205" t="str">
        <f t="shared" si="22"/>
        <v/>
      </c>
      <c r="O209" s="206" t="str">
        <f t="shared" si="18"/>
        <v/>
      </c>
      <c r="P209" s="207" t="str">
        <f t="shared" si="23"/>
        <v/>
      </c>
    </row>
    <row r="210" spans="3:16">
      <c r="C210" s="405"/>
      <c r="D210" s="411"/>
      <c r="E210" s="202"/>
      <c r="F210" s="200"/>
      <c r="H210" s="203"/>
      <c r="I210" s="186" t="str">
        <f t="shared" si="19"/>
        <v/>
      </c>
      <c r="J210" s="204" t="str">
        <f>IF($H210="USD",IF(OR($I210="",$I210="-"),"",VLOOKUP($G210,為替!$A:$AX,$I210,FALSE))+$J$3,IF(OR($I210="",$I210="-"),"",VLOOKUP($G210,為替!$A:$AX,$I210,FALSE)))</f>
        <v/>
      </c>
      <c r="K210" s="205" t="str">
        <f t="shared" si="20"/>
        <v/>
      </c>
      <c r="L210" s="189" t="str">
        <f t="shared" si="21"/>
        <v/>
      </c>
      <c r="M210" s="204" t="str">
        <f>IF($H210="USD",IF(OR($L210="",$L210="-"),"",VLOOKUP($G210,為替!$A:$AX,$L210,FALSE))+$K$3,IF(OR($L210="",$L210="-"),"",VLOOKUP($G210,為替!$A:$AX,$L210,FALSE)))</f>
        <v/>
      </c>
      <c r="N210" s="205" t="str">
        <f t="shared" si="22"/>
        <v/>
      </c>
      <c r="O210" s="206" t="str">
        <f t="shared" si="18"/>
        <v/>
      </c>
      <c r="P210" s="207" t="str">
        <f t="shared" si="23"/>
        <v/>
      </c>
    </row>
    <row r="211" spans="3:16">
      <c r="C211" s="405"/>
      <c r="D211" s="411"/>
      <c r="E211" s="202"/>
      <c r="F211" s="200"/>
      <c r="H211" s="203"/>
      <c r="I211" s="186" t="str">
        <f t="shared" si="19"/>
        <v/>
      </c>
      <c r="J211" s="204" t="str">
        <f>IF($H211="USD",IF(OR($I211="",$I211="-"),"",VLOOKUP($G211,為替!$A:$AX,$I211,FALSE))+$J$3,IF(OR($I211="",$I211="-"),"",VLOOKUP($G211,為替!$A:$AX,$I211,FALSE)))</f>
        <v/>
      </c>
      <c r="K211" s="205" t="str">
        <f t="shared" si="20"/>
        <v/>
      </c>
      <c r="L211" s="189" t="str">
        <f t="shared" si="21"/>
        <v/>
      </c>
      <c r="M211" s="204" t="str">
        <f>IF($H211="USD",IF(OR($L211="",$L211="-"),"",VLOOKUP($G211,為替!$A:$AX,$L211,FALSE))+$K$3,IF(OR($L211="",$L211="-"),"",VLOOKUP($G211,為替!$A:$AX,$L211,FALSE)))</f>
        <v/>
      </c>
      <c r="N211" s="205" t="str">
        <f t="shared" si="22"/>
        <v/>
      </c>
      <c r="O211" s="206" t="str">
        <f t="shared" si="18"/>
        <v/>
      </c>
      <c r="P211" s="207" t="str">
        <f t="shared" si="23"/>
        <v/>
      </c>
    </row>
    <row r="212" spans="3:16">
      <c r="C212" s="405"/>
      <c r="D212" s="411"/>
      <c r="E212" s="202"/>
      <c r="F212" s="200"/>
      <c r="H212" s="203"/>
      <c r="I212" s="186" t="str">
        <f t="shared" si="19"/>
        <v/>
      </c>
      <c r="J212" s="204" t="str">
        <f>IF($H212="USD",IF(OR($I212="",$I212="-"),"",VLOOKUP($G212,為替!$A:$AX,$I212,FALSE))+$J$3,IF(OR($I212="",$I212="-"),"",VLOOKUP($G212,為替!$A:$AX,$I212,FALSE)))</f>
        <v/>
      </c>
      <c r="K212" s="205" t="str">
        <f t="shared" si="20"/>
        <v/>
      </c>
      <c r="L212" s="189" t="str">
        <f t="shared" si="21"/>
        <v/>
      </c>
      <c r="M212" s="204" t="str">
        <f>IF($H212="USD",IF(OR($L212="",$L212="-"),"",VLOOKUP($G212,為替!$A:$AX,$L212,FALSE))+$K$3,IF(OR($L212="",$L212="-"),"",VLOOKUP($G212,為替!$A:$AX,$L212,FALSE)))</f>
        <v/>
      </c>
      <c r="N212" s="205" t="str">
        <f t="shared" si="22"/>
        <v/>
      </c>
      <c r="O212" s="206" t="str">
        <f t="shared" si="18"/>
        <v/>
      </c>
      <c r="P212" s="207" t="str">
        <f t="shared" si="23"/>
        <v/>
      </c>
    </row>
    <row r="213" spans="3:16">
      <c r="C213" s="405"/>
      <c r="D213" s="411"/>
      <c r="E213" s="202"/>
      <c r="F213" s="200"/>
      <c r="H213" s="203"/>
      <c r="I213" s="186" t="str">
        <f t="shared" si="19"/>
        <v/>
      </c>
      <c r="J213" s="204" t="str">
        <f>IF($H213="USD",IF(OR($I213="",$I213="-"),"",VLOOKUP($G213,為替!$A:$AX,$I213,FALSE))+$J$3,IF(OR($I213="",$I213="-"),"",VLOOKUP($G213,為替!$A:$AX,$I213,FALSE)))</f>
        <v/>
      </c>
      <c r="K213" s="205" t="str">
        <f t="shared" si="20"/>
        <v/>
      </c>
      <c r="L213" s="189" t="str">
        <f t="shared" si="21"/>
        <v/>
      </c>
      <c r="M213" s="204" t="str">
        <f>IF($H213="USD",IF(OR($L213="",$L213="-"),"",VLOOKUP($G213,為替!$A:$AX,$L213,FALSE))+$K$3,IF(OR($L213="",$L213="-"),"",VLOOKUP($G213,為替!$A:$AX,$L213,FALSE)))</f>
        <v/>
      </c>
      <c r="N213" s="205" t="str">
        <f t="shared" si="22"/>
        <v/>
      </c>
      <c r="O213" s="206" t="str">
        <f t="shared" si="18"/>
        <v/>
      </c>
      <c r="P213" s="207" t="str">
        <f t="shared" si="23"/>
        <v/>
      </c>
    </row>
    <row r="214" spans="3:16">
      <c r="C214" s="405"/>
      <c r="D214" s="411"/>
      <c r="E214" s="202"/>
      <c r="F214" s="200"/>
      <c r="H214" s="203"/>
      <c r="I214" s="186" t="str">
        <f t="shared" si="19"/>
        <v/>
      </c>
      <c r="J214" s="204" t="str">
        <f>IF($H214="USD",IF(OR($I214="",$I214="-"),"",VLOOKUP($G214,為替!$A:$AX,$I214,FALSE))+$J$3,IF(OR($I214="",$I214="-"),"",VLOOKUP($G214,為替!$A:$AX,$I214,FALSE)))</f>
        <v/>
      </c>
      <c r="K214" s="205" t="str">
        <f t="shared" si="20"/>
        <v/>
      </c>
      <c r="L214" s="189" t="str">
        <f t="shared" si="21"/>
        <v/>
      </c>
      <c r="M214" s="204" t="str">
        <f>IF($H214="USD",IF(OR($L214="",$L214="-"),"",VLOOKUP($G214,為替!$A:$AX,$L214,FALSE))+$K$3,IF(OR($L214="",$L214="-"),"",VLOOKUP($G214,為替!$A:$AX,$L214,FALSE)))</f>
        <v/>
      </c>
      <c r="N214" s="205" t="str">
        <f t="shared" si="22"/>
        <v/>
      </c>
      <c r="O214" s="206" t="str">
        <f t="shared" si="18"/>
        <v/>
      </c>
      <c r="P214" s="207" t="str">
        <f t="shared" si="23"/>
        <v/>
      </c>
    </row>
    <row r="215" spans="3:16">
      <c r="C215" s="405"/>
      <c r="D215" s="411"/>
      <c r="E215" s="202"/>
      <c r="F215" s="200"/>
      <c r="H215" s="203"/>
      <c r="I215" s="186" t="str">
        <f t="shared" si="19"/>
        <v/>
      </c>
      <c r="J215" s="204" t="str">
        <f>IF($H215="USD",IF(OR($I215="",$I215="-"),"",VLOOKUP($G215,為替!$A:$AX,$I215,FALSE))+$J$3,IF(OR($I215="",$I215="-"),"",VLOOKUP($G215,為替!$A:$AX,$I215,FALSE)))</f>
        <v/>
      </c>
      <c r="K215" s="205" t="str">
        <f t="shared" si="20"/>
        <v/>
      </c>
      <c r="L215" s="189" t="str">
        <f t="shared" si="21"/>
        <v/>
      </c>
      <c r="M215" s="204" t="str">
        <f>IF($H215="USD",IF(OR($L215="",$L215="-"),"",VLOOKUP($G215,為替!$A:$AX,$L215,FALSE))+$K$3,IF(OR($L215="",$L215="-"),"",VLOOKUP($G215,為替!$A:$AX,$L215,FALSE)))</f>
        <v/>
      </c>
      <c r="N215" s="205" t="str">
        <f t="shared" si="22"/>
        <v/>
      </c>
      <c r="O215" s="206" t="str">
        <f t="shared" si="18"/>
        <v/>
      </c>
      <c r="P215" s="207" t="str">
        <f t="shared" si="23"/>
        <v/>
      </c>
    </row>
    <row r="216" spans="3:16">
      <c r="C216" s="405"/>
      <c r="D216" s="411"/>
      <c r="E216" s="202"/>
      <c r="F216" s="200"/>
      <c r="H216" s="203"/>
      <c r="I216" s="186" t="str">
        <f t="shared" si="19"/>
        <v/>
      </c>
      <c r="J216" s="204" t="str">
        <f>IF($H216="USD",IF(OR($I216="",$I216="-"),"",VLOOKUP($G216,為替!$A:$AX,$I216,FALSE))+$J$3,IF(OR($I216="",$I216="-"),"",VLOOKUP($G216,為替!$A:$AX,$I216,FALSE)))</f>
        <v/>
      </c>
      <c r="K216" s="205" t="str">
        <f t="shared" si="20"/>
        <v/>
      </c>
      <c r="L216" s="189" t="str">
        <f t="shared" si="21"/>
        <v/>
      </c>
      <c r="M216" s="204" t="str">
        <f>IF($H216="USD",IF(OR($L216="",$L216="-"),"",VLOOKUP($G216,為替!$A:$AX,$L216,FALSE))+$K$3,IF(OR($L216="",$L216="-"),"",VLOOKUP($G216,為替!$A:$AX,$L216,FALSE)))</f>
        <v/>
      </c>
      <c r="N216" s="205" t="str">
        <f t="shared" si="22"/>
        <v/>
      </c>
      <c r="O216" s="206" t="str">
        <f t="shared" si="18"/>
        <v/>
      </c>
      <c r="P216" s="207" t="str">
        <f t="shared" si="23"/>
        <v/>
      </c>
    </row>
    <row r="217" spans="3:16">
      <c r="C217" s="405"/>
      <c r="D217" s="411"/>
      <c r="E217" s="202"/>
      <c r="F217" s="200"/>
      <c r="H217" s="203"/>
      <c r="I217" s="186" t="str">
        <f t="shared" si="19"/>
        <v/>
      </c>
      <c r="J217" s="204" t="str">
        <f>IF($H217="USD",IF(OR($I217="",$I217="-"),"",VLOOKUP($G217,為替!$A:$AX,$I217,FALSE))+$J$3,IF(OR($I217="",$I217="-"),"",VLOOKUP($G217,為替!$A:$AX,$I217,FALSE)))</f>
        <v/>
      </c>
      <c r="K217" s="205" t="str">
        <f t="shared" si="20"/>
        <v/>
      </c>
      <c r="L217" s="189" t="str">
        <f t="shared" si="21"/>
        <v/>
      </c>
      <c r="M217" s="204" t="str">
        <f>IF($H217="USD",IF(OR($L217="",$L217="-"),"",VLOOKUP($G217,為替!$A:$AX,$L217,FALSE))+$K$3,IF(OR($L217="",$L217="-"),"",VLOOKUP($G217,為替!$A:$AX,$L217,FALSE)))</f>
        <v/>
      </c>
      <c r="N217" s="205" t="str">
        <f t="shared" si="22"/>
        <v/>
      </c>
      <c r="O217" s="206" t="str">
        <f t="shared" si="18"/>
        <v/>
      </c>
      <c r="P217" s="207" t="str">
        <f t="shared" si="23"/>
        <v/>
      </c>
    </row>
    <row r="218" spans="3:16">
      <c r="C218" s="405"/>
      <c r="D218" s="411"/>
      <c r="E218" s="202"/>
      <c r="F218" s="200"/>
      <c r="H218" s="203"/>
      <c r="I218" s="186" t="str">
        <f t="shared" si="19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 t="str">
        <f t="shared" si="20"/>
        <v/>
      </c>
      <c r="L218" s="189" t="str">
        <f t="shared" si="21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 t="str">
        <f t="shared" si="22"/>
        <v/>
      </c>
      <c r="O218" s="206" t="str">
        <f t="shared" si="18"/>
        <v/>
      </c>
      <c r="P218" s="207" t="str">
        <f t="shared" si="23"/>
        <v/>
      </c>
    </row>
    <row r="219" spans="3:16">
      <c r="C219" s="405"/>
      <c r="D219" s="411"/>
      <c r="E219" s="202"/>
      <c r="F219" s="200"/>
      <c r="H219" s="203"/>
      <c r="I219" s="186" t="str">
        <f t="shared" si="19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 t="str">
        <f t="shared" si="20"/>
        <v/>
      </c>
      <c r="L219" s="189" t="str">
        <f t="shared" si="21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 t="str">
        <f t="shared" si="22"/>
        <v/>
      </c>
      <c r="O219" s="206" t="str">
        <f t="shared" si="18"/>
        <v/>
      </c>
      <c r="P219" s="207" t="str">
        <f t="shared" si="23"/>
        <v/>
      </c>
    </row>
    <row r="220" spans="3:16">
      <c r="C220" s="405"/>
      <c r="D220" s="411"/>
      <c r="E220" s="202"/>
      <c r="F220" s="200"/>
      <c r="H220" s="203"/>
      <c r="I220" s="186" t="str">
        <f t="shared" si="19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 t="str">
        <f t="shared" si="20"/>
        <v/>
      </c>
      <c r="L220" s="189" t="str">
        <f t="shared" si="21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 t="str">
        <f t="shared" si="22"/>
        <v/>
      </c>
      <c r="O220" s="206" t="str">
        <f t="shared" si="18"/>
        <v/>
      </c>
      <c r="P220" s="207" t="str">
        <f t="shared" si="23"/>
        <v/>
      </c>
    </row>
    <row r="221" spans="3:16">
      <c r="C221" s="405"/>
      <c r="D221" s="411"/>
      <c r="E221" s="202"/>
      <c r="F221" s="200"/>
      <c r="H221" s="203"/>
      <c r="I221" s="186" t="str">
        <f t="shared" si="19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0"/>
        <v/>
      </c>
      <c r="L221" s="189" t="str">
        <f t="shared" si="21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2"/>
        <v/>
      </c>
      <c r="O221" s="206" t="str">
        <f t="shared" si="18"/>
        <v/>
      </c>
      <c r="P221" s="207" t="str">
        <f t="shared" si="23"/>
        <v/>
      </c>
    </row>
    <row r="222" spans="3:16">
      <c r="C222" s="405"/>
      <c r="D222" s="411"/>
      <c r="E222" s="202"/>
      <c r="F222" s="200"/>
      <c r="H222" s="203"/>
      <c r="I222" s="186" t="str">
        <f t="shared" si="19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0"/>
        <v/>
      </c>
      <c r="L222" s="189" t="str">
        <f t="shared" si="21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2"/>
        <v/>
      </c>
      <c r="O222" s="206" t="str">
        <f t="shared" si="18"/>
        <v/>
      </c>
      <c r="P222" s="207" t="str">
        <f t="shared" si="23"/>
        <v/>
      </c>
    </row>
    <row r="223" spans="3:16">
      <c r="C223" s="405"/>
      <c r="D223" s="411"/>
      <c r="E223" s="202"/>
      <c r="F223" s="200"/>
      <c r="H223" s="203"/>
      <c r="I223" s="186" t="str">
        <f t="shared" si="19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0"/>
        <v/>
      </c>
      <c r="L223" s="189" t="str">
        <f t="shared" si="21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2"/>
        <v/>
      </c>
      <c r="O223" s="206" t="str">
        <f t="shared" si="18"/>
        <v/>
      </c>
      <c r="P223" s="207" t="str">
        <f t="shared" si="23"/>
        <v/>
      </c>
    </row>
    <row r="224" spans="3:16">
      <c r="C224" s="405"/>
      <c r="D224" s="411"/>
      <c r="E224" s="202"/>
      <c r="F224" s="200"/>
      <c r="H224" s="203"/>
      <c r="I224" s="186" t="str">
        <f t="shared" si="19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0"/>
        <v/>
      </c>
      <c r="L224" s="189" t="str">
        <f t="shared" si="21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2"/>
        <v/>
      </c>
      <c r="O224" s="206" t="str">
        <f t="shared" si="18"/>
        <v/>
      </c>
      <c r="P224" s="207" t="str">
        <f t="shared" si="23"/>
        <v/>
      </c>
    </row>
    <row r="225" spans="3:16">
      <c r="C225" s="405"/>
      <c r="D225" s="411"/>
      <c r="E225" s="202"/>
      <c r="F225" s="200"/>
      <c r="H225" s="203"/>
      <c r="I225" s="186" t="str">
        <f t="shared" si="19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0"/>
        <v/>
      </c>
      <c r="L225" s="189" t="str">
        <f t="shared" si="21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2"/>
        <v/>
      </c>
      <c r="O225" s="206" t="str">
        <f t="shared" si="18"/>
        <v/>
      </c>
      <c r="P225" s="207" t="str">
        <f t="shared" si="23"/>
        <v/>
      </c>
    </row>
    <row r="226" spans="3:16">
      <c r="C226" s="405"/>
      <c r="D226" s="411"/>
      <c r="E226" s="202"/>
      <c r="F226" s="200"/>
      <c r="H226" s="203"/>
      <c r="I226" s="186" t="str">
        <f t="shared" si="19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0"/>
        <v/>
      </c>
      <c r="L226" s="189" t="str">
        <f t="shared" si="21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2"/>
        <v/>
      </c>
      <c r="O226" s="206" t="str">
        <f t="shared" si="18"/>
        <v/>
      </c>
      <c r="P226" s="207" t="str">
        <f t="shared" si="23"/>
        <v/>
      </c>
    </row>
    <row r="227" spans="3:16">
      <c r="C227" s="405"/>
      <c r="D227" s="411"/>
      <c r="E227" s="202"/>
      <c r="F227" s="200"/>
      <c r="H227" s="203"/>
      <c r="I227" s="186" t="str">
        <f t="shared" si="19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0"/>
        <v/>
      </c>
      <c r="L227" s="189" t="str">
        <f t="shared" si="21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2"/>
        <v/>
      </c>
      <c r="O227" s="206" t="str">
        <f t="shared" si="18"/>
        <v/>
      </c>
      <c r="P227" s="207" t="str">
        <f t="shared" si="23"/>
        <v/>
      </c>
    </row>
    <row r="228" spans="3:16">
      <c r="C228" s="405"/>
      <c r="D228" s="411"/>
      <c r="E228" s="202"/>
      <c r="F228" s="200"/>
      <c r="H228" s="203"/>
      <c r="I228" s="186" t="str">
        <f t="shared" si="19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0"/>
        <v/>
      </c>
      <c r="L228" s="189" t="str">
        <f t="shared" si="21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2"/>
        <v/>
      </c>
      <c r="O228" s="206" t="str">
        <f t="shared" si="18"/>
        <v/>
      </c>
      <c r="P228" s="207" t="str">
        <f t="shared" si="23"/>
        <v/>
      </c>
    </row>
    <row r="229" spans="3:16">
      <c r="C229" s="405"/>
      <c r="D229" s="411"/>
      <c r="E229" s="202"/>
      <c r="F229" s="200"/>
      <c r="H229" s="203"/>
      <c r="I229" s="186" t="str">
        <f t="shared" si="19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0"/>
        <v/>
      </c>
      <c r="L229" s="189" t="str">
        <f t="shared" si="21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2"/>
        <v/>
      </c>
      <c r="O229" s="206" t="str">
        <f t="shared" si="18"/>
        <v/>
      </c>
      <c r="P229" s="207" t="str">
        <f t="shared" si="23"/>
        <v/>
      </c>
    </row>
    <row r="230" spans="3:16">
      <c r="C230" s="405"/>
      <c r="D230" s="411"/>
      <c r="E230" s="202"/>
      <c r="F230" s="200"/>
      <c r="H230" s="203"/>
      <c r="I230" s="186" t="str">
        <f t="shared" si="19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0"/>
        <v/>
      </c>
      <c r="L230" s="189" t="str">
        <f t="shared" si="21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2"/>
        <v/>
      </c>
      <c r="O230" s="206" t="str">
        <f t="shared" si="18"/>
        <v/>
      </c>
      <c r="P230" s="207" t="str">
        <f t="shared" si="23"/>
        <v/>
      </c>
    </row>
    <row r="231" spans="3:16">
      <c r="C231" s="405"/>
      <c r="D231" s="411"/>
      <c r="E231" s="202"/>
      <c r="F231" s="200"/>
      <c r="H231" s="203"/>
      <c r="I231" s="186" t="str">
        <f t="shared" si="19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0"/>
        <v/>
      </c>
      <c r="L231" s="189" t="str">
        <f t="shared" si="21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2"/>
        <v/>
      </c>
      <c r="O231" s="206" t="str">
        <f t="shared" si="18"/>
        <v/>
      </c>
      <c r="P231" s="207" t="str">
        <f t="shared" si="23"/>
        <v/>
      </c>
    </row>
    <row r="232" spans="3:16">
      <c r="C232" s="405"/>
      <c r="D232" s="411"/>
      <c r="E232" s="202"/>
      <c r="F232" s="200"/>
      <c r="H232" s="203"/>
      <c r="I232" s="186" t="str">
        <f t="shared" si="19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0"/>
        <v/>
      </c>
      <c r="L232" s="189" t="str">
        <f t="shared" si="21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2"/>
        <v/>
      </c>
      <c r="O232" s="206" t="str">
        <f t="shared" si="18"/>
        <v/>
      </c>
      <c r="P232" s="207" t="str">
        <f t="shared" si="23"/>
        <v/>
      </c>
    </row>
    <row r="233" spans="3:16">
      <c r="C233" s="405"/>
      <c r="D233" s="411"/>
      <c r="E233" s="202"/>
      <c r="F233" s="200"/>
      <c r="H233" s="203"/>
      <c r="I233" s="186" t="str">
        <f t="shared" si="19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0"/>
        <v/>
      </c>
      <c r="L233" s="189" t="str">
        <f t="shared" si="21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2"/>
        <v/>
      </c>
      <c r="O233" s="206" t="str">
        <f t="shared" si="18"/>
        <v/>
      </c>
      <c r="P233" s="207" t="str">
        <f t="shared" si="23"/>
        <v/>
      </c>
    </row>
    <row r="234" spans="3:16">
      <c r="C234" s="405"/>
      <c r="D234" s="411"/>
      <c r="E234" s="202"/>
      <c r="F234" s="200"/>
      <c r="H234" s="203"/>
      <c r="I234" s="186" t="str">
        <f t="shared" si="19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0"/>
        <v/>
      </c>
      <c r="L234" s="189" t="str">
        <f t="shared" si="21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2"/>
        <v/>
      </c>
      <c r="O234" s="206" t="str">
        <f t="shared" si="18"/>
        <v/>
      </c>
      <c r="P234" s="207" t="str">
        <f t="shared" si="23"/>
        <v/>
      </c>
    </row>
    <row r="235" spans="3:16">
      <c r="C235" s="405"/>
      <c r="D235" s="411"/>
      <c r="E235" s="202"/>
      <c r="F235" s="200"/>
      <c r="H235" s="203"/>
      <c r="I235" s="186" t="str">
        <f t="shared" si="19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0"/>
        <v/>
      </c>
      <c r="L235" s="189" t="str">
        <f t="shared" si="21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2"/>
        <v/>
      </c>
      <c r="O235" s="206" t="str">
        <f t="shared" si="18"/>
        <v/>
      </c>
      <c r="P235" s="207" t="str">
        <f t="shared" si="23"/>
        <v/>
      </c>
    </row>
    <row r="236" spans="3:16">
      <c r="C236" s="405"/>
      <c r="D236" s="411"/>
      <c r="E236" s="202"/>
      <c r="F236" s="200"/>
      <c r="H236" s="203"/>
      <c r="I236" s="186" t="str">
        <f t="shared" si="19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0"/>
        <v/>
      </c>
      <c r="L236" s="189" t="str">
        <f t="shared" si="21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2"/>
        <v/>
      </c>
      <c r="O236" s="206" t="str">
        <f t="shared" si="18"/>
        <v/>
      </c>
      <c r="P236" s="207" t="str">
        <f t="shared" si="23"/>
        <v/>
      </c>
    </row>
    <row r="237" spans="3:16">
      <c r="C237" s="405"/>
      <c r="D237" s="411"/>
      <c r="E237" s="202"/>
      <c r="F237" s="200"/>
      <c r="H237" s="203"/>
      <c r="I237" s="186" t="str">
        <f t="shared" si="19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0"/>
        <v/>
      </c>
      <c r="L237" s="189" t="str">
        <f t="shared" si="21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2"/>
        <v/>
      </c>
      <c r="O237" s="206" t="str">
        <f t="shared" si="18"/>
        <v/>
      </c>
      <c r="P237" s="207" t="str">
        <f t="shared" si="23"/>
        <v/>
      </c>
    </row>
    <row r="238" spans="3:16">
      <c r="C238" s="405"/>
      <c r="D238" s="411"/>
      <c r="E238" s="202"/>
      <c r="F238" s="200"/>
      <c r="H238" s="203"/>
      <c r="I238" s="186" t="str">
        <f t="shared" si="19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0"/>
        <v/>
      </c>
      <c r="L238" s="189" t="str">
        <f t="shared" si="21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2"/>
        <v/>
      </c>
      <c r="O238" s="206" t="str">
        <f t="shared" si="18"/>
        <v/>
      </c>
      <c r="P238" s="207" t="str">
        <f t="shared" si="23"/>
        <v/>
      </c>
    </row>
    <row r="239" spans="3:16">
      <c r="C239" s="405"/>
      <c r="D239" s="411"/>
      <c r="E239" s="202"/>
      <c r="F239" s="200"/>
      <c r="H239" s="203"/>
      <c r="I239" s="186" t="str">
        <f t="shared" si="19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0"/>
        <v/>
      </c>
      <c r="L239" s="189" t="str">
        <f t="shared" si="21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2"/>
        <v/>
      </c>
      <c r="O239" s="206" t="str">
        <f t="shared" si="18"/>
        <v/>
      </c>
      <c r="P239" s="207" t="str">
        <f t="shared" si="23"/>
        <v/>
      </c>
    </row>
    <row r="240" spans="3:16">
      <c r="C240" s="405"/>
      <c r="D240" s="411"/>
      <c r="E240" s="202"/>
      <c r="F240" s="200"/>
      <c r="H240" s="203"/>
      <c r="I240" s="186" t="str">
        <f t="shared" si="19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0"/>
        <v/>
      </c>
      <c r="L240" s="189" t="str">
        <f t="shared" si="21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2"/>
        <v/>
      </c>
      <c r="O240" s="206" t="str">
        <f t="shared" si="18"/>
        <v/>
      </c>
      <c r="P240" s="207" t="str">
        <f t="shared" si="23"/>
        <v/>
      </c>
    </row>
    <row r="241" spans="3:16">
      <c r="C241" s="405"/>
      <c r="D241" s="411"/>
      <c r="E241" s="202"/>
      <c r="F241" s="200"/>
      <c r="H241" s="203"/>
      <c r="I241" s="186" t="str">
        <f t="shared" si="19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0"/>
        <v/>
      </c>
      <c r="L241" s="189" t="str">
        <f t="shared" si="21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2"/>
        <v/>
      </c>
      <c r="O241" s="206" t="str">
        <f t="shared" si="18"/>
        <v/>
      </c>
      <c r="P241" s="207" t="str">
        <f t="shared" si="23"/>
        <v/>
      </c>
    </row>
    <row r="242" spans="3:16">
      <c r="C242" s="405"/>
      <c r="D242" s="411"/>
      <c r="E242" s="202"/>
      <c r="F242" s="200"/>
      <c r="H242" s="203"/>
      <c r="I242" s="186" t="str">
        <f t="shared" si="19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0"/>
        <v/>
      </c>
      <c r="L242" s="189" t="str">
        <f t="shared" si="21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2"/>
        <v/>
      </c>
      <c r="O242" s="206" t="str">
        <f t="shared" si="18"/>
        <v/>
      </c>
      <c r="P242" s="207" t="str">
        <f t="shared" si="23"/>
        <v/>
      </c>
    </row>
    <row r="243" spans="3:16">
      <c r="C243" s="405"/>
      <c r="D243" s="411"/>
      <c r="E243" s="202"/>
      <c r="F243" s="200"/>
      <c r="H243" s="203"/>
      <c r="I243" s="186" t="str">
        <f t="shared" si="19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0"/>
        <v/>
      </c>
      <c r="L243" s="189" t="str">
        <f t="shared" si="21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2"/>
        <v/>
      </c>
      <c r="O243" s="206" t="str">
        <f t="shared" si="18"/>
        <v/>
      </c>
      <c r="P243" s="207" t="str">
        <f t="shared" si="23"/>
        <v/>
      </c>
    </row>
    <row r="244" spans="3:16">
      <c r="C244" s="405"/>
      <c r="D244" s="411"/>
      <c r="E244" s="202"/>
      <c r="F244" s="200"/>
      <c r="H244" s="203"/>
      <c r="I244" s="186" t="str">
        <f t="shared" si="19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0"/>
        <v/>
      </c>
      <c r="L244" s="189" t="str">
        <f t="shared" si="21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2"/>
        <v/>
      </c>
      <c r="O244" s="206" t="str">
        <f t="shared" si="18"/>
        <v/>
      </c>
      <c r="P244" s="207" t="str">
        <f t="shared" si="23"/>
        <v/>
      </c>
    </row>
    <row r="245" spans="3:16">
      <c r="C245" s="405"/>
      <c r="D245" s="411"/>
      <c r="E245" s="202"/>
      <c r="F245" s="200"/>
      <c r="H245" s="203"/>
      <c r="I245" s="186" t="str">
        <f t="shared" si="19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0"/>
        <v/>
      </c>
      <c r="L245" s="189" t="str">
        <f t="shared" si="21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2"/>
        <v/>
      </c>
      <c r="O245" s="206" t="str">
        <f t="shared" si="18"/>
        <v/>
      </c>
      <c r="P245" s="207" t="str">
        <f t="shared" si="23"/>
        <v/>
      </c>
    </row>
    <row r="246" spans="3:16">
      <c r="C246" s="405"/>
      <c r="D246" s="411"/>
      <c r="E246" s="202"/>
      <c r="F246" s="200"/>
      <c r="H246" s="203"/>
      <c r="I246" s="186" t="str">
        <f t="shared" si="19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0"/>
        <v/>
      </c>
      <c r="L246" s="189" t="str">
        <f t="shared" si="21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2"/>
        <v/>
      </c>
      <c r="O246" s="206" t="str">
        <f t="shared" si="18"/>
        <v/>
      </c>
      <c r="P246" s="207" t="str">
        <f t="shared" si="23"/>
        <v/>
      </c>
    </row>
    <row r="247" spans="3:16">
      <c r="C247" s="405"/>
      <c r="D247" s="411"/>
      <c r="E247" s="202"/>
      <c r="F247" s="200"/>
      <c r="H247" s="203"/>
      <c r="I247" s="186" t="str">
        <f t="shared" si="19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0"/>
        <v/>
      </c>
      <c r="L247" s="189" t="str">
        <f t="shared" si="21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2"/>
        <v/>
      </c>
      <c r="O247" s="206" t="str">
        <f t="shared" si="18"/>
        <v/>
      </c>
      <c r="P247" s="207" t="str">
        <f t="shared" si="23"/>
        <v/>
      </c>
    </row>
    <row r="248" spans="3:16">
      <c r="C248" s="405"/>
      <c r="D248" s="411"/>
      <c r="E248" s="202"/>
      <c r="F248" s="200"/>
      <c r="H248" s="203"/>
      <c r="I248" s="186" t="str">
        <f t="shared" si="19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0"/>
        <v/>
      </c>
      <c r="L248" s="189" t="str">
        <f t="shared" si="21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2"/>
        <v/>
      </c>
      <c r="O248" s="206" t="str">
        <f t="shared" si="18"/>
        <v/>
      </c>
      <c r="P248" s="207" t="str">
        <f t="shared" si="23"/>
        <v/>
      </c>
    </row>
    <row r="249" spans="3:16">
      <c r="C249" s="405"/>
      <c r="D249" s="411"/>
      <c r="E249" s="202"/>
      <c r="F249" s="200"/>
      <c r="H249" s="203"/>
      <c r="I249" s="186" t="str">
        <f t="shared" si="19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0"/>
        <v/>
      </c>
      <c r="L249" s="189" t="str">
        <f t="shared" si="21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2"/>
        <v/>
      </c>
      <c r="O249" s="206" t="str">
        <f t="shared" si="18"/>
        <v/>
      </c>
      <c r="P249" s="207" t="str">
        <f t="shared" si="23"/>
        <v/>
      </c>
    </row>
    <row r="250" spans="3:16">
      <c r="C250" s="405"/>
      <c r="D250" s="411"/>
      <c r="E250" s="202"/>
      <c r="F250" s="200"/>
      <c r="H250" s="203"/>
      <c r="I250" s="186" t="str">
        <f t="shared" si="19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0"/>
        <v/>
      </c>
      <c r="L250" s="189" t="str">
        <f t="shared" si="21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2"/>
        <v/>
      </c>
      <c r="O250" s="206" t="str">
        <f t="shared" si="18"/>
        <v/>
      </c>
      <c r="P250" s="207" t="str">
        <f t="shared" si="23"/>
        <v/>
      </c>
    </row>
    <row r="251" spans="3:16">
      <c r="C251" s="405"/>
      <c r="D251" s="411"/>
      <c r="E251" s="202"/>
      <c r="F251" s="200"/>
      <c r="H251" s="203"/>
      <c r="I251" s="186" t="str">
        <f t="shared" si="19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0"/>
        <v/>
      </c>
      <c r="L251" s="189" t="str">
        <f t="shared" si="21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2"/>
        <v/>
      </c>
      <c r="O251" s="206" t="str">
        <f t="shared" si="18"/>
        <v/>
      </c>
      <c r="P251" s="207" t="str">
        <f t="shared" si="23"/>
        <v/>
      </c>
    </row>
    <row r="252" spans="3:16">
      <c r="C252" s="405"/>
      <c r="D252" s="411"/>
      <c r="E252" s="202"/>
      <c r="F252" s="200"/>
      <c r="H252" s="203"/>
      <c r="I252" s="186" t="str">
        <f t="shared" si="19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0"/>
        <v/>
      </c>
      <c r="L252" s="189" t="str">
        <f t="shared" si="21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2"/>
        <v/>
      </c>
      <c r="O252" s="206" t="str">
        <f t="shared" si="18"/>
        <v/>
      </c>
      <c r="P252" s="207" t="str">
        <f t="shared" si="23"/>
        <v/>
      </c>
    </row>
    <row r="253" spans="3:16">
      <c r="C253" s="405"/>
      <c r="D253" s="411"/>
      <c r="E253" s="202"/>
      <c r="F253" s="200"/>
      <c r="H253" s="203"/>
      <c r="I253" s="186" t="str">
        <f t="shared" si="19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0"/>
        <v/>
      </c>
      <c r="L253" s="189" t="str">
        <f t="shared" si="21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2"/>
        <v/>
      </c>
      <c r="O253" s="206" t="str">
        <f t="shared" si="18"/>
        <v/>
      </c>
      <c r="P253" s="207" t="str">
        <f t="shared" si="23"/>
        <v/>
      </c>
    </row>
    <row r="254" spans="3:16">
      <c r="C254" s="405"/>
      <c r="D254" s="411"/>
      <c r="E254" s="202"/>
      <c r="F254" s="200"/>
      <c r="H254" s="203"/>
      <c r="I254" s="186" t="str">
        <f t="shared" si="19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0"/>
        <v/>
      </c>
      <c r="L254" s="189" t="str">
        <f t="shared" si="21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2"/>
        <v/>
      </c>
      <c r="O254" s="206" t="str">
        <f t="shared" si="18"/>
        <v/>
      </c>
      <c r="P254" s="207" t="str">
        <f t="shared" si="23"/>
        <v/>
      </c>
    </row>
    <row r="255" spans="3:16">
      <c r="C255" s="405"/>
      <c r="D255" s="411"/>
      <c r="E255" s="202"/>
      <c r="F255" s="200"/>
      <c r="H255" s="203"/>
      <c r="I255" s="186" t="str">
        <f t="shared" si="19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0"/>
        <v/>
      </c>
      <c r="L255" s="189" t="str">
        <f t="shared" si="21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2"/>
        <v/>
      </c>
      <c r="O255" s="206" t="str">
        <f t="shared" si="18"/>
        <v/>
      </c>
      <c r="P255" s="207" t="str">
        <f t="shared" si="23"/>
        <v/>
      </c>
    </row>
    <row r="256" spans="3:16">
      <c r="C256" s="405"/>
      <c r="D256" s="411"/>
      <c r="E256" s="202"/>
      <c r="F256" s="200"/>
      <c r="H256" s="203"/>
      <c r="I256" s="186" t="str">
        <f t="shared" si="19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0"/>
        <v/>
      </c>
      <c r="L256" s="189" t="str">
        <f t="shared" si="21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2"/>
        <v/>
      </c>
      <c r="O256" s="206" t="str">
        <f t="shared" si="18"/>
        <v/>
      </c>
      <c r="P256" s="207" t="str">
        <f t="shared" si="23"/>
        <v/>
      </c>
    </row>
    <row r="257" spans="3:16">
      <c r="C257" s="405"/>
      <c r="D257" s="411"/>
      <c r="E257" s="202"/>
      <c r="F257" s="200"/>
      <c r="H257" s="203"/>
      <c r="I257" s="186" t="str">
        <f t="shared" si="19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0"/>
        <v/>
      </c>
      <c r="L257" s="189" t="str">
        <f t="shared" si="21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2"/>
        <v/>
      </c>
      <c r="O257" s="206" t="str">
        <f t="shared" si="18"/>
        <v/>
      </c>
      <c r="P257" s="207" t="str">
        <f t="shared" si="23"/>
        <v/>
      </c>
    </row>
    <row r="258" spans="3:16">
      <c r="C258" s="405"/>
      <c r="D258" s="411"/>
      <c r="E258" s="202"/>
      <c r="F258" s="200"/>
      <c r="H258" s="203"/>
      <c r="I258" s="186" t="str">
        <f t="shared" si="19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0"/>
        <v/>
      </c>
      <c r="L258" s="189" t="str">
        <f t="shared" si="21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2"/>
        <v/>
      </c>
      <c r="O258" s="206" t="str">
        <f t="shared" si="18"/>
        <v/>
      </c>
      <c r="P258" s="207" t="str">
        <f t="shared" si="23"/>
        <v/>
      </c>
    </row>
    <row r="259" spans="3:16">
      <c r="C259" s="405"/>
      <c r="D259" s="411"/>
      <c r="E259" s="202"/>
      <c r="F259" s="200"/>
      <c r="H259" s="203"/>
      <c r="I259" s="186" t="str">
        <f t="shared" si="19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0"/>
        <v/>
      </c>
      <c r="L259" s="189" t="str">
        <f t="shared" si="21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2"/>
        <v/>
      </c>
      <c r="O259" s="206" t="str">
        <f t="shared" si="18"/>
        <v/>
      </c>
      <c r="P259" s="207" t="str">
        <f t="shared" si="23"/>
        <v/>
      </c>
    </row>
    <row r="260" spans="3:16">
      <c r="C260" s="405"/>
      <c r="D260" s="411"/>
      <c r="E260" s="202"/>
      <c r="F260" s="200"/>
      <c r="H260" s="203"/>
      <c r="I260" s="186" t="str">
        <f t="shared" si="19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0"/>
        <v/>
      </c>
      <c r="L260" s="189" t="str">
        <f t="shared" si="21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2"/>
        <v/>
      </c>
      <c r="O260" s="206" t="str">
        <f t="shared" si="18"/>
        <v/>
      </c>
      <c r="P260" s="207" t="str">
        <f t="shared" si="23"/>
        <v/>
      </c>
    </row>
    <row r="261" spans="3:16">
      <c r="C261" s="405"/>
      <c r="D261" s="411"/>
      <c r="E261" s="202"/>
      <c r="F261" s="200"/>
      <c r="H261" s="203"/>
      <c r="I261" s="186" t="str">
        <f t="shared" si="19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0"/>
        <v/>
      </c>
      <c r="L261" s="189" t="str">
        <f t="shared" si="21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2"/>
        <v/>
      </c>
      <c r="O261" s="206" t="str">
        <f t="shared" ref="O261:O324" si="24">IF(OR(K261="",N261=""),"",K261-N261)</f>
        <v/>
      </c>
      <c r="P261" s="207" t="str">
        <f t="shared" si="23"/>
        <v/>
      </c>
    </row>
    <row r="262" spans="3:16">
      <c r="C262" s="405"/>
      <c r="D262" s="411"/>
      <c r="E262" s="202"/>
      <c r="F262" s="200"/>
      <c r="H262" s="203"/>
      <c r="I262" s="186" t="str">
        <f t="shared" ref="I262:I325" si="25">IF(H262="","",IF(H262="JPY","",IF($H262="USD",4, IF(H262="EUR",7,IF(H262="CNY",47,IF(H262="HKD",34))))))</f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ref="K262:K325" si="26">IF($H262="JPY",$F262,IF($H262="","",$F262*$J262))</f>
        <v/>
      </c>
      <c r="L262" s="189" t="str">
        <f t="shared" ref="L262:L325" si="27">IF(H262="","",IF(H262="JPY","",IF($H262="USD",3, IF(H262="EUR",6,IF(H262="CNY",46,IF(H262="HKD",33))))))</f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ref="N262:N325" si="28">IF($E262="JPY",($C262+$D262),IF($E262="","",($C262+$D262)*$M262))</f>
        <v/>
      </c>
      <c r="O262" s="206" t="str">
        <f t="shared" si="24"/>
        <v/>
      </c>
      <c r="P262" s="207" t="str">
        <f t="shared" ref="P262:P325" si="29">IF(OR(K262="",O262=""),"",O262/K262)</f>
        <v/>
      </c>
    </row>
    <row r="263" spans="3:16">
      <c r="C263" s="405"/>
      <c r="D263" s="411"/>
      <c r="E263" s="202"/>
      <c r="F263" s="200"/>
      <c r="H263" s="203"/>
      <c r="I263" s="186" t="str">
        <f t="shared" si="25"/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si="26"/>
        <v/>
      </c>
      <c r="L263" s="189" t="str">
        <f t="shared" si="27"/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si="28"/>
        <v/>
      </c>
      <c r="O263" s="206" t="str">
        <f t="shared" si="24"/>
        <v/>
      </c>
      <c r="P263" s="207" t="str">
        <f t="shared" si="29"/>
        <v/>
      </c>
    </row>
    <row r="264" spans="3:16">
      <c r="C264" s="405"/>
      <c r="D264" s="411"/>
      <c r="E264" s="202"/>
      <c r="F264" s="200"/>
      <c r="H264" s="203"/>
      <c r="I264" s="186" t="str">
        <f t="shared" si="25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6"/>
        <v/>
      </c>
      <c r="L264" s="189" t="str">
        <f t="shared" si="27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28"/>
        <v/>
      </c>
      <c r="O264" s="206" t="str">
        <f t="shared" si="24"/>
        <v/>
      </c>
      <c r="P264" s="207" t="str">
        <f t="shared" si="29"/>
        <v/>
      </c>
    </row>
    <row r="265" spans="3:16">
      <c r="C265" s="405"/>
      <c r="D265" s="411"/>
      <c r="E265" s="202"/>
      <c r="F265" s="200"/>
      <c r="H265" s="203"/>
      <c r="I265" s="186" t="str">
        <f t="shared" si="25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6"/>
        <v/>
      </c>
      <c r="L265" s="189" t="str">
        <f t="shared" si="27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28"/>
        <v/>
      </c>
      <c r="O265" s="206" t="str">
        <f t="shared" si="24"/>
        <v/>
      </c>
      <c r="P265" s="207" t="str">
        <f t="shared" si="29"/>
        <v/>
      </c>
    </row>
    <row r="266" spans="3:16">
      <c r="C266" s="405"/>
      <c r="D266" s="411"/>
      <c r="E266" s="202"/>
      <c r="F266" s="200"/>
      <c r="H266" s="203"/>
      <c r="I266" s="186" t="str">
        <f t="shared" si="25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6"/>
        <v/>
      </c>
      <c r="L266" s="189" t="str">
        <f t="shared" si="27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28"/>
        <v/>
      </c>
      <c r="O266" s="206" t="str">
        <f t="shared" si="24"/>
        <v/>
      </c>
      <c r="P266" s="207" t="str">
        <f t="shared" si="29"/>
        <v/>
      </c>
    </row>
    <row r="267" spans="3:16">
      <c r="C267" s="405"/>
      <c r="D267" s="411"/>
      <c r="E267" s="202"/>
      <c r="F267" s="200"/>
      <c r="H267" s="203"/>
      <c r="I267" s="186" t="str">
        <f t="shared" si="25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6"/>
        <v/>
      </c>
      <c r="L267" s="189" t="str">
        <f t="shared" si="27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28"/>
        <v/>
      </c>
      <c r="O267" s="206" t="str">
        <f t="shared" si="24"/>
        <v/>
      </c>
      <c r="P267" s="207" t="str">
        <f t="shared" si="29"/>
        <v/>
      </c>
    </row>
    <row r="268" spans="3:16">
      <c r="C268" s="405"/>
      <c r="D268" s="411"/>
      <c r="E268" s="202"/>
      <c r="F268" s="200"/>
      <c r="H268" s="203"/>
      <c r="I268" s="186" t="str">
        <f t="shared" si="25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6"/>
        <v/>
      </c>
      <c r="L268" s="189" t="str">
        <f t="shared" si="27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28"/>
        <v/>
      </c>
      <c r="O268" s="206" t="str">
        <f t="shared" si="24"/>
        <v/>
      </c>
      <c r="P268" s="207" t="str">
        <f t="shared" si="29"/>
        <v/>
      </c>
    </row>
    <row r="269" spans="3:16">
      <c r="C269" s="405"/>
      <c r="D269" s="411"/>
      <c r="E269" s="202"/>
      <c r="F269" s="200"/>
      <c r="H269" s="203"/>
      <c r="I269" s="186" t="str">
        <f t="shared" si="25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6"/>
        <v/>
      </c>
      <c r="L269" s="189" t="str">
        <f t="shared" si="27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28"/>
        <v/>
      </c>
      <c r="O269" s="206" t="str">
        <f t="shared" si="24"/>
        <v/>
      </c>
      <c r="P269" s="207" t="str">
        <f t="shared" si="29"/>
        <v/>
      </c>
    </row>
    <row r="270" spans="3:16">
      <c r="C270" s="405"/>
      <c r="D270" s="411"/>
      <c r="E270" s="202"/>
      <c r="F270" s="200"/>
      <c r="H270" s="203"/>
      <c r="I270" s="186" t="str">
        <f t="shared" si="25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6"/>
        <v/>
      </c>
      <c r="L270" s="189" t="str">
        <f t="shared" si="27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28"/>
        <v/>
      </c>
      <c r="O270" s="206" t="str">
        <f t="shared" si="24"/>
        <v/>
      </c>
      <c r="P270" s="207" t="str">
        <f t="shared" si="29"/>
        <v/>
      </c>
    </row>
    <row r="271" spans="3:16">
      <c r="C271" s="405"/>
      <c r="D271" s="411"/>
      <c r="E271" s="202"/>
      <c r="F271" s="200"/>
      <c r="H271" s="203"/>
      <c r="I271" s="186" t="str">
        <f t="shared" si="25"/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si="26"/>
        <v/>
      </c>
      <c r="L271" s="189" t="str">
        <f t="shared" si="27"/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si="28"/>
        <v/>
      </c>
      <c r="O271" s="206" t="str">
        <f t="shared" si="24"/>
        <v/>
      </c>
      <c r="P271" s="207" t="str">
        <f t="shared" si="29"/>
        <v/>
      </c>
    </row>
    <row r="272" spans="3:16">
      <c r="C272" s="405"/>
      <c r="D272" s="411"/>
      <c r="E272" s="202"/>
      <c r="F272" s="200"/>
      <c r="H272" s="203"/>
      <c r="I272" s="186" t="str">
        <f t="shared" si="25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26"/>
        <v/>
      </c>
      <c r="L272" s="189" t="str">
        <f t="shared" si="27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28"/>
        <v/>
      </c>
      <c r="O272" s="206" t="str">
        <f t="shared" si="24"/>
        <v/>
      </c>
      <c r="P272" s="207" t="str">
        <f t="shared" si="29"/>
        <v/>
      </c>
    </row>
    <row r="273" spans="3:16">
      <c r="C273" s="405"/>
      <c r="D273" s="411"/>
      <c r="E273" s="202"/>
      <c r="F273" s="200"/>
      <c r="H273" s="203"/>
      <c r="I273" s="186" t="str">
        <f t="shared" si="25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26"/>
        <v/>
      </c>
      <c r="L273" s="189" t="str">
        <f t="shared" si="27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28"/>
        <v/>
      </c>
      <c r="O273" s="206" t="str">
        <f t="shared" si="24"/>
        <v/>
      </c>
      <c r="P273" s="207" t="str">
        <f t="shared" si="29"/>
        <v/>
      </c>
    </row>
    <row r="274" spans="3:16">
      <c r="C274" s="405"/>
      <c r="D274" s="411"/>
      <c r="E274" s="202"/>
      <c r="F274" s="200"/>
      <c r="H274" s="203"/>
      <c r="I274" s="186" t="str">
        <f t="shared" si="25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26"/>
        <v/>
      </c>
      <c r="L274" s="189" t="str">
        <f t="shared" si="27"/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28"/>
        <v/>
      </c>
      <c r="O274" s="206" t="str">
        <f t="shared" si="24"/>
        <v/>
      </c>
      <c r="P274" s="207" t="str">
        <f t="shared" si="29"/>
        <v/>
      </c>
    </row>
    <row r="275" spans="3:16">
      <c r="C275" s="405"/>
      <c r="D275" s="411"/>
      <c r="E275" s="202"/>
      <c r="F275" s="200"/>
      <c r="H275" s="203"/>
      <c r="I275" s="186" t="str">
        <f t="shared" si="25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26"/>
        <v/>
      </c>
      <c r="L275" s="189" t="str">
        <f t="shared" si="27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28"/>
        <v/>
      </c>
      <c r="O275" s="206" t="str">
        <f t="shared" si="24"/>
        <v/>
      </c>
      <c r="P275" s="207" t="str">
        <f t="shared" si="29"/>
        <v/>
      </c>
    </row>
    <row r="276" spans="3:16">
      <c r="C276" s="405"/>
      <c r="D276" s="411"/>
      <c r="E276" s="202"/>
      <c r="F276" s="200"/>
      <c r="H276" s="203"/>
      <c r="I276" s="186" t="str">
        <f t="shared" si="25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26"/>
        <v/>
      </c>
      <c r="L276" s="189" t="str">
        <f t="shared" si="27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28"/>
        <v/>
      </c>
      <c r="O276" s="206" t="str">
        <f t="shared" si="24"/>
        <v/>
      </c>
      <c r="P276" s="207" t="str">
        <f t="shared" si="29"/>
        <v/>
      </c>
    </row>
    <row r="277" spans="3:16">
      <c r="C277" s="405"/>
      <c r="D277" s="411"/>
      <c r="E277" s="202"/>
      <c r="F277" s="200"/>
      <c r="H277" s="203"/>
      <c r="I277" s="186" t="str">
        <f t="shared" si="25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26"/>
        <v/>
      </c>
      <c r="L277" s="189" t="str">
        <f t="shared" si="27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28"/>
        <v/>
      </c>
      <c r="O277" s="206" t="str">
        <f t="shared" si="24"/>
        <v/>
      </c>
      <c r="P277" s="207" t="str">
        <f t="shared" si="29"/>
        <v/>
      </c>
    </row>
    <row r="278" spans="3:16">
      <c r="C278" s="405"/>
      <c r="D278" s="411"/>
      <c r="E278" s="202"/>
      <c r="F278" s="200"/>
      <c r="H278" s="203"/>
      <c r="I278" s="186" t="str">
        <f t="shared" si="25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26"/>
        <v/>
      </c>
      <c r="L278" s="189" t="str">
        <f t="shared" si="27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28"/>
        <v/>
      </c>
      <c r="O278" s="206" t="str">
        <f t="shared" si="24"/>
        <v/>
      </c>
      <c r="P278" s="207" t="str">
        <f t="shared" si="29"/>
        <v/>
      </c>
    </row>
    <row r="279" spans="3:16">
      <c r="C279" s="405"/>
      <c r="D279" s="411"/>
      <c r="E279" s="202"/>
      <c r="F279" s="200"/>
      <c r="H279" s="203"/>
      <c r="I279" s="186" t="str">
        <f t="shared" si="25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26"/>
        <v/>
      </c>
      <c r="L279" s="189" t="str">
        <f t="shared" si="27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28"/>
        <v/>
      </c>
      <c r="O279" s="206" t="str">
        <f t="shared" si="24"/>
        <v/>
      </c>
      <c r="P279" s="207" t="str">
        <f t="shared" si="29"/>
        <v/>
      </c>
    </row>
    <row r="280" spans="3:16">
      <c r="C280" s="405"/>
      <c r="D280" s="411"/>
      <c r="E280" s="202"/>
      <c r="F280" s="200"/>
      <c r="H280" s="203"/>
      <c r="I280" s="186" t="str">
        <f t="shared" si="25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26"/>
        <v/>
      </c>
      <c r="L280" s="189" t="str">
        <f t="shared" si="27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28"/>
        <v/>
      </c>
      <c r="O280" s="206" t="str">
        <f t="shared" si="24"/>
        <v/>
      </c>
      <c r="P280" s="207" t="str">
        <f t="shared" si="29"/>
        <v/>
      </c>
    </row>
    <row r="281" spans="3:16">
      <c r="C281" s="405"/>
      <c r="D281" s="411"/>
      <c r="E281" s="202"/>
      <c r="F281" s="200"/>
      <c r="H281" s="203"/>
      <c r="I281" s="186" t="str">
        <f t="shared" si="25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26"/>
        <v/>
      </c>
      <c r="L281" s="189" t="str">
        <f t="shared" si="27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28"/>
        <v/>
      </c>
      <c r="O281" s="206" t="str">
        <f t="shared" si="24"/>
        <v/>
      </c>
      <c r="P281" s="207" t="str">
        <f t="shared" si="29"/>
        <v/>
      </c>
    </row>
    <row r="282" spans="3:16">
      <c r="C282" s="405"/>
      <c r="D282" s="411"/>
      <c r="E282" s="202"/>
      <c r="F282" s="200"/>
      <c r="H282" s="203"/>
      <c r="I282" s="186" t="str">
        <f t="shared" si="25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26"/>
        <v/>
      </c>
      <c r="L282" s="189" t="str">
        <f t="shared" si="27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28"/>
        <v/>
      </c>
      <c r="O282" s="206" t="str">
        <f t="shared" si="24"/>
        <v/>
      </c>
      <c r="P282" s="207" t="str">
        <f t="shared" si="29"/>
        <v/>
      </c>
    </row>
    <row r="283" spans="3:16">
      <c r="C283" s="405"/>
      <c r="D283" s="411"/>
      <c r="E283" s="202"/>
      <c r="F283" s="200"/>
      <c r="H283" s="203"/>
      <c r="I283" s="186" t="str">
        <f t="shared" si="25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26"/>
        <v/>
      </c>
      <c r="L283" s="189" t="str">
        <f t="shared" si="27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28"/>
        <v/>
      </c>
      <c r="O283" s="206" t="str">
        <f t="shared" si="24"/>
        <v/>
      </c>
      <c r="P283" s="207" t="str">
        <f t="shared" si="29"/>
        <v/>
      </c>
    </row>
    <row r="284" spans="3:16">
      <c r="C284" s="405"/>
      <c r="D284" s="411"/>
      <c r="E284" s="202"/>
      <c r="F284" s="200"/>
      <c r="H284" s="203"/>
      <c r="I284" s="186" t="str">
        <f t="shared" si="25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26"/>
        <v/>
      </c>
      <c r="L284" s="189" t="str">
        <f t="shared" si="27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28"/>
        <v/>
      </c>
      <c r="O284" s="206" t="str">
        <f t="shared" si="24"/>
        <v/>
      </c>
      <c r="P284" s="207" t="str">
        <f t="shared" si="29"/>
        <v/>
      </c>
    </row>
    <row r="285" spans="3:16">
      <c r="C285" s="405"/>
      <c r="D285" s="411"/>
      <c r="E285" s="202"/>
      <c r="F285" s="200"/>
      <c r="H285" s="203"/>
      <c r="I285" s="186" t="str">
        <f t="shared" si="25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26"/>
        <v/>
      </c>
      <c r="L285" s="189" t="str">
        <f t="shared" si="27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28"/>
        <v/>
      </c>
      <c r="O285" s="206" t="str">
        <f t="shared" si="24"/>
        <v/>
      </c>
      <c r="P285" s="207" t="str">
        <f t="shared" si="29"/>
        <v/>
      </c>
    </row>
    <row r="286" spans="3:16">
      <c r="C286" s="405"/>
      <c r="D286" s="411"/>
      <c r="E286" s="202"/>
      <c r="F286" s="200"/>
      <c r="H286" s="203"/>
      <c r="I286" s="186" t="str">
        <f t="shared" si="25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26"/>
        <v/>
      </c>
      <c r="L286" s="189" t="str">
        <f t="shared" si="27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28"/>
        <v/>
      </c>
      <c r="O286" s="206" t="str">
        <f t="shared" si="24"/>
        <v/>
      </c>
      <c r="P286" s="207" t="str">
        <f t="shared" si="29"/>
        <v/>
      </c>
    </row>
    <row r="287" spans="3:16">
      <c r="C287" s="405"/>
      <c r="D287" s="411"/>
      <c r="E287" s="202"/>
      <c r="F287" s="200"/>
      <c r="H287" s="203"/>
      <c r="I287" s="186" t="str">
        <f t="shared" si="25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26"/>
        <v/>
      </c>
      <c r="L287" s="189" t="str">
        <f t="shared" si="27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28"/>
        <v/>
      </c>
      <c r="O287" s="206" t="str">
        <f t="shared" si="24"/>
        <v/>
      </c>
      <c r="P287" s="207" t="str">
        <f t="shared" si="29"/>
        <v/>
      </c>
    </row>
    <row r="288" spans="3:16">
      <c r="C288" s="405"/>
      <c r="D288" s="411"/>
      <c r="E288" s="202"/>
      <c r="F288" s="200"/>
      <c r="H288" s="203"/>
      <c r="I288" s="186" t="str">
        <f t="shared" si="25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26"/>
        <v/>
      </c>
      <c r="L288" s="189" t="str">
        <f t="shared" si="27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28"/>
        <v/>
      </c>
      <c r="O288" s="206" t="str">
        <f t="shared" si="24"/>
        <v/>
      </c>
      <c r="P288" s="207" t="str">
        <f t="shared" si="29"/>
        <v/>
      </c>
    </row>
    <row r="289" spans="3:16">
      <c r="C289" s="405"/>
      <c r="D289" s="411"/>
      <c r="E289" s="202"/>
      <c r="F289" s="200"/>
      <c r="H289" s="203"/>
      <c r="I289" s="186" t="str">
        <f t="shared" si="25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26"/>
        <v/>
      </c>
      <c r="L289" s="189" t="str">
        <f t="shared" si="27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28"/>
        <v/>
      </c>
      <c r="O289" s="206" t="str">
        <f t="shared" si="24"/>
        <v/>
      </c>
      <c r="P289" s="207" t="str">
        <f t="shared" si="29"/>
        <v/>
      </c>
    </row>
    <row r="290" spans="3:16">
      <c r="C290" s="405"/>
      <c r="D290" s="411"/>
      <c r="E290" s="202"/>
      <c r="F290" s="200"/>
      <c r="H290" s="203"/>
      <c r="I290" s="186" t="str">
        <f t="shared" si="25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26"/>
        <v/>
      </c>
      <c r="L290" s="189" t="str">
        <f t="shared" si="27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28"/>
        <v/>
      </c>
      <c r="O290" s="206" t="str">
        <f t="shared" si="24"/>
        <v/>
      </c>
      <c r="P290" s="207" t="str">
        <f t="shared" si="29"/>
        <v/>
      </c>
    </row>
    <row r="291" spans="3:16">
      <c r="C291" s="405"/>
      <c r="D291" s="411"/>
      <c r="E291" s="202"/>
      <c r="F291" s="200"/>
      <c r="H291" s="203"/>
      <c r="I291" s="186" t="str">
        <f t="shared" si="25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26"/>
        <v/>
      </c>
      <c r="L291" s="189" t="str">
        <f t="shared" si="27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28"/>
        <v/>
      </c>
      <c r="O291" s="206" t="str">
        <f t="shared" si="24"/>
        <v/>
      </c>
      <c r="P291" s="207" t="str">
        <f t="shared" si="29"/>
        <v/>
      </c>
    </row>
    <row r="292" spans="3:16">
      <c r="C292" s="405"/>
      <c r="D292" s="411"/>
      <c r="E292" s="202"/>
      <c r="F292" s="200"/>
      <c r="H292" s="203"/>
      <c r="I292" s="186" t="str">
        <f t="shared" si="25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26"/>
        <v/>
      </c>
      <c r="L292" s="189" t="str">
        <f t="shared" si="27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28"/>
        <v/>
      </c>
      <c r="O292" s="206" t="str">
        <f t="shared" si="24"/>
        <v/>
      </c>
      <c r="P292" s="207" t="str">
        <f t="shared" si="29"/>
        <v/>
      </c>
    </row>
    <row r="293" spans="3:16">
      <c r="C293" s="405"/>
      <c r="D293" s="411"/>
      <c r="E293" s="202"/>
      <c r="F293" s="200"/>
      <c r="H293" s="203"/>
      <c r="I293" s="186" t="str">
        <f t="shared" si="25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26"/>
        <v/>
      </c>
      <c r="L293" s="189" t="str">
        <f t="shared" si="27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28"/>
        <v/>
      </c>
      <c r="O293" s="206" t="str">
        <f t="shared" si="24"/>
        <v/>
      </c>
      <c r="P293" s="207" t="str">
        <f t="shared" si="29"/>
        <v/>
      </c>
    </row>
    <row r="294" spans="3:16">
      <c r="C294" s="405"/>
      <c r="D294" s="411"/>
      <c r="E294" s="202"/>
      <c r="F294" s="200"/>
      <c r="H294" s="203"/>
      <c r="I294" s="186" t="str">
        <f t="shared" si="25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26"/>
        <v/>
      </c>
      <c r="L294" s="189" t="str">
        <f t="shared" si="27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28"/>
        <v/>
      </c>
      <c r="O294" s="206" t="str">
        <f t="shared" si="24"/>
        <v/>
      </c>
      <c r="P294" s="207" t="str">
        <f t="shared" si="29"/>
        <v/>
      </c>
    </row>
    <row r="295" spans="3:16">
      <c r="C295" s="405"/>
      <c r="D295" s="411"/>
      <c r="E295" s="202"/>
      <c r="F295" s="200"/>
      <c r="H295" s="203"/>
      <c r="I295" s="186" t="str">
        <f t="shared" si="25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26"/>
        <v/>
      </c>
      <c r="L295" s="189" t="str">
        <f t="shared" si="27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28"/>
        <v/>
      </c>
      <c r="O295" s="206" t="str">
        <f t="shared" si="24"/>
        <v/>
      </c>
      <c r="P295" s="207" t="str">
        <f t="shared" si="29"/>
        <v/>
      </c>
    </row>
    <row r="296" spans="3:16">
      <c r="C296" s="405"/>
      <c r="D296" s="411"/>
      <c r="E296" s="202"/>
      <c r="F296" s="200"/>
      <c r="H296" s="203"/>
      <c r="I296" s="186" t="str">
        <f t="shared" si="25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26"/>
        <v/>
      </c>
      <c r="L296" s="189" t="str">
        <f t="shared" si="27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28"/>
        <v/>
      </c>
      <c r="O296" s="206" t="str">
        <f t="shared" si="24"/>
        <v/>
      </c>
      <c r="P296" s="207" t="str">
        <f t="shared" si="29"/>
        <v/>
      </c>
    </row>
    <row r="297" spans="3:16">
      <c r="C297" s="405"/>
      <c r="D297" s="411"/>
      <c r="E297" s="202"/>
      <c r="F297" s="200"/>
      <c r="H297" s="203"/>
      <c r="I297" s="186" t="str">
        <f t="shared" si="25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26"/>
        <v/>
      </c>
      <c r="L297" s="189" t="str">
        <f t="shared" si="27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28"/>
        <v/>
      </c>
      <c r="O297" s="206" t="str">
        <f t="shared" si="24"/>
        <v/>
      </c>
      <c r="P297" s="207" t="str">
        <f t="shared" si="29"/>
        <v/>
      </c>
    </row>
    <row r="298" spans="3:16">
      <c r="C298" s="405"/>
      <c r="D298" s="411"/>
      <c r="E298" s="202"/>
      <c r="F298" s="200"/>
      <c r="H298" s="203"/>
      <c r="I298" s="186" t="str">
        <f t="shared" si="25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26"/>
        <v/>
      </c>
      <c r="L298" s="189" t="str">
        <f t="shared" si="27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28"/>
        <v/>
      </c>
      <c r="O298" s="206" t="str">
        <f t="shared" si="24"/>
        <v/>
      </c>
      <c r="P298" s="207" t="str">
        <f t="shared" si="29"/>
        <v/>
      </c>
    </row>
    <row r="299" spans="3:16">
      <c r="C299" s="405"/>
      <c r="D299" s="411"/>
      <c r="E299" s="202"/>
      <c r="F299" s="200"/>
      <c r="H299" s="203"/>
      <c r="I299" s="186" t="str">
        <f t="shared" si="25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26"/>
        <v/>
      </c>
      <c r="L299" s="189" t="str">
        <f t="shared" si="27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28"/>
        <v/>
      </c>
      <c r="O299" s="206" t="str">
        <f t="shared" si="24"/>
        <v/>
      </c>
      <c r="P299" s="207" t="str">
        <f t="shared" si="29"/>
        <v/>
      </c>
    </row>
    <row r="300" spans="3:16">
      <c r="C300" s="405"/>
      <c r="D300" s="411"/>
      <c r="E300" s="202"/>
      <c r="F300" s="200"/>
      <c r="H300" s="203"/>
      <c r="I300" s="186" t="str">
        <f t="shared" si="25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26"/>
        <v/>
      </c>
      <c r="L300" s="189" t="str">
        <f t="shared" si="27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28"/>
        <v/>
      </c>
      <c r="O300" s="206" t="str">
        <f t="shared" si="24"/>
        <v/>
      </c>
      <c r="P300" s="207" t="str">
        <f t="shared" si="29"/>
        <v/>
      </c>
    </row>
    <row r="301" spans="3:16">
      <c r="C301" s="405"/>
      <c r="D301" s="411"/>
      <c r="E301" s="202"/>
      <c r="F301" s="200"/>
      <c r="H301" s="203"/>
      <c r="I301" s="186" t="str">
        <f t="shared" si="25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26"/>
        <v/>
      </c>
      <c r="L301" s="189" t="str">
        <f t="shared" si="27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28"/>
        <v/>
      </c>
      <c r="O301" s="206" t="str">
        <f t="shared" si="24"/>
        <v/>
      </c>
      <c r="P301" s="207" t="str">
        <f t="shared" si="29"/>
        <v/>
      </c>
    </row>
    <row r="302" spans="3:16">
      <c r="C302" s="405"/>
      <c r="D302" s="411"/>
      <c r="E302" s="202"/>
      <c r="F302" s="200"/>
      <c r="H302" s="203"/>
      <c r="I302" s="186" t="str">
        <f t="shared" si="25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26"/>
        <v/>
      </c>
      <c r="L302" s="189" t="str">
        <f t="shared" si="27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28"/>
        <v/>
      </c>
      <c r="O302" s="206" t="str">
        <f t="shared" si="24"/>
        <v/>
      </c>
      <c r="P302" s="207" t="str">
        <f t="shared" si="29"/>
        <v/>
      </c>
    </row>
    <row r="303" spans="3:16">
      <c r="C303" s="405"/>
      <c r="D303" s="411"/>
      <c r="E303" s="202"/>
      <c r="F303" s="200"/>
      <c r="H303" s="203"/>
      <c r="I303" s="186" t="str">
        <f t="shared" si="25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26"/>
        <v/>
      </c>
      <c r="L303" s="189" t="str">
        <f t="shared" si="27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28"/>
        <v/>
      </c>
      <c r="O303" s="206" t="str">
        <f t="shared" si="24"/>
        <v/>
      </c>
      <c r="P303" s="207" t="str">
        <f t="shared" si="29"/>
        <v/>
      </c>
    </row>
    <row r="304" spans="3:16">
      <c r="C304" s="405"/>
      <c r="D304" s="411"/>
      <c r="E304" s="202"/>
      <c r="F304" s="200"/>
      <c r="H304" s="203"/>
      <c r="I304" s="186" t="str">
        <f t="shared" si="25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26"/>
        <v/>
      </c>
      <c r="L304" s="189" t="str">
        <f t="shared" si="27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28"/>
        <v/>
      </c>
      <c r="O304" s="206" t="str">
        <f t="shared" si="24"/>
        <v/>
      </c>
      <c r="P304" s="207" t="str">
        <f t="shared" si="29"/>
        <v/>
      </c>
    </row>
    <row r="305" spans="3:16">
      <c r="C305" s="405"/>
      <c r="D305" s="411"/>
      <c r="E305" s="202"/>
      <c r="F305" s="200"/>
      <c r="H305" s="203"/>
      <c r="I305" s="186" t="str">
        <f t="shared" si="25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26"/>
        <v/>
      </c>
      <c r="L305" s="189" t="str">
        <f t="shared" si="27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28"/>
        <v/>
      </c>
      <c r="O305" s="206" t="str">
        <f t="shared" si="24"/>
        <v/>
      </c>
      <c r="P305" s="207" t="str">
        <f t="shared" si="29"/>
        <v/>
      </c>
    </row>
    <row r="306" spans="3:16">
      <c r="C306" s="405"/>
      <c r="D306" s="411"/>
      <c r="E306" s="202"/>
      <c r="F306" s="200"/>
      <c r="H306" s="203"/>
      <c r="I306" s="186" t="str">
        <f t="shared" si="25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26"/>
        <v/>
      </c>
      <c r="L306" s="189" t="str">
        <f t="shared" si="27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28"/>
        <v/>
      </c>
      <c r="O306" s="206" t="str">
        <f t="shared" si="24"/>
        <v/>
      </c>
      <c r="P306" s="207" t="str">
        <f t="shared" si="29"/>
        <v/>
      </c>
    </row>
    <row r="307" spans="3:16">
      <c r="C307" s="405"/>
      <c r="D307" s="411"/>
      <c r="E307" s="202"/>
      <c r="F307" s="200"/>
      <c r="H307" s="203"/>
      <c r="I307" s="186" t="str">
        <f t="shared" si="25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26"/>
        <v/>
      </c>
      <c r="L307" s="189" t="str">
        <f t="shared" si="27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28"/>
        <v/>
      </c>
      <c r="O307" s="206" t="str">
        <f t="shared" si="24"/>
        <v/>
      </c>
      <c r="P307" s="207" t="str">
        <f t="shared" si="29"/>
        <v/>
      </c>
    </row>
    <row r="308" spans="3:16">
      <c r="C308" s="405"/>
      <c r="D308" s="411"/>
      <c r="E308" s="202"/>
      <c r="F308" s="200"/>
      <c r="H308" s="203"/>
      <c r="I308" s="186" t="str">
        <f t="shared" si="25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26"/>
        <v/>
      </c>
      <c r="L308" s="189" t="str">
        <f t="shared" si="27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28"/>
        <v/>
      </c>
      <c r="O308" s="206" t="str">
        <f t="shared" si="24"/>
        <v/>
      </c>
      <c r="P308" s="207" t="str">
        <f t="shared" si="29"/>
        <v/>
      </c>
    </row>
    <row r="309" spans="3:16">
      <c r="C309" s="405"/>
      <c r="D309" s="411"/>
      <c r="E309" s="202"/>
      <c r="F309" s="200"/>
      <c r="H309" s="203"/>
      <c r="I309" s="186" t="str">
        <f t="shared" si="25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26"/>
        <v/>
      </c>
      <c r="L309" s="189" t="str">
        <f t="shared" si="27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28"/>
        <v/>
      </c>
      <c r="O309" s="206" t="str">
        <f t="shared" si="24"/>
        <v/>
      </c>
      <c r="P309" s="207" t="str">
        <f t="shared" si="29"/>
        <v/>
      </c>
    </row>
    <row r="310" spans="3:16">
      <c r="C310" s="405"/>
      <c r="D310" s="411"/>
      <c r="E310" s="202"/>
      <c r="F310" s="200"/>
      <c r="H310" s="203"/>
      <c r="I310" s="186" t="str">
        <f t="shared" si="25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26"/>
        <v/>
      </c>
      <c r="L310" s="189" t="str">
        <f t="shared" si="27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28"/>
        <v/>
      </c>
      <c r="O310" s="206" t="str">
        <f t="shared" si="24"/>
        <v/>
      </c>
      <c r="P310" s="207" t="str">
        <f t="shared" si="29"/>
        <v/>
      </c>
    </row>
    <row r="311" spans="3:16">
      <c r="C311" s="405"/>
      <c r="D311" s="411"/>
      <c r="E311" s="202"/>
      <c r="F311" s="200"/>
      <c r="H311" s="203"/>
      <c r="I311" s="186" t="str">
        <f t="shared" si="25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26"/>
        <v/>
      </c>
      <c r="L311" s="189" t="str">
        <f t="shared" si="27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28"/>
        <v/>
      </c>
      <c r="O311" s="206" t="str">
        <f t="shared" si="24"/>
        <v/>
      </c>
      <c r="P311" s="207" t="str">
        <f t="shared" si="29"/>
        <v/>
      </c>
    </row>
    <row r="312" spans="3:16">
      <c r="C312" s="405"/>
      <c r="D312" s="411"/>
      <c r="E312" s="202"/>
      <c r="F312" s="200"/>
      <c r="H312" s="203"/>
      <c r="I312" s="186" t="str">
        <f t="shared" si="25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26"/>
        <v/>
      </c>
      <c r="L312" s="189" t="str">
        <f t="shared" si="27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28"/>
        <v/>
      </c>
      <c r="O312" s="206" t="str">
        <f t="shared" si="24"/>
        <v/>
      </c>
      <c r="P312" s="207" t="str">
        <f t="shared" si="29"/>
        <v/>
      </c>
    </row>
    <row r="313" spans="3:16">
      <c r="C313" s="405"/>
      <c r="D313" s="411"/>
      <c r="E313" s="202"/>
      <c r="F313" s="200"/>
      <c r="H313" s="203"/>
      <c r="I313" s="186" t="str">
        <f t="shared" si="25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26"/>
        <v/>
      </c>
      <c r="L313" s="189" t="str">
        <f t="shared" si="27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28"/>
        <v/>
      </c>
      <c r="O313" s="206" t="str">
        <f t="shared" si="24"/>
        <v/>
      </c>
      <c r="P313" s="207" t="str">
        <f t="shared" si="29"/>
        <v/>
      </c>
    </row>
    <row r="314" spans="3:16">
      <c r="C314" s="405"/>
      <c r="D314" s="411"/>
      <c r="E314" s="202"/>
      <c r="F314" s="200"/>
      <c r="H314" s="203"/>
      <c r="I314" s="186" t="str">
        <f t="shared" si="25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26"/>
        <v/>
      </c>
      <c r="L314" s="189" t="str">
        <f t="shared" si="27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28"/>
        <v/>
      </c>
      <c r="O314" s="206" t="str">
        <f t="shared" si="24"/>
        <v/>
      </c>
      <c r="P314" s="207" t="str">
        <f t="shared" si="29"/>
        <v/>
      </c>
    </row>
    <row r="315" spans="3:16">
      <c r="C315" s="405"/>
      <c r="D315" s="411"/>
      <c r="E315" s="202"/>
      <c r="F315" s="200"/>
      <c r="H315" s="203"/>
      <c r="I315" s="186" t="str">
        <f t="shared" si="25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26"/>
        <v/>
      </c>
      <c r="L315" s="189" t="str">
        <f t="shared" si="27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28"/>
        <v/>
      </c>
      <c r="O315" s="206" t="str">
        <f t="shared" si="24"/>
        <v/>
      </c>
      <c r="P315" s="207" t="str">
        <f t="shared" si="29"/>
        <v/>
      </c>
    </row>
    <row r="316" spans="3:16">
      <c r="C316" s="405"/>
      <c r="D316" s="411"/>
      <c r="E316" s="202"/>
      <c r="F316" s="200"/>
      <c r="H316" s="203"/>
      <c r="I316" s="186" t="str">
        <f t="shared" si="25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26"/>
        <v/>
      </c>
      <c r="L316" s="189" t="str">
        <f t="shared" si="27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28"/>
        <v/>
      </c>
      <c r="O316" s="206" t="str">
        <f t="shared" si="24"/>
        <v/>
      </c>
      <c r="P316" s="207" t="str">
        <f t="shared" si="29"/>
        <v/>
      </c>
    </row>
    <row r="317" spans="3:16">
      <c r="C317" s="405"/>
      <c r="D317" s="411"/>
      <c r="E317" s="202"/>
      <c r="F317" s="200"/>
      <c r="H317" s="203"/>
      <c r="I317" s="186" t="str">
        <f t="shared" si="25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26"/>
        <v/>
      </c>
      <c r="L317" s="189" t="str">
        <f t="shared" si="27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28"/>
        <v/>
      </c>
      <c r="O317" s="206" t="str">
        <f t="shared" si="24"/>
        <v/>
      </c>
      <c r="P317" s="207" t="str">
        <f t="shared" si="29"/>
        <v/>
      </c>
    </row>
    <row r="318" spans="3:16">
      <c r="C318" s="405"/>
      <c r="D318" s="411"/>
      <c r="E318" s="202"/>
      <c r="F318" s="200"/>
      <c r="H318" s="203"/>
      <c r="I318" s="186" t="str">
        <f t="shared" si="25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26"/>
        <v/>
      </c>
      <c r="L318" s="189" t="str">
        <f t="shared" si="27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28"/>
        <v/>
      </c>
      <c r="O318" s="206" t="str">
        <f t="shared" si="24"/>
        <v/>
      </c>
      <c r="P318" s="207" t="str">
        <f t="shared" si="29"/>
        <v/>
      </c>
    </row>
    <row r="319" spans="3:16">
      <c r="C319" s="405"/>
      <c r="D319" s="411"/>
      <c r="E319" s="202"/>
      <c r="F319" s="200"/>
      <c r="H319" s="203"/>
      <c r="I319" s="186" t="str">
        <f t="shared" si="25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26"/>
        <v/>
      </c>
      <c r="L319" s="189" t="str">
        <f t="shared" si="27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28"/>
        <v/>
      </c>
      <c r="O319" s="206" t="str">
        <f t="shared" si="24"/>
        <v/>
      </c>
      <c r="P319" s="207" t="str">
        <f t="shared" si="29"/>
        <v/>
      </c>
    </row>
    <row r="320" spans="3:16">
      <c r="C320" s="405"/>
      <c r="D320" s="411"/>
      <c r="E320" s="202"/>
      <c r="F320" s="200"/>
      <c r="H320" s="203"/>
      <c r="I320" s="186" t="str">
        <f t="shared" si="25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26"/>
        <v/>
      </c>
      <c r="L320" s="189" t="str">
        <f t="shared" si="27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28"/>
        <v/>
      </c>
      <c r="O320" s="206" t="str">
        <f t="shared" si="24"/>
        <v/>
      </c>
      <c r="P320" s="207" t="str">
        <f t="shared" si="29"/>
        <v/>
      </c>
    </row>
    <row r="321" spans="3:16">
      <c r="C321" s="405"/>
      <c r="D321" s="411"/>
      <c r="E321" s="202"/>
      <c r="F321" s="200"/>
      <c r="H321" s="203"/>
      <c r="I321" s="186" t="str">
        <f t="shared" si="25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26"/>
        <v/>
      </c>
      <c r="L321" s="189" t="str">
        <f t="shared" si="27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28"/>
        <v/>
      </c>
      <c r="O321" s="206" t="str">
        <f t="shared" si="24"/>
        <v/>
      </c>
      <c r="P321" s="207" t="str">
        <f t="shared" si="29"/>
        <v/>
      </c>
    </row>
    <row r="322" spans="3:16">
      <c r="C322" s="405"/>
      <c r="D322" s="411"/>
      <c r="E322" s="202"/>
      <c r="F322" s="200"/>
      <c r="H322" s="203"/>
      <c r="I322" s="186" t="str">
        <f t="shared" si="25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26"/>
        <v/>
      </c>
      <c r="L322" s="189" t="str">
        <f t="shared" si="27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28"/>
        <v/>
      </c>
      <c r="O322" s="206" t="str">
        <f t="shared" si="24"/>
        <v/>
      </c>
      <c r="P322" s="207" t="str">
        <f t="shared" si="29"/>
        <v/>
      </c>
    </row>
    <row r="323" spans="3:16">
      <c r="C323" s="405"/>
      <c r="D323" s="411"/>
      <c r="E323" s="202"/>
      <c r="F323" s="200"/>
      <c r="H323" s="203"/>
      <c r="I323" s="186" t="str">
        <f t="shared" si="25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26"/>
        <v/>
      </c>
      <c r="L323" s="189" t="str">
        <f t="shared" si="27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28"/>
        <v/>
      </c>
      <c r="O323" s="206" t="str">
        <f t="shared" si="24"/>
        <v/>
      </c>
      <c r="P323" s="207" t="str">
        <f t="shared" si="29"/>
        <v/>
      </c>
    </row>
    <row r="324" spans="3:16">
      <c r="C324" s="405"/>
      <c r="D324" s="411"/>
      <c r="E324" s="202"/>
      <c r="F324" s="200"/>
      <c r="H324" s="203"/>
      <c r="I324" s="186" t="str">
        <f t="shared" si="25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26"/>
        <v/>
      </c>
      <c r="L324" s="189" t="str">
        <f t="shared" si="27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28"/>
        <v/>
      </c>
      <c r="O324" s="206" t="str">
        <f t="shared" si="24"/>
        <v/>
      </c>
      <c r="P324" s="207" t="str">
        <f t="shared" si="29"/>
        <v/>
      </c>
    </row>
    <row r="325" spans="3:16">
      <c r="C325" s="405"/>
      <c r="D325" s="411"/>
      <c r="E325" s="202"/>
      <c r="F325" s="200"/>
      <c r="H325" s="203"/>
      <c r="I325" s="186" t="str">
        <f t="shared" si="25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26"/>
        <v/>
      </c>
      <c r="L325" s="189" t="str">
        <f t="shared" si="27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28"/>
        <v/>
      </c>
      <c r="O325" s="206" t="str">
        <f t="shared" ref="O325:O388" si="30">IF(OR(K325="",N325=""),"",K325-N325)</f>
        <v/>
      </c>
      <c r="P325" s="207" t="str">
        <f t="shared" si="29"/>
        <v/>
      </c>
    </row>
    <row r="326" spans="3:16">
      <c r="C326" s="405"/>
      <c r="D326" s="411"/>
      <c r="E326" s="202"/>
      <c r="F326" s="200"/>
      <c r="H326" s="203"/>
      <c r="I326" s="186" t="str">
        <f t="shared" ref="I326:I389" si="31">IF(H326="","",IF(H326="JPY","",IF($H326="USD",4, IF(H326="EUR",7,IF(H326="CNY",47,IF(H326="HKD",34))))))</f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ref="K326:K389" si="32">IF($H326="JPY",$F326,IF($H326="","",$F326*$J326))</f>
        <v/>
      </c>
      <c r="L326" s="189" t="str">
        <f t="shared" ref="L326:L389" si="33">IF(H326="","",IF(H326="JPY","",IF($H326="USD",3, IF(H326="EUR",6,IF(H326="CNY",46,IF(H326="HKD",33))))))</f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ref="N326:N389" si="34">IF($E326="JPY",($C326+$D326),IF($E326="","",($C326+$D326)*$M326))</f>
        <v/>
      </c>
      <c r="O326" s="206" t="str">
        <f t="shared" si="30"/>
        <v/>
      </c>
      <c r="P326" s="207" t="str">
        <f t="shared" ref="P326:P389" si="35">IF(OR(K326="",O326=""),"",O326/K326)</f>
        <v/>
      </c>
    </row>
    <row r="327" spans="3:16">
      <c r="C327" s="405"/>
      <c r="D327" s="411"/>
      <c r="E327" s="202"/>
      <c r="F327" s="200"/>
      <c r="H327" s="203"/>
      <c r="I327" s="186" t="str">
        <f t="shared" si="31"/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si="32"/>
        <v/>
      </c>
      <c r="L327" s="189" t="str">
        <f t="shared" si="33"/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si="34"/>
        <v/>
      </c>
      <c r="O327" s="206" t="str">
        <f t="shared" si="30"/>
        <v/>
      </c>
      <c r="P327" s="207" t="str">
        <f t="shared" si="35"/>
        <v/>
      </c>
    </row>
    <row r="328" spans="3:16">
      <c r="C328" s="405"/>
      <c r="D328" s="411"/>
      <c r="E328" s="202"/>
      <c r="F328" s="200"/>
      <c r="H328" s="203"/>
      <c r="I328" s="186" t="str">
        <f t="shared" si="31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2"/>
        <v/>
      </c>
      <c r="L328" s="189" t="str">
        <f t="shared" si="33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4"/>
        <v/>
      </c>
      <c r="O328" s="206" t="str">
        <f t="shared" si="30"/>
        <v/>
      </c>
      <c r="P328" s="207" t="str">
        <f t="shared" si="35"/>
        <v/>
      </c>
    </row>
    <row r="329" spans="3:16">
      <c r="C329" s="405"/>
      <c r="D329" s="411"/>
      <c r="E329" s="202"/>
      <c r="F329" s="200"/>
      <c r="H329" s="203"/>
      <c r="I329" s="186" t="str">
        <f t="shared" si="31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2"/>
        <v/>
      </c>
      <c r="L329" s="189" t="str">
        <f t="shared" si="33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4"/>
        <v/>
      </c>
      <c r="O329" s="206" t="str">
        <f t="shared" si="30"/>
        <v/>
      </c>
      <c r="P329" s="207" t="str">
        <f t="shared" si="35"/>
        <v/>
      </c>
    </row>
    <row r="330" spans="3:16">
      <c r="C330" s="405"/>
      <c r="D330" s="411"/>
      <c r="E330" s="202"/>
      <c r="F330" s="200"/>
      <c r="H330" s="203"/>
      <c r="I330" s="186" t="str">
        <f t="shared" si="31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2"/>
        <v/>
      </c>
      <c r="L330" s="189" t="str">
        <f t="shared" si="33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4"/>
        <v/>
      </c>
      <c r="O330" s="206" t="str">
        <f t="shared" si="30"/>
        <v/>
      </c>
      <c r="P330" s="207" t="str">
        <f t="shared" si="35"/>
        <v/>
      </c>
    </row>
    <row r="331" spans="3:16">
      <c r="C331" s="405"/>
      <c r="D331" s="411"/>
      <c r="E331" s="202"/>
      <c r="F331" s="200"/>
      <c r="H331" s="203"/>
      <c r="I331" s="186" t="str">
        <f t="shared" si="31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2"/>
        <v/>
      </c>
      <c r="L331" s="189" t="str">
        <f t="shared" si="33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4"/>
        <v/>
      </c>
      <c r="O331" s="206" t="str">
        <f t="shared" si="30"/>
        <v/>
      </c>
      <c r="P331" s="207" t="str">
        <f t="shared" si="35"/>
        <v/>
      </c>
    </row>
    <row r="332" spans="3:16">
      <c r="C332" s="405"/>
      <c r="D332" s="411"/>
      <c r="E332" s="202"/>
      <c r="F332" s="200"/>
      <c r="H332" s="203"/>
      <c r="I332" s="186" t="str">
        <f t="shared" si="31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2"/>
        <v/>
      </c>
      <c r="L332" s="189" t="str">
        <f t="shared" si="33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4"/>
        <v/>
      </c>
      <c r="O332" s="206" t="str">
        <f t="shared" si="30"/>
        <v/>
      </c>
      <c r="P332" s="207" t="str">
        <f t="shared" si="35"/>
        <v/>
      </c>
    </row>
    <row r="333" spans="3:16">
      <c r="C333" s="405"/>
      <c r="D333" s="411"/>
      <c r="E333" s="202"/>
      <c r="F333" s="200"/>
      <c r="H333" s="203"/>
      <c r="I333" s="186" t="str">
        <f t="shared" si="31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2"/>
        <v/>
      </c>
      <c r="L333" s="189" t="str">
        <f t="shared" si="33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4"/>
        <v/>
      </c>
      <c r="O333" s="206" t="str">
        <f t="shared" si="30"/>
        <v/>
      </c>
      <c r="P333" s="207" t="str">
        <f t="shared" si="35"/>
        <v/>
      </c>
    </row>
    <row r="334" spans="3:16">
      <c r="C334" s="405"/>
      <c r="D334" s="411"/>
      <c r="E334" s="202"/>
      <c r="F334" s="200"/>
      <c r="H334" s="203"/>
      <c r="I334" s="186" t="str">
        <f t="shared" si="31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2"/>
        <v/>
      </c>
      <c r="L334" s="189" t="str">
        <f t="shared" si="33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4"/>
        <v/>
      </c>
      <c r="O334" s="206" t="str">
        <f t="shared" si="30"/>
        <v/>
      </c>
      <c r="P334" s="207" t="str">
        <f t="shared" si="35"/>
        <v/>
      </c>
    </row>
    <row r="335" spans="3:16">
      <c r="C335" s="405"/>
      <c r="D335" s="411"/>
      <c r="E335" s="202"/>
      <c r="F335" s="200"/>
      <c r="H335" s="203"/>
      <c r="I335" s="186" t="str">
        <f t="shared" si="31"/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si="32"/>
        <v/>
      </c>
      <c r="L335" s="189" t="str">
        <f t="shared" si="33"/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si="34"/>
        <v/>
      </c>
      <c r="O335" s="206" t="str">
        <f t="shared" si="30"/>
        <v/>
      </c>
      <c r="P335" s="207" t="str">
        <f t="shared" si="35"/>
        <v/>
      </c>
    </row>
    <row r="336" spans="3:16">
      <c r="C336" s="405"/>
      <c r="D336" s="411"/>
      <c r="E336" s="202"/>
      <c r="F336" s="200"/>
      <c r="H336" s="203"/>
      <c r="I336" s="186" t="str">
        <f t="shared" si="31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2"/>
        <v/>
      </c>
      <c r="L336" s="189" t="str">
        <f t="shared" si="33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4"/>
        <v/>
      </c>
      <c r="O336" s="206" t="str">
        <f t="shared" si="30"/>
        <v/>
      </c>
      <c r="P336" s="207" t="str">
        <f t="shared" si="35"/>
        <v/>
      </c>
    </row>
    <row r="337" spans="3:16">
      <c r="C337" s="405"/>
      <c r="D337" s="411"/>
      <c r="E337" s="202"/>
      <c r="F337" s="200"/>
      <c r="H337" s="203"/>
      <c r="I337" s="186" t="str">
        <f t="shared" si="31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2"/>
        <v/>
      </c>
      <c r="L337" s="189" t="str">
        <f t="shared" si="33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4"/>
        <v/>
      </c>
      <c r="O337" s="206" t="str">
        <f t="shared" si="30"/>
        <v/>
      </c>
      <c r="P337" s="207" t="str">
        <f t="shared" si="35"/>
        <v/>
      </c>
    </row>
    <row r="338" spans="3:16">
      <c r="C338" s="405"/>
      <c r="D338" s="411"/>
      <c r="E338" s="202"/>
      <c r="F338" s="200"/>
      <c r="H338" s="203"/>
      <c r="I338" s="186" t="str">
        <f t="shared" si="31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2"/>
        <v/>
      </c>
      <c r="L338" s="189" t="str">
        <f t="shared" si="33"/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4"/>
        <v/>
      </c>
      <c r="O338" s="206" t="str">
        <f t="shared" si="30"/>
        <v/>
      </c>
      <c r="P338" s="207" t="str">
        <f t="shared" si="35"/>
        <v/>
      </c>
    </row>
    <row r="339" spans="3:16">
      <c r="C339" s="405"/>
      <c r="D339" s="411"/>
      <c r="E339" s="202"/>
      <c r="F339" s="200"/>
      <c r="H339" s="203"/>
      <c r="I339" s="186" t="str">
        <f t="shared" si="31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2"/>
        <v/>
      </c>
      <c r="L339" s="189" t="str">
        <f t="shared" si="33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4"/>
        <v/>
      </c>
      <c r="O339" s="206" t="str">
        <f t="shared" si="30"/>
        <v/>
      </c>
      <c r="P339" s="207" t="str">
        <f t="shared" si="35"/>
        <v/>
      </c>
    </row>
    <row r="340" spans="3:16">
      <c r="C340" s="405"/>
      <c r="D340" s="411"/>
      <c r="E340" s="202"/>
      <c r="F340" s="200"/>
      <c r="H340" s="203"/>
      <c r="I340" s="186" t="str">
        <f t="shared" si="31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2"/>
        <v/>
      </c>
      <c r="L340" s="189" t="str">
        <f t="shared" si="33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4"/>
        <v/>
      </c>
      <c r="O340" s="206" t="str">
        <f t="shared" si="30"/>
        <v/>
      </c>
      <c r="P340" s="207" t="str">
        <f t="shared" si="35"/>
        <v/>
      </c>
    </row>
    <row r="341" spans="3:16">
      <c r="C341" s="405"/>
      <c r="D341" s="411"/>
      <c r="E341" s="202"/>
      <c r="F341" s="200"/>
      <c r="H341" s="203"/>
      <c r="I341" s="186" t="str">
        <f t="shared" si="31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2"/>
        <v/>
      </c>
      <c r="L341" s="189" t="str">
        <f t="shared" si="33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4"/>
        <v/>
      </c>
      <c r="O341" s="206" t="str">
        <f t="shared" si="30"/>
        <v/>
      </c>
      <c r="P341" s="207" t="str">
        <f t="shared" si="35"/>
        <v/>
      </c>
    </row>
    <row r="342" spans="3:16">
      <c r="C342" s="405"/>
      <c r="D342" s="411"/>
      <c r="E342" s="202"/>
      <c r="F342" s="200"/>
      <c r="H342" s="203"/>
      <c r="I342" s="186" t="str">
        <f t="shared" si="31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2"/>
        <v/>
      </c>
      <c r="L342" s="189" t="str">
        <f t="shared" si="33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4"/>
        <v/>
      </c>
      <c r="O342" s="206" t="str">
        <f t="shared" si="30"/>
        <v/>
      </c>
      <c r="P342" s="207" t="str">
        <f t="shared" si="35"/>
        <v/>
      </c>
    </row>
    <row r="343" spans="3:16">
      <c r="C343" s="405"/>
      <c r="D343" s="411"/>
      <c r="E343" s="202"/>
      <c r="F343" s="200"/>
      <c r="H343" s="203"/>
      <c r="I343" s="186" t="str">
        <f t="shared" si="31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2"/>
        <v/>
      </c>
      <c r="L343" s="189" t="str">
        <f t="shared" si="33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4"/>
        <v/>
      </c>
      <c r="O343" s="206" t="str">
        <f t="shared" si="30"/>
        <v/>
      </c>
      <c r="P343" s="207" t="str">
        <f t="shared" si="35"/>
        <v/>
      </c>
    </row>
    <row r="344" spans="3:16">
      <c r="C344" s="405"/>
      <c r="D344" s="411"/>
      <c r="E344" s="202"/>
      <c r="F344" s="200"/>
      <c r="H344" s="203"/>
      <c r="I344" s="186" t="str">
        <f t="shared" si="31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2"/>
        <v/>
      </c>
      <c r="L344" s="189" t="str">
        <f t="shared" si="33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4"/>
        <v/>
      </c>
      <c r="O344" s="206" t="str">
        <f t="shared" si="30"/>
        <v/>
      </c>
      <c r="P344" s="207" t="str">
        <f t="shared" si="35"/>
        <v/>
      </c>
    </row>
    <row r="345" spans="3:16">
      <c r="C345" s="405"/>
      <c r="D345" s="411"/>
      <c r="E345" s="202"/>
      <c r="F345" s="200"/>
      <c r="H345" s="203"/>
      <c r="I345" s="186" t="str">
        <f t="shared" si="31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2"/>
        <v/>
      </c>
      <c r="L345" s="189" t="str">
        <f t="shared" si="33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4"/>
        <v/>
      </c>
      <c r="O345" s="206" t="str">
        <f t="shared" si="30"/>
        <v/>
      </c>
      <c r="P345" s="207" t="str">
        <f t="shared" si="35"/>
        <v/>
      </c>
    </row>
    <row r="346" spans="3:16">
      <c r="C346" s="405"/>
      <c r="D346" s="411"/>
      <c r="E346" s="202"/>
      <c r="F346" s="200"/>
      <c r="H346" s="203"/>
      <c r="I346" s="186" t="str">
        <f t="shared" si="31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2"/>
        <v/>
      </c>
      <c r="L346" s="189" t="str">
        <f t="shared" si="33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4"/>
        <v/>
      </c>
      <c r="O346" s="206" t="str">
        <f t="shared" si="30"/>
        <v/>
      </c>
      <c r="P346" s="207" t="str">
        <f t="shared" si="35"/>
        <v/>
      </c>
    </row>
    <row r="347" spans="3:16">
      <c r="C347" s="405"/>
      <c r="D347" s="411"/>
      <c r="E347" s="202"/>
      <c r="F347" s="200"/>
      <c r="H347" s="203"/>
      <c r="I347" s="186" t="str">
        <f t="shared" si="31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2"/>
        <v/>
      </c>
      <c r="L347" s="189" t="str">
        <f t="shared" si="33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4"/>
        <v/>
      </c>
      <c r="O347" s="206" t="str">
        <f t="shared" si="30"/>
        <v/>
      </c>
      <c r="P347" s="207" t="str">
        <f t="shared" si="35"/>
        <v/>
      </c>
    </row>
    <row r="348" spans="3:16">
      <c r="C348" s="405"/>
      <c r="D348" s="411"/>
      <c r="E348" s="202"/>
      <c r="F348" s="200"/>
      <c r="H348" s="203"/>
      <c r="I348" s="186" t="str">
        <f t="shared" si="31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2"/>
        <v/>
      </c>
      <c r="L348" s="189" t="str">
        <f t="shared" si="33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4"/>
        <v/>
      </c>
      <c r="O348" s="206" t="str">
        <f t="shared" si="30"/>
        <v/>
      </c>
      <c r="P348" s="207" t="str">
        <f t="shared" si="35"/>
        <v/>
      </c>
    </row>
    <row r="349" spans="3:16">
      <c r="C349" s="405"/>
      <c r="D349" s="411"/>
      <c r="E349" s="202"/>
      <c r="F349" s="200"/>
      <c r="H349" s="203"/>
      <c r="I349" s="186" t="str">
        <f t="shared" si="31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2"/>
        <v/>
      </c>
      <c r="L349" s="189" t="str">
        <f t="shared" si="33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4"/>
        <v/>
      </c>
      <c r="O349" s="206" t="str">
        <f t="shared" si="30"/>
        <v/>
      </c>
      <c r="P349" s="207" t="str">
        <f t="shared" si="35"/>
        <v/>
      </c>
    </row>
    <row r="350" spans="3:16">
      <c r="C350" s="405"/>
      <c r="D350" s="411"/>
      <c r="E350" s="202"/>
      <c r="F350" s="200"/>
      <c r="H350" s="203"/>
      <c r="I350" s="186" t="str">
        <f t="shared" si="31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2"/>
        <v/>
      </c>
      <c r="L350" s="189" t="str">
        <f t="shared" si="33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4"/>
        <v/>
      </c>
      <c r="O350" s="206" t="str">
        <f t="shared" si="30"/>
        <v/>
      </c>
      <c r="P350" s="207" t="str">
        <f t="shared" si="35"/>
        <v/>
      </c>
    </row>
    <row r="351" spans="3:16">
      <c r="C351" s="405"/>
      <c r="D351" s="411"/>
      <c r="E351" s="202"/>
      <c r="F351" s="200"/>
      <c r="H351" s="203"/>
      <c r="I351" s="186" t="str">
        <f t="shared" si="31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2"/>
        <v/>
      </c>
      <c r="L351" s="189" t="str">
        <f t="shared" si="33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4"/>
        <v/>
      </c>
      <c r="O351" s="206" t="str">
        <f t="shared" si="30"/>
        <v/>
      </c>
      <c r="P351" s="207" t="str">
        <f t="shared" si="35"/>
        <v/>
      </c>
    </row>
    <row r="352" spans="3:16">
      <c r="C352" s="405"/>
      <c r="D352" s="411"/>
      <c r="E352" s="202"/>
      <c r="F352" s="200"/>
      <c r="H352" s="203"/>
      <c r="I352" s="186" t="str">
        <f t="shared" si="31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2"/>
        <v/>
      </c>
      <c r="L352" s="189" t="str">
        <f t="shared" si="33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4"/>
        <v/>
      </c>
      <c r="O352" s="206" t="str">
        <f t="shared" si="30"/>
        <v/>
      </c>
      <c r="P352" s="207" t="str">
        <f t="shared" si="35"/>
        <v/>
      </c>
    </row>
    <row r="353" spans="3:16">
      <c r="C353" s="405"/>
      <c r="D353" s="411"/>
      <c r="E353" s="202"/>
      <c r="F353" s="200"/>
      <c r="H353" s="203"/>
      <c r="I353" s="186" t="str">
        <f t="shared" si="31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2"/>
        <v/>
      </c>
      <c r="L353" s="189" t="str">
        <f t="shared" si="33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4"/>
        <v/>
      </c>
      <c r="O353" s="206" t="str">
        <f t="shared" si="30"/>
        <v/>
      </c>
      <c r="P353" s="207" t="str">
        <f t="shared" si="35"/>
        <v/>
      </c>
    </row>
    <row r="354" spans="3:16">
      <c r="C354" s="405"/>
      <c r="D354" s="411"/>
      <c r="E354" s="202"/>
      <c r="F354" s="200"/>
      <c r="H354" s="203"/>
      <c r="I354" s="186" t="str">
        <f t="shared" si="31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2"/>
        <v/>
      </c>
      <c r="L354" s="189" t="str">
        <f t="shared" si="33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4"/>
        <v/>
      </c>
      <c r="O354" s="206" t="str">
        <f t="shared" si="30"/>
        <v/>
      </c>
      <c r="P354" s="207" t="str">
        <f t="shared" si="35"/>
        <v/>
      </c>
    </row>
    <row r="355" spans="3:16">
      <c r="C355" s="405"/>
      <c r="D355" s="411"/>
      <c r="E355" s="202"/>
      <c r="F355" s="200"/>
      <c r="H355" s="203"/>
      <c r="I355" s="186" t="str">
        <f t="shared" si="31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2"/>
        <v/>
      </c>
      <c r="L355" s="189" t="str">
        <f t="shared" si="33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4"/>
        <v/>
      </c>
      <c r="O355" s="206" t="str">
        <f t="shared" si="30"/>
        <v/>
      </c>
      <c r="P355" s="207" t="str">
        <f t="shared" si="35"/>
        <v/>
      </c>
    </row>
    <row r="356" spans="3:16">
      <c r="C356" s="405"/>
      <c r="D356" s="411"/>
      <c r="E356" s="202"/>
      <c r="F356" s="200"/>
      <c r="H356" s="203"/>
      <c r="I356" s="186" t="str">
        <f t="shared" si="31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2"/>
        <v/>
      </c>
      <c r="L356" s="189" t="str">
        <f t="shared" si="33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4"/>
        <v/>
      </c>
      <c r="O356" s="206" t="str">
        <f t="shared" si="30"/>
        <v/>
      </c>
      <c r="P356" s="207" t="str">
        <f t="shared" si="35"/>
        <v/>
      </c>
    </row>
    <row r="357" spans="3:16">
      <c r="C357" s="405"/>
      <c r="D357" s="411"/>
      <c r="E357" s="202"/>
      <c r="F357" s="200"/>
      <c r="H357" s="203"/>
      <c r="I357" s="186" t="str">
        <f t="shared" si="31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2"/>
        <v/>
      </c>
      <c r="L357" s="189" t="str">
        <f t="shared" si="33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4"/>
        <v/>
      </c>
      <c r="O357" s="206" t="str">
        <f t="shared" si="30"/>
        <v/>
      </c>
      <c r="P357" s="207" t="str">
        <f t="shared" si="35"/>
        <v/>
      </c>
    </row>
    <row r="358" spans="3:16">
      <c r="C358" s="405"/>
      <c r="D358" s="411"/>
      <c r="E358" s="202"/>
      <c r="F358" s="200"/>
      <c r="H358" s="203"/>
      <c r="I358" s="186" t="str">
        <f t="shared" si="31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2"/>
        <v/>
      </c>
      <c r="L358" s="189" t="str">
        <f t="shared" si="33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4"/>
        <v/>
      </c>
      <c r="O358" s="206" t="str">
        <f t="shared" si="30"/>
        <v/>
      </c>
      <c r="P358" s="207" t="str">
        <f t="shared" si="35"/>
        <v/>
      </c>
    </row>
    <row r="359" spans="3:16">
      <c r="C359" s="405"/>
      <c r="D359" s="411"/>
      <c r="E359" s="202"/>
      <c r="F359" s="200"/>
      <c r="H359" s="203"/>
      <c r="I359" s="186" t="str">
        <f t="shared" si="31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2"/>
        <v/>
      </c>
      <c r="L359" s="189" t="str">
        <f t="shared" si="33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4"/>
        <v/>
      </c>
      <c r="O359" s="206" t="str">
        <f t="shared" si="30"/>
        <v/>
      </c>
      <c r="P359" s="207" t="str">
        <f t="shared" si="35"/>
        <v/>
      </c>
    </row>
    <row r="360" spans="3:16">
      <c r="C360" s="405"/>
      <c r="D360" s="411"/>
      <c r="E360" s="202"/>
      <c r="F360" s="200"/>
      <c r="H360" s="203"/>
      <c r="I360" s="186" t="str">
        <f t="shared" si="31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2"/>
        <v/>
      </c>
      <c r="L360" s="189" t="str">
        <f t="shared" si="33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4"/>
        <v/>
      </c>
      <c r="O360" s="206" t="str">
        <f t="shared" si="30"/>
        <v/>
      </c>
      <c r="P360" s="207" t="str">
        <f t="shared" si="35"/>
        <v/>
      </c>
    </row>
    <row r="361" spans="3:16">
      <c r="C361" s="405"/>
      <c r="D361" s="411"/>
      <c r="E361" s="202"/>
      <c r="F361" s="200"/>
      <c r="H361" s="203"/>
      <c r="I361" s="186" t="str">
        <f t="shared" si="31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2"/>
        <v/>
      </c>
      <c r="L361" s="189" t="str">
        <f t="shared" si="33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4"/>
        <v/>
      </c>
      <c r="O361" s="206" t="str">
        <f t="shared" si="30"/>
        <v/>
      </c>
      <c r="P361" s="207" t="str">
        <f t="shared" si="35"/>
        <v/>
      </c>
    </row>
    <row r="362" spans="3:16">
      <c r="C362" s="405"/>
      <c r="D362" s="411"/>
      <c r="E362" s="202"/>
      <c r="F362" s="200"/>
      <c r="H362" s="203"/>
      <c r="I362" s="186" t="str">
        <f t="shared" si="31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2"/>
        <v/>
      </c>
      <c r="L362" s="189" t="str">
        <f t="shared" si="33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4"/>
        <v/>
      </c>
      <c r="O362" s="206" t="str">
        <f t="shared" si="30"/>
        <v/>
      </c>
      <c r="P362" s="207" t="str">
        <f t="shared" si="35"/>
        <v/>
      </c>
    </row>
    <row r="363" spans="3:16">
      <c r="C363" s="405"/>
      <c r="D363" s="411"/>
      <c r="E363" s="202"/>
      <c r="F363" s="200"/>
      <c r="H363" s="203"/>
      <c r="I363" s="186" t="str">
        <f t="shared" si="31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2"/>
        <v/>
      </c>
      <c r="L363" s="189" t="str">
        <f t="shared" si="33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4"/>
        <v/>
      </c>
      <c r="O363" s="206" t="str">
        <f t="shared" si="30"/>
        <v/>
      </c>
      <c r="P363" s="207" t="str">
        <f t="shared" si="35"/>
        <v/>
      </c>
    </row>
    <row r="364" spans="3:16">
      <c r="C364" s="405"/>
      <c r="D364" s="411"/>
      <c r="E364" s="202"/>
      <c r="F364" s="200"/>
      <c r="H364" s="203"/>
      <c r="I364" s="186" t="str">
        <f t="shared" si="31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2"/>
        <v/>
      </c>
      <c r="L364" s="189" t="str">
        <f t="shared" si="33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4"/>
        <v/>
      </c>
      <c r="O364" s="206" t="str">
        <f t="shared" si="30"/>
        <v/>
      </c>
      <c r="P364" s="207" t="str">
        <f t="shared" si="35"/>
        <v/>
      </c>
    </row>
    <row r="365" spans="3:16">
      <c r="C365" s="405"/>
      <c r="D365" s="411"/>
      <c r="E365" s="202"/>
      <c r="F365" s="200"/>
      <c r="H365" s="203"/>
      <c r="I365" s="186" t="str">
        <f t="shared" si="31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2"/>
        <v/>
      </c>
      <c r="L365" s="189" t="str">
        <f t="shared" si="33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4"/>
        <v/>
      </c>
      <c r="O365" s="206" t="str">
        <f t="shared" si="30"/>
        <v/>
      </c>
      <c r="P365" s="207" t="str">
        <f t="shared" si="35"/>
        <v/>
      </c>
    </row>
    <row r="366" spans="3:16">
      <c r="C366" s="405"/>
      <c r="D366" s="411"/>
      <c r="E366" s="202"/>
      <c r="F366" s="200"/>
      <c r="H366" s="203"/>
      <c r="I366" s="186" t="str">
        <f t="shared" si="31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2"/>
        <v/>
      </c>
      <c r="L366" s="189" t="str">
        <f t="shared" si="33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4"/>
        <v/>
      </c>
      <c r="O366" s="206" t="str">
        <f t="shared" si="30"/>
        <v/>
      </c>
      <c r="P366" s="207" t="str">
        <f t="shared" si="35"/>
        <v/>
      </c>
    </row>
    <row r="367" spans="3:16">
      <c r="C367" s="405"/>
      <c r="D367" s="411"/>
      <c r="E367" s="202"/>
      <c r="F367" s="200"/>
      <c r="H367" s="203"/>
      <c r="I367" s="186" t="str">
        <f t="shared" si="31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2"/>
        <v/>
      </c>
      <c r="L367" s="189" t="str">
        <f t="shared" si="33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4"/>
        <v/>
      </c>
      <c r="O367" s="206" t="str">
        <f t="shared" si="30"/>
        <v/>
      </c>
      <c r="P367" s="207" t="str">
        <f t="shared" si="35"/>
        <v/>
      </c>
    </row>
    <row r="368" spans="3:16">
      <c r="C368" s="405"/>
      <c r="D368" s="411"/>
      <c r="E368" s="202"/>
      <c r="F368" s="200"/>
      <c r="H368" s="203"/>
      <c r="I368" s="186" t="str">
        <f t="shared" si="31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2"/>
        <v/>
      </c>
      <c r="L368" s="189" t="str">
        <f t="shared" si="33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4"/>
        <v/>
      </c>
      <c r="O368" s="206" t="str">
        <f t="shared" si="30"/>
        <v/>
      </c>
      <c r="P368" s="207" t="str">
        <f t="shared" si="35"/>
        <v/>
      </c>
    </row>
    <row r="369" spans="3:16">
      <c r="C369" s="405"/>
      <c r="D369" s="411"/>
      <c r="E369" s="202"/>
      <c r="F369" s="200"/>
      <c r="H369" s="203"/>
      <c r="I369" s="186" t="str">
        <f t="shared" si="31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2"/>
        <v/>
      </c>
      <c r="L369" s="189" t="str">
        <f t="shared" si="33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4"/>
        <v/>
      </c>
      <c r="O369" s="206" t="str">
        <f t="shared" si="30"/>
        <v/>
      </c>
      <c r="P369" s="207" t="str">
        <f t="shared" si="35"/>
        <v/>
      </c>
    </row>
    <row r="370" spans="3:16">
      <c r="C370" s="405"/>
      <c r="D370" s="411"/>
      <c r="E370" s="202"/>
      <c r="F370" s="200"/>
      <c r="H370" s="203"/>
      <c r="I370" s="186" t="str">
        <f t="shared" si="31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2"/>
        <v/>
      </c>
      <c r="L370" s="189" t="str">
        <f t="shared" si="33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4"/>
        <v/>
      </c>
      <c r="O370" s="206" t="str">
        <f t="shared" si="30"/>
        <v/>
      </c>
      <c r="P370" s="207" t="str">
        <f t="shared" si="35"/>
        <v/>
      </c>
    </row>
    <row r="371" spans="3:16">
      <c r="C371" s="405"/>
      <c r="D371" s="411"/>
      <c r="E371" s="202"/>
      <c r="F371" s="200"/>
      <c r="H371" s="203"/>
      <c r="I371" s="186" t="str">
        <f t="shared" si="31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2"/>
        <v/>
      </c>
      <c r="L371" s="189" t="str">
        <f t="shared" si="33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4"/>
        <v/>
      </c>
      <c r="O371" s="206" t="str">
        <f t="shared" si="30"/>
        <v/>
      </c>
      <c r="P371" s="207" t="str">
        <f t="shared" si="35"/>
        <v/>
      </c>
    </row>
    <row r="372" spans="3:16">
      <c r="C372" s="405"/>
      <c r="D372" s="411"/>
      <c r="E372" s="202"/>
      <c r="F372" s="200"/>
      <c r="H372" s="203"/>
      <c r="I372" s="186" t="str">
        <f t="shared" si="31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2"/>
        <v/>
      </c>
      <c r="L372" s="189" t="str">
        <f t="shared" si="33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4"/>
        <v/>
      </c>
      <c r="O372" s="206" t="str">
        <f t="shared" si="30"/>
        <v/>
      </c>
      <c r="P372" s="207" t="str">
        <f t="shared" si="35"/>
        <v/>
      </c>
    </row>
    <row r="373" spans="3:16">
      <c r="C373" s="405"/>
      <c r="D373" s="411"/>
      <c r="E373" s="202"/>
      <c r="F373" s="200"/>
      <c r="H373" s="203"/>
      <c r="I373" s="186" t="str">
        <f t="shared" si="31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2"/>
        <v/>
      </c>
      <c r="L373" s="189" t="str">
        <f t="shared" si="33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4"/>
        <v/>
      </c>
      <c r="O373" s="206" t="str">
        <f t="shared" si="30"/>
        <v/>
      </c>
      <c r="P373" s="207" t="str">
        <f t="shared" si="35"/>
        <v/>
      </c>
    </row>
    <row r="374" spans="3:16">
      <c r="C374" s="405"/>
      <c r="D374" s="411"/>
      <c r="E374" s="202"/>
      <c r="F374" s="200"/>
      <c r="H374" s="203"/>
      <c r="I374" s="186" t="str">
        <f t="shared" si="31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2"/>
        <v/>
      </c>
      <c r="L374" s="189" t="str">
        <f t="shared" si="33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4"/>
        <v/>
      </c>
      <c r="O374" s="206" t="str">
        <f t="shared" si="30"/>
        <v/>
      </c>
      <c r="P374" s="207" t="str">
        <f t="shared" si="35"/>
        <v/>
      </c>
    </row>
    <row r="375" spans="3:16">
      <c r="C375" s="405"/>
      <c r="D375" s="411"/>
      <c r="E375" s="202"/>
      <c r="F375" s="200"/>
      <c r="H375" s="203"/>
      <c r="I375" s="186" t="str">
        <f t="shared" si="31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2"/>
        <v/>
      </c>
      <c r="L375" s="189" t="str">
        <f t="shared" si="33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4"/>
        <v/>
      </c>
      <c r="O375" s="206" t="str">
        <f t="shared" si="30"/>
        <v/>
      </c>
      <c r="P375" s="207" t="str">
        <f t="shared" si="35"/>
        <v/>
      </c>
    </row>
    <row r="376" spans="3:16">
      <c r="C376" s="405"/>
      <c r="D376" s="411"/>
      <c r="E376" s="202"/>
      <c r="F376" s="200"/>
      <c r="H376" s="203"/>
      <c r="I376" s="186" t="str">
        <f t="shared" si="31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2"/>
        <v/>
      </c>
      <c r="L376" s="189" t="str">
        <f t="shared" si="33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4"/>
        <v/>
      </c>
      <c r="O376" s="206" t="str">
        <f t="shared" si="30"/>
        <v/>
      </c>
      <c r="P376" s="207" t="str">
        <f t="shared" si="35"/>
        <v/>
      </c>
    </row>
    <row r="377" spans="3:16">
      <c r="C377" s="405"/>
      <c r="D377" s="411"/>
      <c r="E377" s="202"/>
      <c r="F377" s="200"/>
      <c r="H377" s="203"/>
      <c r="I377" s="186" t="str">
        <f t="shared" si="31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2"/>
        <v/>
      </c>
      <c r="L377" s="189" t="str">
        <f t="shared" si="33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4"/>
        <v/>
      </c>
      <c r="O377" s="206" t="str">
        <f t="shared" si="30"/>
        <v/>
      </c>
      <c r="P377" s="207" t="str">
        <f t="shared" si="35"/>
        <v/>
      </c>
    </row>
    <row r="378" spans="3:16">
      <c r="C378" s="405"/>
      <c r="D378" s="411"/>
      <c r="E378" s="202"/>
      <c r="F378" s="200"/>
      <c r="H378" s="203"/>
      <c r="I378" s="186" t="str">
        <f t="shared" si="31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2"/>
        <v/>
      </c>
      <c r="L378" s="189" t="str">
        <f t="shared" si="33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4"/>
        <v/>
      </c>
      <c r="O378" s="206" t="str">
        <f t="shared" si="30"/>
        <v/>
      </c>
      <c r="P378" s="207" t="str">
        <f t="shared" si="35"/>
        <v/>
      </c>
    </row>
    <row r="379" spans="3:16">
      <c r="C379" s="405"/>
      <c r="D379" s="411"/>
      <c r="E379" s="202"/>
      <c r="F379" s="200"/>
      <c r="H379" s="203"/>
      <c r="I379" s="186" t="str">
        <f t="shared" si="31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2"/>
        <v/>
      </c>
      <c r="L379" s="189" t="str">
        <f t="shared" si="33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4"/>
        <v/>
      </c>
      <c r="O379" s="206" t="str">
        <f t="shared" si="30"/>
        <v/>
      </c>
      <c r="P379" s="207" t="str">
        <f t="shared" si="35"/>
        <v/>
      </c>
    </row>
    <row r="380" spans="3:16">
      <c r="C380" s="405"/>
      <c r="D380" s="411"/>
      <c r="E380" s="202"/>
      <c r="F380" s="200"/>
      <c r="H380" s="203"/>
      <c r="I380" s="186" t="str">
        <f t="shared" si="31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2"/>
        <v/>
      </c>
      <c r="L380" s="189" t="str">
        <f t="shared" si="33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4"/>
        <v/>
      </c>
      <c r="O380" s="206" t="str">
        <f t="shared" si="30"/>
        <v/>
      </c>
      <c r="P380" s="207" t="str">
        <f t="shared" si="35"/>
        <v/>
      </c>
    </row>
    <row r="381" spans="3:16">
      <c r="C381" s="405"/>
      <c r="D381" s="411"/>
      <c r="E381" s="202"/>
      <c r="F381" s="200"/>
      <c r="H381" s="203"/>
      <c r="I381" s="186" t="str">
        <f t="shared" si="31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2"/>
        <v/>
      </c>
      <c r="L381" s="189" t="str">
        <f t="shared" si="33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4"/>
        <v/>
      </c>
      <c r="O381" s="206" t="str">
        <f t="shared" si="30"/>
        <v/>
      </c>
      <c r="P381" s="207" t="str">
        <f t="shared" si="35"/>
        <v/>
      </c>
    </row>
    <row r="382" spans="3:16">
      <c r="C382" s="405"/>
      <c r="D382" s="411"/>
      <c r="E382" s="202"/>
      <c r="F382" s="200"/>
      <c r="H382" s="203"/>
      <c r="I382" s="186" t="str">
        <f t="shared" si="31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2"/>
        <v/>
      </c>
      <c r="L382" s="189" t="str">
        <f t="shared" si="33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4"/>
        <v/>
      </c>
      <c r="O382" s="206" t="str">
        <f t="shared" si="30"/>
        <v/>
      </c>
      <c r="P382" s="207" t="str">
        <f t="shared" si="35"/>
        <v/>
      </c>
    </row>
    <row r="383" spans="3:16">
      <c r="C383" s="405"/>
      <c r="D383" s="411"/>
      <c r="E383" s="202"/>
      <c r="F383" s="200"/>
      <c r="H383" s="203"/>
      <c r="I383" s="186" t="str">
        <f t="shared" si="31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2"/>
        <v/>
      </c>
      <c r="L383" s="189" t="str">
        <f t="shared" si="33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4"/>
        <v/>
      </c>
      <c r="O383" s="206" t="str">
        <f t="shared" si="30"/>
        <v/>
      </c>
      <c r="P383" s="207" t="str">
        <f t="shared" si="35"/>
        <v/>
      </c>
    </row>
    <row r="384" spans="3:16">
      <c r="C384" s="405"/>
      <c r="D384" s="411"/>
      <c r="E384" s="202"/>
      <c r="F384" s="200"/>
      <c r="H384" s="203"/>
      <c r="I384" s="186" t="str">
        <f t="shared" si="31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2"/>
        <v/>
      </c>
      <c r="L384" s="189" t="str">
        <f t="shared" si="33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4"/>
        <v/>
      </c>
      <c r="O384" s="206" t="str">
        <f t="shared" si="30"/>
        <v/>
      </c>
      <c r="P384" s="207" t="str">
        <f t="shared" si="35"/>
        <v/>
      </c>
    </row>
    <row r="385" spans="3:16">
      <c r="C385" s="405"/>
      <c r="D385" s="411"/>
      <c r="E385" s="202"/>
      <c r="F385" s="200"/>
      <c r="H385" s="203"/>
      <c r="I385" s="186" t="str">
        <f t="shared" si="31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2"/>
        <v/>
      </c>
      <c r="L385" s="189" t="str">
        <f t="shared" si="33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4"/>
        <v/>
      </c>
      <c r="O385" s="206" t="str">
        <f t="shared" si="30"/>
        <v/>
      </c>
      <c r="P385" s="207" t="str">
        <f t="shared" si="35"/>
        <v/>
      </c>
    </row>
    <row r="386" spans="3:16">
      <c r="C386" s="405"/>
      <c r="D386" s="411"/>
      <c r="E386" s="202"/>
      <c r="F386" s="200"/>
      <c r="H386" s="203"/>
      <c r="I386" s="186" t="str">
        <f t="shared" si="31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2"/>
        <v/>
      </c>
      <c r="L386" s="189" t="str">
        <f t="shared" si="33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4"/>
        <v/>
      </c>
      <c r="O386" s="206" t="str">
        <f t="shared" si="30"/>
        <v/>
      </c>
      <c r="P386" s="207" t="str">
        <f t="shared" si="35"/>
        <v/>
      </c>
    </row>
    <row r="387" spans="3:16">
      <c r="C387" s="405"/>
      <c r="D387" s="411"/>
      <c r="E387" s="202"/>
      <c r="F387" s="200"/>
      <c r="H387" s="203"/>
      <c r="I387" s="186" t="str">
        <f t="shared" si="31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2"/>
        <v/>
      </c>
      <c r="L387" s="189" t="str">
        <f t="shared" si="33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4"/>
        <v/>
      </c>
      <c r="O387" s="206" t="str">
        <f t="shared" si="30"/>
        <v/>
      </c>
      <c r="P387" s="207" t="str">
        <f t="shared" si="35"/>
        <v/>
      </c>
    </row>
    <row r="388" spans="3:16">
      <c r="C388" s="405"/>
      <c r="D388" s="411"/>
      <c r="E388" s="202"/>
      <c r="F388" s="200"/>
      <c r="H388" s="203"/>
      <c r="I388" s="186" t="str">
        <f t="shared" si="31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2"/>
        <v/>
      </c>
      <c r="L388" s="189" t="str">
        <f t="shared" si="33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4"/>
        <v/>
      </c>
      <c r="O388" s="206" t="str">
        <f t="shared" si="30"/>
        <v/>
      </c>
      <c r="P388" s="207" t="str">
        <f t="shared" si="35"/>
        <v/>
      </c>
    </row>
    <row r="389" spans="3:16">
      <c r="C389" s="405"/>
      <c r="D389" s="411"/>
      <c r="E389" s="202"/>
      <c r="F389" s="200"/>
      <c r="H389" s="203"/>
      <c r="I389" s="186" t="str">
        <f t="shared" si="31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2"/>
        <v/>
      </c>
      <c r="L389" s="189" t="str">
        <f t="shared" si="33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4"/>
        <v/>
      </c>
      <c r="O389" s="206" t="str">
        <f t="shared" ref="O389:O399" si="36">IF(OR(K389="",N389=""),"",K389-N389)</f>
        <v/>
      </c>
      <c r="P389" s="207" t="str">
        <f t="shared" si="35"/>
        <v/>
      </c>
    </row>
    <row r="390" spans="3:16">
      <c r="C390" s="405"/>
      <c r="D390" s="411"/>
      <c r="E390" s="202"/>
      <c r="F390" s="200"/>
      <c r="H390" s="203"/>
      <c r="I390" s="186" t="str">
        <f t="shared" ref="I390:I399" si="37">IF(H390="","",IF(H390="JPY","",IF($H390="USD",4, IF(H390="EUR",7,IF(H390="CNY",47,IF(H390="HKD",34))))))</f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ref="K390:K399" si="38">IF($H390="JPY",$F390,IF($H390="","",$F390*$J390))</f>
        <v/>
      </c>
      <c r="L390" s="189" t="str">
        <f t="shared" ref="L390:L399" si="39">IF(H390="","",IF(H390="JPY","",IF($H390="USD",3, IF(H390="EUR",6,IF(H390="CNY",46,IF(H390="HKD",33))))))</f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ref="N390:N399" si="40">IF($E390="JPY",($C390+$D390),IF($E390="","",($C390+$D390)*$M390))</f>
        <v/>
      </c>
      <c r="O390" s="206" t="str">
        <f t="shared" si="36"/>
        <v/>
      </c>
      <c r="P390" s="207" t="str">
        <f t="shared" ref="P390:P399" si="41">IF(OR(K390="",O390=""),"",O390/K390)</f>
        <v/>
      </c>
    </row>
    <row r="391" spans="3:16">
      <c r="C391" s="405"/>
      <c r="D391" s="411"/>
      <c r="E391" s="202"/>
      <c r="F391" s="200"/>
      <c r="H391" s="203"/>
      <c r="I391" s="186" t="str">
        <f t="shared" si="37"/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si="38"/>
        <v/>
      </c>
      <c r="L391" s="189" t="str">
        <f t="shared" si="39"/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si="40"/>
        <v/>
      </c>
      <c r="O391" s="206" t="str">
        <f t="shared" si="36"/>
        <v/>
      </c>
      <c r="P391" s="207" t="str">
        <f t="shared" si="41"/>
        <v/>
      </c>
    </row>
    <row r="392" spans="3:16">
      <c r="C392" s="405"/>
      <c r="D392" s="411"/>
      <c r="E392" s="202"/>
      <c r="F392" s="200"/>
      <c r="H392" s="203"/>
      <c r="I392" s="186" t="str">
        <f t="shared" si="37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38"/>
        <v/>
      </c>
      <c r="L392" s="189" t="str">
        <f t="shared" si="39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40"/>
        <v/>
      </c>
      <c r="O392" s="206" t="str">
        <f t="shared" si="36"/>
        <v/>
      </c>
      <c r="P392" s="207" t="str">
        <f t="shared" si="41"/>
        <v/>
      </c>
    </row>
    <row r="393" spans="3:16">
      <c r="C393" s="405"/>
      <c r="D393" s="411"/>
      <c r="E393" s="202"/>
      <c r="F393" s="200"/>
      <c r="H393" s="203"/>
      <c r="I393" s="186" t="str">
        <f t="shared" si="37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38"/>
        <v/>
      </c>
      <c r="L393" s="189" t="str">
        <f t="shared" si="39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40"/>
        <v/>
      </c>
      <c r="O393" s="206" t="str">
        <f t="shared" si="36"/>
        <v/>
      </c>
      <c r="P393" s="207" t="str">
        <f t="shared" si="41"/>
        <v/>
      </c>
    </row>
    <row r="394" spans="3:16">
      <c r="C394" s="405"/>
      <c r="D394" s="411"/>
      <c r="E394" s="202"/>
      <c r="F394" s="200"/>
      <c r="H394" s="203"/>
      <c r="I394" s="186" t="str">
        <f t="shared" si="37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38"/>
        <v/>
      </c>
      <c r="L394" s="189" t="str">
        <f t="shared" si="39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40"/>
        <v/>
      </c>
      <c r="O394" s="206" t="str">
        <f t="shared" si="36"/>
        <v/>
      </c>
      <c r="P394" s="207" t="str">
        <f t="shared" si="41"/>
        <v/>
      </c>
    </row>
    <row r="395" spans="3:16">
      <c r="C395" s="405"/>
      <c r="D395" s="411"/>
      <c r="E395" s="202"/>
      <c r="F395" s="200"/>
      <c r="H395" s="203"/>
      <c r="I395" s="186" t="str">
        <f t="shared" si="37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38"/>
        <v/>
      </c>
      <c r="L395" s="189" t="str">
        <f t="shared" si="39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40"/>
        <v/>
      </c>
      <c r="O395" s="206" t="str">
        <f t="shared" si="36"/>
        <v/>
      </c>
      <c r="P395" s="207" t="str">
        <f t="shared" si="41"/>
        <v/>
      </c>
    </row>
    <row r="396" spans="3:16">
      <c r="C396" s="405"/>
      <c r="D396" s="411"/>
      <c r="E396" s="202"/>
      <c r="F396" s="200"/>
      <c r="H396" s="203"/>
      <c r="I396" s="186" t="str">
        <f t="shared" si="37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38"/>
        <v/>
      </c>
      <c r="L396" s="189" t="str">
        <f t="shared" si="39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40"/>
        <v/>
      </c>
      <c r="O396" s="206" t="str">
        <f t="shared" si="36"/>
        <v/>
      </c>
      <c r="P396" s="207" t="str">
        <f t="shared" si="41"/>
        <v/>
      </c>
    </row>
    <row r="397" spans="3:16">
      <c r="C397" s="405"/>
      <c r="D397" s="411"/>
      <c r="E397" s="202"/>
      <c r="F397" s="200"/>
      <c r="H397" s="203"/>
      <c r="I397" s="186" t="str">
        <f t="shared" si="37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38"/>
        <v/>
      </c>
      <c r="L397" s="189" t="str">
        <f t="shared" si="39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40"/>
        <v/>
      </c>
      <c r="O397" s="206" t="str">
        <f t="shared" si="36"/>
        <v/>
      </c>
      <c r="P397" s="207" t="str">
        <f t="shared" si="41"/>
        <v/>
      </c>
    </row>
    <row r="398" spans="3:16">
      <c r="C398" s="405"/>
      <c r="D398" s="411"/>
      <c r="E398" s="202"/>
      <c r="F398" s="200"/>
      <c r="H398" s="203"/>
      <c r="I398" s="186" t="str">
        <f t="shared" si="37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38"/>
        <v/>
      </c>
      <c r="L398" s="189" t="str">
        <f t="shared" si="39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40"/>
        <v/>
      </c>
      <c r="O398" s="206" t="str">
        <f t="shared" si="36"/>
        <v/>
      </c>
      <c r="P398" s="207" t="str">
        <f t="shared" si="41"/>
        <v/>
      </c>
    </row>
    <row r="399" spans="3:16">
      <c r="C399" s="405"/>
      <c r="D399" s="411"/>
      <c r="E399" s="202"/>
      <c r="F399" s="200"/>
      <c r="H399" s="203"/>
      <c r="I399" s="186" t="str">
        <f t="shared" si="37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38"/>
        <v/>
      </c>
      <c r="L399" s="189" t="str">
        <f t="shared" si="39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40"/>
        <v/>
      </c>
      <c r="O399" s="206" t="str">
        <f t="shared" si="36"/>
        <v/>
      </c>
      <c r="P399" s="207" t="str">
        <f t="shared" si="41"/>
        <v/>
      </c>
    </row>
  </sheetData>
  <mergeCells count="1">
    <mergeCell ref="A1:E2"/>
  </mergeCells>
  <phoneticPr fontId="2"/>
  <conditionalFormatting sqref="P6:P399">
    <cfRule type="cellIs" dxfId="6" priority="1" operator="greaterThan">
      <formula>$P$3</formula>
    </cfRule>
  </conditionalFormatting>
  <dataValidations count="2">
    <dataValidation type="list" allowBlank="1" showInputMessage="1" showErrorMessage="1" sqref="A6:A399" xr:uid="{7B6A25F5-4978-44BA-820C-F1335007AD73}">
      <formula1>$M$3:$O$3</formula1>
    </dataValidation>
    <dataValidation type="list" allowBlank="1" showInputMessage="1" showErrorMessage="1" sqref="E6:E399 H6:H399" xr:uid="{99E5191C-963C-47C8-98FB-D04646FD95B1}">
      <formula1>"JPY,USD,EUR,CNY,HKD"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E518A-BE48-4B88-B1C1-5F448A002D4C}">
  <sheetPr codeName="Sheet9">
    <tabColor theme="2" tint="-9.9978637043366805E-2"/>
  </sheetPr>
  <dimension ref="A1:S59"/>
  <sheetViews>
    <sheetView showGridLines="0" topLeftCell="A4" zoomScale="85" zoomScaleNormal="85" workbookViewId="0">
      <selection activeCell="N18" sqref="N18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45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  <c r="F2" s="44" t="s">
        <v>76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>
      <c r="A7" s="463" t="s">
        <v>156</v>
      </c>
      <c r="B7" s="466" t="s">
        <v>94</v>
      </c>
      <c r="C7" s="450" t="s">
        <v>15</v>
      </c>
      <c r="D7" s="112" t="s">
        <v>13</v>
      </c>
      <c r="E7" s="113">
        <v>1850</v>
      </c>
      <c r="F7" s="114">
        <v>830</v>
      </c>
      <c r="G7" s="114">
        <v>1160</v>
      </c>
      <c r="H7" s="114">
        <v>1290</v>
      </c>
      <c r="I7" s="114">
        <v>1540</v>
      </c>
      <c r="J7" s="115">
        <v>2200</v>
      </c>
      <c r="K7" s="116">
        <v>880</v>
      </c>
      <c r="L7" s="114">
        <v>860</v>
      </c>
      <c r="M7" s="114">
        <v>150</v>
      </c>
      <c r="N7" s="114">
        <v>1010</v>
      </c>
      <c r="O7" s="114">
        <v>660</v>
      </c>
      <c r="P7" s="117">
        <v>840</v>
      </c>
      <c r="Q7" s="118">
        <f>SUM(E7:P7)</f>
        <v>13270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463.54</v>
      </c>
      <c r="F8" s="136">
        <f ca="1">SUMIFS(INDIRECT($B$1&amp;"INV!$K:$K"),INDIRECT($B$1&amp;"INV!$A:$A"),$A7,INDIRECT($B$1&amp;"INV!$G:$G"),"&gt;="&amp;F$6,INDIRECT($B$1&amp;"INV!$G:$G"),"&lt;"&amp;EOMONTH(F$6,0)+1)/1000</f>
        <v>664.46</v>
      </c>
      <c r="G8" s="136">
        <f ca="1">SUMIFS(INDIRECT($B$1&amp;"INV!$K:$K"),INDIRECT($B$1&amp;"INV!$A:$A"),$A7,INDIRECT($B$1&amp;"INV!$G:$G"),"&gt;="&amp;G$6,INDIRECT($B$1&amp;"INV!$G:$G"),"&lt;"&amp;EOMONTH(G$6,0)+1)/1000</f>
        <v>1555.72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1003.8150000000001</v>
      </c>
      <c r="I8" s="136">
        <f t="shared" ca="1" si="0"/>
        <v>541.4</v>
      </c>
      <c r="J8" s="139">
        <f t="shared" ca="1" si="0"/>
        <v>780.82500000000005</v>
      </c>
      <c r="K8" s="135">
        <f t="shared" ca="1" si="0"/>
        <v>969.89</v>
      </c>
      <c r="L8" s="136">
        <f t="shared" ca="1" si="0"/>
        <v>595.92999999999995</v>
      </c>
      <c r="M8" s="136">
        <f t="shared" ca="1" si="0"/>
        <v>471.07499999999999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7046.6550000000007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>
        <f ca="1">E8/E7</f>
        <v>0.25056216216216215</v>
      </c>
      <c r="F9" s="4">
        <f t="shared" ref="F9:Q9" ca="1" si="1">F8/F7</f>
        <v>0.80055421686746997</v>
      </c>
      <c r="G9" s="4">
        <f t="shared" ca="1" si="1"/>
        <v>1.3411379310344829</v>
      </c>
      <c r="H9" s="4">
        <f t="shared" ca="1" si="1"/>
        <v>0.77815116279069774</v>
      </c>
      <c r="I9" s="4">
        <f t="shared" ca="1" si="1"/>
        <v>0.35155844155844157</v>
      </c>
      <c r="J9" s="6">
        <f t="shared" ca="1" si="1"/>
        <v>0.35492045454545457</v>
      </c>
      <c r="K9" s="8">
        <f t="shared" ca="1" si="1"/>
        <v>1.1021477272727274</v>
      </c>
      <c r="L9" s="4">
        <f t="shared" ca="1" si="1"/>
        <v>0.69294186046511619</v>
      </c>
      <c r="M9" s="4">
        <f t="shared" ca="1" si="1"/>
        <v>3.1404999999999998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0.53102147701582525</v>
      </c>
    </row>
    <row r="10" spans="1:19">
      <c r="A10" s="464"/>
      <c r="B10" s="467"/>
      <c r="C10" s="451"/>
      <c r="D10" s="22" t="s">
        <v>18</v>
      </c>
      <c r="E10" s="12">
        <f ca="1">SUM($E8:E8)/SUM($E7:E7)</f>
        <v>0.25056216216216215</v>
      </c>
      <c r="F10" s="5">
        <f ca="1">SUM($E8:F8)/SUM($E7:F7)</f>
        <v>0.42089552238805972</v>
      </c>
      <c r="G10" s="5">
        <f ca="1">SUM($E8:G8)/SUM($E7:G7)</f>
        <v>0.6988854166666667</v>
      </c>
      <c r="H10" s="5">
        <f ca="1">SUM($E8:H8)/SUM($E7:H7)</f>
        <v>0.71881773879142308</v>
      </c>
      <c r="I10" s="5">
        <f ca="1">SUM($E8:I8)/SUM($E7:I7)</f>
        <v>0.63402323838080965</v>
      </c>
      <c r="J10" s="13">
        <f ca="1">SUM($E8:J8)/SUM($E7:J7)</f>
        <v>0.56479819616685456</v>
      </c>
      <c r="K10" s="9">
        <f ca="1">SUM($E8:K8)/SUM($E7:K7)</f>
        <v>0.61329743589743591</v>
      </c>
      <c r="L10" s="5">
        <f ca="1">SUM($E8:L8)/SUM($E7:L7)</f>
        <v>0.61975306314797374</v>
      </c>
      <c r="M10" s="5">
        <f ca="1">SUM($E8:M8)/SUM($E7:M7)</f>
        <v>0.65489358736059489</v>
      </c>
      <c r="N10" s="5">
        <f ca="1">SUM($E8:N8)/SUM($E7:N7)</f>
        <v>0.59869626168224299</v>
      </c>
      <c r="O10" s="5">
        <f ca="1">SUM($E8:O8)/SUM($E7:O7)</f>
        <v>0.56690707964601772</v>
      </c>
      <c r="P10" s="17">
        <f ca="1">SUM($E8:P8)/SUM($E7:P7)</f>
        <v>0.53102147701582525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1480</v>
      </c>
      <c r="F11" s="121">
        <v>670</v>
      </c>
      <c r="G11" s="121">
        <v>930</v>
      </c>
      <c r="H11" s="121">
        <v>1030</v>
      </c>
      <c r="I11" s="121">
        <v>1180</v>
      </c>
      <c r="J11" s="122">
        <v>1770</v>
      </c>
      <c r="K11" s="123">
        <v>700</v>
      </c>
      <c r="L11" s="121">
        <v>700</v>
      </c>
      <c r="M11" s="121">
        <v>120</v>
      </c>
      <c r="N11" s="121">
        <v>810</v>
      </c>
      <c r="O11" s="121">
        <v>520</v>
      </c>
      <c r="P11" s="124">
        <v>690</v>
      </c>
      <c r="Q11" s="125">
        <f>SUM(E11:P11)</f>
        <v>10600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360.70600000000002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522.83199999999999</v>
      </c>
      <c r="G12" s="142">
        <f t="shared" ca="1" si="2"/>
        <v>1222.972</v>
      </c>
      <c r="H12" s="142">
        <f t="shared" ca="1" si="2"/>
        <v>771.01300000000003</v>
      </c>
      <c r="I12" s="142">
        <f t="shared" ca="1" si="2"/>
        <v>413.51</v>
      </c>
      <c r="J12" s="145">
        <f t="shared" ca="1" si="2"/>
        <v>605.44500000000005</v>
      </c>
      <c r="K12" s="147">
        <f t="shared" ca="1" si="2"/>
        <v>759.09699999999998</v>
      </c>
      <c r="L12" s="142">
        <f t="shared" ca="1" si="2"/>
        <v>463.59300000000002</v>
      </c>
      <c r="M12" s="142">
        <f t="shared" ca="1" si="2"/>
        <v>369.935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5489.103000000001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370</v>
      </c>
      <c r="F13" s="121">
        <f t="shared" ref="F13:P14" si="3">F7-F11</f>
        <v>160</v>
      </c>
      <c r="G13" s="121">
        <f t="shared" si="3"/>
        <v>230</v>
      </c>
      <c r="H13" s="121">
        <f t="shared" si="3"/>
        <v>260</v>
      </c>
      <c r="I13" s="121">
        <f t="shared" si="3"/>
        <v>360</v>
      </c>
      <c r="J13" s="122">
        <f t="shared" si="3"/>
        <v>430</v>
      </c>
      <c r="K13" s="123">
        <f t="shared" si="3"/>
        <v>180</v>
      </c>
      <c r="L13" s="121">
        <f t="shared" si="3"/>
        <v>160</v>
      </c>
      <c r="M13" s="121">
        <f t="shared" si="3"/>
        <v>30</v>
      </c>
      <c r="N13" s="121">
        <f t="shared" si="3"/>
        <v>200</v>
      </c>
      <c r="O13" s="121">
        <f t="shared" si="3"/>
        <v>140</v>
      </c>
      <c r="P13" s="124">
        <f t="shared" si="3"/>
        <v>150</v>
      </c>
      <c r="Q13" s="125">
        <f>SUM(E13:P13)</f>
        <v>2670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102.834</v>
      </c>
      <c r="F14" s="136">
        <f t="shared" ca="1" si="3"/>
        <v>141.62800000000004</v>
      </c>
      <c r="G14" s="136">
        <f t="shared" ca="1" si="3"/>
        <v>332.74800000000005</v>
      </c>
      <c r="H14" s="136">
        <f t="shared" ca="1" si="3"/>
        <v>232.80200000000002</v>
      </c>
      <c r="I14" s="136">
        <f t="shared" ca="1" si="3"/>
        <v>127.88999999999999</v>
      </c>
      <c r="J14" s="139">
        <f t="shared" ca="1" si="3"/>
        <v>175.38</v>
      </c>
      <c r="K14" s="135">
        <f t="shared" ca="1" si="3"/>
        <v>210.79300000000001</v>
      </c>
      <c r="L14" s="136">
        <f t="shared" ca="1" si="3"/>
        <v>132.33699999999993</v>
      </c>
      <c r="M14" s="136">
        <f t="shared" ca="1" si="3"/>
        <v>101.13999999999999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1557.5520000000001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>
        <f ca="1">E14/E13</f>
        <v>0.27792972972972974</v>
      </c>
      <c r="F15" s="4">
        <f t="shared" ref="F15:Q15" ca="1" si="4">F14/F13</f>
        <v>0.88517500000000027</v>
      </c>
      <c r="G15" s="4">
        <f t="shared" ca="1" si="4"/>
        <v>1.4467304347826089</v>
      </c>
      <c r="H15" s="4">
        <f t="shared" ca="1" si="4"/>
        <v>0.89539230769230782</v>
      </c>
      <c r="I15" s="4">
        <f t="shared" ca="1" si="4"/>
        <v>0.35524999999999995</v>
      </c>
      <c r="J15" s="6">
        <f t="shared" ca="1" si="4"/>
        <v>0.40786046511627905</v>
      </c>
      <c r="K15" s="8">
        <f t="shared" ca="1" si="4"/>
        <v>1.1710722222222223</v>
      </c>
      <c r="L15" s="4">
        <f t="shared" ca="1" si="4"/>
        <v>0.8271062499999996</v>
      </c>
      <c r="M15" s="4">
        <f t="shared" ca="1" si="4"/>
        <v>3.3713333333333328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0.58335280898876407</v>
      </c>
    </row>
    <row r="16" spans="1:19" ht="19.5" thickBot="1">
      <c r="A16" s="465"/>
      <c r="B16" s="468"/>
      <c r="C16" s="454"/>
      <c r="D16" s="23" t="s">
        <v>18</v>
      </c>
      <c r="E16" s="14">
        <f ca="1">SUM($E14:E14)/SUM($E13:E13)</f>
        <v>0.27792972972972974</v>
      </c>
      <c r="F16" s="7">
        <f ca="1">SUM($E14:F14)/SUM($E13:F13)</f>
        <v>0.46124905660377369</v>
      </c>
      <c r="G16" s="7">
        <f ca="1">SUM($E14:G14)/SUM($E13:G13)</f>
        <v>0.75948684210526318</v>
      </c>
      <c r="H16" s="7">
        <f ca="1">SUM($E14:H14)/SUM($E13:H13)</f>
        <v>0.79412941176470597</v>
      </c>
      <c r="I16" s="7">
        <f ca="1">SUM($E14:I14)/SUM($E13:I13)</f>
        <v>0.67963913043478263</v>
      </c>
      <c r="J16" s="15">
        <f ca="1">SUM($E14:J14)/SUM($E13:J13)</f>
        <v>0.61507292817679571</v>
      </c>
      <c r="K16" s="10">
        <f ca="1">SUM($E14:K14)/SUM($E13:K13)</f>
        <v>0.66536432160804038</v>
      </c>
      <c r="L16" s="7">
        <f ca="1">SUM($E14:L14)/SUM($E13:L13)</f>
        <v>0.67740093023255821</v>
      </c>
      <c r="M16" s="7">
        <f ca="1">SUM($E14:M14)/SUM($E13:M13)</f>
        <v>0.71447339449541292</v>
      </c>
      <c r="N16" s="7">
        <f ca="1">SUM($E14:N14)/SUM($E13:N13)</f>
        <v>0.6544336134453782</v>
      </c>
      <c r="O16" s="7">
        <f ca="1">SUM($E14:O14)/SUM($E13:O13)</f>
        <v>0.61807619047619056</v>
      </c>
      <c r="P16" s="18">
        <f ca="1">SUM($E14:P14)/SUM($E13:P13)</f>
        <v>0.58335280898876407</v>
      </c>
      <c r="Q16" s="28" t="s">
        <v>22</v>
      </c>
      <c r="R16" s="59"/>
      <c r="S16"/>
    </row>
    <row r="17" spans="1:19" ht="18.75" customHeight="1">
      <c r="A17" s="463" t="s">
        <v>341</v>
      </c>
      <c r="B17" s="466" t="s">
        <v>49</v>
      </c>
      <c r="C17" s="450" t="s">
        <v>15</v>
      </c>
      <c r="D17" s="112" t="s">
        <v>13</v>
      </c>
      <c r="E17" s="113">
        <v>2930</v>
      </c>
      <c r="F17" s="114">
        <v>2040</v>
      </c>
      <c r="G17" s="114">
        <v>2280</v>
      </c>
      <c r="H17" s="114">
        <v>2630</v>
      </c>
      <c r="I17" s="114">
        <v>2150</v>
      </c>
      <c r="J17" s="115">
        <v>5660</v>
      </c>
      <c r="K17" s="116">
        <v>2540</v>
      </c>
      <c r="L17" s="114">
        <v>3340</v>
      </c>
      <c r="M17" s="114">
        <v>1810</v>
      </c>
      <c r="N17" s="114">
        <v>4480</v>
      </c>
      <c r="O17" s="114">
        <v>3610</v>
      </c>
      <c r="P17" s="117">
        <v>1990</v>
      </c>
      <c r="Q17" s="118">
        <f>SUM(E17:P17)</f>
        <v>35460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2185.1303275</v>
      </c>
      <c r="F18" s="136">
        <f ca="1">SUMIFS(INDIRECT($B$1&amp;"INV!$K:$K"),INDIRECT($B$1&amp;"INV!$A:$A"),$A17,INDIRECT($B$1&amp;"INV!$G:$G"),"&gt;="&amp;F$6,INDIRECT($B$1&amp;"INV!$G:$G"),"&lt;"&amp;EOMONTH(F$6,0)+1)/1000</f>
        <v>1570.2389209</v>
      </c>
      <c r="G18" s="136">
        <f ca="1">SUMIFS(INDIRECT($B$1&amp;"INV!$K:$K"),INDIRECT($B$1&amp;"INV!$A:$A"),$A17,INDIRECT($B$1&amp;"INV!$G:$G"),"&gt;="&amp;G$6,INDIRECT($B$1&amp;"INV!$G:$G"),"&lt;"&amp;EOMONTH(G$6,0)+1)/1000</f>
        <v>1733.7937085999999</v>
      </c>
      <c r="H18" s="136">
        <f t="shared" ref="H18:P18" ca="1" si="5">SUMIFS(INDIRECT($B$1&amp;"INV!$K:$K"),INDIRECT($B$1&amp;"INV!$A:$A"),$A17,INDIRECT($B$1&amp;"INV!$G:$G"),"&gt;="&amp;H$6,INDIRECT($B$1&amp;"INV!$G:$G"),"&lt;"&amp;EOMONTH(H$6,0)+1)/1000</f>
        <v>2176.7667190000006</v>
      </c>
      <c r="I18" s="136">
        <f t="shared" ca="1" si="5"/>
        <v>3068.3929206000003</v>
      </c>
      <c r="J18" s="139">
        <f t="shared" ca="1" si="5"/>
        <v>1751.5521838999998</v>
      </c>
      <c r="K18" s="135">
        <f t="shared" ca="1" si="5"/>
        <v>4753.5990220999993</v>
      </c>
      <c r="L18" s="136">
        <f t="shared" ca="1" si="5"/>
        <v>3397.2049641999997</v>
      </c>
      <c r="M18" s="136">
        <f t="shared" ca="1" si="5"/>
        <v>2854.8951894000002</v>
      </c>
      <c r="N18" s="136">
        <f t="shared" ca="1" si="5"/>
        <v>3376.1478284999998</v>
      </c>
      <c r="O18" s="136">
        <f t="shared" ca="1" si="5"/>
        <v>0</v>
      </c>
      <c r="P18" s="137">
        <f t="shared" ca="1" si="5"/>
        <v>0</v>
      </c>
      <c r="Q18" s="140">
        <f ca="1">SUM(E18:P18)</f>
        <v>26867.721784700003</v>
      </c>
      <c r="R18" s="483"/>
      <c r="S18" s="69" t="str">
        <f ca="1">IFERROR(Q18/R17,"")</f>
        <v/>
      </c>
    </row>
    <row r="19" spans="1:19">
      <c r="A19" s="464"/>
      <c r="B19" s="467"/>
      <c r="C19" s="450"/>
      <c r="D19" s="21" t="s">
        <v>17</v>
      </c>
      <c r="E19" s="11">
        <f ca="1">E18/E17</f>
        <v>0.74577826877133102</v>
      </c>
      <c r="F19" s="4">
        <f t="shared" ref="F19:Q19" ca="1" si="6">F18/F17</f>
        <v>0.76972496122549017</v>
      </c>
      <c r="G19" s="4">
        <f t="shared" ca="1" si="6"/>
        <v>0.76043583710526308</v>
      </c>
      <c r="H19" s="4">
        <f t="shared" ca="1" si="6"/>
        <v>0.82766795399239568</v>
      </c>
      <c r="I19" s="4">
        <f t="shared" ca="1" si="6"/>
        <v>1.4271594979534885</v>
      </c>
      <c r="J19" s="6">
        <f t="shared" ca="1" si="6"/>
        <v>0.30946151659010596</v>
      </c>
      <c r="K19" s="8">
        <f t="shared" ca="1" si="6"/>
        <v>1.8714956779921257</v>
      </c>
      <c r="L19" s="4">
        <f t="shared" ca="1" si="6"/>
        <v>1.017127234790419</v>
      </c>
      <c r="M19" s="4">
        <f t="shared" ca="1" si="6"/>
        <v>1.5772901598895028</v>
      </c>
      <c r="N19" s="4">
        <f t="shared" ca="1" si="6"/>
        <v>0.7536044260044642</v>
      </c>
      <c r="O19" s="4">
        <f t="shared" ca="1" si="6"/>
        <v>0</v>
      </c>
      <c r="P19" s="16">
        <f t="shared" ca="1" si="6"/>
        <v>0</v>
      </c>
      <c r="Q19" s="26">
        <f t="shared" ca="1" si="6"/>
        <v>0.75769096967569105</v>
      </c>
      <c r="R19" s="59"/>
      <c r="S19"/>
    </row>
    <row r="20" spans="1:19">
      <c r="A20" s="464"/>
      <c r="B20" s="467"/>
      <c r="C20" s="451"/>
      <c r="D20" s="22" t="s">
        <v>18</v>
      </c>
      <c r="E20" s="12">
        <f ca="1">SUM($E18:E18)/SUM($E17:E17)</f>
        <v>0.74577826877133102</v>
      </c>
      <c r="F20" s="5">
        <f ca="1">SUM($E18:F18)/SUM($E17:F17)</f>
        <v>0.75560749464788735</v>
      </c>
      <c r="G20" s="5">
        <f ca="1">SUM($E18:G18)/SUM($E17:G17)</f>
        <v>0.75712592510344834</v>
      </c>
      <c r="H20" s="5">
        <f ca="1">SUM($E18:H18)/SUM($E17:H17)</f>
        <v>0.77590381336032399</v>
      </c>
      <c r="I20" s="5">
        <f ca="1">SUM($E18:I18)/SUM($E17:I17)</f>
        <v>0.89229614269326707</v>
      </c>
      <c r="J20" s="13">
        <f ca="1">SUM($E18:J18)/SUM($E17:J17)</f>
        <v>0.70581542003957054</v>
      </c>
      <c r="K20" s="9">
        <f ca="1">SUM($E18:K18)/SUM($E17:K17)</f>
        <v>0.85217369266435994</v>
      </c>
      <c r="L20" s="5">
        <f ca="1">SUM($E18:L18)/SUM($E17:L17)</f>
        <v>0.87554852638099279</v>
      </c>
      <c r="M20" s="5">
        <f ca="1">SUM($E18:M18)/SUM($E17:M17)</f>
        <v>0.92559393050433414</v>
      </c>
      <c r="N20" s="5">
        <f ca="1">SUM($E18:N18)/SUM($E17:N17)</f>
        <v>0.89978974496651043</v>
      </c>
      <c r="O20" s="5">
        <f ca="1">SUM($E18:O18)/SUM($E17:O17)</f>
        <v>0.80274041782790573</v>
      </c>
      <c r="P20" s="17">
        <f ca="1">SUM($E18:P18)/SUM($E17:P17)</f>
        <v>0.75769096967569105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2750</v>
      </c>
      <c r="F21" s="121">
        <v>1940</v>
      </c>
      <c r="G21" s="121">
        <v>2145</v>
      </c>
      <c r="H21" s="121">
        <v>2475</v>
      </c>
      <c r="I21" s="121">
        <v>2025</v>
      </c>
      <c r="J21" s="122">
        <v>5335</v>
      </c>
      <c r="K21" s="123">
        <v>2395</v>
      </c>
      <c r="L21" s="121">
        <v>3105</v>
      </c>
      <c r="M21" s="121">
        <v>1695</v>
      </c>
      <c r="N21" s="121">
        <v>4225</v>
      </c>
      <c r="O21" s="121">
        <v>3405</v>
      </c>
      <c r="P21" s="124">
        <v>1855</v>
      </c>
      <c r="Q21" s="125">
        <f>SUM(E21:P21)</f>
        <v>33350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2076.851494</v>
      </c>
      <c r="F22" s="142">
        <f t="shared" ref="F22:P22" ca="1" si="7">SUMIFS(INDIRECT($B$1&amp;"INV!$N:$N"),INDIRECT($B$1&amp;"INV!$A:$A"),$A17,INDIRECT($B$1&amp;"INV!$G:$G"),"&gt;="&amp;F$6,INDIRECT($B$1&amp;"INV!$G:$G"),"&lt;"&amp;EOMONTH(F$6,0)+1)/1000</f>
        <v>1484.1065247999998</v>
      </c>
      <c r="G22" s="142">
        <f t="shared" ca="1" si="7"/>
        <v>1635.0958043999997</v>
      </c>
      <c r="H22" s="142">
        <f t="shared" ca="1" si="7"/>
        <v>2056.2109123999999</v>
      </c>
      <c r="I22" s="142">
        <f t="shared" ca="1" si="7"/>
        <v>2914.1128814000003</v>
      </c>
      <c r="J22" s="145">
        <f t="shared" ca="1" si="7"/>
        <v>1661.1373312999997</v>
      </c>
      <c r="K22" s="147">
        <f t="shared" ca="1" si="7"/>
        <v>4464.0622555000009</v>
      </c>
      <c r="L22" s="142">
        <f t="shared" ca="1" si="7"/>
        <v>3219.2356533000002</v>
      </c>
      <c r="M22" s="142">
        <f t="shared" ca="1" si="7"/>
        <v>2708.3110482999996</v>
      </c>
      <c r="N22" s="142">
        <f t="shared" ca="1" si="7"/>
        <v>3191.5894947999996</v>
      </c>
      <c r="O22" s="142">
        <f t="shared" ca="1" si="7"/>
        <v>0</v>
      </c>
      <c r="P22" s="143">
        <f t="shared" ca="1" si="7"/>
        <v>0</v>
      </c>
      <c r="Q22" s="146">
        <f ca="1">SUM(E22:P22)</f>
        <v>25410.713400199998</v>
      </c>
      <c r="R22" s="488"/>
      <c r="S22" s="70" t="str">
        <f ca="1"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180</v>
      </c>
      <c r="F23" s="121">
        <f t="shared" ref="F23:P24" si="8">F17-F21</f>
        <v>100</v>
      </c>
      <c r="G23" s="121">
        <f t="shared" si="8"/>
        <v>135</v>
      </c>
      <c r="H23" s="121">
        <f t="shared" si="8"/>
        <v>155</v>
      </c>
      <c r="I23" s="121">
        <f t="shared" si="8"/>
        <v>125</v>
      </c>
      <c r="J23" s="122">
        <f t="shared" si="8"/>
        <v>325</v>
      </c>
      <c r="K23" s="123">
        <f t="shared" si="8"/>
        <v>145</v>
      </c>
      <c r="L23" s="121">
        <f t="shared" si="8"/>
        <v>235</v>
      </c>
      <c r="M23" s="121">
        <f t="shared" si="8"/>
        <v>115</v>
      </c>
      <c r="N23" s="121">
        <f t="shared" si="8"/>
        <v>255</v>
      </c>
      <c r="O23" s="121">
        <f t="shared" si="8"/>
        <v>205</v>
      </c>
      <c r="P23" s="124">
        <f t="shared" si="8"/>
        <v>135</v>
      </c>
      <c r="Q23" s="125">
        <f>SUM(E23:P23)</f>
        <v>2110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>
        <f ca="1">E18-E22</f>
        <v>108.27883350000002</v>
      </c>
      <c r="F24" s="136">
        <f t="shared" ca="1" si="8"/>
        <v>86.132396100000278</v>
      </c>
      <c r="G24" s="136">
        <f t="shared" ca="1" si="8"/>
        <v>98.697904200000266</v>
      </c>
      <c r="H24" s="136">
        <f t="shared" ca="1" si="8"/>
        <v>120.55580660000078</v>
      </c>
      <c r="I24" s="136">
        <f t="shared" ca="1" si="8"/>
        <v>154.28003919999992</v>
      </c>
      <c r="J24" s="139">
        <f t="shared" ca="1" si="8"/>
        <v>90.414852600000131</v>
      </c>
      <c r="K24" s="135">
        <f t="shared" ca="1" si="8"/>
        <v>289.53676659999837</v>
      </c>
      <c r="L24" s="136">
        <f t="shared" ca="1" si="8"/>
        <v>177.96931089999953</v>
      </c>
      <c r="M24" s="136">
        <f t="shared" ca="1" si="8"/>
        <v>146.58414110000058</v>
      </c>
      <c r="N24" s="136">
        <f t="shared" ca="1" si="8"/>
        <v>184.55833370000028</v>
      </c>
      <c r="O24" s="136">
        <f t="shared" ca="1" si="8"/>
        <v>0</v>
      </c>
      <c r="P24" s="137">
        <f t="shared" ca="1" si="8"/>
        <v>0</v>
      </c>
      <c r="Q24" s="140">
        <f ca="1">SUM(E24:P24)</f>
        <v>1457.0083845000001</v>
      </c>
      <c r="R24" s="483"/>
      <c r="S24" s="69" t="str">
        <f ca="1">IFERROR(Q24/R23,"")</f>
        <v/>
      </c>
    </row>
    <row r="25" spans="1:19">
      <c r="A25" s="464"/>
      <c r="B25" s="467"/>
      <c r="C25" s="453"/>
      <c r="D25" s="21" t="s">
        <v>17</v>
      </c>
      <c r="E25" s="11">
        <f ca="1">E24/E23</f>
        <v>0.6015490750000001</v>
      </c>
      <c r="F25" s="4">
        <f t="shared" ref="F25:Q25" ca="1" si="9">F24/F23</f>
        <v>0.86132396100000275</v>
      </c>
      <c r="G25" s="4">
        <f t="shared" ca="1" si="9"/>
        <v>0.73109558666666863</v>
      </c>
      <c r="H25" s="4">
        <f t="shared" ca="1" si="9"/>
        <v>0.77777939741935986</v>
      </c>
      <c r="I25" s="4">
        <f t="shared" ca="1" si="9"/>
        <v>1.2342403135999993</v>
      </c>
      <c r="J25" s="6">
        <f t="shared" ca="1" si="9"/>
        <v>0.27819954646153888</v>
      </c>
      <c r="K25" s="8">
        <f t="shared" ca="1" si="9"/>
        <v>1.9968052868965405</v>
      </c>
      <c r="L25" s="4">
        <f t="shared" ca="1" si="9"/>
        <v>0.75731621659574266</v>
      </c>
      <c r="M25" s="4">
        <f t="shared" ca="1" si="9"/>
        <v>1.2746447052173964</v>
      </c>
      <c r="N25" s="4">
        <f t="shared" ca="1" si="9"/>
        <v>0.72375817137255005</v>
      </c>
      <c r="O25" s="4">
        <f t="shared" ca="1" si="9"/>
        <v>0</v>
      </c>
      <c r="P25" s="16">
        <f t="shared" ca="1" si="9"/>
        <v>0</v>
      </c>
      <c r="Q25" s="26">
        <f t="shared" ca="1" si="9"/>
        <v>0.69052530071090057</v>
      </c>
    </row>
    <row r="26" spans="1:19" ht="19.5" thickBot="1">
      <c r="A26" s="465"/>
      <c r="B26" s="468"/>
      <c r="C26" s="454"/>
      <c r="D26" s="23" t="s">
        <v>18</v>
      </c>
      <c r="E26" s="14">
        <f ca="1">SUM($E24:E24)/SUM($E23:E23)</f>
        <v>0.6015490750000001</v>
      </c>
      <c r="F26" s="7">
        <f ca="1">SUM($E24:F24)/SUM($E23:F23)</f>
        <v>0.69432582000000109</v>
      </c>
      <c r="G26" s="7">
        <f ca="1">SUM($E24:G24)/SUM($E23:G23)</f>
        <v>0.70628706939759167</v>
      </c>
      <c r="H26" s="7">
        <f ca="1">SUM($E24:H24)/SUM($E23:H23)</f>
        <v>0.72572796561403741</v>
      </c>
      <c r="I26" s="7">
        <f ca="1">SUM($E24:I24)/SUM($E23:I23)</f>
        <v>0.81718702100719609</v>
      </c>
      <c r="J26" s="15">
        <f ca="1">SUM($E24:J24)/SUM($E23:J23)</f>
        <v>0.64545081588235431</v>
      </c>
      <c r="K26" s="10">
        <f ca="1">SUM($E24:K24)/SUM($E23:K23)</f>
        <v>0.81364514918454911</v>
      </c>
      <c r="L26" s="7">
        <f ca="1">SUM($E24:L24)/SUM($E23:L23)</f>
        <v>0.80418993549999951</v>
      </c>
      <c r="M26" s="7">
        <f ca="1">SUM($E24:M24)/SUM($E23:M23)</f>
        <v>0.8399010236303629</v>
      </c>
      <c r="N26" s="7">
        <f ca="1">SUM($E24:N24)/SUM($E23:N23)</f>
        <v>0.82316857881355943</v>
      </c>
      <c r="O26" s="7">
        <f ca="1">SUM($E24:O24)/SUM($E23:O23)</f>
        <v>0.73772576430379755</v>
      </c>
      <c r="P26" s="18">
        <f ca="1">SUM($E24:P24)/SUM($E23:P23)</f>
        <v>0.69052530071090057</v>
      </c>
      <c r="Q26" s="28" t="s">
        <v>22</v>
      </c>
      <c r="R26" s="59"/>
      <c r="S26"/>
    </row>
    <row r="27" spans="1:19" ht="18.75" customHeight="1">
      <c r="A27" s="463" t="s">
        <v>342</v>
      </c>
      <c r="B27" s="466" t="s">
        <v>49</v>
      </c>
      <c r="C27" s="450" t="s">
        <v>15</v>
      </c>
      <c r="D27" s="112" t="s">
        <v>13</v>
      </c>
      <c r="E27" s="113">
        <v>5420</v>
      </c>
      <c r="F27" s="114">
        <v>1530</v>
      </c>
      <c r="G27" s="114">
        <v>7720</v>
      </c>
      <c r="H27" s="114">
        <v>3260</v>
      </c>
      <c r="I27" s="114">
        <v>7690</v>
      </c>
      <c r="J27" s="115">
        <v>3080</v>
      </c>
      <c r="K27" s="116">
        <v>2960</v>
      </c>
      <c r="L27" s="114">
        <v>7850</v>
      </c>
      <c r="M27" s="114">
        <v>8800</v>
      </c>
      <c r="N27" s="114">
        <v>14540</v>
      </c>
      <c r="O27" s="114">
        <v>6560</v>
      </c>
      <c r="P27" s="117">
        <v>12570</v>
      </c>
      <c r="Q27" s="118">
        <f>SUM(E27:P27)</f>
        <v>81980</v>
      </c>
      <c r="R27" s="482"/>
      <c r="S27" s="68" t="str">
        <f>IFERROR(Q27/R27,"")</f>
        <v/>
      </c>
    </row>
    <row r="28" spans="1:19" ht="19.5" thickBot="1">
      <c r="A28" s="464"/>
      <c r="B28" s="467"/>
      <c r="C28" s="450"/>
      <c r="D28" s="134" t="s">
        <v>14</v>
      </c>
      <c r="E28" s="135">
        <f ca="1">SUMIFS(INDIRECT($B$1&amp;"INV!$K:$K"),INDIRECT($B$1&amp;"INV!$A:$A"),$A27,INDIRECT($B$1&amp;"INV!$G:$G"),"&gt;="&amp;E$6,INDIRECT($B$1&amp;"INV!$G:$G"),"&lt;"&amp;EOMONTH(E$6,0)+1)/1000</f>
        <v>5504.8773369</v>
      </c>
      <c r="F28" s="136">
        <f ca="1">SUMIFS(INDIRECT($B$1&amp;"INV!$K:$K"),INDIRECT($B$1&amp;"INV!$A:$A"),$A27,INDIRECT($B$1&amp;"INV!$G:$G"),"&gt;="&amp;F$6,INDIRECT($B$1&amp;"INV!$G:$G"),"&lt;"&amp;EOMONTH(F$6,0)+1)/1000</f>
        <v>7246.5224614000008</v>
      </c>
      <c r="G28" s="136">
        <f ca="1">SUMIFS(INDIRECT($B$1&amp;"INV!$K:$K"),INDIRECT($B$1&amp;"INV!$A:$A"),$A27,INDIRECT($B$1&amp;"INV!$G:$G"),"&gt;="&amp;G$6,INDIRECT($B$1&amp;"INV!$G:$G"),"&lt;"&amp;EOMONTH(G$6,0)+1)/1000</f>
        <v>6505.8840468999997</v>
      </c>
      <c r="H28" s="136">
        <f t="shared" ref="H28:P28" ca="1" si="10">SUMIFS(INDIRECT($B$1&amp;"INV!$K:$K"),INDIRECT($B$1&amp;"INV!$A:$A"),$A27,INDIRECT($B$1&amp;"INV!$G:$G"),"&gt;="&amp;H$6,INDIRECT($B$1&amp;"INV!$G:$G"),"&lt;"&amp;EOMONTH(H$6,0)+1)/1000</f>
        <v>8723.9359762999993</v>
      </c>
      <c r="I28" s="136">
        <f t="shared" ca="1" si="10"/>
        <v>13062.8752852</v>
      </c>
      <c r="J28" s="139">
        <f t="shared" ca="1" si="10"/>
        <v>9805.1026074000001</v>
      </c>
      <c r="K28" s="135">
        <f t="shared" ca="1" si="10"/>
        <v>2499.59256</v>
      </c>
      <c r="L28" s="136">
        <f t="shared" ca="1" si="10"/>
        <v>1910.0636549999999</v>
      </c>
      <c r="M28" s="136">
        <f t="shared" ca="1" si="10"/>
        <v>9077.0076874000006</v>
      </c>
      <c r="N28" s="136">
        <f t="shared" ca="1" si="10"/>
        <v>9751.0211084000002</v>
      </c>
      <c r="O28" s="136">
        <f t="shared" ca="1" si="10"/>
        <v>0</v>
      </c>
      <c r="P28" s="137">
        <f t="shared" ca="1" si="10"/>
        <v>0</v>
      </c>
      <c r="Q28" s="140">
        <f ca="1">SUM(E28:P28)</f>
        <v>74086.882724899988</v>
      </c>
      <c r="R28" s="483"/>
      <c r="S28" s="69" t="str">
        <f ca="1">IFERROR(Q28/R27,"")</f>
        <v/>
      </c>
    </row>
    <row r="29" spans="1:19">
      <c r="A29" s="464"/>
      <c r="B29" s="467"/>
      <c r="C29" s="450"/>
      <c r="D29" s="21" t="s">
        <v>17</v>
      </c>
      <c r="E29" s="11">
        <f ca="1">E28/E27</f>
        <v>1.0156600252583026</v>
      </c>
      <c r="F29" s="4">
        <f t="shared" ref="F29:Q29" ca="1" si="11">F28/F27</f>
        <v>4.7362891904575166</v>
      </c>
      <c r="G29" s="4">
        <f t="shared" ca="1" si="11"/>
        <v>0.84273109415803105</v>
      </c>
      <c r="H29" s="4">
        <f t="shared" ca="1" si="11"/>
        <v>2.6760539804601224</v>
      </c>
      <c r="I29" s="4">
        <f t="shared" ca="1" si="11"/>
        <v>1.698683392093628</v>
      </c>
      <c r="J29" s="6">
        <f t="shared" ca="1" si="11"/>
        <v>3.1834748725324675</v>
      </c>
      <c r="K29" s="8">
        <f t="shared" ca="1" si="11"/>
        <v>0.844456945945946</v>
      </c>
      <c r="L29" s="4">
        <f t="shared" ca="1" si="11"/>
        <v>0.24332021082802546</v>
      </c>
      <c r="M29" s="4">
        <f t="shared" ca="1" si="11"/>
        <v>1.0314781462954545</v>
      </c>
      <c r="N29" s="4">
        <f t="shared" ca="1" si="11"/>
        <v>0.67063418902338379</v>
      </c>
      <c r="O29" s="4">
        <f t="shared" ca="1" si="11"/>
        <v>0</v>
      </c>
      <c r="P29" s="16">
        <f t="shared" ca="1" si="11"/>
        <v>0</v>
      </c>
      <c r="Q29" s="26">
        <f t="shared" ca="1" si="11"/>
        <v>0.90371898908148318</v>
      </c>
      <c r="R29" s="59"/>
      <c r="S29"/>
    </row>
    <row r="30" spans="1:19">
      <c r="A30" s="464"/>
      <c r="B30" s="467"/>
      <c r="C30" s="451"/>
      <c r="D30" s="22" t="s">
        <v>18</v>
      </c>
      <c r="E30" s="12">
        <f ca="1">SUM($E28:E28)/SUM($E27:E27)</f>
        <v>1.0156600252583026</v>
      </c>
      <c r="F30" s="5">
        <f ca="1">SUM($E28:F28)/SUM($E27:F27)</f>
        <v>1.8347337839280577</v>
      </c>
      <c r="G30" s="5">
        <f ca="1">SUM($E28:G28)/SUM($E27:G27)</f>
        <v>1.3126982852897069</v>
      </c>
      <c r="H30" s="5">
        <f ca="1">SUM($E28:H28)/SUM($E27:H27)</f>
        <v>1.5605811389570552</v>
      </c>
      <c r="I30" s="5">
        <f ca="1">SUM($E28:I28)/SUM($E27:I27)</f>
        <v>1.6020333765300545</v>
      </c>
      <c r="J30" s="13">
        <f ca="1">SUM($E28:J28)/SUM($E27:J27)</f>
        <v>1.7717490492717769</v>
      </c>
      <c r="K30" s="9">
        <f ca="1">SUM($E28:K28)/SUM($E27:K27)</f>
        <v>1.6850533883164875</v>
      </c>
      <c r="L30" s="5">
        <f ca="1">SUM($E28:L28)/SUM($E27:L27)</f>
        <v>1.3986042502935963</v>
      </c>
      <c r="M30" s="5">
        <f ca="1">SUM($E28:M28)/SUM($E27:M27)</f>
        <v>1.3317296960567169</v>
      </c>
      <c r="N30" s="5">
        <f ca="1">SUM($E28:N28)/SUM($E27:N27)</f>
        <v>1.1787889057263323</v>
      </c>
      <c r="O30" s="5">
        <f ca="1">SUM($E28:O28)/SUM($E27:O27)</f>
        <v>1.067380531982423</v>
      </c>
      <c r="P30" s="17">
        <f ca="1">SUM($E28:P28)/SUM($E27:P27)</f>
        <v>0.90371898908148318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>
        <v>5230</v>
      </c>
      <c r="F31" s="121">
        <v>1470</v>
      </c>
      <c r="G31" s="121">
        <v>7455</v>
      </c>
      <c r="H31" s="121">
        <v>3145</v>
      </c>
      <c r="I31" s="121">
        <v>7425</v>
      </c>
      <c r="J31" s="122">
        <v>2975</v>
      </c>
      <c r="K31" s="123">
        <v>2855</v>
      </c>
      <c r="L31" s="121">
        <v>7425</v>
      </c>
      <c r="M31" s="121">
        <v>8315</v>
      </c>
      <c r="N31" s="121">
        <v>3144.9999999999991</v>
      </c>
      <c r="O31" s="121">
        <v>6215</v>
      </c>
      <c r="P31" s="124">
        <v>11895</v>
      </c>
      <c r="Q31" s="125">
        <f>SUM(E31:P31)</f>
        <v>67550</v>
      </c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>
        <f ca="1">SUMIFS(INDIRECT($B$1&amp;"INV!$N:$N"),INDIRECT($B$1&amp;"INV!$A:$A"),$A27,INDIRECT($B$1&amp;"INV!$G:$G"),"&gt;="&amp;E$6,INDIRECT($B$1&amp;"INV!$G:$G"),"&lt;"&amp;EOMONTH(E$6,0)+1)/1000</f>
        <v>4944.4070841000002</v>
      </c>
      <c r="F32" s="142">
        <f t="shared" ref="F32:P32" ca="1" si="12">SUMIFS(INDIRECT($B$1&amp;"INV!$N:$N"),INDIRECT($B$1&amp;"INV!$A:$A"),$A27,INDIRECT($B$1&amp;"INV!$G:$G"),"&gt;="&amp;F$6,INDIRECT($B$1&amp;"INV!$G:$G"),"&lt;"&amp;EOMONTH(F$6,0)+1)/1000</f>
        <v>6506.8292805999999</v>
      </c>
      <c r="G32" s="142">
        <f t="shared" ca="1" si="12"/>
        <v>5842.4872398000007</v>
      </c>
      <c r="H32" s="142">
        <f t="shared" ca="1" si="12"/>
        <v>7828.721712900001</v>
      </c>
      <c r="I32" s="142">
        <f t="shared" ca="1" si="12"/>
        <v>11728.820038399999</v>
      </c>
      <c r="J32" s="145">
        <f t="shared" ca="1" si="12"/>
        <v>8802.7619064999999</v>
      </c>
      <c r="K32" s="147">
        <f t="shared" ca="1" si="12"/>
        <v>2243.9876850000001</v>
      </c>
      <c r="L32" s="142">
        <f t="shared" ca="1" si="12"/>
        <v>1707.709122</v>
      </c>
      <c r="M32" s="142">
        <f t="shared" ca="1" si="12"/>
        <v>8148.8216467000002</v>
      </c>
      <c r="N32" s="142">
        <f t="shared" ca="1" si="12"/>
        <v>8743.8785067999997</v>
      </c>
      <c r="O32" s="142">
        <f t="shared" ca="1" si="12"/>
        <v>0</v>
      </c>
      <c r="P32" s="143">
        <f t="shared" ca="1" si="12"/>
        <v>0</v>
      </c>
      <c r="Q32" s="146">
        <f ca="1">SUM(E32:P32)</f>
        <v>66498.424222800008</v>
      </c>
      <c r="R32" s="488"/>
      <c r="S32" s="70" t="str">
        <f ca="1"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190</v>
      </c>
      <c r="F33" s="121">
        <f t="shared" ref="F33:P34" si="13">F27-F31</f>
        <v>60</v>
      </c>
      <c r="G33" s="121">
        <f t="shared" si="13"/>
        <v>265</v>
      </c>
      <c r="H33" s="121">
        <f>H27-H31</f>
        <v>115</v>
      </c>
      <c r="I33" s="121">
        <f t="shared" si="13"/>
        <v>265</v>
      </c>
      <c r="J33" s="122">
        <f t="shared" si="13"/>
        <v>105</v>
      </c>
      <c r="K33" s="123">
        <f t="shared" si="13"/>
        <v>105</v>
      </c>
      <c r="L33" s="121">
        <f t="shared" si="13"/>
        <v>425</v>
      </c>
      <c r="M33" s="121">
        <f t="shared" si="13"/>
        <v>485</v>
      </c>
      <c r="N33" s="121">
        <f t="shared" si="13"/>
        <v>11395</v>
      </c>
      <c r="O33" s="121">
        <f t="shared" si="13"/>
        <v>345</v>
      </c>
      <c r="P33" s="124">
        <f t="shared" si="13"/>
        <v>675</v>
      </c>
      <c r="Q33" s="125">
        <f>SUM(E33:P33)</f>
        <v>14430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>
        <f ca="1">E28-E32</f>
        <v>560.4702527999998</v>
      </c>
      <c r="F34" s="136">
        <f t="shared" ca="1" si="13"/>
        <v>739.69318080000085</v>
      </c>
      <c r="G34" s="136">
        <f t="shared" ca="1" si="13"/>
        <v>663.39680709999902</v>
      </c>
      <c r="H34" s="136">
        <f t="shared" ca="1" si="13"/>
        <v>895.21426339999834</v>
      </c>
      <c r="I34" s="136">
        <f t="shared" ca="1" si="13"/>
        <v>1334.0552468000005</v>
      </c>
      <c r="J34" s="139">
        <f t="shared" ca="1" si="13"/>
        <v>1002.3407009000002</v>
      </c>
      <c r="K34" s="135">
        <f t="shared" ca="1" si="13"/>
        <v>255.60487499999999</v>
      </c>
      <c r="L34" s="136">
        <f t="shared" ca="1" si="13"/>
        <v>202.35453299999995</v>
      </c>
      <c r="M34" s="136">
        <f t="shared" ca="1" si="13"/>
        <v>928.18604070000038</v>
      </c>
      <c r="N34" s="136">
        <f t="shared" ca="1" si="13"/>
        <v>1007.1426016000005</v>
      </c>
      <c r="O34" s="136">
        <f t="shared" ca="1" si="13"/>
        <v>0</v>
      </c>
      <c r="P34" s="137">
        <f t="shared" ca="1" si="13"/>
        <v>0</v>
      </c>
      <c r="Q34" s="140">
        <f ca="1">SUM(E34:P34)</f>
        <v>7588.4585020999994</v>
      </c>
      <c r="R34" s="483"/>
      <c r="S34" s="69" t="str">
        <f ca="1">IFERROR(Q34/R33,"")</f>
        <v/>
      </c>
    </row>
    <row r="35" spans="1:19">
      <c r="A35" s="464"/>
      <c r="B35" s="467"/>
      <c r="C35" s="453"/>
      <c r="D35" s="21" t="s">
        <v>17</v>
      </c>
      <c r="E35" s="11">
        <f ca="1">E34/E33</f>
        <v>2.9498434357894725</v>
      </c>
      <c r="F35" s="4">
        <f t="shared" ref="F35:Q35" ca="1" si="14">F34/F33</f>
        <v>12.328219680000014</v>
      </c>
      <c r="G35" s="4">
        <f t="shared" ca="1" si="14"/>
        <v>2.5033841777358452</v>
      </c>
      <c r="H35" s="4">
        <f t="shared" ca="1" si="14"/>
        <v>7.7844718556521597</v>
      </c>
      <c r="I35" s="4">
        <f t="shared" ca="1" si="14"/>
        <v>5.0341707426415114</v>
      </c>
      <c r="J35" s="6">
        <f t="shared" ca="1" si="14"/>
        <v>9.5461019133333362</v>
      </c>
      <c r="K35" s="8">
        <f t="shared" ca="1" si="14"/>
        <v>2.4343321428571429</v>
      </c>
      <c r="L35" s="4">
        <f t="shared" ca="1" si="14"/>
        <v>0.47612831294117636</v>
      </c>
      <c r="M35" s="4">
        <f t="shared" ca="1" si="14"/>
        <v>1.9137856509278359</v>
      </c>
      <c r="N35" s="4">
        <f t="shared" ca="1" si="14"/>
        <v>8.8384607424308953E-2</v>
      </c>
      <c r="O35" s="4">
        <f t="shared" ca="1" si="14"/>
        <v>0</v>
      </c>
      <c r="P35" s="16">
        <f t="shared" ca="1" si="14"/>
        <v>0</v>
      </c>
      <c r="Q35" s="26">
        <f t="shared" ca="1" si="14"/>
        <v>0.52588070007623</v>
      </c>
    </row>
    <row r="36" spans="1:19" ht="19.5" thickBot="1">
      <c r="A36" s="465"/>
      <c r="B36" s="468"/>
      <c r="C36" s="454"/>
      <c r="D36" s="23" t="s">
        <v>18</v>
      </c>
      <c r="E36" s="14">
        <f ca="1">SUM($E34:E34)/SUM($E33:E33)</f>
        <v>2.9498434357894725</v>
      </c>
      <c r="F36" s="7">
        <f ca="1">SUM($E34:F34)/SUM($E33:F33)</f>
        <v>5.200653734400003</v>
      </c>
      <c r="G36" s="7">
        <f ca="1">SUM($E34:G34)/SUM($E33:G33)</f>
        <v>3.8127383314563099</v>
      </c>
      <c r="H36" s="7">
        <f ca="1">SUM($E34:H34)/SUM($E33:H33)</f>
        <v>4.5377373080952346</v>
      </c>
      <c r="I36" s="7">
        <f ca="1">SUM($E34:I34)/SUM($E33:I33)</f>
        <v>4.6847259786592161</v>
      </c>
      <c r="J36" s="15">
        <f ca="1">SUM($E34:J34)/SUM($E33:J33)</f>
        <v>5.1951704517999984</v>
      </c>
      <c r="K36" s="10">
        <f ca="1">SUM($E34:K34)/SUM($E33:K33)</f>
        <v>4.9328283500452477</v>
      </c>
      <c r="L36" s="7">
        <f ca="1">SUM($E34:L34)/SUM($E33:L33)</f>
        <v>3.694856117516339</v>
      </c>
      <c r="M36" s="7">
        <f ca="1">SUM($E34:M34)/SUM($E33:M33)</f>
        <v>3.2661617372208429</v>
      </c>
      <c r="N36" s="7">
        <f ca="1">SUM($E34:N34)/SUM($E33:N33)</f>
        <v>0.56588057435495898</v>
      </c>
      <c r="O36" s="7">
        <f ca="1">SUM($E34:O34)/SUM($E33:O33)</f>
        <v>0.55168727750636126</v>
      </c>
      <c r="P36" s="18">
        <f ca="1">SUM($E34:P34)/SUM($E33:P33)</f>
        <v>0.52588070007623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10200</v>
      </c>
      <c r="F37" s="128">
        <f t="shared" ref="F37:Q38" si="15">SUM(F7,F17,F27)</f>
        <v>4400</v>
      </c>
      <c r="G37" s="129">
        <f t="shared" si="15"/>
        <v>11160</v>
      </c>
      <c r="H37" s="128">
        <f t="shared" si="15"/>
        <v>7180</v>
      </c>
      <c r="I37" s="128">
        <f t="shared" si="15"/>
        <v>11380</v>
      </c>
      <c r="J37" s="130">
        <f t="shared" si="15"/>
        <v>10940</v>
      </c>
      <c r="K37" s="127">
        <f t="shared" si="15"/>
        <v>6380</v>
      </c>
      <c r="L37" s="128">
        <f t="shared" si="15"/>
        <v>12050</v>
      </c>
      <c r="M37" s="129">
        <f t="shared" si="15"/>
        <v>10760</v>
      </c>
      <c r="N37" s="128">
        <f t="shared" si="15"/>
        <v>20030</v>
      </c>
      <c r="O37" s="128">
        <f t="shared" si="15"/>
        <v>10830</v>
      </c>
      <c r="P37" s="130">
        <f t="shared" si="15"/>
        <v>15400</v>
      </c>
      <c r="Q37" s="131">
        <f t="shared" si="15"/>
        <v>130710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ca="1">SUM(E8,E18,E28)</f>
        <v>8153.5476644</v>
      </c>
      <c r="F38" s="136">
        <f t="shared" ca="1" si="15"/>
        <v>9481.221382300002</v>
      </c>
      <c r="G38" s="139">
        <f t="shared" ca="1" si="15"/>
        <v>9795.3977555000001</v>
      </c>
      <c r="H38" s="136">
        <f t="shared" ca="1" si="15"/>
        <v>11904.517695300001</v>
      </c>
      <c r="I38" s="136">
        <f t="shared" ca="1" si="15"/>
        <v>16672.668205800001</v>
      </c>
      <c r="J38" s="137">
        <f t="shared" ca="1" si="15"/>
        <v>12337.4797913</v>
      </c>
      <c r="K38" s="135">
        <f t="shared" ca="1" si="15"/>
        <v>8223.0815820999997</v>
      </c>
      <c r="L38" s="136">
        <f t="shared" ca="1" si="15"/>
        <v>5903.1986191999995</v>
      </c>
      <c r="M38" s="139">
        <f t="shared" ca="1" si="15"/>
        <v>12402.9778768</v>
      </c>
      <c r="N38" s="136">
        <f t="shared" ca="1" si="15"/>
        <v>13127.1689369</v>
      </c>
      <c r="O38" s="136">
        <f t="shared" ca="1" si="15"/>
        <v>0</v>
      </c>
      <c r="P38" s="137">
        <f t="shared" ca="1" si="15"/>
        <v>0</v>
      </c>
      <c r="Q38" s="149">
        <f t="shared" ca="1" si="15"/>
        <v>108001.2595096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>
        <f ca="1">E38/E37</f>
        <v>0.79936741807843137</v>
      </c>
      <c r="F39" s="4">
        <f t="shared" ref="F39:Q39" ca="1" si="16">F38/F37</f>
        <v>2.1548230414318188</v>
      </c>
      <c r="G39" s="16">
        <f t="shared" ca="1" si="16"/>
        <v>0.87772381321684589</v>
      </c>
      <c r="H39" s="4">
        <f t="shared" ca="1" si="16"/>
        <v>1.6580108210724236</v>
      </c>
      <c r="I39" s="4">
        <f t="shared" ca="1" si="16"/>
        <v>1.4650850795957822</v>
      </c>
      <c r="J39" s="6">
        <f t="shared" ca="1" si="16"/>
        <v>1.1277403831170019</v>
      </c>
      <c r="K39" s="11">
        <f t="shared" ca="1" si="16"/>
        <v>1.2888842605172413</v>
      </c>
      <c r="L39" s="4">
        <f t="shared" ca="1" si="16"/>
        <v>0.48989200159336094</v>
      </c>
      <c r="M39" s="16">
        <f t="shared" ca="1" si="16"/>
        <v>1.1526931112267658</v>
      </c>
      <c r="N39" s="4">
        <f t="shared" ca="1" si="16"/>
        <v>0.65537538376934601</v>
      </c>
      <c r="O39" s="4">
        <f t="shared" ca="1" si="16"/>
        <v>0</v>
      </c>
      <c r="P39" s="6">
        <f t="shared" ca="1" si="16"/>
        <v>0</v>
      </c>
      <c r="Q39" s="26">
        <f t="shared" ca="1" si="16"/>
        <v>0.82626623448550229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0.79936741807843137</v>
      </c>
      <c r="F40" s="5">
        <f ca="1">SUM($E38:F38)/SUM($E37:F37)</f>
        <v>1.2078608936095891</v>
      </c>
      <c r="G40" s="17">
        <f ca="1">SUM($E38:G38)/SUM($E37:G37)</f>
        <v>1.0648356677872672</v>
      </c>
      <c r="H40" s="5">
        <f ca="1">SUM($E38:H38)/SUM($E37:H37)</f>
        <v>1.1941312840771099</v>
      </c>
      <c r="I40" s="5">
        <f ca="1">SUM($E38:I38)/SUM($E37:I37)</f>
        <v>1.2637038064824007</v>
      </c>
      <c r="J40" s="13">
        <f ca="1">SUM($E38:J38)/SUM($E37:J37)</f>
        <v>1.2367866900941007</v>
      </c>
      <c r="K40" s="12">
        <f ca="1">SUM($E38:K38)/SUM($E37:K37)</f>
        <v>1.2421790083825439</v>
      </c>
      <c r="L40" s="5">
        <f ca="1">SUM($E38:L38)/SUM($E37:L37)</f>
        <v>1.119162880932284</v>
      </c>
      <c r="M40" s="17">
        <f ca="1">SUM($E38:M38)/SUM($E37:M37)</f>
        <v>1.1234350571071641</v>
      </c>
      <c r="N40" s="5">
        <f ca="1">SUM($E38:N38)/SUM($E37:N37)</f>
        <v>1.0337027135298622</v>
      </c>
      <c r="O40" s="5">
        <f ca="1">SUM($E38:O38)/SUM($E37:O37)</f>
        <v>0.93661659448096435</v>
      </c>
      <c r="P40" s="13">
        <f ca="1">SUM($E38:P38)/SUM($E37:P37)</f>
        <v>0.82626623448550229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740</v>
      </c>
      <c r="F41" s="114">
        <f t="shared" ref="F41:Q42" si="17">SUM(F13,F23,F33)</f>
        <v>320</v>
      </c>
      <c r="G41" s="117">
        <f t="shared" si="17"/>
        <v>630</v>
      </c>
      <c r="H41" s="114">
        <f t="shared" si="17"/>
        <v>530</v>
      </c>
      <c r="I41" s="114">
        <f t="shared" si="17"/>
        <v>750</v>
      </c>
      <c r="J41" s="115">
        <f t="shared" si="17"/>
        <v>860</v>
      </c>
      <c r="K41" s="113">
        <f t="shared" si="17"/>
        <v>430</v>
      </c>
      <c r="L41" s="114">
        <f t="shared" si="17"/>
        <v>820</v>
      </c>
      <c r="M41" s="117">
        <f t="shared" si="17"/>
        <v>630</v>
      </c>
      <c r="N41" s="114">
        <f t="shared" si="17"/>
        <v>11850</v>
      </c>
      <c r="O41" s="114">
        <f t="shared" si="17"/>
        <v>690</v>
      </c>
      <c r="P41" s="115">
        <f t="shared" si="17"/>
        <v>960</v>
      </c>
      <c r="Q41" s="133">
        <f t="shared" si="17"/>
        <v>19210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ca="1">SUM(E14,E24,E34)</f>
        <v>771.58308629999988</v>
      </c>
      <c r="F42" s="136">
        <f t="shared" ca="1" si="17"/>
        <v>967.45357690000117</v>
      </c>
      <c r="G42" s="139">
        <f t="shared" ca="1" si="17"/>
        <v>1094.8427112999993</v>
      </c>
      <c r="H42" s="136">
        <f t="shared" ca="1" si="17"/>
        <v>1248.5720699999993</v>
      </c>
      <c r="I42" s="136">
        <f t="shared" ca="1" si="17"/>
        <v>1616.2252860000003</v>
      </c>
      <c r="J42" s="137">
        <f t="shared" ca="1" si="17"/>
        <v>1268.1355535000002</v>
      </c>
      <c r="K42" s="135">
        <f t="shared" ca="1" si="17"/>
        <v>755.93464159999837</v>
      </c>
      <c r="L42" s="136">
        <f t="shared" ca="1" si="17"/>
        <v>512.66084389999946</v>
      </c>
      <c r="M42" s="139">
        <f t="shared" ca="1" si="17"/>
        <v>1175.9101818000008</v>
      </c>
      <c r="N42" s="136">
        <f t="shared" ca="1" si="17"/>
        <v>1191.7009353000008</v>
      </c>
      <c r="O42" s="136">
        <f t="shared" ca="1" si="17"/>
        <v>0</v>
      </c>
      <c r="P42" s="137">
        <f t="shared" ca="1" si="17"/>
        <v>0</v>
      </c>
      <c r="Q42" s="149">
        <f t="shared" ca="1" si="17"/>
        <v>10603.018886599999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>
        <f ca="1">E42/E41</f>
        <v>1.0426798463513511</v>
      </c>
      <c r="F43" s="4">
        <f t="shared" ref="F43:Q43" ca="1" si="18">F42/F41</f>
        <v>3.0232924278125037</v>
      </c>
      <c r="G43" s="16">
        <f t="shared" ca="1" si="18"/>
        <v>1.7378455734920624</v>
      </c>
      <c r="H43" s="4">
        <f t="shared" ca="1" si="18"/>
        <v>2.3557963584905646</v>
      </c>
      <c r="I43" s="4">
        <f t="shared" ca="1" si="18"/>
        <v>2.1549670480000005</v>
      </c>
      <c r="J43" s="6">
        <f t="shared" ca="1" si="18"/>
        <v>1.4745762250000003</v>
      </c>
      <c r="K43" s="11">
        <f t="shared" ca="1" si="18"/>
        <v>1.7579875386046473</v>
      </c>
      <c r="L43" s="4">
        <f t="shared" ca="1" si="18"/>
        <v>0.62519615109756033</v>
      </c>
      <c r="M43" s="16">
        <f t="shared" ca="1" si="18"/>
        <v>1.8665240980952393</v>
      </c>
      <c r="N43" s="4">
        <f t="shared" ca="1" si="18"/>
        <v>0.10056547977215197</v>
      </c>
      <c r="O43" s="4">
        <f t="shared" ca="1" si="18"/>
        <v>0</v>
      </c>
      <c r="P43" s="6">
        <f t="shared" ca="1" si="18"/>
        <v>0</v>
      </c>
      <c r="Q43" s="26">
        <f t="shared" ca="1" si="18"/>
        <v>0.55195309144195726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1.0426798463513511</v>
      </c>
      <c r="F44" s="7">
        <f ca="1">SUM($E42:F42)/SUM($E41:F41)</f>
        <v>1.6406006256603782</v>
      </c>
      <c r="G44" s="18">
        <f ca="1">SUM($E42:G42)/SUM($E41:G41)</f>
        <v>1.6768517008875741</v>
      </c>
      <c r="H44" s="7">
        <f ca="1">SUM($E42:H42)/SUM($E41:H41)</f>
        <v>1.8389420921171169</v>
      </c>
      <c r="I44" s="7">
        <f ca="1">SUM($E42:I42)/SUM($E41:I41)</f>
        <v>1.9187463739057238</v>
      </c>
      <c r="J44" s="15">
        <f ca="1">SUM($E42:J42)/SUM($E41:J41)</f>
        <v>1.8190110402088773</v>
      </c>
      <c r="K44" s="14">
        <f ca="1">SUM($E42:K42)/SUM($E41:K41)</f>
        <v>1.812851390985915</v>
      </c>
      <c r="L44" s="7">
        <f ca="1">SUM($E42:L42)/SUM($E41:L41)</f>
        <v>1.621143261712598</v>
      </c>
      <c r="M44" s="18">
        <f ca="1">SUM($E42:M42)/SUM($E41:M41)</f>
        <v>1.6482168040805603</v>
      </c>
      <c r="N44" s="7">
        <f ca="1">SUM($E42:N42)/SUM($E41:N41)</f>
        <v>0.60381656529612759</v>
      </c>
      <c r="O44" s="7">
        <f ca="1">SUM($E42:O42)/SUM($E41:O41)</f>
        <v>0.58098733625205479</v>
      </c>
      <c r="P44" s="15">
        <f ca="1">SUM($E42:P42)/SUM($E41:P41)</f>
        <v>0.55195309144195737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韓国
(DAEKYUNG)</v>
      </c>
      <c r="D49" s="81" t="s">
        <v>34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400"/>
      <c r="K50" s="399"/>
      <c r="L50" s="87"/>
      <c r="M50" s="87"/>
      <c r="N50" s="87"/>
      <c r="O50" s="87"/>
      <c r="P50" s="400"/>
    </row>
    <row r="51" spans="1:16" ht="39" customHeight="1" thickBot="1">
      <c r="A51" s="441"/>
      <c r="B51" s="442"/>
      <c r="C51" s="152" t="str">
        <f>B7</f>
        <v>リボン・テープ等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5"/>
      <c r="G52" s="74"/>
      <c r="H52" s="74"/>
      <c r="I52" s="75"/>
      <c r="J52" s="80"/>
      <c r="K52" s="93"/>
      <c r="L52" s="75"/>
      <c r="M52" s="74"/>
      <c r="N52" s="74"/>
      <c r="O52" s="75"/>
      <c r="P52" s="80"/>
    </row>
    <row r="53" spans="1:16" ht="39" customHeight="1">
      <c r="A53" s="441"/>
      <c r="B53" s="442"/>
      <c r="C53" s="486" t="str">
        <f>A17</f>
        <v>SF AMERICA
アパレル</v>
      </c>
      <c r="D53" s="81" t="s">
        <v>34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リバーレース</v>
      </c>
      <c r="D55" s="89" t="s">
        <v>33</v>
      </c>
      <c r="E55" s="90"/>
      <c r="F55" s="91"/>
      <c r="G55" s="91"/>
      <c r="H55" s="91"/>
      <c r="I55" s="91"/>
      <c r="J55" s="91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5"/>
      <c r="G56" s="74"/>
      <c r="H56" s="74"/>
      <c r="I56" s="75"/>
      <c r="J56" s="80"/>
      <c r="K56" s="93"/>
      <c r="L56" s="75"/>
      <c r="M56" s="74"/>
      <c r="N56" s="74"/>
      <c r="O56" s="75"/>
      <c r="P56" s="80"/>
    </row>
    <row r="57" spans="1:16" ht="39" customHeight="1">
      <c r="A57" s="441"/>
      <c r="B57" s="442"/>
      <c r="C57" s="486" t="str">
        <f>A27</f>
        <v>MONIQUE
アパレル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392"/>
      <c r="P58" s="88"/>
    </row>
    <row r="59" spans="1:16" ht="39" customHeight="1" thickBot="1">
      <c r="A59" s="443"/>
      <c r="B59" s="444"/>
      <c r="C59" s="152" t="str">
        <f>B27</f>
        <v>リバーレース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27FCB-B526-48C6-88AD-FC18A15FF9AC}">
  <sheetPr codeName="Sheet10">
    <tabColor theme="2" tint="-9.9978637043366805E-2"/>
  </sheetPr>
  <dimension ref="A1:R404"/>
  <sheetViews>
    <sheetView tabSelected="1" topLeftCell="A317" zoomScale="115" zoomScaleNormal="115" workbookViewId="0">
      <selection activeCell="G349" sqref="G349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前川!A7</f>
        <v>韓国
(DAEKYUNG)</v>
      </c>
      <c r="N3" s="180" t="str">
        <f>前川!A17</f>
        <v>SF AMERICA
アパレル</v>
      </c>
      <c r="O3" s="180" t="str">
        <f>前川!A27</f>
        <v>MONIQUE
アパレル</v>
      </c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343</v>
      </c>
      <c r="B6" s="163">
        <v>7194</v>
      </c>
      <c r="C6" s="200">
        <v>849.34</v>
      </c>
      <c r="D6" s="201">
        <v>0</v>
      </c>
      <c r="E6" s="202" t="s">
        <v>199</v>
      </c>
      <c r="F6" s="200">
        <v>894.27</v>
      </c>
      <c r="G6" s="162">
        <v>45817</v>
      </c>
      <c r="H6" s="203" t="s">
        <v>199</v>
      </c>
      <c r="I6" s="186">
        <f t="shared" ref="I6:I20" si="0">IF(H6="","",IF(H6="JPY","",IF($H6="USD",4, IF(H6="EUR",7,IF(H6="CNY",47,IF(H6="HKD",34))))))</f>
        <v>4</v>
      </c>
      <c r="J6" s="204">
        <f>IF($H6="USD",IF(OR($I6="",$I6="-"),"",VLOOKUP($G6,為替!$A:$AX,$I6,FALSE))+$J$3,IF(OR($I6="",$I6="-"),"",VLOOKUP($G6,為替!$A:$AX,$I6,FALSE)))</f>
        <v>144.4</v>
      </c>
      <c r="K6" s="205">
        <f t="shared" ref="K6:K20" si="1">IF($H6="JPY",$F6,IF($H6="","",$F6*$J6))</f>
        <v>129132.588</v>
      </c>
      <c r="L6" s="189">
        <f t="shared" ref="L6:L20" si="2">IF(H6="","",IF(H6="JPY","",IF($H6="USD",3, IF(H6="EUR",6,IF(H6="CNY",46,IF(H6="HKD",33))))))</f>
        <v>3</v>
      </c>
      <c r="M6" s="204">
        <f>IF($H6="USD",IF(OR($L6="",$L6="-"),"",VLOOKUP($G6,為替!$A:$AX,$L6,FALSE))+$K$3,IF(OR($L6="",$L6="-"),"",VLOOKUP($G6,為替!$A:$AX,$L6,FALSE)))</f>
        <v>145.4</v>
      </c>
      <c r="N6" s="205">
        <f t="shared" ref="N6:N20" si="3">IF($E6="JPY",($C6+$D6),IF($E6="","",($C6+$D6)*$M6))</f>
        <v>123494.03600000001</v>
      </c>
      <c r="O6" s="206">
        <f t="shared" ref="O6:O69" si="4">IF(OR(K6="",N6=""),"",K6-N6)</f>
        <v>5638.551999999996</v>
      </c>
      <c r="P6" s="207">
        <f>IF(OR(K6="",O6=""),"",O6/K6)</f>
        <v>4.3664826108805281E-2</v>
      </c>
    </row>
    <row r="7" spans="1:18">
      <c r="A7" s="163" t="s">
        <v>343</v>
      </c>
      <c r="B7" s="163">
        <v>7199</v>
      </c>
      <c r="C7" s="200">
        <v>406.14</v>
      </c>
      <c r="D7" s="201">
        <v>0</v>
      </c>
      <c r="E7" s="202" t="s">
        <v>199</v>
      </c>
      <c r="F7" s="200">
        <v>442.62</v>
      </c>
      <c r="G7" s="162">
        <v>45819</v>
      </c>
      <c r="H7" s="203" t="s">
        <v>199</v>
      </c>
      <c r="I7" s="186">
        <f t="shared" si="0"/>
        <v>4</v>
      </c>
      <c r="J7" s="204">
        <f>IF($H7="USD",IF(OR($I7="",$I7="-"),"",VLOOKUP($G7,為替!$A:$AX,$I7,FALSE))+$J$3,IF(OR($I7="",$I7="-"),"",VLOOKUP($G7,為替!$A:$AX,$I7,FALSE)))</f>
        <v>144.44</v>
      </c>
      <c r="K7" s="205">
        <f t="shared" si="1"/>
        <v>63932.032800000001</v>
      </c>
      <c r="L7" s="189">
        <f t="shared" si="2"/>
        <v>3</v>
      </c>
      <c r="M7" s="204">
        <f>IF($H7="USD",IF(OR($L7="",$L7="-"),"",VLOOKUP($G7,為替!$A:$AX,$L7,FALSE))+$K$3,IF(OR($L7="",$L7="-"),"",VLOOKUP($G7,為替!$A:$AX,$L7,FALSE)))</f>
        <v>145.44</v>
      </c>
      <c r="N7" s="205">
        <f t="shared" si="3"/>
        <v>59069.001599999996</v>
      </c>
      <c r="O7" s="206">
        <f t="shared" si="4"/>
        <v>4863.0312000000049</v>
      </c>
      <c r="P7" s="207">
        <f t="shared" ref="P7:P70" si="5">IF(OR(K7="",O7=""),"",O7/K7)</f>
        <v>7.6065643262324123E-2</v>
      </c>
      <c r="R7" s="208"/>
    </row>
    <row r="8" spans="1:18">
      <c r="A8" s="163" t="s">
        <v>343</v>
      </c>
      <c r="B8" s="163">
        <v>7200</v>
      </c>
      <c r="C8" s="200">
        <v>718.2</v>
      </c>
      <c r="D8" s="201">
        <v>0</v>
      </c>
      <c r="E8" s="202" t="s">
        <v>199</v>
      </c>
      <c r="F8" s="200">
        <v>761.4</v>
      </c>
      <c r="G8" s="162">
        <v>45819</v>
      </c>
      <c r="H8" s="203" t="s">
        <v>199</v>
      </c>
      <c r="I8" s="186">
        <f t="shared" si="0"/>
        <v>4</v>
      </c>
      <c r="J8" s="204">
        <f>IF($H8="USD",IF(OR($I8="",$I8="-"),"",VLOOKUP($G8,為替!$A:$AX,$I8,FALSE))+$J$3,IF(OR($I8="",$I8="-"),"",VLOOKUP($G8,為替!$A:$AX,$I8,FALSE)))</f>
        <v>144.44</v>
      </c>
      <c r="K8" s="205">
        <f t="shared" si="1"/>
        <v>109976.61599999999</v>
      </c>
      <c r="L8" s="189">
        <f t="shared" si="2"/>
        <v>3</v>
      </c>
      <c r="M8" s="204">
        <f>IF($H8="USD",IF(OR($L8="",$L8="-"),"",VLOOKUP($G8,為替!$A:$AX,$L8,FALSE))+$K$3,IF(OR($L8="",$L8="-"),"",VLOOKUP($G8,為替!$A:$AX,$L8,FALSE)))</f>
        <v>145.44</v>
      </c>
      <c r="N8" s="205">
        <f t="shared" si="3"/>
        <v>104455.008</v>
      </c>
      <c r="O8" s="206">
        <f t="shared" si="4"/>
        <v>5521.6079999999929</v>
      </c>
      <c r="P8" s="207">
        <f t="shared" si="5"/>
        <v>5.0207109482255693E-2</v>
      </c>
    </row>
    <row r="9" spans="1:18">
      <c r="A9" s="163" t="s">
        <v>343</v>
      </c>
      <c r="B9" s="163">
        <v>7213</v>
      </c>
      <c r="C9" s="200">
        <v>765.58</v>
      </c>
      <c r="D9" s="201">
        <v>0</v>
      </c>
      <c r="E9" s="202" t="s">
        <v>199</v>
      </c>
      <c r="F9" s="200">
        <v>805.51</v>
      </c>
      <c r="G9" s="162">
        <v>45824</v>
      </c>
      <c r="H9" s="203" t="s">
        <v>199</v>
      </c>
      <c r="I9" s="186">
        <f t="shared" si="0"/>
        <v>4</v>
      </c>
      <c r="J9" s="204">
        <f>IF($H9="USD",IF(OR($I9="",$I9="-"),"",VLOOKUP($G9,為替!$A:$AX,$I9,FALSE))+$J$3,IF(OR($I9="",$I9="-"),"",VLOOKUP($G9,為替!$A:$AX,$I9,FALSE)))</f>
        <v>143.91999999999999</v>
      </c>
      <c r="K9" s="205">
        <f t="shared" si="1"/>
        <v>115928.99919999999</v>
      </c>
      <c r="L9" s="189">
        <f t="shared" si="2"/>
        <v>3</v>
      </c>
      <c r="M9" s="204">
        <f>IF($H9="USD",IF(OR($L9="",$L9="-"),"",VLOOKUP($G9,為替!$A:$AX,$L9,FALSE))+$K$3,IF(OR($L9="",$L9="-"),"",VLOOKUP($G9,為替!$A:$AX,$L9,FALSE)))</f>
        <v>144.91999999999999</v>
      </c>
      <c r="N9" s="205">
        <f t="shared" si="3"/>
        <v>110947.8536</v>
      </c>
      <c r="O9" s="206">
        <f t="shared" si="4"/>
        <v>4981.1455999999889</v>
      </c>
      <c r="P9" s="207">
        <f t="shared" si="5"/>
        <v>4.2967209536645332E-2</v>
      </c>
    </row>
    <row r="10" spans="1:18">
      <c r="A10" s="163" t="s">
        <v>344</v>
      </c>
      <c r="B10" s="163">
        <v>7209</v>
      </c>
      <c r="C10" s="200">
        <v>265.51</v>
      </c>
      <c r="D10" s="201">
        <v>16.43</v>
      </c>
      <c r="E10" s="202" t="s">
        <v>199</v>
      </c>
      <c r="F10" s="200">
        <v>316.11</v>
      </c>
      <c r="G10" s="162">
        <v>45824</v>
      </c>
      <c r="H10" s="203" t="s">
        <v>199</v>
      </c>
      <c r="I10" s="186">
        <f t="shared" si="0"/>
        <v>4</v>
      </c>
      <c r="J10" s="204">
        <f>IF($H10="USD",IF(OR($I10="",$I10="-"),"",VLOOKUP($G10,為替!$A:$AX,$I10,FALSE))+$J$3,IF(OR($I10="",$I10="-"),"",VLOOKUP($G10,為替!$A:$AX,$I10,FALSE)))</f>
        <v>143.91999999999999</v>
      </c>
      <c r="K10" s="205">
        <f t="shared" si="1"/>
        <v>45494.551199999994</v>
      </c>
      <c r="L10" s="189">
        <f t="shared" si="2"/>
        <v>3</v>
      </c>
      <c r="M10" s="204">
        <f>IF($H10="USD",IF(OR($L10="",$L10="-"),"",VLOOKUP($G10,為替!$A:$AX,$L10,FALSE))+$K$3,IF(OR($L10="",$L10="-"),"",VLOOKUP($G10,為替!$A:$AX,$L10,FALSE)))</f>
        <v>144.91999999999999</v>
      </c>
      <c r="N10" s="205">
        <f t="shared" si="3"/>
        <v>40858.744799999993</v>
      </c>
      <c r="O10" s="206">
        <f t="shared" si="4"/>
        <v>4635.8064000000013</v>
      </c>
      <c r="P10" s="207">
        <f t="shared" si="5"/>
        <v>0.10189805762937171</v>
      </c>
    </row>
    <row r="11" spans="1:18">
      <c r="A11" s="163" t="s">
        <v>344</v>
      </c>
      <c r="B11" s="163">
        <v>7210</v>
      </c>
      <c r="C11" s="200">
        <v>2078.7600000000002</v>
      </c>
      <c r="D11" s="201">
        <v>128.69</v>
      </c>
      <c r="E11" s="202" t="s">
        <v>199</v>
      </c>
      <c r="F11" s="200">
        <v>2474.84</v>
      </c>
      <c r="G11" s="162">
        <v>45824</v>
      </c>
      <c r="H11" s="203" t="s">
        <v>199</v>
      </c>
      <c r="I11" s="186">
        <f t="shared" si="0"/>
        <v>4</v>
      </c>
      <c r="J11" s="204">
        <f>IF($H11="USD",IF(OR($I11="",$I11="-"),"",VLOOKUP($G11,為替!$A:$AX,$I11,FALSE))+$J$3,IF(OR($I11="",$I11="-"),"",VLOOKUP($G11,為替!$A:$AX,$I11,FALSE)))</f>
        <v>143.91999999999999</v>
      </c>
      <c r="K11" s="205">
        <f t="shared" si="1"/>
        <v>356178.97279999999</v>
      </c>
      <c r="L11" s="189">
        <f t="shared" si="2"/>
        <v>3</v>
      </c>
      <c r="M11" s="204">
        <f>IF($H11="USD",IF(OR($L11="",$L11="-"),"",VLOOKUP($G11,為替!$A:$AX,$L11,FALSE))+$K$3,IF(OR($L11="",$L11="-"),"",VLOOKUP($G11,為替!$A:$AX,$L11,FALSE)))</f>
        <v>144.91999999999999</v>
      </c>
      <c r="N11" s="205">
        <f t="shared" si="3"/>
        <v>319903.65400000004</v>
      </c>
      <c r="O11" s="206">
        <f t="shared" si="4"/>
        <v>36275.31879999995</v>
      </c>
      <c r="P11" s="207">
        <f t="shared" si="5"/>
        <v>0.10184576173835254</v>
      </c>
    </row>
    <row r="12" spans="1:18">
      <c r="A12" s="163" t="s">
        <v>344</v>
      </c>
      <c r="B12" s="163">
        <v>7211</v>
      </c>
      <c r="C12" s="200">
        <v>983.8</v>
      </c>
      <c r="D12" s="201">
        <v>60.9</v>
      </c>
      <c r="E12" s="202" t="s">
        <v>199</v>
      </c>
      <c r="F12" s="200">
        <v>1171.2</v>
      </c>
      <c r="G12" s="162">
        <v>45824</v>
      </c>
      <c r="H12" s="203" t="s">
        <v>199</v>
      </c>
      <c r="I12" s="186">
        <f t="shared" si="0"/>
        <v>4</v>
      </c>
      <c r="J12" s="204">
        <f>IF($H12="USD",IF(OR($I12="",$I12="-"),"",VLOOKUP($G12,為替!$A:$AX,$I12,FALSE))+$J$3,IF(OR($I12="",$I12="-"),"",VLOOKUP($G12,為替!$A:$AX,$I12,FALSE)))</f>
        <v>143.91999999999999</v>
      </c>
      <c r="K12" s="205">
        <f t="shared" si="1"/>
        <v>168559.10399999999</v>
      </c>
      <c r="L12" s="189">
        <f t="shared" si="2"/>
        <v>3</v>
      </c>
      <c r="M12" s="204">
        <f>IF($H12="USD",IF(OR($L12="",$L12="-"),"",VLOOKUP($G12,為替!$A:$AX,$L12,FALSE))+$K$3,IF(OR($L12="",$L12="-"),"",VLOOKUP($G12,為替!$A:$AX,$L12,FALSE)))</f>
        <v>144.91999999999999</v>
      </c>
      <c r="N12" s="205">
        <f t="shared" si="3"/>
        <v>151397.924</v>
      </c>
      <c r="O12" s="206">
        <f t="shared" si="4"/>
        <v>17161.179999999993</v>
      </c>
      <c r="P12" s="207">
        <f t="shared" si="5"/>
        <v>0.10181105376544949</v>
      </c>
    </row>
    <row r="13" spans="1:18">
      <c r="A13" s="163" t="s">
        <v>344</v>
      </c>
      <c r="B13" s="163">
        <v>7212</v>
      </c>
      <c r="C13" s="200">
        <v>3398.64</v>
      </c>
      <c r="D13" s="201">
        <v>210.39</v>
      </c>
      <c r="E13" s="202" t="s">
        <v>199</v>
      </c>
      <c r="F13" s="200">
        <v>4046</v>
      </c>
      <c r="G13" s="162">
        <v>45824</v>
      </c>
      <c r="H13" s="203" t="s">
        <v>199</v>
      </c>
      <c r="I13" s="186">
        <f t="shared" si="0"/>
        <v>4</v>
      </c>
      <c r="J13" s="204">
        <f>IF($H13="USD",IF(OR($I13="",$I13="-"),"",VLOOKUP($G13,為替!$A:$AX,$I13,FALSE))+$J$3,IF(OR($I13="",$I13="-"),"",VLOOKUP($G13,為替!$A:$AX,$I13,FALSE)))</f>
        <v>143.91999999999999</v>
      </c>
      <c r="K13" s="205">
        <f t="shared" si="1"/>
        <v>582300.31999999995</v>
      </c>
      <c r="L13" s="189">
        <f t="shared" si="2"/>
        <v>3</v>
      </c>
      <c r="M13" s="204">
        <f>IF($H13="USD",IF(OR($L13="",$L13="-"),"",VLOOKUP($G13,為替!$A:$AX,$L13,FALSE))+$K$3,IF(OR($L13="",$L13="-"),"",VLOOKUP($G13,為替!$A:$AX,$L13,FALSE)))</f>
        <v>144.91999999999999</v>
      </c>
      <c r="N13" s="205">
        <f t="shared" si="3"/>
        <v>523020.62759999989</v>
      </c>
      <c r="O13" s="206">
        <f t="shared" si="4"/>
        <v>59279.692400000058</v>
      </c>
      <c r="P13" s="207">
        <f t="shared" si="5"/>
        <v>0.10180261003462966</v>
      </c>
    </row>
    <row r="14" spans="1:18">
      <c r="A14" s="163" t="s">
        <v>343</v>
      </c>
      <c r="B14" s="163">
        <v>7217</v>
      </c>
      <c r="C14" s="200">
        <v>348.79</v>
      </c>
      <c r="D14" s="201">
        <v>0</v>
      </c>
      <c r="E14" s="202" t="s">
        <v>199</v>
      </c>
      <c r="F14" s="200">
        <v>369.84</v>
      </c>
      <c r="G14" s="162">
        <v>45825</v>
      </c>
      <c r="H14" s="203" t="s">
        <v>199</v>
      </c>
      <c r="I14" s="186">
        <f t="shared" si="0"/>
        <v>4</v>
      </c>
      <c r="J14" s="204">
        <f>IF($H14="USD",IF(OR($I14="",$I14="-"),"",VLOOKUP($G14,為替!$A:$AX,$I14,FALSE))+$J$3,IF(OR($I14="",$I14="-"),"",VLOOKUP($G14,為替!$A:$AX,$I14,FALSE)))</f>
        <v>144.58000000000001</v>
      </c>
      <c r="K14" s="205">
        <f t="shared" si="1"/>
        <v>53471.467199999999</v>
      </c>
      <c r="L14" s="189">
        <f t="shared" si="2"/>
        <v>3</v>
      </c>
      <c r="M14" s="204">
        <f>IF($H14="USD",IF(OR($L14="",$L14="-"),"",VLOOKUP($G14,為替!$A:$AX,$L14,FALSE))+$K$3,IF(OR($L14="",$L14="-"),"",VLOOKUP($G14,為替!$A:$AX,$L14,FALSE)))</f>
        <v>145.58000000000001</v>
      </c>
      <c r="N14" s="205">
        <f t="shared" si="3"/>
        <v>50776.848200000008</v>
      </c>
      <c r="O14" s="206">
        <f t="shared" si="4"/>
        <v>2694.6189999999915</v>
      </c>
      <c r="P14" s="207">
        <f t="shared" si="5"/>
        <v>5.0393586357398316E-2</v>
      </c>
    </row>
    <row r="15" spans="1:18">
      <c r="A15" s="163" t="s">
        <v>343</v>
      </c>
      <c r="B15" s="163">
        <v>7223</v>
      </c>
      <c r="C15" s="200">
        <v>120.9</v>
      </c>
      <c r="D15" s="201">
        <v>0</v>
      </c>
      <c r="E15" s="202" t="s">
        <v>199</v>
      </c>
      <c r="F15" s="200">
        <v>128.1</v>
      </c>
      <c r="G15" s="162">
        <v>45825</v>
      </c>
      <c r="H15" s="203" t="s">
        <v>199</v>
      </c>
      <c r="I15" s="186">
        <f t="shared" si="0"/>
        <v>4</v>
      </c>
      <c r="J15" s="204">
        <f>IF($H15="USD",IF(OR($I15="",$I15="-"),"",VLOOKUP($G15,為替!$A:$AX,$I15,FALSE))+$J$3,IF(OR($I15="",$I15="-"),"",VLOOKUP($G15,為替!$A:$AX,$I15,FALSE)))</f>
        <v>144.58000000000001</v>
      </c>
      <c r="K15" s="205">
        <f t="shared" si="1"/>
        <v>18520.698</v>
      </c>
      <c r="L15" s="189">
        <f t="shared" si="2"/>
        <v>3</v>
      </c>
      <c r="M15" s="204">
        <f>IF($H15="USD",IF(OR($L15="",$L15="-"),"",VLOOKUP($G15,為替!$A:$AX,$L15,FALSE))+$K$3,IF(OR($L15="",$L15="-"),"",VLOOKUP($G15,為替!$A:$AX,$L15,FALSE)))</f>
        <v>145.58000000000001</v>
      </c>
      <c r="N15" s="205">
        <f t="shared" si="3"/>
        <v>17600.622000000003</v>
      </c>
      <c r="O15" s="206">
        <f t="shared" si="4"/>
        <v>920.07599999999729</v>
      </c>
      <c r="P15" s="207">
        <f t="shared" si="5"/>
        <v>4.9678257266545636E-2</v>
      </c>
    </row>
    <row r="16" spans="1:18">
      <c r="A16" s="163" t="s">
        <v>343</v>
      </c>
      <c r="B16" s="163">
        <v>7224</v>
      </c>
      <c r="C16" s="200">
        <v>157.57</v>
      </c>
      <c r="D16" s="201">
        <v>0</v>
      </c>
      <c r="E16" s="202" t="s">
        <v>199</v>
      </c>
      <c r="F16" s="200">
        <v>166.96</v>
      </c>
      <c r="G16" s="162">
        <v>45825</v>
      </c>
      <c r="H16" s="203" t="s">
        <v>199</v>
      </c>
      <c r="I16" s="186">
        <f t="shared" si="0"/>
        <v>4</v>
      </c>
      <c r="J16" s="204">
        <f>IF($H16="USD",IF(OR($I16="",$I16="-"),"",VLOOKUP($G16,為替!$A:$AX,$I16,FALSE))+$J$3,IF(OR($I16="",$I16="-"),"",VLOOKUP($G16,為替!$A:$AX,$I16,FALSE)))</f>
        <v>144.58000000000001</v>
      </c>
      <c r="K16" s="205">
        <f t="shared" si="1"/>
        <v>24139.076800000003</v>
      </c>
      <c r="L16" s="189">
        <f t="shared" si="2"/>
        <v>3</v>
      </c>
      <c r="M16" s="204">
        <f>IF($H16="USD",IF(OR($L16="",$L16="-"),"",VLOOKUP($G16,為替!$A:$AX,$L16,FALSE))+$K$3,IF(OR($L16="",$L16="-"),"",VLOOKUP($G16,為替!$A:$AX,$L16,FALSE)))</f>
        <v>145.58000000000001</v>
      </c>
      <c r="N16" s="205">
        <f t="shared" si="3"/>
        <v>22939.0406</v>
      </c>
      <c r="O16" s="206">
        <f t="shared" si="4"/>
        <v>1200.0362000000023</v>
      </c>
      <c r="P16" s="207">
        <f t="shared" si="5"/>
        <v>4.9713425660089954E-2</v>
      </c>
    </row>
    <row r="17" spans="1:16">
      <c r="A17" s="163" t="s">
        <v>344</v>
      </c>
      <c r="B17" s="163">
        <v>7226</v>
      </c>
      <c r="C17" s="200">
        <v>979.27</v>
      </c>
      <c r="D17" s="201">
        <v>60.62</v>
      </c>
      <c r="E17" s="202" t="s">
        <v>199</v>
      </c>
      <c r="F17" s="200">
        <v>1165.8</v>
      </c>
      <c r="G17" s="162">
        <v>45828</v>
      </c>
      <c r="H17" s="203" t="s">
        <v>199</v>
      </c>
      <c r="I17" s="186">
        <f t="shared" si="0"/>
        <v>4</v>
      </c>
      <c r="J17" s="204">
        <f>IF($H17="USD",IF(OR($I17="",$I17="-"),"",VLOOKUP($G17,為替!$A:$AX,$I17,FALSE))+$J$3,IF(OR($I17="",$I17="-"),"",VLOOKUP($G17,為替!$A:$AX,$I17,FALSE)))</f>
        <v>144.85</v>
      </c>
      <c r="K17" s="205">
        <f t="shared" si="1"/>
        <v>168866.12999999998</v>
      </c>
      <c r="L17" s="189">
        <f t="shared" si="2"/>
        <v>3</v>
      </c>
      <c r="M17" s="204">
        <f>IF($H17="USD",IF(OR($L17="",$L17="-"),"",VLOOKUP($G17,為替!$A:$AX,$L17,FALSE))+$K$3,IF(OR($L17="",$L17="-"),"",VLOOKUP($G17,為替!$A:$AX,$L17,FALSE)))</f>
        <v>145.85</v>
      </c>
      <c r="N17" s="205">
        <f t="shared" si="3"/>
        <v>151667.95649999997</v>
      </c>
      <c r="O17" s="206">
        <f t="shared" si="4"/>
        <v>17198.173500000004</v>
      </c>
      <c r="P17" s="207">
        <f t="shared" si="5"/>
        <v>0.10184501474629641</v>
      </c>
    </row>
    <row r="18" spans="1:16">
      <c r="A18" s="163" t="s">
        <v>344</v>
      </c>
      <c r="B18" s="163">
        <v>7227</v>
      </c>
      <c r="C18" s="200">
        <v>3864</v>
      </c>
      <c r="D18" s="201">
        <v>239.2</v>
      </c>
      <c r="E18" s="202" t="s">
        <v>199</v>
      </c>
      <c r="F18" s="200">
        <v>4600</v>
      </c>
      <c r="G18" s="162">
        <v>45828</v>
      </c>
      <c r="H18" s="203" t="s">
        <v>199</v>
      </c>
      <c r="I18" s="186">
        <f t="shared" si="0"/>
        <v>4</v>
      </c>
      <c r="J18" s="204">
        <f>IF($H18="USD",IF(OR($I18="",$I18="-"),"",VLOOKUP($G18,為替!$A:$AX,$I18,FALSE))+$J$3,IF(OR($I18="",$I18="-"),"",VLOOKUP($G18,為替!$A:$AX,$I18,FALSE)))</f>
        <v>144.85</v>
      </c>
      <c r="K18" s="205">
        <f t="shared" si="1"/>
        <v>666310</v>
      </c>
      <c r="L18" s="189">
        <f t="shared" si="2"/>
        <v>3</v>
      </c>
      <c r="M18" s="204">
        <f>IF($H18="USD",IF(OR($L18="",$L18="-"),"",VLOOKUP($G18,為替!$A:$AX,$L18,FALSE))+$K$3,IF(OR($L18="",$L18="-"),"",VLOOKUP($G18,為替!$A:$AX,$L18,FALSE)))</f>
        <v>145.85</v>
      </c>
      <c r="N18" s="205">
        <f t="shared" si="3"/>
        <v>598451.72</v>
      </c>
      <c r="O18" s="206">
        <f t="shared" si="4"/>
        <v>67858.280000000028</v>
      </c>
      <c r="P18" s="207">
        <f t="shared" si="5"/>
        <v>0.10184190541939941</v>
      </c>
    </row>
    <row r="19" spans="1:16">
      <c r="A19" s="163" t="s">
        <v>344</v>
      </c>
      <c r="B19" s="163">
        <v>7228</v>
      </c>
      <c r="C19" s="200">
        <v>931.05</v>
      </c>
      <c r="D19" s="201">
        <v>57.64</v>
      </c>
      <c r="E19" s="202" t="s">
        <v>199</v>
      </c>
      <c r="F19" s="200">
        <v>1108.4000000000001</v>
      </c>
      <c r="G19" s="162">
        <v>45828</v>
      </c>
      <c r="H19" s="203" t="s">
        <v>199</v>
      </c>
      <c r="I19" s="186">
        <f t="shared" si="0"/>
        <v>4</v>
      </c>
      <c r="J19" s="204">
        <f>IF($H19="USD",IF(OR($I19="",$I19="-"),"",VLOOKUP($G19,為替!$A:$AX,$I19,FALSE))+$J$3,IF(OR($I19="",$I19="-"),"",VLOOKUP($G19,為替!$A:$AX,$I19,FALSE)))</f>
        <v>144.85</v>
      </c>
      <c r="K19" s="205">
        <f t="shared" si="1"/>
        <v>160551.74000000002</v>
      </c>
      <c r="L19" s="189">
        <f t="shared" si="2"/>
        <v>3</v>
      </c>
      <c r="M19" s="204">
        <f>IF($H19="USD",IF(OR($L19="",$L19="-"),"",VLOOKUP($G19,為替!$A:$AX,$L19,FALSE))+$K$3,IF(OR($L19="",$L19="-"),"",VLOOKUP($G19,為替!$A:$AX,$L19,FALSE)))</f>
        <v>145.85</v>
      </c>
      <c r="N19" s="205">
        <f t="shared" si="3"/>
        <v>144200.43649999998</v>
      </c>
      <c r="O19" s="206">
        <f t="shared" si="4"/>
        <v>16351.303500000038</v>
      </c>
      <c r="P19" s="207">
        <f t="shared" si="5"/>
        <v>0.10184444902310019</v>
      </c>
    </row>
    <row r="20" spans="1:16">
      <c r="A20" s="163" t="s">
        <v>343</v>
      </c>
      <c r="B20" s="163">
        <v>7229</v>
      </c>
      <c r="C20" s="200">
        <v>126.61</v>
      </c>
      <c r="D20" s="201">
        <v>0</v>
      </c>
      <c r="E20" s="202" t="s">
        <v>199</v>
      </c>
      <c r="F20" s="200">
        <v>134.15</v>
      </c>
      <c r="G20" s="162">
        <v>45828</v>
      </c>
      <c r="H20" s="203" t="s">
        <v>199</v>
      </c>
      <c r="I20" s="186">
        <f t="shared" si="0"/>
        <v>4</v>
      </c>
      <c r="J20" s="204">
        <f>IF($H20="USD",IF(OR($I20="",$I20="-"),"",VLOOKUP($G20,為替!$A:$AX,$I20,FALSE))+$J$3,IF(OR($I20="",$I20="-"),"",VLOOKUP($G20,為替!$A:$AX,$I20,FALSE)))</f>
        <v>144.85</v>
      </c>
      <c r="K20" s="205">
        <f t="shared" si="1"/>
        <v>19431.627499999999</v>
      </c>
      <c r="L20" s="189">
        <f t="shared" si="2"/>
        <v>3</v>
      </c>
      <c r="M20" s="204">
        <f>IF($H20="USD",IF(OR($L20="",$L20="-"),"",VLOOKUP($G20,為替!$A:$AX,$L20,FALSE))+$K$3,IF(OR($L20="",$L20="-"),"",VLOOKUP($G20,為替!$A:$AX,$L20,FALSE)))</f>
        <v>145.85</v>
      </c>
      <c r="N20" s="205">
        <f t="shared" si="3"/>
        <v>18466.068499999998</v>
      </c>
      <c r="O20" s="206">
        <f t="shared" si="4"/>
        <v>965.55900000000111</v>
      </c>
      <c r="P20" s="207">
        <f t="shared" si="5"/>
        <v>4.9690073566920796E-2</v>
      </c>
    </row>
    <row r="21" spans="1:16">
      <c r="A21" s="163" t="s">
        <v>343</v>
      </c>
      <c r="B21" s="163">
        <v>7236</v>
      </c>
      <c r="C21" s="200">
        <v>100.8</v>
      </c>
      <c r="D21" s="201">
        <v>0</v>
      </c>
      <c r="E21" s="202" t="s">
        <v>199</v>
      </c>
      <c r="F21" s="200">
        <v>106.8</v>
      </c>
      <c r="G21" s="162">
        <v>45832</v>
      </c>
      <c r="H21" s="203" t="s">
        <v>199</v>
      </c>
      <c r="I21" s="186">
        <f t="shared" ref="I21:I70" si="6">IF(H21="","",IF(H21="JPY","",IF($H21="USD",4, IF(H21="EUR",7,IF(H21="CNY",47,IF(H21="HKD",34))))))</f>
        <v>4</v>
      </c>
      <c r="J21" s="204">
        <f>IF($H21="USD",IF(OR($I21="",$I21="-"),"",VLOOKUP($G21,為替!$A:$AX,$I21,FALSE))+$J$3,IF(OR($I21="",$I21="-"),"",VLOOKUP($G21,為替!$A:$AX,$I21,FALSE)))</f>
        <v>145.22</v>
      </c>
      <c r="K21" s="205">
        <f t="shared" ref="K21:K70" si="7">IF($H21="JPY",$F21,IF($H21="","",$F21*$J21))</f>
        <v>15509.495999999999</v>
      </c>
      <c r="L21" s="189">
        <f t="shared" ref="L21:L70" si="8">IF(H21="","",IF(H21="JPY","",IF($H21="USD",3, IF(H21="EUR",6,IF(H21="CNY",46,IF(H21="HKD",33))))))</f>
        <v>3</v>
      </c>
      <c r="M21" s="204">
        <f>IF($H21="USD",IF(OR($L21="",$L21="-"),"",VLOOKUP($G21,為替!$A:$AX,$L21,FALSE))+$K$3,IF(OR($L21="",$L21="-"),"",VLOOKUP($G21,為替!$A:$AX,$L21,FALSE)))</f>
        <v>146.22</v>
      </c>
      <c r="N21" s="205">
        <f t="shared" ref="N21:N70" si="9">IF($E21="JPY",($C21+$D21),IF($E21="","",($C21+$D21)*$M21))</f>
        <v>14738.975999999999</v>
      </c>
      <c r="O21" s="206">
        <f t="shared" si="4"/>
        <v>770.52000000000044</v>
      </c>
      <c r="P21" s="207">
        <f t="shared" si="5"/>
        <v>4.9680531204882514E-2</v>
      </c>
    </row>
    <row r="22" spans="1:16">
      <c r="A22" s="163" t="s">
        <v>343</v>
      </c>
      <c r="B22" s="163">
        <v>7237</v>
      </c>
      <c r="C22" s="200">
        <v>94.5</v>
      </c>
      <c r="D22" s="201">
        <v>0</v>
      </c>
      <c r="E22" s="202" t="s">
        <v>199</v>
      </c>
      <c r="F22" s="200">
        <v>103.5</v>
      </c>
      <c r="G22" s="162">
        <v>45832</v>
      </c>
      <c r="H22" s="203" t="s">
        <v>199</v>
      </c>
      <c r="I22" s="186">
        <f t="shared" si="6"/>
        <v>4</v>
      </c>
      <c r="J22" s="204">
        <f>IF($H22="USD",IF(OR($I22="",$I22="-"),"",VLOOKUP($G22,為替!$A:$AX,$I22,FALSE))+$J$3,IF(OR($I22="",$I22="-"),"",VLOOKUP($G22,為替!$A:$AX,$I22,FALSE)))</f>
        <v>145.22</v>
      </c>
      <c r="K22" s="205">
        <f t="shared" si="7"/>
        <v>15030.27</v>
      </c>
      <c r="L22" s="189">
        <f t="shared" si="8"/>
        <v>3</v>
      </c>
      <c r="M22" s="204">
        <f>IF($H22="USD",IF(OR($L22="",$L22="-"),"",VLOOKUP($G22,為替!$A:$AX,$L22,FALSE))+$K$3,IF(OR($L22="",$L22="-"),"",VLOOKUP($G22,為替!$A:$AX,$L22,FALSE)))</f>
        <v>146.22</v>
      </c>
      <c r="N22" s="205">
        <f t="shared" si="9"/>
        <v>13817.789999999999</v>
      </c>
      <c r="O22" s="206">
        <f t="shared" si="4"/>
        <v>1212.4800000000014</v>
      </c>
      <c r="P22" s="207">
        <f t="shared" si="5"/>
        <v>8.0669209535158146E-2</v>
      </c>
    </row>
    <row r="23" spans="1:16">
      <c r="A23" s="163" t="s">
        <v>344</v>
      </c>
      <c r="B23" s="163">
        <v>7244</v>
      </c>
      <c r="C23" s="200">
        <v>3386.88</v>
      </c>
      <c r="D23" s="201">
        <v>209.66</v>
      </c>
      <c r="E23" s="202" t="s">
        <v>199</v>
      </c>
      <c r="F23" s="200">
        <v>4032</v>
      </c>
      <c r="G23" s="162">
        <v>45835</v>
      </c>
      <c r="H23" s="203" t="s">
        <v>199</v>
      </c>
      <c r="I23" s="186">
        <f t="shared" si="6"/>
        <v>4</v>
      </c>
      <c r="J23" s="204">
        <f>IF($H23="USD",IF(OR($I23="",$I23="-"),"",VLOOKUP($G23,為替!$A:$AX,$I23,FALSE))+$J$3,IF(OR($I23="",$I23="-"),"",VLOOKUP($G23,為替!$A:$AX,$I23,FALSE)))</f>
        <v>144.08000000000001</v>
      </c>
      <c r="K23" s="205">
        <f t="shared" si="7"/>
        <v>580930.56000000006</v>
      </c>
      <c r="L23" s="189">
        <f t="shared" si="8"/>
        <v>3</v>
      </c>
      <c r="M23" s="204">
        <f>IF($H23="USD",IF(OR($L23="",$L23="-"),"",VLOOKUP($G23,為替!$A:$AX,$L23,FALSE))+$K$3,IF(OR($L23="",$L23="-"),"",VLOOKUP($G23,為替!$A:$AX,$L23,FALSE)))</f>
        <v>145.08000000000001</v>
      </c>
      <c r="N23" s="205">
        <f t="shared" si="9"/>
        <v>521786.02320000005</v>
      </c>
      <c r="O23" s="206">
        <f t="shared" si="4"/>
        <v>59144.536800000002</v>
      </c>
      <c r="P23" s="207">
        <f t="shared" si="5"/>
        <v>0.10180999395177281</v>
      </c>
    </row>
    <row r="24" spans="1:16">
      <c r="A24" s="163" t="s">
        <v>309</v>
      </c>
      <c r="B24" s="163">
        <v>7207</v>
      </c>
      <c r="C24" s="200">
        <v>360706</v>
      </c>
      <c r="D24" s="201">
        <v>0</v>
      </c>
      <c r="E24" s="202" t="s">
        <v>200</v>
      </c>
      <c r="F24" s="200">
        <v>463540</v>
      </c>
      <c r="G24" s="162">
        <v>45825</v>
      </c>
      <c r="H24" s="203" t="s">
        <v>200</v>
      </c>
      <c r="I24" s="186" t="str">
        <f t="shared" si="6"/>
        <v/>
      </c>
      <c r="J24" s="204" t="str">
        <f>IF($H24="USD",IF(OR($I24="",$I24="-"),"",VLOOKUP($G24,為替!$A:$AX,$I24,FALSE))+$J$3,IF(OR($I24="",$I24="-"),"",VLOOKUP($G24,為替!$A:$AX,$I24,FALSE)))</f>
        <v/>
      </c>
      <c r="K24" s="205">
        <f t="shared" si="7"/>
        <v>463540</v>
      </c>
      <c r="L24" s="189" t="str">
        <f t="shared" si="8"/>
        <v/>
      </c>
      <c r="M24" s="204" t="str">
        <f>IF($H24="USD",IF(OR($L24="",$L24="-"),"",VLOOKUP($G24,為替!$A:$AX,$L24,FALSE))+$K$3,IF(OR($L24="",$L24="-"),"",VLOOKUP($G24,為替!$A:$AX,$L24,FALSE)))</f>
        <v/>
      </c>
      <c r="N24" s="205">
        <f t="shared" si="9"/>
        <v>360706</v>
      </c>
      <c r="O24" s="206">
        <f t="shared" si="4"/>
        <v>102834</v>
      </c>
      <c r="P24" s="207">
        <f t="shared" si="5"/>
        <v>0.22184493247616172</v>
      </c>
    </row>
    <row r="25" spans="1:16">
      <c r="A25" s="163" t="s">
        <v>343</v>
      </c>
      <c r="B25" s="163">
        <v>7251</v>
      </c>
      <c r="C25" s="200">
        <v>410.03</v>
      </c>
      <c r="D25" s="201">
        <v>0</v>
      </c>
      <c r="E25" s="202" t="s">
        <v>199</v>
      </c>
      <c r="F25" s="200">
        <v>432.04</v>
      </c>
      <c r="G25" s="162">
        <v>45835</v>
      </c>
      <c r="H25" s="203" t="s">
        <v>199</v>
      </c>
      <c r="I25" s="186">
        <f t="shared" si="6"/>
        <v>4</v>
      </c>
      <c r="J25" s="204">
        <f>IF($H25="USD",IF(OR($I25="",$I25="-"),"",VLOOKUP($G25,為替!$A:$AX,$I25,FALSE))+$J$3,IF(OR($I25="",$I25="-"),"",VLOOKUP($G25,為替!$A:$AX,$I25,FALSE)))</f>
        <v>144.08000000000001</v>
      </c>
      <c r="K25" s="205">
        <f t="shared" si="7"/>
        <v>62248.323200000006</v>
      </c>
      <c r="L25" s="189">
        <f t="shared" si="8"/>
        <v>3</v>
      </c>
      <c r="M25" s="204">
        <f>IF($H25="USD",IF(OR($L25="",$L25="-"),"",VLOOKUP($G25,為替!$A:$AX,$L25,FALSE))+$K$3,IF(OR($L25="",$L25="-"),"",VLOOKUP($G25,為替!$A:$AX,$L25,FALSE)))</f>
        <v>145.08000000000001</v>
      </c>
      <c r="N25" s="205">
        <f t="shared" si="9"/>
        <v>59487.152399999999</v>
      </c>
      <c r="O25" s="206">
        <f t="shared" si="4"/>
        <v>2761.1708000000071</v>
      </c>
      <c r="P25" s="207">
        <f t="shared" si="5"/>
        <v>4.4357352263586863E-2</v>
      </c>
    </row>
    <row r="26" spans="1:16">
      <c r="A26" s="163" t="s">
        <v>343</v>
      </c>
      <c r="B26" s="163">
        <v>7252</v>
      </c>
      <c r="C26" s="200">
        <v>1268.4100000000001</v>
      </c>
      <c r="D26" s="201">
        <v>0</v>
      </c>
      <c r="E26" s="202" t="s">
        <v>199</v>
      </c>
      <c r="F26" s="200">
        <v>1340.88</v>
      </c>
      <c r="G26" s="162">
        <v>45838</v>
      </c>
      <c r="H26" s="203" t="s">
        <v>199</v>
      </c>
      <c r="I26" s="186">
        <f t="shared" si="6"/>
        <v>4</v>
      </c>
      <c r="J26" s="204">
        <f>IF($H26="USD",IF(OR($I26="",$I26="-"),"",VLOOKUP($G26,為替!$A:$AX,$I26,FALSE))+$J$3,IF(OR($I26="",$I26="-"),"",VLOOKUP($G26,為替!$A:$AX,$I26,FALSE)))</f>
        <v>144.31</v>
      </c>
      <c r="K26" s="205">
        <f t="shared" si="7"/>
        <v>193502.39280000003</v>
      </c>
      <c r="L26" s="189">
        <f t="shared" si="8"/>
        <v>3</v>
      </c>
      <c r="M26" s="204">
        <f>IF($H26="USD",IF(OR($L26="",$L26="-"),"",VLOOKUP($G26,為替!$A:$AX,$L26,FALSE))+$K$3,IF(OR($L26="",$L26="-"),"",VLOOKUP($G26,為替!$A:$AX,$L26,FALSE)))</f>
        <v>145.31</v>
      </c>
      <c r="N26" s="205">
        <f t="shared" si="9"/>
        <v>184312.65710000001</v>
      </c>
      <c r="O26" s="206">
        <f t="shared" si="4"/>
        <v>9189.7357000000193</v>
      </c>
      <c r="P26" s="207">
        <f t="shared" si="5"/>
        <v>4.7491586884397523E-2</v>
      </c>
    </row>
    <row r="27" spans="1:16">
      <c r="A27" s="163" t="s">
        <v>343</v>
      </c>
      <c r="B27" s="163">
        <v>7240</v>
      </c>
      <c r="C27" s="200">
        <v>8924</v>
      </c>
      <c r="D27" s="201">
        <v>0</v>
      </c>
      <c r="E27" s="202" t="s">
        <v>199</v>
      </c>
      <c r="F27" s="200">
        <v>9454</v>
      </c>
      <c r="G27" s="162">
        <v>45838</v>
      </c>
      <c r="H27" s="203" t="s">
        <v>199</v>
      </c>
      <c r="I27" s="186">
        <f t="shared" si="6"/>
        <v>4</v>
      </c>
      <c r="J27" s="204">
        <f>IF($H27="USD",IF(OR($I27="",$I27="-"),"",VLOOKUP($G27,為替!$A:$AX,$I27,FALSE))+$J$3,IF(OR($I27="",$I27="-"),"",VLOOKUP($G27,為替!$A:$AX,$I27,FALSE)))</f>
        <v>144.31</v>
      </c>
      <c r="K27" s="205">
        <f t="shared" si="7"/>
        <v>1364306.74</v>
      </c>
      <c r="L27" s="189">
        <f t="shared" si="8"/>
        <v>3</v>
      </c>
      <c r="M27" s="204">
        <f>IF($H27="USD",IF(OR($L27="",$L27="-"),"",VLOOKUP($G27,為替!$A:$AX,$L27,FALSE))+$K$3,IF(OR($L27="",$L27="-"),"",VLOOKUP($G27,為替!$A:$AX,$L27,FALSE)))</f>
        <v>145.31</v>
      </c>
      <c r="N27" s="205">
        <f t="shared" si="9"/>
        <v>1296746.44</v>
      </c>
      <c r="O27" s="206">
        <f t="shared" si="4"/>
        <v>67560.300000000047</v>
      </c>
      <c r="P27" s="207">
        <f t="shared" si="5"/>
        <v>4.9519875566985797E-2</v>
      </c>
    </row>
    <row r="28" spans="1:16">
      <c r="A28" s="163" t="s">
        <v>344</v>
      </c>
      <c r="B28" s="163">
        <v>7245</v>
      </c>
      <c r="C28" s="200">
        <v>10080</v>
      </c>
      <c r="D28" s="201">
        <v>624</v>
      </c>
      <c r="E28" s="202" t="s">
        <v>199</v>
      </c>
      <c r="F28" s="200">
        <v>12000</v>
      </c>
      <c r="G28" s="162">
        <v>45838</v>
      </c>
      <c r="H28" s="203" t="s">
        <v>199</v>
      </c>
      <c r="I28" s="186">
        <f t="shared" si="6"/>
        <v>4</v>
      </c>
      <c r="J28" s="204">
        <f>IF($H28="USD",IF(OR($I28="",$I28="-"),"",VLOOKUP($G28,為替!$A:$AX,$I28,FALSE))+$J$3,IF(OR($I28="",$I28="-"),"",VLOOKUP($G28,為替!$A:$AX,$I28,FALSE)))</f>
        <v>144.31</v>
      </c>
      <c r="K28" s="205">
        <f t="shared" si="7"/>
        <v>1731720</v>
      </c>
      <c r="L28" s="189">
        <f t="shared" si="8"/>
        <v>3</v>
      </c>
      <c r="M28" s="204">
        <f>IF($H28="USD",IF(OR($L28="",$L28="-"),"",VLOOKUP($G28,為替!$A:$AX,$L28,FALSE))+$K$3,IF(OR($L28="",$L28="-"),"",VLOOKUP($G28,為替!$A:$AX,$L28,FALSE)))</f>
        <v>145.31</v>
      </c>
      <c r="N28" s="205">
        <f t="shared" si="9"/>
        <v>1555398.24</v>
      </c>
      <c r="O28" s="206">
        <f t="shared" si="4"/>
        <v>176321.76</v>
      </c>
      <c r="P28" s="207">
        <f t="shared" si="5"/>
        <v>0.10181886217171368</v>
      </c>
    </row>
    <row r="29" spans="1:16">
      <c r="A29" s="163" t="s">
        <v>344</v>
      </c>
      <c r="B29" s="163">
        <v>7246</v>
      </c>
      <c r="C29" s="200">
        <v>6077.07</v>
      </c>
      <c r="D29" s="201">
        <v>376.18</v>
      </c>
      <c r="E29" s="202" t="s">
        <v>199</v>
      </c>
      <c r="F29" s="200">
        <v>7234.19</v>
      </c>
      <c r="G29" s="162">
        <v>45838</v>
      </c>
      <c r="H29" s="203" t="s">
        <v>199</v>
      </c>
      <c r="I29" s="186">
        <f t="shared" si="6"/>
        <v>4</v>
      </c>
      <c r="J29" s="204">
        <f>IF($H29="USD",IF(OR($I29="",$I29="-"),"",VLOOKUP($G29,為替!$A:$AX,$I29,FALSE))+$J$3,IF(OR($I29="",$I29="-"),"",VLOOKUP($G29,為替!$A:$AX,$I29,FALSE)))</f>
        <v>144.31</v>
      </c>
      <c r="K29" s="205">
        <f t="shared" si="7"/>
        <v>1043965.9589</v>
      </c>
      <c r="L29" s="189">
        <f t="shared" si="8"/>
        <v>3</v>
      </c>
      <c r="M29" s="204">
        <f>IF($H29="USD",IF(OR($L29="",$L29="-"),"",VLOOKUP($G29,為替!$A:$AX,$L29,FALSE))+$K$3,IF(OR($L29="",$L29="-"),"",VLOOKUP($G29,為替!$A:$AX,$L29,FALSE)))</f>
        <v>145.31</v>
      </c>
      <c r="N29" s="205">
        <f t="shared" si="9"/>
        <v>937721.75750000007</v>
      </c>
      <c r="O29" s="206">
        <f t="shared" si="4"/>
        <v>106244.2013999999</v>
      </c>
      <c r="P29" s="207">
        <f t="shared" si="5"/>
        <v>0.10176979478521185</v>
      </c>
    </row>
    <row r="30" spans="1:16">
      <c r="A30" s="163" t="s">
        <v>343</v>
      </c>
      <c r="B30" s="163">
        <v>7255</v>
      </c>
      <c r="C30" s="200">
        <v>229.12</v>
      </c>
      <c r="D30" s="201">
        <v>0</v>
      </c>
      <c r="E30" s="202" t="s">
        <v>199</v>
      </c>
      <c r="F30" s="200">
        <v>242.66</v>
      </c>
      <c r="G30" s="162">
        <v>45840</v>
      </c>
      <c r="H30" s="203" t="s">
        <v>199</v>
      </c>
      <c r="I30" s="186">
        <f t="shared" si="6"/>
        <v>4</v>
      </c>
      <c r="J30" s="204">
        <f>IF($H30="USD",IF(OR($I30="",$I30="-"),"",VLOOKUP($G30,為替!$A:$AX,$I30,FALSE))+$J$3,IF(OR($I30="",$I30="-"),"",VLOOKUP($G30,為替!$A:$AX,$I30,FALSE)))</f>
        <v>143.19999999999999</v>
      </c>
      <c r="K30" s="205">
        <f t="shared" si="7"/>
        <v>34748.911999999997</v>
      </c>
      <c r="L30" s="189">
        <f t="shared" si="8"/>
        <v>3</v>
      </c>
      <c r="M30" s="204">
        <f>IF($H30="USD",IF(OR($L30="",$L30="-"),"",VLOOKUP($G30,為替!$A:$AX,$L30,FALSE))+$K$3,IF(OR($L30="",$L30="-"),"",VLOOKUP($G30,為替!$A:$AX,$L30,FALSE)))</f>
        <v>144.19999999999999</v>
      </c>
      <c r="N30" s="205">
        <f t="shared" si="9"/>
        <v>33039.103999999999</v>
      </c>
      <c r="O30" s="206">
        <f t="shared" si="4"/>
        <v>1709.8079999999973</v>
      </c>
      <c r="P30" s="207">
        <f t="shared" si="5"/>
        <v>4.9204648479353755E-2</v>
      </c>
    </row>
    <row r="31" spans="1:16">
      <c r="A31" s="163" t="s">
        <v>343</v>
      </c>
      <c r="B31" s="163">
        <v>7272</v>
      </c>
      <c r="C31" s="200">
        <v>1348.83</v>
      </c>
      <c r="D31" s="201">
        <v>0</v>
      </c>
      <c r="E31" s="202" t="s">
        <v>199</v>
      </c>
      <c r="F31" s="200">
        <v>1429.11</v>
      </c>
      <c r="G31" s="162">
        <v>45845</v>
      </c>
      <c r="H31" s="203" t="s">
        <v>199</v>
      </c>
      <c r="I31" s="186">
        <f t="shared" si="6"/>
        <v>4</v>
      </c>
      <c r="J31" s="204">
        <f>IF($H31="USD",IF(OR($I31="",$I31="-"),"",VLOOKUP($G31,為替!$A:$AX,$I31,FALSE))+$J$3,IF(OR($I31="",$I31="-"),"",VLOOKUP($G31,為替!$A:$AX,$I31,FALSE)))</f>
        <v>143.91</v>
      </c>
      <c r="K31" s="205">
        <f t="shared" si="7"/>
        <v>205663.22009999998</v>
      </c>
      <c r="L31" s="189">
        <f t="shared" si="8"/>
        <v>3</v>
      </c>
      <c r="M31" s="204">
        <f>IF($H31="USD",IF(OR($L31="",$L31="-"),"",VLOOKUP($G31,為替!$A:$AX,$L31,FALSE))+$K$3,IF(OR($L31="",$L31="-"),"",VLOOKUP($G31,為替!$A:$AX,$L31,FALSE)))</f>
        <v>144.91</v>
      </c>
      <c r="N31" s="205">
        <f t="shared" si="9"/>
        <v>195458.95529999997</v>
      </c>
      <c r="O31" s="206">
        <f t="shared" si="4"/>
        <v>10204.264800000004</v>
      </c>
      <c r="P31" s="207">
        <f t="shared" si="5"/>
        <v>4.9616381553485196E-2</v>
      </c>
    </row>
    <row r="32" spans="1:16">
      <c r="A32" s="163" t="s">
        <v>343</v>
      </c>
      <c r="B32" s="163">
        <v>7274</v>
      </c>
      <c r="C32" s="200">
        <v>149.57</v>
      </c>
      <c r="D32" s="201">
        <v>0</v>
      </c>
      <c r="E32" s="202" t="s">
        <v>199</v>
      </c>
      <c r="F32" s="200">
        <v>158.6</v>
      </c>
      <c r="G32" s="162">
        <v>45845</v>
      </c>
      <c r="H32" s="203" t="s">
        <v>199</v>
      </c>
      <c r="I32" s="186">
        <f t="shared" si="6"/>
        <v>4</v>
      </c>
      <c r="J32" s="204">
        <f>IF($H32="USD",IF(OR($I32="",$I32="-"),"",VLOOKUP($G32,為替!$A:$AX,$I32,FALSE))+$J$3,IF(OR($I32="",$I32="-"),"",VLOOKUP($G32,為替!$A:$AX,$I32,FALSE)))</f>
        <v>143.91</v>
      </c>
      <c r="K32" s="205">
        <f t="shared" si="7"/>
        <v>22824.126</v>
      </c>
      <c r="L32" s="189">
        <f t="shared" si="8"/>
        <v>3</v>
      </c>
      <c r="M32" s="204">
        <f>IF($H32="USD",IF(OR($L32="",$L32="-"),"",VLOOKUP($G32,為替!$A:$AX,$L32,FALSE))+$K$3,IF(OR($L32="",$L32="-"),"",VLOOKUP($G32,為替!$A:$AX,$L32,FALSE)))</f>
        <v>144.91</v>
      </c>
      <c r="N32" s="205">
        <f t="shared" si="9"/>
        <v>21674.188699999999</v>
      </c>
      <c r="O32" s="206">
        <f t="shared" si="4"/>
        <v>1149.9373000000014</v>
      </c>
      <c r="P32" s="207">
        <f t="shared" si="5"/>
        <v>5.0382533815314608E-2</v>
      </c>
    </row>
    <row r="33" spans="1:16">
      <c r="A33" s="163" t="s">
        <v>344</v>
      </c>
      <c r="B33" s="163">
        <v>7263</v>
      </c>
      <c r="C33" s="200">
        <v>5594.14</v>
      </c>
      <c r="D33" s="201">
        <v>346.31</v>
      </c>
      <c r="E33" s="202" t="s">
        <v>199</v>
      </c>
      <c r="F33" s="200">
        <v>6659.7</v>
      </c>
      <c r="G33" s="162">
        <v>45842</v>
      </c>
      <c r="H33" s="203" t="s">
        <v>199</v>
      </c>
      <c r="I33" s="186">
        <f t="shared" si="6"/>
        <v>4</v>
      </c>
      <c r="J33" s="204">
        <f>IF($H33="USD",IF(OR($I33="",$I33="-"),"",VLOOKUP($G33,為替!$A:$AX,$I33,FALSE))+$J$3,IF(OR($I33="",$I33="-"),"",VLOOKUP($G33,為替!$A:$AX,$I33,FALSE)))</f>
        <v>144.13</v>
      </c>
      <c r="K33" s="205">
        <f t="shared" si="7"/>
        <v>959862.56099999999</v>
      </c>
      <c r="L33" s="189">
        <f t="shared" si="8"/>
        <v>3</v>
      </c>
      <c r="M33" s="204">
        <f>IF($H33="USD",IF(OR($L33="",$L33="-"),"",VLOOKUP($G33,為替!$A:$AX,$L33,FALSE))+$K$3,IF(OR($L33="",$L33="-"),"",VLOOKUP($G33,為替!$A:$AX,$L33,FALSE)))</f>
        <v>145.13</v>
      </c>
      <c r="N33" s="205">
        <f t="shared" si="9"/>
        <v>862137.50850000011</v>
      </c>
      <c r="O33" s="206">
        <f t="shared" si="4"/>
        <v>97725.052499999874</v>
      </c>
      <c r="P33" s="207">
        <f t="shared" si="5"/>
        <v>0.10181150559533061</v>
      </c>
    </row>
    <row r="34" spans="1:16">
      <c r="A34" s="163" t="s">
        <v>344</v>
      </c>
      <c r="B34" s="163">
        <v>7264</v>
      </c>
      <c r="C34" s="200">
        <v>438.48</v>
      </c>
      <c r="D34" s="201">
        <v>24.17</v>
      </c>
      <c r="E34" s="202" t="s">
        <v>199</v>
      </c>
      <c r="F34" s="200">
        <v>522</v>
      </c>
      <c r="G34" s="162">
        <v>45842</v>
      </c>
      <c r="H34" s="203" t="s">
        <v>199</v>
      </c>
      <c r="I34" s="186">
        <f t="shared" si="6"/>
        <v>4</v>
      </c>
      <c r="J34" s="204">
        <f>IF($H34="USD",IF(OR($I34="",$I34="-"),"",VLOOKUP($G34,為替!$A:$AX,$I34,FALSE))+$J$3,IF(OR($I34="",$I34="-"),"",VLOOKUP($G34,為替!$A:$AX,$I34,FALSE)))</f>
        <v>144.13</v>
      </c>
      <c r="K34" s="205">
        <f t="shared" si="7"/>
        <v>75235.86</v>
      </c>
      <c r="L34" s="189">
        <f t="shared" si="8"/>
        <v>3</v>
      </c>
      <c r="M34" s="204">
        <f>IF($H34="USD",IF(OR($L34="",$L34="-"),"",VLOOKUP($G34,為替!$A:$AX,$L34,FALSE))+$K$3,IF(OR($L34="",$L34="-"),"",VLOOKUP($G34,為替!$A:$AX,$L34,FALSE)))</f>
        <v>145.13</v>
      </c>
      <c r="N34" s="205">
        <f t="shared" si="9"/>
        <v>67144.394500000009</v>
      </c>
      <c r="O34" s="206">
        <f t="shared" si="4"/>
        <v>8091.4654999999912</v>
      </c>
      <c r="P34" s="207">
        <f t="shared" si="5"/>
        <v>0.10754798974850545</v>
      </c>
    </row>
    <row r="35" spans="1:16">
      <c r="A35" s="163" t="s">
        <v>344</v>
      </c>
      <c r="B35" s="163">
        <v>7265</v>
      </c>
      <c r="C35" s="200">
        <v>1083.5999999999999</v>
      </c>
      <c r="D35" s="201">
        <v>67.08</v>
      </c>
      <c r="E35" s="202" t="s">
        <v>199</v>
      </c>
      <c r="F35" s="200">
        <v>1290</v>
      </c>
      <c r="G35" s="162">
        <v>45842</v>
      </c>
      <c r="H35" s="203" t="s">
        <v>199</v>
      </c>
      <c r="I35" s="186">
        <f t="shared" si="6"/>
        <v>4</v>
      </c>
      <c r="J35" s="204">
        <f>IF($H35="USD",IF(OR($I35="",$I35="-"),"",VLOOKUP($G35,為替!$A:$AX,$I35,FALSE))+$J$3,IF(OR($I35="",$I35="-"),"",VLOOKUP($G35,為替!$A:$AX,$I35,FALSE)))</f>
        <v>144.13</v>
      </c>
      <c r="K35" s="205">
        <f t="shared" si="7"/>
        <v>185927.69999999998</v>
      </c>
      <c r="L35" s="189">
        <f t="shared" si="8"/>
        <v>3</v>
      </c>
      <c r="M35" s="204">
        <f>IF($H35="USD",IF(OR($L35="",$L35="-"),"",VLOOKUP($G35,為替!$A:$AX,$L35,FALSE))+$K$3,IF(OR($L35="",$L35="-"),"",VLOOKUP($G35,為替!$A:$AX,$L35,FALSE)))</f>
        <v>145.13</v>
      </c>
      <c r="N35" s="205">
        <f t="shared" si="9"/>
        <v>166998.18839999998</v>
      </c>
      <c r="O35" s="206">
        <f t="shared" si="4"/>
        <v>18929.511599999998</v>
      </c>
      <c r="P35" s="207">
        <f t="shared" si="5"/>
        <v>0.10181114271837924</v>
      </c>
    </row>
    <row r="36" spans="1:16">
      <c r="A36" s="163" t="s">
        <v>344</v>
      </c>
      <c r="B36" s="163">
        <v>7266</v>
      </c>
      <c r="C36" s="200">
        <v>536.25</v>
      </c>
      <c r="D36" s="201">
        <v>33.200000000000003</v>
      </c>
      <c r="E36" s="202" t="s">
        <v>199</v>
      </c>
      <c r="F36" s="200">
        <v>638.4</v>
      </c>
      <c r="G36" s="162">
        <v>45842</v>
      </c>
      <c r="H36" s="203" t="s">
        <v>199</v>
      </c>
      <c r="I36" s="186">
        <f t="shared" si="6"/>
        <v>4</v>
      </c>
      <c r="J36" s="204">
        <f>IF($H36="USD",IF(OR($I36="",$I36="-"),"",VLOOKUP($G36,為替!$A:$AX,$I36,FALSE))+$J$3,IF(OR($I36="",$I36="-"),"",VLOOKUP($G36,為替!$A:$AX,$I36,FALSE)))</f>
        <v>144.13</v>
      </c>
      <c r="K36" s="205">
        <f t="shared" si="7"/>
        <v>92012.59199999999</v>
      </c>
      <c r="L36" s="189">
        <f t="shared" si="8"/>
        <v>3</v>
      </c>
      <c r="M36" s="204">
        <f>IF($H36="USD",IF(OR($L36="",$L36="-"),"",VLOOKUP($G36,為替!$A:$AX,$L36,FALSE))+$K$3,IF(OR($L36="",$L36="-"),"",VLOOKUP($G36,為替!$A:$AX,$L36,FALSE)))</f>
        <v>145.13</v>
      </c>
      <c r="N36" s="205">
        <f t="shared" si="9"/>
        <v>82644.2785</v>
      </c>
      <c r="O36" s="206">
        <f t="shared" si="4"/>
        <v>9368.3134999999893</v>
      </c>
      <c r="P36" s="207">
        <f t="shared" si="5"/>
        <v>0.10181555911390899</v>
      </c>
    </row>
    <row r="37" spans="1:16">
      <c r="A37" s="163" t="s">
        <v>344</v>
      </c>
      <c r="B37" s="163">
        <v>6267</v>
      </c>
      <c r="C37" s="200">
        <v>461.16</v>
      </c>
      <c r="D37" s="201">
        <v>28.55</v>
      </c>
      <c r="E37" s="202" t="s">
        <v>199</v>
      </c>
      <c r="F37" s="200">
        <v>549</v>
      </c>
      <c r="G37" s="162">
        <v>45842</v>
      </c>
      <c r="H37" s="203" t="s">
        <v>199</v>
      </c>
      <c r="I37" s="186">
        <f t="shared" si="6"/>
        <v>4</v>
      </c>
      <c r="J37" s="204">
        <f>IF($H37="USD",IF(OR($I37="",$I37="-"),"",VLOOKUP($G37,為替!$A:$AX,$I37,FALSE))+$J$3,IF(OR($I37="",$I37="-"),"",VLOOKUP($G37,為替!$A:$AX,$I37,FALSE)))</f>
        <v>144.13</v>
      </c>
      <c r="K37" s="205">
        <f t="shared" si="7"/>
        <v>79127.37</v>
      </c>
      <c r="L37" s="189">
        <f t="shared" si="8"/>
        <v>3</v>
      </c>
      <c r="M37" s="204">
        <f>IF($H37="USD",IF(OR($L37="",$L37="-"),"",VLOOKUP($G37,為替!$A:$AX,$L37,FALSE))+$K$3,IF(OR($L37="",$L37="-"),"",VLOOKUP($G37,為替!$A:$AX,$L37,FALSE)))</f>
        <v>145.13</v>
      </c>
      <c r="N37" s="205">
        <f t="shared" si="9"/>
        <v>71071.612300000008</v>
      </c>
      <c r="O37" s="206">
        <f t="shared" si="4"/>
        <v>8055.7576999999874</v>
      </c>
      <c r="P37" s="207">
        <f t="shared" si="5"/>
        <v>0.10180747445542532</v>
      </c>
    </row>
    <row r="38" spans="1:16">
      <c r="A38" s="163" t="s">
        <v>344</v>
      </c>
      <c r="B38" s="163">
        <v>7268</v>
      </c>
      <c r="C38" s="200">
        <v>1168.94</v>
      </c>
      <c r="D38" s="201">
        <v>72.36</v>
      </c>
      <c r="E38" s="202" t="s">
        <v>199</v>
      </c>
      <c r="F38" s="200">
        <v>1391.6</v>
      </c>
      <c r="G38" s="162">
        <v>45842</v>
      </c>
      <c r="H38" s="203" t="s">
        <v>199</v>
      </c>
      <c r="I38" s="186">
        <f t="shared" si="6"/>
        <v>4</v>
      </c>
      <c r="J38" s="204">
        <f>IF($H38="USD",IF(OR($I38="",$I38="-"),"",VLOOKUP($G38,為替!$A:$AX,$I38,FALSE))+$J$3,IF(OR($I38="",$I38="-"),"",VLOOKUP($G38,為替!$A:$AX,$I38,FALSE)))</f>
        <v>144.13</v>
      </c>
      <c r="K38" s="205">
        <f t="shared" si="7"/>
        <v>200571.30799999999</v>
      </c>
      <c r="L38" s="189">
        <f t="shared" si="8"/>
        <v>3</v>
      </c>
      <c r="M38" s="204">
        <f>IF($H38="USD",IF(OR($L38="",$L38="-"),"",VLOOKUP($G38,為替!$A:$AX,$L38,FALSE))+$K$3,IF(OR($L38="",$L38="-"),"",VLOOKUP($G38,為替!$A:$AX,$L38,FALSE)))</f>
        <v>145.13</v>
      </c>
      <c r="N38" s="205">
        <f t="shared" si="9"/>
        <v>180149.86899999998</v>
      </c>
      <c r="O38" s="206">
        <f t="shared" si="4"/>
        <v>20421.439000000013</v>
      </c>
      <c r="P38" s="207">
        <f t="shared" si="5"/>
        <v>0.10181635251638292</v>
      </c>
    </row>
    <row r="39" spans="1:16">
      <c r="A39" s="163" t="s">
        <v>343</v>
      </c>
      <c r="B39" s="163">
        <v>7286</v>
      </c>
      <c r="C39" s="200">
        <v>304.86</v>
      </c>
      <c r="D39" s="201">
        <v>0</v>
      </c>
      <c r="E39" s="202" t="s">
        <v>199</v>
      </c>
      <c r="F39" s="200">
        <v>333.86</v>
      </c>
      <c r="G39" s="162">
        <v>45853</v>
      </c>
      <c r="H39" s="203" t="s">
        <v>199</v>
      </c>
      <c r="I39" s="186">
        <f t="shared" si="6"/>
        <v>4</v>
      </c>
      <c r="J39" s="204">
        <f>IF($H39="USD",IF(OR($I39="",$I39="-"),"",VLOOKUP($G39,為替!$A:$AX,$I39,FALSE))+$J$3,IF(OR($I39="",$I39="-"),"",VLOOKUP($G39,為替!$A:$AX,$I39,FALSE)))</f>
        <v>147.19</v>
      </c>
      <c r="K39" s="205">
        <f t="shared" si="7"/>
        <v>49140.8534</v>
      </c>
      <c r="L39" s="189">
        <f t="shared" si="8"/>
        <v>3</v>
      </c>
      <c r="M39" s="204">
        <f>IF($H39="USD",IF(OR($L39="",$L39="-"),"",VLOOKUP($G39,為替!$A:$AX,$L39,FALSE))+$K$3,IF(OR($L39="",$L39="-"),"",VLOOKUP($G39,為替!$A:$AX,$L39,FALSE)))</f>
        <v>148.19</v>
      </c>
      <c r="N39" s="205">
        <f t="shared" si="9"/>
        <v>45177.203399999999</v>
      </c>
      <c r="O39" s="206">
        <f t="shared" si="4"/>
        <v>3963.6500000000015</v>
      </c>
      <c r="P39" s="207">
        <f t="shared" si="5"/>
        <v>8.0658957379848864E-2</v>
      </c>
    </row>
    <row r="40" spans="1:16">
      <c r="A40" s="163" t="s">
        <v>343</v>
      </c>
      <c r="B40" s="163">
        <v>7287</v>
      </c>
      <c r="C40" s="200">
        <v>2740.11</v>
      </c>
      <c r="D40" s="201">
        <v>0</v>
      </c>
      <c r="E40" s="202" t="s">
        <v>199</v>
      </c>
      <c r="F40" s="200">
        <v>2903.37</v>
      </c>
      <c r="G40" s="162">
        <v>45853</v>
      </c>
      <c r="H40" s="203" t="s">
        <v>199</v>
      </c>
      <c r="I40" s="186">
        <f t="shared" si="6"/>
        <v>4</v>
      </c>
      <c r="J40" s="204">
        <f>IF($H40="USD",IF(OR($I40="",$I40="-"),"",VLOOKUP($G40,為替!$A:$AX,$I40,FALSE))+$J$3,IF(OR($I40="",$I40="-"),"",VLOOKUP($G40,為替!$A:$AX,$I40,FALSE)))</f>
        <v>147.19</v>
      </c>
      <c r="K40" s="205">
        <f t="shared" si="7"/>
        <v>427347.03029999998</v>
      </c>
      <c r="L40" s="189">
        <f t="shared" si="8"/>
        <v>3</v>
      </c>
      <c r="M40" s="204">
        <f>IF($H40="USD",IF(OR($L40="",$L40="-"),"",VLOOKUP($G40,為替!$A:$AX,$L40,FALSE))+$K$3,IF(OR($L40="",$L40="-"),"",VLOOKUP($G40,為替!$A:$AX,$L40,FALSE)))</f>
        <v>148.19</v>
      </c>
      <c r="N40" s="205">
        <f t="shared" si="9"/>
        <v>406056.90090000001</v>
      </c>
      <c r="O40" s="206">
        <f t="shared" si="4"/>
        <v>21290.129399999976</v>
      </c>
      <c r="P40" s="207">
        <f t="shared" si="5"/>
        <v>4.9819298814488516E-2</v>
      </c>
    </row>
    <row r="41" spans="1:16">
      <c r="A41" s="163" t="s">
        <v>343</v>
      </c>
      <c r="B41" s="163">
        <v>7288</v>
      </c>
      <c r="C41" s="200">
        <v>3335.8</v>
      </c>
      <c r="D41" s="201">
        <v>0</v>
      </c>
      <c r="E41" s="202" t="s">
        <v>199</v>
      </c>
      <c r="F41" s="200">
        <v>3534.35</v>
      </c>
      <c r="G41" s="162">
        <v>45853</v>
      </c>
      <c r="H41" s="203" t="s">
        <v>199</v>
      </c>
      <c r="I41" s="186">
        <f t="shared" si="6"/>
        <v>4</v>
      </c>
      <c r="J41" s="204">
        <f>IF($H41="USD",IF(OR($I41="",$I41="-"),"",VLOOKUP($G41,為替!$A:$AX,$I41,FALSE))+$J$3,IF(OR($I41="",$I41="-"),"",VLOOKUP($G41,為替!$A:$AX,$I41,FALSE)))</f>
        <v>147.19</v>
      </c>
      <c r="K41" s="205">
        <f t="shared" si="7"/>
        <v>520220.97649999999</v>
      </c>
      <c r="L41" s="189">
        <f t="shared" si="8"/>
        <v>3</v>
      </c>
      <c r="M41" s="204">
        <f>IF($H41="USD",IF(OR($L41="",$L41="-"),"",VLOOKUP($G41,為替!$A:$AX,$L41,FALSE))+$K$3,IF(OR($L41="",$L41="-"),"",VLOOKUP($G41,為替!$A:$AX,$L41,FALSE)))</f>
        <v>148.19</v>
      </c>
      <c r="N41" s="205">
        <f t="shared" si="9"/>
        <v>494332.20200000005</v>
      </c>
      <c r="O41" s="206">
        <f t="shared" si="4"/>
        <v>25888.774499999941</v>
      </c>
      <c r="P41" s="207">
        <f t="shared" si="5"/>
        <v>4.9764956949981703E-2</v>
      </c>
    </row>
    <row r="42" spans="1:16">
      <c r="A42" s="163" t="s">
        <v>344</v>
      </c>
      <c r="B42" s="163">
        <v>7296</v>
      </c>
      <c r="C42" s="200">
        <v>5860.51</v>
      </c>
      <c r="D42" s="201">
        <v>362.79</v>
      </c>
      <c r="E42" s="202" t="s">
        <v>199</v>
      </c>
      <c r="F42" s="200">
        <v>6976.8</v>
      </c>
      <c r="G42" s="162">
        <v>45856</v>
      </c>
      <c r="H42" s="203" t="s">
        <v>199</v>
      </c>
      <c r="I42" s="186">
        <f t="shared" si="6"/>
        <v>4</v>
      </c>
      <c r="J42" s="204">
        <f>IF($H42="USD",IF(OR($I42="",$I42="-"),"",VLOOKUP($G42,為替!$A:$AX,$I42,FALSE))+$J$3,IF(OR($I42="",$I42="-"),"",VLOOKUP($G42,為替!$A:$AX,$I42,FALSE)))</f>
        <v>148.19</v>
      </c>
      <c r="K42" s="205">
        <f t="shared" si="7"/>
        <v>1033891.992</v>
      </c>
      <c r="L42" s="189">
        <f t="shared" si="8"/>
        <v>3</v>
      </c>
      <c r="M42" s="204">
        <f>IF($H42="USD",IF(OR($L42="",$L42="-"),"",VLOOKUP($G42,為替!$A:$AX,$L42,FALSE))+$K$3,IF(OR($L42="",$L42="-"),"",VLOOKUP($G42,為替!$A:$AX,$L42,FALSE)))</f>
        <v>149.19</v>
      </c>
      <c r="N42" s="205">
        <f t="shared" si="9"/>
        <v>928454.12699999998</v>
      </c>
      <c r="O42" s="206">
        <f t="shared" si="4"/>
        <v>105437.86499999999</v>
      </c>
      <c r="P42" s="207">
        <f t="shared" si="5"/>
        <v>0.10198150852879417</v>
      </c>
    </row>
    <row r="43" spans="1:16">
      <c r="A43" s="163" t="s">
        <v>344</v>
      </c>
      <c r="B43" s="163">
        <v>7297</v>
      </c>
      <c r="C43" s="200">
        <v>4052.16</v>
      </c>
      <c r="D43" s="201">
        <v>250.85</v>
      </c>
      <c r="E43" s="202" t="s">
        <v>199</v>
      </c>
      <c r="F43" s="200">
        <v>4824</v>
      </c>
      <c r="G43" s="162">
        <v>45856</v>
      </c>
      <c r="H43" s="203" t="s">
        <v>199</v>
      </c>
      <c r="I43" s="186">
        <f t="shared" si="6"/>
        <v>4</v>
      </c>
      <c r="J43" s="204">
        <f>IF($H43="USD",IF(OR($I43="",$I43="-"),"",VLOOKUP($G43,為替!$A:$AX,$I43,FALSE))+$J$3,IF(OR($I43="",$I43="-"),"",VLOOKUP($G43,為替!$A:$AX,$I43,FALSE)))</f>
        <v>148.19</v>
      </c>
      <c r="K43" s="205">
        <f t="shared" si="7"/>
        <v>714868.55999999994</v>
      </c>
      <c r="L43" s="189">
        <f t="shared" si="8"/>
        <v>3</v>
      </c>
      <c r="M43" s="204">
        <f>IF($H43="USD",IF(OR($L43="",$L43="-"),"",VLOOKUP($G43,為替!$A:$AX,$L43,FALSE))+$K$3,IF(OR($L43="",$L43="-"),"",VLOOKUP($G43,為替!$A:$AX,$L43,FALSE)))</f>
        <v>149.19</v>
      </c>
      <c r="N43" s="205">
        <f t="shared" si="9"/>
        <v>641966.06189999997</v>
      </c>
      <c r="O43" s="206">
        <f t="shared" si="4"/>
        <v>72902.498099999968</v>
      </c>
      <c r="P43" s="207">
        <f t="shared" si="5"/>
        <v>0.10198028306070696</v>
      </c>
    </row>
    <row r="44" spans="1:16">
      <c r="A44" s="163" t="s">
        <v>344</v>
      </c>
      <c r="B44" s="163">
        <v>7298</v>
      </c>
      <c r="C44" s="200">
        <v>2478.33</v>
      </c>
      <c r="D44" s="201">
        <v>153.41999999999999</v>
      </c>
      <c r="E44" s="202" t="s">
        <v>199</v>
      </c>
      <c r="F44" s="200">
        <v>2950.4</v>
      </c>
      <c r="G44" s="162">
        <v>45856</v>
      </c>
      <c r="H44" s="203" t="s">
        <v>199</v>
      </c>
      <c r="I44" s="186">
        <f t="shared" si="6"/>
        <v>4</v>
      </c>
      <c r="J44" s="204">
        <f>IF($H44="USD",IF(OR($I44="",$I44="-"),"",VLOOKUP($G44,為替!$A:$AX,$I44,FALSE))+$J$3,IF(OR($I44="",$I44="-"),"",VLOOKUP($G44,為替!$A:$AX,$I44,FALSE)))</f>
        <v>148.19</v>
      </c>
      <c r="K44" s="205">
        <f t="shared" si="7"/>
        <v>437219.77600000001</v>
      </c>
      <c r="L44" s="189">
        <f t="shared" si="8"/>
        <v>3</v>
      </c>
      <c r="M44" s="204">
        <f>IF($H44="USD",IF(OR($L44="",$L44="-"),"",VLOOKUP($G44,為替!$A:$AX,$L44,FALSE))+$K$3,IF(OR($L44="",$L44="-"),"",VLOOKUP($G44,為替!$A:$AX,$L44,FALSE)))</f>
        <v>149.19</v>
      </c>
      <c r="N44" s="205">
        <f t="shared" si="9"/>
        <v>392630.78249999997</v>
      </c>
      <c r="O44" s="206">
        <f t="shared" si="4"/>
        <v>44588.993500000041</v>
      </c>
      <c r="P44" s="207">
        <f t="shared" si="5"/>
        <v>0.10198302077717555</v>
      </c>
    </row>
    <row r="45" spans="1:16">
      <c r="A45" s="163" t="s">
        <v>344</v>
      </c>
      <c r="B45" s="163">
        <v>7320</v>
      </c>
      <c r="C45" s="200">
        <v>720.72</v>
      </c>
      <c r="D45" s="201">
        <v>44.62</v>
      </c>
      <c r="E45" s="202" t="s">
        <v>199</v>
      </c>
      <c r="F45" s="200">
        <v>858</v>
      </c>
      <c r="G45" s="162">
        <v>45863</v>
      </c>
      <c r="H45" s="203" t="s">
        <v>199</v>
      </c>
      <c r="I45" s="186">
        <f t="shared" si="6"/>
        <v>4</v>
      </c>
      <c r="J45" s="204">
        <f>IF($H45="USD",IF(OR($I45="",$I45="-"),"",VLOOKUP($G45,為替!$A:$AX,$I45,FALSE))+$J$3,IF(OR($I45="",$I45="-"),"",VLOOKUP($G45,為替!$A:$AX,$I45,FALSE)))</f>
        <v>146.91999999999999</v>
      </c>
      <c r="K45" s="205">
        <f t="shared" si="7"/>
        <v>126057.35999999999</v>
      </c>
      <c r="L45" s="189">
        <f t="shared" si="8"/>
        <v>3</v>
      </c>
      <c r="M45" s="204">
        <f>IF($H45="USD",IF(OR($L45="",$L45="-"),"",VLOOKUP($G45,為替!$A:$AX,$L45,FALSE))+$K$3,IF(OR($L45="",$L45="-"),"",VLOOKUP($G45,為替!$A:$AX,$L45,FALSE)))</f>
        <v>147.91999999999999</v>
      </c>
      <c r="N45" s="205">
        <f t="shared" si="9"/>
        <v>113209.0928</v>
      </c>
      <c r="O45" s="206">
        <f t="shared" si="4"/>
        <v>12848.267199999987</v>
      </c>
      <c r="P45" s="207">
        <f t="shared" si="5"/>
        <v>0.10192397492696967</v>
      </c>
    </row>
    <row r="46" spans="1:16">
      <c r="A46" s="163" t="s">
        <v>344</v>
      </c>
      <c r="B46" s="163">
        <v>7321</v>
      </c>
      <c r="C46" s="200">
        <v>3822.33</v>
      </c>
      <c r="D46" s="201">
        <v>236.62</v>
      </c>
      <c r="E46" s="202" t="s">
        <v>199</v>
      </c>
      <c r="F46" s="200">
        <v>4550.3999999999996</v>
      </c>
      <c r="G46" s="162">
        <v>45863</v>
      </c>
      <c r="H46" s="203" t="s">
        <v>199</v>
      </c>
      <c r="I46" s="186">
        <f t="shared" si="6"/>
        <v>4</v>
      </c>
      <c r="J46" s="204">
        <f>IF($H46="USD",IF(OR($I46="",$I46="-"),"",VLOOKUP($G46,為替!$A:$AX,$I46,FALSE))+$J$3,IF(OR($I46="",$I46="-"),"",VLOOKUP($G46,為替!$A:$AX,$I46,FALSE)))</f>
        <v>146.91999999999999</v>
      </c>
      <c r="K46" s="205">
        <f t="shared" si="7"/>
        <v>668544.76799999992</v>
      </c>
      <c r="L46" s="189">
        <f t="shared" si="8"/>
        <v>3</v>
      </c>
      <c r="M46" s="204">
        <f>IF($H46="USD",IF(OR($L46="",$L46="-"),"",VLOOKUP($G46,為替!$A:$AX,$L46,FALSE))+$K$3,IF(OR($L46="",$L46="-"),"",VLOOKUP($G46,為替!$A:$AX,$L46,FALSE)))</f>
        <v>147.91999999999999</v>
      </c>
      <c r="N46" s="205">
        <f t="shared" si="9"/>
        <v>600399.88399999996</v>
      </c>
      <c r="O46" s="206">
        <f t="shared" si="4"/>
        <v>68144.883999999962</v>
      </c>
      <c r="P46" s="207">
        <f t="shared" si="5"/>
        <v>0.10193017320868476</v>
      </c>
    </row>
    <row r="47" spans="1:16">
      <c r="A47" s="163" t="s">
        <v>344</v>
      </c>
      <c r="B47" s="163">
        <v>7322</v>
      </c>
      <c r="C47" s="200">
        <v>1047.48</v>
      </c>
      <c r="D47" s="201">
        <v>64.84</v>
      </c>
      <c r="E47" s="202" t="s">
        <v>199</v>
      </c>
      <c r="F47" s="200">
        <v>1247</v>
      </c>
      <c r="G47" s="162">
        <v>45863</v>
      </c>
      <c r="H47" s="203" t="s">
        <v>199</v>
      </c>
      <c r="I47" s="186">
        <f t="shared" si="6"/>
        <v>4</v>
      </c>
      <c r="J47" s="204">
        <f>IF($H47="USD",IF(OR($I47="",$I47="-"),"",VLOOKUP($G47,為替!$A:$AX,$I47,FALSE))+$J$3,IF(OR($I47="",$I47="-"),"",VLOOKUP($G47,為替!$A:$AX,$I47,FALSE)))</f>
        <v>146.91999999999999</v>
      </c>
      <c r="K47" s="205">
        <f t="shared" si="7"/>
        <v>183209.24</v>
      </c>
      <c r="L47" s="189">
        <f t="shared" si="8"/>
        <v>3</v>
      </c>
      <c r="M47" s="204">
        <f>IF($H47="USD",IF(OR($L47="",$L47="-"),"",VLOOKUP($G47,為替!$A:$AX,$L47,FALSE))+$K$3,IF(OR($L47="",$L47="-"),"",VLOOKUP($G47,為替!$A:$AX,$L47,FALSE)))</f>
        <v>147.91999999999999</v>
      </c>
      <c r="N47" s="205">
        <f t="shared" si="9"/>
        <v>164534.37439999997</v>
      </c>
      <c r="O47" s="206">
        <f t="shared" si="4"/>
        <v>18674.865600000019</v>
      </c>
      <c r="P47" s="207">
        <f t="shared" si="5"/>
        <v>0.10193189819465448</v>
      </c>
    </row>
    <row r="48" spans="1:16">
      <c r="A48" s="163" t="s">
        <v>344</v>
      </c>
      <c r="B48" s="163">
        <v>7323</v>
      </c>
      <c r="C48" s="200">
        <v>6797.78</v>
      </c>
      <c r="D48" s="201">
        <v>420.81</v>
      </c>
      <c r="E48" s="202" t="s">
        <v>199</v>
      </c>
      <c r="F48" s="200">
        <v>8092.6</v>
      </c>
      <c r="G48" s="162">
        <v>45863</v>
      </c>
      <c r="H48" s="203" t="s">
        <v>199</v>
      </c>
      <c r="I48" s="186">
        <f t="shared" si="6"/>
        <v>4</v>
      </c>
      <c r="J48" s="204">
        <f>IF($H48="USD",IF(OR($I48="",$I48="-"),"",VLOOKUP($G48,為替!$A:$AX,$I48,FALSE))+$J$3,IF(OR($I48="",$I48="-"),"",VLOOKUP($G48,為替!$A:$AX,$I48,FALSE)))</f>
        <v>146.91999999999999</v>
      </c>
      <c r="K48" s="205">
        <f t="shared" si="7"/>
        <v>1188964.7919999999</v>
      </c>
      <c r="L48" s="189">
        <f t="shared" si="8"/>
        <v>3</v>
      </c>
      <c r="M48" s="204">
        <f>IF($H48="USD",IF(OR($L48="",$L48="-"),"",VLOOKUP($G48,為替!$A:$AX,$L48,FALSE))+$K$3,IF(OR($L48="",$L48="-"),"",VLOOKUP($G48,為替!$A:$AX,$L48,FALSE)))</f>
        <v>147.91999999999999</v>
      </c>
      <c r="N48" s="205">
        <f t="shared" si="9"/>
        <v>1067773.8328</v>
      </c>
      <c r="O48" s="206">
        <f t="shared" si="4"/>
        <v>121190.95919999992</v>
      </c>
      <c r="P48" s="207">
        <f t="shared" si="5"/>
        <v>0.10192981324210644</v>
      </c>
    </row>
    <row r="49" spans="1:16">
      <c r="A49" s="163" t="s">
        <v>344</v>
      </c>
      <c r="B49" s="163">
        <v>7324</v>
      </c>
      <c r="C49" s="200">
        <v>2256.2399999999998</v>
      </c>
      <c r="D49" s="201">
        <v>139.66999999999999</v>
      </c>
      <c r="E49" s="202" t="s">
        <v>199</v>
      </c>
      <c r="F49" s="200">
        <v>2686</v>
      </c>
      <c r="G49" s="162">
        <v>45863</v>
      </c>
      <c r="H49" s="203" t="s">
        <v>199</v>
      </c>
      <c r="I49" s="186">
        <f t="shared" si="6"/>
        <v>4</v>
      </c>
      <c r="J49" s="204">
        <f>IF($H49="USD",IF(OR($I49="",$I49="-"),"",VLOOKUP($G49,為替!$A:$AX,$I49,FALSE))+$J$3,IF(OR($I49="",$I49="-"),"",VLOOKUP($G49,為替!$A:$AX,$I49,FALSE)))</f>
        <v>146.91999999999999</v>
      </c>
      <c r="K49" s="205">
        <f t="shared" si="7"/>
        <v>394627.12</v>
      </c>
      <c r="L49" s="189">
        <f t="shared" si="8"/>
        <v>3</v>
      </c>
      <c r="M49" s="204">
        <f>IF($H49="USD",IF(OR($L49="",$L49="-"),"",VLOOKUP($G49,為替!$A:$AX,$L49,FALSE))+$K$3,IF(OR($L49="",$L49="-"),"",VLOOKUP($G49,為替!$A:$AX,$L49,FALSE)))</f>
        <v>147.91999999999999</v>
      </c>
      <c r="N49" s="205">
        <f t="shared" si="9"/>
        <v>354403.00719999993</v>
      </c>
      <c r="O49" s="206">
        <f t="shared" si="4"/>
        <v>40224.112800000061</v>
      </c>
      <c r="P49" s="207">
        <f t="shared" si="5"/>
        <v>0.10192941833293176</v>
      </c>
    </row>
    <row r="50" spans="1:16">
      <c r="A50" s="163" t="s">
        <v>344</v>
      </c>
      <c r="B50" s="163">
        <v>7325</v>
      </c>
      <c r="C50" s="200">
        <v>831.33</v>
      </c>
      <c r="D50" s="201">
        <v>51.47</v>
      </c>
      <c r="E50" s="202" t="s">
        <v>199</v>
      </c>
      <c r="F50" s="200">
        <v>989.82</v>
      </c>
      <c r="G50" s="162">
        <v>45863</v>
      </c>
      <c r="H50" s="203" t="s">
        <v>199</v>
      </c>
      <c r="I50" s="186">
        <f t="shared" si="6"/>
        <v>4</v>
      </c>
      <c r="J50" s="204">
        <f>IF($H50="USD",IF(OR($I50="",$I50="-"),"",VLOOKUP($G50,為替!$A:$AX,$I50,FALSE))+$J$3,IF(OR($I50="",$I50="-"),"",VLOOKUP($G50,為替!$A:$AX,$I50,FALSE)))</f>
        <v>146.91999999999999</v>
      </c>
      <c r="K50" s="205">
        <f t="shared" si="7"/>
        <v>145424.35439999998</v>
      </c>
      <c r="L50" s="189">
        <f t="shared" si="8"/>
        <v>3</v>
      </c>
      <c r="M50" s="204">
        <f>IF($H50="USD",IF(OR($L50="",$L50="-"),"",VLOOKUP($G50,為替!$A:$AX,$L50,FALSE))+$K$3,IF(OR($L50="",$L50="-"),"",VLOOKUP($G50,為替!$A:$AX,$L50,FALSE)))</f>
        <v>147.91999999999999</v>
      </c>
      <c r="N50" s="205">
        <f t="shared" si="9"/>
        <v>130583.776</v>
      </c>
      <c r="O50" s="206">
        <f t="shared" si="4"/>
        <v>14840.578399999984</v>
      </c>
      <c r="P50" s="207">
        <f t="shared" si="5"/>
        <v>0.10205015838805048</v>
      </c>
    </row>
    <row r="51" spans="1:16">
      <c r="A51" s="163" t="s">
        <v>344</v>
      </c>
      <c r="B51" s="163">
        <v>7326</v>
      </c>
      <c r="C51" s="200">
        <v>4023.94</v>
      </c>
      <c r="D51" s="201">
        <v>249.1</v>
      </c>
      <c r="E51" s="202" t="s">
        <v>199</v>
      </c>
      <c r="F51" s="200">
        <v>4790.3999999999996</v>
      </c>
      <c r="G51" s="162">
        <v>45866</v>
      </c>
      <c r="H51" s="203" t="s">
        <v>199</v>
      </c>
      <c r="I51" s="186">
        <f t="shared" si="6"/>
        <v>4</v>
      </c>
      <c r="J51" s="204">
        <f>IF($H51="USD",IF(OR($I51="",$I51="-"),"",VLOOKUP($G51,為替!$A:$AX,$I51,FALSE))+$J$3,IF(OR($I51="",$I51="-"),"",VLOOKUP($G51,為替!$A:$AX,$I51,FALSE)))</f>
        <v>147.27000000000001</v>
      </c>
      <c r="K51" s="205">
        <f t="shared" si="7"/>
        <v>705482.20799999998</v>
      </c>
      <c r="L51" s="189">
        <f t="shared" si="8"/>
        <v>3</v>
      </c>
      <c r="M51" s="204">
        <f>IF($H51="USD",IF(OR($L51="",$L51="-"),"",VLOOKUP($G51,為替!$A:$AX,$L51,FALSE))+$K$3,IF(OR($L51="",$L51="-"),"",VLOOKUP($G51,為替!$A:$AX,$L51,FALSE)))</f>
        <v>148.27000000000001</v>
      </c>
      <c r="N51" s="205">
        <f t="shared" si="9"/>
        <v>633563.64080000005</v>
      </c>
      <c r="O51" s="206">
        <f t="shared" si="4"/>
        <v>71918.567199999932</v>
      </c>
      <c r="P51" s="207">
        <f t="shared" si="5"/>
        <v>0.10194242517310931</v>
      </c>
    </row>
    <row r="52" spans="1:16">
      <c r="A52" s="163" t="s">
        <v>343</v>
      </c>
      <c r="B52" s="163">
        <v>7305</v>
      </c>
      <c r="C52" s="200">
        <v>118.92</v>
      </c>
      <c r="D52" s="201">
        <v>0</v>
      </c>
      <c r="E52" s="202" t="s">
        <v>199</v>
      </c>
      <c r="F52" s="200">
        <v>125.04</v>
      </c>
      <c r="G52" s="162">
        <v>45857</v>
      </c>
      <c r="H52" s="203" t="s">
        <v>199</v>
      </c>
      <c r="I52" s="186">
        <f t="shared" si="6"/>
        <v>4</v>
      </c>
      <c r="J52" s="204">
        <f>IF($H52="USD",IF(OR($I52="",$I52="-"),"",VLOOKUP($G52,為替!$A:$AX,$I52,FALSE))+$J$3,IF(OR($I52="",$I52="-"),"",VLOOKUP($G52,為替!$A:$AX,$I52,FALSE)))</f>
        <v>148.19</v>
      </c>
      <c r="K52" s="205">
        <f t="shared" si="7"/>
        <v>18529.677599999999</v>
      </c>
      <c r="L52" s="189">
        <f t="shared" si="8"/>
        <v>3</v>
      </c>
      <c r="M52" s="204">
        <f>IF($H52="USD",IF(OR($L52="",$L52="-"),"",VLOOKUP($G52,為替!$A:$AX,$L52,FALSE))+$K$3,IF(OR($L52="",$L52="-"),"",VLOOKUP($G52,為替!$A:$AX,$L52,FALSE)))</f>
        <v>149.19</v>
      </c>
      <c r="N52" s="205">
        <f t="shared" si="9"/>
        <v>17741.674800000001</v>
      </c>
      <c r="O52" s="206">
        <f t="shared" si="4"/>
        <v>788.00279999999839</v>
      </c>
      <c r="P52" s="207">
        <f t="shared" si="5"/>
        <v>4.2526525124214704E-2</v>
      </c>
    </row>
    <row r="53" spans="1:16">
      <c r="A53" s="163" t="s">
        <v>343</v>
      </c>
      <c r="B53" s="163">
        <v>7304</v>
      </c>
      <c r="C53" s="200">
        <v>496.75</v>
      </c>
      <c r="D53" s="201">
        <v>0</v>
      </c>
      <c r="E53" s="202" t="s">
        <v>199</v>
      </c>
      <c r="F53" s="200">
        <v>526.36</v>
      </c>
      <c r="G53" s="162">
        <v>45859</v>
      </c>
      <c r="H53" s="203" t="s">
        <v>199</v>
      </c>
      <c r="I53" s="186">
        <f t="shared" si="6"/>
        <v>4</v>
      </c>
      <c r="J53" s="204">
        <f>IF($H53="USD",IF(OR($I53="",$I53="-"),"",VLOOKUP($G53,為替!$A:$AX,$I53,FALSE))+$J$3,IF(OR($I53="",$I53="-"),"",VLOOKUP($G53,為替!$A:$AX,$I53,FALSE)))</f>
        <v>148.19</v>
      </c>
      <c r="K53" s="205">
        <f t="shared" si="7"/>
        <v>78001.288400000005</v>
      </c>
      <c r="L53" s="189">
        <f t="shared" si="8"/>
        <v>3</v>
      </c>
      <c r="M53" s="204">
        <f>IF($H53="USD",IF(OR($L53="",$L53="-"),"",VLOOKUP($G53,為替!$A:$AX,$L53,FALSE))+$K$3,IF(OR($L53="",$L53="-"),"",VLOOKUP($G53,為替!$A:$AX,$L53,FALSE)))</f>
        <v>149.19</v>
      </c>
      <c r="N53" s="205">
        <f t="shared" si="9"/>
        <v>74110.132499999992</v>
      </c>
      <c r="O53" s="206">
        <f t="shared" si="4"/>
        <v>3891.1559000000125</v>
      </c>
      <c r="P53" s="207">
        <f t="shared" si="5"/>
        <v>4.988579009164177E-2</v>
      </c>
    </row>
    <row r="54" spans="1:16">
      <c r="A54" s="163" t="s">
        <v>343</v>
      </c>
      <c r="B54" s="163">
        <v>7311</v>
      </c>
      <c r="C54" s="200">
        <v>294.83999999999997</v>
      </c>
      <c r="D54" s="201">
        <v>0</v>
      </c>
      <c r="E54" s="202" t="s">
        <v>199</v>
      </c>
      <c r="F54" s="200">
        <v>322.92</v>
      </c>
      <c r="G54" s="162">
        <v>45861</v>
      </c>
      <c r="H54" s="203" t="s">
        <v>199</v>
      </c>
      <c r="I54" s="186">
        <f t="shared" si="6"/>
        <v>4</v>
      </c>
      <c r="J54" s="204">
        <f>IF($H54="USD",IF(OR($I54="",$I54="-"),"",VLOOKUP($G54,為替!$A:$AX,$I54,FALSE))+$J$3,IF(OR($I54="",$I54="-"),"",VLOOKUP($G54,為替!$A:$AX,$I54,FALSE)))</f>
        <v>145.97999999999999</v>
      </c>
      <c r="K54" s="205">
        <f t="shared" si="7"/>
        <v>47139.861599999997</v>
      </c>
      <c r="L54" s="189">
        <f t="shared" si="8"/>
        <v>3</v>
      </c>
      <c r="M54" s="204">
        <f>IF($H54="USD",IF(OR($L54="",$L54="-"),"",VLOOKUP($G54,為替!$A:$AX,$L54,FALSE))+$K$3,IF(OR($L54="",$L54="-"),"",VLOOKUP($G54,為替!$A:$AX,$L54,FALSE)))</f>
        <v>146.97999999999999</v>
      </c>
      <c r="N54" s="205">
        <f t="shared" si="9"/>
        <v>43335.583199999994</v>
      </c>
      <c r="O54" s="206">
        <f t="shared" si="4"/>
        <v>3804.2784000000029</v>
      </c>
      <c r="P54" s="207">
        <f t="shared" si="5"/>
        <v>8.0701942493611456E-2</v>
      </c>
    </row>
    <row r="55" spans="1:16">
      <c r="A55" s="163" t="s">
        <v>343</v>
      </c>
      <c r="B55" s="163">
        <v>7327</v>
      </c>
      <c r="C55" s="200">
        <v>492.87</v>
      </c>
      <c r="D55" s="201">
        <v>0</v>
      </c>
      <c r="E55" s="202" t="s">
        <v>199</v>
      </c>
      <c r="F55" s="200">
        <v>539.74</v>
      </c>
      <c r="G55" s="162">
        <v>45862</v>
      </c>
      <c r="H55" s="203" t="s">
        <v>199</v>
      </c>
      <c r="I55" s="186">
        <f t="shared" si="6"/>
        <v>4</v>
      </c>
      <c r="J55" s="204">
        <f>IF($H55="USD",IF(OR($I55="",$I55="-"),"",VLOOKUP($G55,為替!$A:$AX,$I55,FALSE))+$J$3,IF(OR($I55="",$I55="-"),"",VLOOKUP($G55,為替!$A:$AX,$I55,FALSE)))</f>
        <v>146</v>
      </c>
      <c r="K55" s="205">
        <f t="shared" si="7"/>
        <v>78802.040000000008</v>
      </c>
      <c r="L55" s="189">
        <f t="shared" si="8"/>
        <v>3</v>
      </c>
      <c r="M55" s="204">
        <f>IF($H55="USD",IF(OR($L55="",$L55="-"),"",VLOOKUP($G55,為替!$A:$AX,$L55,FALSE))+$K$3,IF(OR($L55="",$L55="-"),"",VLOOKUP($G55,為替!$A:$AX,$L55,FALSE)))</f>
        <v>147</v>
      </c>
      <c r="N55" s="205">
        <f t="shared" si="9"/>
        <v>72451.89</v>
      </c>
      <c r="O55" s="206">
        <f t="shared" si="4"/>
        <v>6350.1500000000087</v>
      </c>
      <c r="P55" s="207">
        <f t="shared" si="5"/>
        <v>8.0583573724741245E-2</v>
      </c>
    </row>
    <row r="56" spans="1:16">
      <c r="A56" s="163" t="s">
        <v>343</v>
      </c>
      <c r="B56" s="163">
        <v>7328</v>
      </c>
      <c r="C56" s="200">
        <v>277.62</v>
      </c>
      <c r="D56" s="201">
        <v>0</v>
      </c>
      <c r="E56" s="202" t="s">
        <v>199</v>
      </c>
      <c r="F56" s="200">
        <v>304.05</v>
      </c>
      <c r="G56" s="162">
        <v>45862</v>
      </c>
      <c r="H56" s="203" t="s">
        <v>199</v>
      </c>
      <c r="I56" s="186">
        <f t="shared" si="6"/>
        <v>4</v>
      </c>
      <c r="J56" s="204">
        <f>IF($H56="USD",IF(OR($I56="",$I56="-"),"",VLOOKUP($G56,為替!$A:$AX,$I56,FALSE))+$J$3,IF(OR($I56="",$I56="-"),"",VLOOKUP($G56,為替!$A:$AX,$I56,FALSE)))</f>
        <v>146</v>
      </c>
      <c r="K56" s="205">
        <f t="shared" si="7"/>
        <v>44391.3</v>
      </c>
      <c r="L56" s="189">
        <f t="shared" si="8"/>
        <v>3</v>
      </c>
      <c r="M56" s="204">
        <f>IF($H56="USD",IF(OR($L56="",$L56="-"),"",VLOOKUP($G56,為替!$A:$AX,$L56,FALSE))+$K$3,IF(OR($L56="",$L56="-"),"",VLOOKUP($G56,為替!$A:$AX,$L56,FALSE)))</f>
        <v>147</v>
      </c>
      <c r="N56" s="205">
        <f t="shared" si="9"/>
        <v>40810.14</v>
      </c>
      <c r="O56" s="206">
        <f t="shared" si="4"/>
        <v>3581.1600000000035</v>
      </c>
      <c r="P56" s="207">
        <f t="shared" si="5"/>
        <v>8.0672564218664547E-2</v>
      </c>
    </row>
    <row r="57" spans="1:16">
      <c r="A57" s="163" t="s">
        <v>343</v>
      </c>
      <c r="B57" s="163">
        <v>7282</v>
      </c>
      <c r="C57" s="200">
        <v>268.36</v>
      </c>
      <c r="D57" s="201">
        <v>0</v>
      </c>
      <c r="E57" s="202" t="s">
        <v>199</v>
      </c>
      <c r="F57" s="200">
        <v>293.94</v>
      </c>
      <c r="G57" s="162">
        <v>45868</v>
      </c>
      <c r="H57" s="203" t="s">
        <v>199</v>
      </c>
      <c r="I57" s="186">
        <f t="shared" si="6"/>
        <v>4</v>
      </c>
      <c r="J57" s="204">
        <f>IF($H57="USD",IF(OR($I57="",$I57="-"),"",VLOOKUP($G57,為替!$A:$AX,$I57,FALSE))+$J$3,IF(OR($I57="",$I57="-"),"",VLOOKUP($G57,為替!$A:$AX,$I57,FALSE)))</f>
        <v>147.75</v>
      </c>
      <c r="K57" s="205">
        <f t="shared" si="7"/>
        <v>43429.635000000002</v>
      </c>
      <c r="L57" s="189">
        <f t="shared" si="8"/>
        <v>3</v>
      </c>
      <c r="M57" s="204">
        <f>IF($H57="USD",IF(OR($L57="",$L57="-"),"",VLOOKUP($G57,為替!$A:$AX,$L57,FALSE))+$K$3,IF(OR($L57="",$L57="-"),"",VLOOKUP($G57,為替!$A:$AX,$L57,FALSE)))</f>
        <v>148.75</v>
      </c>
      <c r="N57" s="205">
        <f t="shared" si="9"/>
        <v>39918.550000000003</v>
      </c>
      <c r="O57" s="206">
        <f t="shared" si="4"/>
        <v>3511.0849999999991</v>
      </c>
      <c r="P57" s="207">
        <f t="shared" si="5"/>
        <v>8.0845372059884887E-2</v>
      </c>
    </row>
    <row r="58" spans="1:16">
      <c r="A58" s="428" t="s">
        <v>344</v>
      </c>
      <c r="B58" s="163">
        <v>7333</v>
      </c>
      <c r="C58" s="200">
        <v>315.5</v>
      </c>
      <c r="D58" s="201">
        <v>15.02</v>
      </c>
      <c r="E58" s="202" t="s">
        <v>199</v>
      </c>
      <c r="F58" s="200">
        <v>375.6</v>
      </c>
      <c r="G58" s="162">
        <v>45868</v>
      </c>
      <c r="H58" s="203" t="s">
        <v>199</v>
      </c>
      <c r="I58" s="186">
        <f t="shared" si="6"/>
        <v>4</v>
      </c>
      <c r="J58" s="204">
        <f>IF($H58="USD",IF(OR($I58="",$I58="-"),"",VLOOKUP($G58,為替!$A:$AX,$I58,FALSE))+$J$3,IF(OR($I58="",$I58="-"),"",VLOOKUP($G58,為替!$A:$AX,$I58,FALSE)))</f>
        <v>147.75</v>
      </c>
      <c r="K58" s="205">
        <f t="shared" si="7"/>
        <v>55494.9</v>
      </c>
      <c r="L58" s="189">
        <f t="shared" si="8"/>
        <v>3</v>
      </c>
      <c r="M58" s="204">
        <f>IF($H58="USD",IF(OR($L58="",$L58="-"),"",VLOOKUP($G58,為替!$A:$AX,$L58,FALSE))+$K$3,IF(OR($L58="",$L58="-"),"",VLOOKUP($G58,為替!$A:$AX,$L58,FALSE)))</f>
        <v>148.75</v>
      </c>
      <c r="N58" s="205">
        <f t="shared" si="9"/>
        <v>49164.85</v>
      </c>
      <c r="O58" s="206">
        <f t="shared" si="4"/>
        <v>6330.0500000000029</v>
      </c>
      <c r="P58" s="207">
        <f t="shared" si="5"/>
        <v>0.11406543664372767</v>
      </c>
    </row>
    <row r="59" spans="1:16">
      <c r="A59" s="163" t="s">
        <v>309</v>
      </c>
      <c r="B59" s="163">
        <v>7271</v>
      </c>
      <c r="C59" s="200">
        <v>300740</v>
      </c>
      <c r="D59" s="201">
        <v>0</v>
      </c>
      <c r="E59" s="202" t="s">
        <v>200</v>
      </c>
      <c r="F59" s="200">
        <v>378050</v>
      </c>
      <c r="G59" s="162">
        <v>45845</v>
      </c>
      <c r="H59" s="203" t="s">
        <v>200</v>
      </c>
      <c r="I59" s="186" t="str">
        <f t="shared" si="6"/>
        <v/>
      </c>
      <c r="J59" s="204" t="str">
        <f>IF($H59="USD",IF(OR($I59="",$I59="-"),"",VLOOKUP($G59,為替!$A:$AX,$I59,FALSE))+$J$3,IF(OR($I59="",$I59="-"),"",VLOOKUP($G59,為替!$A:$AX,$I59,FALSE)))</f>
        <v/>
      </c>
      <c r="K59" s="205">
        <f t="shared" si="7"/>
        <v>378050</v>
      </c>
      <c r="L59" s="189" t="str">
        <f t="shared" si="8"/>
        <v/>
      </c>
      <c r="M59" s="204" t="str">
        <f>IF($H59="USD",IF(OR($L59="",$L59="-"),"",VLOOKUP($G59,為替!$A:$AX,$L59,FALSE))+$K$3,IF(OR($L59="",$L59="-"),"",VLOOKUP($G59,為替!$A:$AX,$L59,FALSE)))</f>
        <v/>
      </c>
      <c r="N59" s="205">
        <f t="shared" si="9"/>
        <v>300740</v>
      </c>
      <c r="O59" s="206">
        <f t="shared" si="4"/>
        <v>77310</v>
      </c>
      <c r="P59" s="207">
        <f t="shared" si="5"/>
        <v>0.20449675968787198</v>
      </c>
    </row>
    <row r="60" spans="1:16">
      <c r="A60" s="163" t="s">
        <v>309</v>
      </c>
      <c r="B60" s="163">
        <v>7303</v>
      </c>
      <c r="C60" s="200">
        <v>222092</v>
      </c>
      <c r="D60" s="201">
        <v>0</v>
      </c>
      <c r="E60" s="202" t="s">
        <v>200</v>
      </c>
      <c r="F60" s="200">
        <v>286410</v>
      </c>
      <c r="G60" s="162">
        <v>45861</v>
      </c>
      <c r="H60" s="203" t="s">
        <v>200</v>
      </c>
      <c r="I60" s="186" t="str">
        <f t="shared" si="6"/>
        <v/>
      </c>
      <c r="J60" s="204" t="str">
        <f>IF($H60="USD",IF(OR($I60="",$I60="-"),"",VLOOKUP($G60,為替!$A:$AX,$I60,FALSE))+$J$3,IF(OR($I60="",$I60="-"),"",VLOOKUP($G60,為替!$A:$AX,$I60,FALSE)))</f>
        <v/>
      </c>
      <c r="K60" s="205">
        <f t="shared" si="7"/>
        <v>286410</v>
      </c>
      <c r="L60" s="189" t="str">
        <f t="shared" si="8"/>
        <v/>
      </c>
      <c r="M60" s="204" t="str">
        <f>IF($H60="USD",IF(OR($L60="",$L60="-"),"",VLOOKUP($G60,為替!$A:$AX,$L60,FALSE))+$K$3,IF(OR($L60="",$L60="-"),"",VLOOKUP($G60,為替!$A:$AX,$L60,FALSE)))</f>
        <v/>
      </c>
      <c r="N60" s="205">
        <f t="shared" si="9"/>
        <v>222092</v>
      </c>
      <c r="O60" s="206">
        <f t="shared" si="4"/>
        <v>64318</v>
      </c>
      <c r="P60" s="207">
        <f t="shared" si="5"/>
        <v>0.2245661813484166</v>
      </c>
    </row>
    <row r="61" spans="1:16">
      <c r="A61" s="163" t="s">
        <v>344</v>
      </c>
      <c r="B61" s="163">
        <v>7345</v>
      </c>
      <c r="C61" s="200">
        <v>8897.2800000000007</v>
      </c>
      <c r="D61" s="201">
        <v>550.78</v>
      </c>
      <c r="E61" s="202" t="s">
        <v>199</v>
      </c>
      <c r="F61" s="430">
        <v>10592</v>
      </c>
      <c r="G61" s="162">
        <v>45870</v>
      </c>
      <c r="H61" s="203" t="s">
        <v>199</v>
      </c>
      <c r="I61" s="186">
        <f t="shared" si="6"/>
        <v>4</v>
      </c>
      <c r="J61" s="204">
        <f>IF($H61="USD",IF(OR($I61="",$I61="-"),"",VLOOKUP($G61,為替!$A:$AX,$I61,FALSE))+$J$3,IF(OR($I61="",$I61="-"),"",VLOOKUP($G61,為替!$A:$AX,$I61,FALSE)))</f>
        <v>150.29</v>
      </c>
      <c r="K61" s="205">
        <f t="shared" si="7"/>
        <v>1591871.68</v>
      </c>
      <c r="L61" s="189">
        <f t="shared" si="8"/>
        <v>3</v>
      </c>
      <c r="M61" s="204">
        <f>IF($H61="USD",IF(OR($L61="",$L61="-"),"",VLOOKUP($G61,為替!$A:$AX,$L61,FALSE))+$K$3,IF(OR($L61="",$L61="-"),"",VLOOKUP($G61,為替!$A:$AX,$L61,FALSE)))</f>
        <v>151.29</v>
      </c>
      <c r="N61" s="205">
        <f t="shared" si="9"/>
        <v>1429396.9974000002</v>
      </c>
      <c r="O61" s="206">
        <f t="shared" si="4"/>
        <v>162474.68259999971</v>
      </c>
      <c r="P61" s="207">
        <f t="shared" si="5"/>
        <v>0.10206518819406331</v>
      </c>
    </row>
    <row r="62" spans="1:16">
      <c r="A62" s="163" t="s">
        <v>344</v>
      </c>
      <c r="B62" s="163">
        <v>7346</v>
      </c>
      <c r="C62" s="200">
        <v>569.52</v>
      </c>
      <c r="D62" s="201">
        <v>35.26</v>
      </c>
      <c r="E62" s="202" t="s">
        <v>199</v>
      </c>
      <c r="F62" s="430">
        <v>678</v>
      </c>
      <c r="G62" s="162">
        <v>45870</v>
      </c>
      <c r="H62" s="203" t="s">
        <v>199</v>
      </c>
      <c r="I62" s="186">
        <f t="shared" si="6"/>
        <v>4</v>
      </c>
      <c r="J62" s="204">
        <f>IF($H62="USD",IF(OR($I62="",$I62="-"),"",VLOOKUP($G62,為替!$A:$AX,$I62,FALSE))+$J$3,IF(OR($I62="",$I62="-"),"",VLOOKUP($G62,為替!$A:$AX,$I62,FALSE)))</f>
        <v>150.29</v>
      </c>
      <c r="K62" s="205">
        <f t="shared" si="7"/>
        <v>101896.62</v>
      </c>
      <c r="L62" s="189">
        <f t="shared" si="8"/>
        <v>3</v>
      </c>
      <c r="M62" s="204">
        <f>IF($H62="USD",IF(OR($L62="",$L62="-"),"",VLOOKUP($G62,為替!$A:$AX,$L62,FALSE))+$K$3,IF(OR($L62="",$L62="-"),"",VLOOKUP($G62,為替!$A:$AX,$L62,FALSE)))</f>
        <v>151.29</v>
      </c>
      <c r="N62" s="205">
        <f t="shared" si="9"/>
        <v>91497.166199999992</v>
      </c>
      <c r="O62" s="206">
        <f t="shared" si="4"/>
        <v>10399.453800000003</v>
      </c>
      <c r="P62" s="207">
        <f t="shared" si="5"/>
        <v>0.10205886907730603</v>
      </c>
    </row>
    <row r="63" spans="1:16">
      <c r="A63" s="163" t="s">
        <v>344</v>
      </c>
      <c r="B63" s="163">
        <v>7347</v>
      </c>
      <c r="C63" s="200">
        <v>801.02</v>
      </c>
      <c r="D63" s="201">
        <v>49.58</v>
      </c>
      <c r="E63" s="202" t="s">
        <v>199</v>
      </c>
      <c r="F63" s="430">
        <v>953.6</v>
      </c>
      <c r="G63" s="162">
        <v>45870</v>
      </c>
      <c r="H63" s="203" t="s">
        <v>199</v>
      </c>
      <c r="I63" s="186">
        <f t="shared" si="6"/>
        <v>4</v>
      </c>
      <c r="J63" s="204">
        <f>IF($H63="USD",IF(OR($I63="",$I63="-"),"",VLOOKUP($G63,為替!$A:$AX,$I63,FALSE))+$J$3,IF(OR($I63="",$I63="-"),"",VLOOKUP($G63,為替!$A:$AX,$I63,FALSE)))</f>
        <v>150.29</v>
      </c>
      <c r="K63" s="205">
        <f t="shared" si="7"/>
        <v>143316.54399999999</v>
      </c>
      <c r="L63" s="189">
        <f t="shared" si="8"/>
        <v>3</v>
      </c>
      <c r="M63" s="204">
        <f>IF($H63="USD",IF(OR($L63="",$L63="-"),"",VLOOKUP($G63,為替!$A:$AX,$L63,FALSE))+$K$3,IF(OR($L63="",$L63="-"),"",VLOOKUP($G63,為替!$A:$AX,$L63,FALSE)))</f>
        <v>151.29</v>
      </c>
      <c r="N63" s="205">
        <f t="shared" si="9"/>
        <v>128687.27399999999</v>
      </c>
      <c r="O63" s="206">
        <f t="shared" si="4"/>
        <v>14629.270000000004</v>
      </c>
      <c r="P63" s="207">
        <f t="shared" si="5"/>
        <v>0.10207663115292541</v>
      </c>
    </row>
    <row r="64" spans="1:16">
      <c r="A64" s="163" t="s">
        <v>343</v>
      </c>
      <c r="B64" s="163">
        <v>7348</v>
      </c>
      <c r="C64" s="200">
        <v>651.26</v>
      </c>
      <c r="D64" s="201">
        <v>0</v>
      </c>
      <c r="E64" s="202" t="s">
        <v>199</v>
      </c>
      <c r="F64" s="430">
        <v>714.75</v>
      </c>
      <c r="G64" s="162">
        <v>45870</v>
      </c>
      <c r="H64" s="203" t="s">
        <v>199</v>
      </c>
      <c r="I64" s="186">
        <f t="shared" si="6"/>
        <v>4</v>
      </c>
      <c r="J64" s="204">
        <f>IF($H64="USD",IF(OR($I64="",$I64="-"),"",VLOOKUP($G64,為替!$A:$AX,$I64,FALSE))+$J$3,IF(OR($I64="",$I64="-"),"",VLOOKUP($G64,為替!$A:$AX,$I64,FALSE)))</f>
        <v>150.29</v>
      </c>
      <c r="K64" s="205">
        <f t="shared" si="7"/>
        <v>107419.7775</v>
      </c>
      <c r="L64" s="189">
        <f t="shared" si="8"/>
        <v>3</v>
      </c>
      <c r="M64" s="204">
        <f>IF($H64="USD",IF(OR($L64="",$L64="-"),"",VLOOKUP($G64,為替!$A:$AX,$L64,FALSE))+$K$3,IF(OR($L64="",$L64="-"),"",VLOOKUP($G64,為替!$A:$AX,$L64,FALSE)))</f>
        <v>151.29</v>
      </c>
      <c r="N64" s="205">
        <f t="shared" si="9"/>
        <v>98529.12539999999</v>
      </c>
      <c r="O64" s="206">
        <f t="shared" si="4"/>
        <v>8890.6521000000066</v>
      </c>
      <c r="P64" s="207">
        <f t="shared" si="5"/>
        <v>8.2765504704196649E-2</v>
      </c>
    </row>
    <row r="65" spans="1:16">
      <c r="A65" s="163" t="s">
        <v>343</v>
      </c>
      <c r="B65" s="163">
        <v>7349</v>
      </c>
      <c r="C65" s="200">
        <v>780.19</v>
      </c>
      <c r="D65" s="201">
        <v>0</v>
      </c>
      <c r="E65" s="202" t="s">
        <v>199</v>
      </c>
      <c r="F65" s="430">
        <v>854.5</v>
      </c>
      <c r="G65" s="162">
        <v>45870</v>
      </c>
      <c r="H65" s="203" t="s">
        <v>199</v>
      </c>
      <c r="I65" s="186">
        <f t="shared" si="6"/>
        <v>4</v>
      </c>
      <c r="J65" s="204">
        <f>IF($H65="USD",IF(OR($I65="",$I65="-"),"",VLOOKUP($G65,為替!$A:$AX,$I65,FALSE))+$J$3,IF(OR($I65="",$I65="-"),"",VLOOKUP($G65,為替!$A:$AX,$I65,FALSE)))</f>
        <v>150.29</v>
      </c>
      <c r="K65" s="205">
        <f t="shared" si="7"/>
        <v>128422.80499999999</v>
      </c>
      <c r="L65" s="189">
        <f t="shared" si="8"/>
        <v>3</v>
      </c>
      <c r="M65" s="204">
        <f>IF($H65="USD",IF(OR($L65="",$L65="-"),"",VLOOKUP($G65,為替!$A:$AX,$L65,FALSE))+$K$3,IF(OR($L65="",$L65="-"),"",VLOOKUP($G65,為替!$A:$AX,$L65,FALSE)))</f>
        <v>151.29</v>
      </c>
      <c r="N65" s="205">
        <f t="shared" si="9"/>
        <v>118034.9451</v>
      </c>
      <c r="O65" s="206">
        <f t="shared" si="4"/>
        <v>10387.859899999996</v>
      </c>
      <c r="P65" s="207">
        <f t="shared" si="5"/>
        <v>8.0887969235682061E-2</v>
      </c>
    </row>
    <row r="66" spans="1:16">
      <c r="A66" s="163" t="s">
        <v>343</v>
      </c>
      <c r="B66" s="163">
        <v>7353</v>
      </c>
      <c r="C66" s="200">
        <v>101.37</v>
      </c>
      <c r="D66" s="201">
        <v>0</v>
      </c>
      <c r="E66" s="202" t="s">
        <v>199</v>
      </c>
      <c r="F66" s="430">
        <v>111.29</v>
      </c>
      <c r="G66" s="162">
        <v>45873</v>
      </c>
      <c r="H66" s="203" t="s">
        <v>199</v>
      </c>
      <c r="I66" s="186">
        <f t="shared" si="6"/>
        <v>4</v>
      </c>
      <c r="J66" s="204">
        <f>IF($H66="USD",IF(OR($I66="",$I66="-"),"",VLOOKUP($G66,為替!$A:$AX,$I66,FALSE))+$J$3,IF(OR($I66="",$I66="-"),"",VLOOKUP($G66,為替!$A:$AX,$I66,FALSE)))</f>
        <v>147.13999999999999</v>
      </c>
      <c r="K66" s="205">
        <f t="shared" si="7"/>
        <v>16375.210599999999</v>
      </c>
      <c r="L66" s="189">
        <f t="shared" si="8"/>
        <v>3</v>
      </c>
      <c r="M66" s="204">
        <f>IF($H66="USD",IF(OR($L66="",$L66="-"),"",VLOOKUP($G66,為替!$A:$AX,$L66,FALSE))+$K$3,IF(OR($L66="",$L66="-"),"",VLOOKUP($G66,為替!$A:$AX,$L66,FALSE)))</f>
        <v>148.13999999999999</v>
      </c>
      <c r="N66" s="205">
        <f t="shared" si="9"/>
        <v>15016.951799999999</v>
      </c>
      <c r="O66" s="206">
        <f t="shared" si="4"/>
        <v>1358.2587999999996</v>
      </c>
      <c r="P66" s="207">
        <f t="shared" si="5"/>
        <v>8.2946035515414976E-2</v>
      </c>
    </row>
    <row r="67" spans="1:16">
      <c r="A67" s="163" t="s">
        <v>344</v>
      </c>
      <c r="B67" s="163">
        <v>7365</v>
      </c>
      <c r="C67" s="200">
        <v>1369.36</v>
      </c>
      <c r="D67" s="201">
        <v>84.77</v>
      </c>
      <c r="E67" s="202" t="s">
        <v>199</v>
      </c>
      <c r="F67" s="430">
        <v>1630.2</v>
      </c>
      <c r="G67" s="162">
        <v>45877</v>
      </c>
      <c r="H67" s="203" t="s">
        <v>199</v>
      </c>
      <c r="I67" s="186">
        <f t="shared" si="6"/>
        <v>4</v>
      </c>
      <c r="J67" s="204">
        <f>IF($H67="USD",IF(OR($I67="",$I67="-"),"",VLOOKUP($G67,為替!$A:$AX,$I67,FALSE))+$J$3,IF(OR($I67="",$I67="-"),"",VLOOKUP($G67,為替!$A:$AX,$I67,FALSE)))</f>
        <v>146.76</v>
      </c>
      <c r="K67" s="205">
        <f t="shared" si="7"/>
        <v>239248.152</v>
      </c>
      <c r="L67" s="189">
        <f t="shared" si="8"/>
        <v>3</v>
      </c>
      <c r="M67" s="204">
        <f>IF($H67="USD",IF(OR($L67="",$L67="-"),"",VLOOKUP($G67,為替!$A:$AX,$L67,FALSE))+$K$3,IF(OR($L67="",$L67="-"),"",VLOOKUP($G67,為替!$A:$AX,$L67,FALSE)))</f>
        <v>147.76</v>
      </c>
      <c r="N67" s="205">
        <f t="shared" si="9"/>
        <v>214862.24879999997</v>
      </c>
      <c r="O67" s="206">
        <f t="shared" si="4"/>
        <v>24385.90320000003</v>
      </c>
      <c r="P67" s="207">
        <f t="shared" si="5"/>
        <v>0.10192723745678098</v>
      </c>
    </row>
    <row r="68" spans="1:16">
      <c r="A68" s="163" t="s">
        <v>344</v>
      </c>
      <c r="B68" s="163">
        <v>7366</v>
      </c>
      <c r="C68" s="200">
        <v>1062.04</v>
      </c>
      <c r="D68" s="201">
        <v>65.75</v>
      </c>
      <c r="E68" s="202" t="s">
        <v>199</v>
      </c>
      <c r="F68" s="430">
        <v>1264.43</v>
      </c>
      <c r="G68" s="162">
        <v>45877</v>
      </c>
      <c r="H68" s="203" t="s">
        <v>199</v>
      </c>
      <c r="I68" s="186">
        <f t="shared" si="6"/>
        <v>4</v>
      </c>
      <c r="J68" s="204">
        <f>IF($H68="USD",IF(OR($I68="",$I68="-"),"",VLOOKUP($G68,為替!$A:$AX,$I68,FALSE))+$J$3,IF(OR($I68="",$I68="-"),"",VLOOKUP($G68,為替!$A:$AX,$I68,FALSE)))</f>
        <v>146.76</v>
      </c>
      <c r="K68" s="205">
        <f t="shared" si="7"/>
        <v>185567.74679999999</v>
      </c>
      <c r="L68" s="189">
        <f t="shared" si="8"/>
        <v>3</v>
      </c>
      <c r="M68" s="204">
        <f>IF($H68="USD",IF(OR($L68="",$L68="-"),"",VLOOKUP($G68,為替!$A:$AX,$L68,FALSE))+$K$3,IF(OR($L68="",$L68="-"),"",VLOOKUP($G68,為替!$A:$AX,$L68,FALSE)))</f>
        <v>147.76</v>
      </c>
      <c r="N68" s="205">
        <f t="shared" si="9"/>
        <v>166642.25039999999</v>
      </c>
      <c r="O68" s="206">
        <f t="shared" si="4"/>
        <v>18925.496400000004</v>
      </c>
      <c r="P68" s="207">
        <f t="shared" si="5"/>
        <v>0.10198699249389175</v>
      </c>
    </row>
    <row r="69" spans="1:16">
      <c r="A69" s="163" t="s">
        <v>344</v>
      </c>
      <c r="B69" s="163">
        <v>7367</v>
      </c>
      <c r="C69" s="200">
        <v>1682.77</v>
      </c>
      <c r="D69" s="201">
        <v>104.17</v>
      </c>
      <c r="E69" s="202" t="s">
        <v>199</v>
      </c>
      <c r="F69" s="430">
        <v>2003.3</v>
      </c>
      <c r="G69" s="162">
        <v>45877</v>
      </c>
      <c r="H69" s="203" t="s">
        <v>199</v>
      </c>
      <c r="I69" s="186">
        <f t="shared" si="6"/>
        <v>4</v>
      </c>
      <c r="J69" s="204">
        <f>IF($H69="USD",IF(OR($I69="",$I69="-"),"",VLOOKUP($G69,為替!$A:$AX,$I69,FALSE))+$J$3,IF(OR($I69="",$I69="-"),"",VLOOKUP($G69,為替!$A:$AX,$I69,FALSE)))</f>
        <v>146.76</v>
      </c>
      <c r="K69" s="205">
        <f t="shared" si="7"/>
        <v>294004.30799999996</v>
      </c>
      <c r="L69" s="189">
        <f t="shared" si="8"/>
        <v>3</v>
      </c>
      <c r="M69" s="204">
        <f>IF($H69="USD",IF(OR($L69="",$L69="-"),"",VLOOKUP($G69,為替!$A:$AX,$L69,FALSE))+$K$3,IF(OR($L69="",$L69="-"),"",VLOOKUP($G69,為替!$A:$AX,$L69,FALSE)))</f>
        <v>147.76</v>
      </c>
      <c r="N69" s="205">
        <f t="shared" si="9"/>
        <v>264038.25439999998</v>
      </c>
      <c r="O69" s="206">
        <f t="shared" si="4"/>
        <v>29966.053599999985</v>
      </c>
      <c r="P69" s="207">
        <f t="shared" si="5"/>
        <v>0.10192385888440787</v>
      </c>
    </row>
    <row r="70" spans="1:16">
      <c r="A70" s="163" t="s">
        <v>344</v>
      </c>
      <c r="B70" s="163">
        <v>7368</v>
      </c>
      <c r="C70" s="200">
        <v>4135.97</v>
      </c>
      <c r="D70" s="201">
        <v>256.02</v>
      </c>
      <c r="E70" s="202" t="s">
        <v>199</v>
      </c>
      <c r="F70" s="430">
        <v>4923.5</v>
      </c>
      <c r="G70" s="162">
        <v>45877</v>
      </c>
      <c r="H70" s="203" t="s">
        <v>199</v>
      </c>
      <c r="I70" s="186">
        <f t="shared" si="6"/>
        <v>4</v>
      </c>
      <c r="J70" s="204">
        <f>IF($H70="USD",IF(OR($I70="",$I70="-"),"",VLOOKUP($G70,為替!$A:$AX,$I70,FALSE))+$J$3,IF(OR($I70="",$I70="-"),"",VLOOKUP($G70,為替!$A:$AX,$I70,FALSE)))</f>
        <v>146.76</v>
      </c>
      <c r="K70" s="205">
        <f t="shared" si="7"/>
        <v>722572.86</v>
      </c>
      <c r="L70" s="189">
        <f t="shared" si="8"/>
        <v>3</v>
      </c>
      <c r="M70" s="204">
        <f>IF($H70="USD",IF(OR($L70="",$L70="-"),"",VLOOKUP($G70,為替!$A:$AX,$L70,FALSE))+$K$3,IF(OR($L70="",$L70="-"),"",VLOOKUP($G70,為替!$A:$AX,$L70,FALSE)))</f>
        <v>147.76</v>
      </c>
      <c r="N70" s="205">
        <f t="shared" si="9"/>
        <v>648960.44239999994</v>
      </c>
      <c r="O70" s="206">
        <f t="shared" ref="O70:O133" si="10">IF(OR(K70="",N70=""),"",K70-N70)</f>
        <v>73612.417600000044</v>
      </c>
      <c r="P70" s="207">
        <f t="shared" si="5"/>
        <v>0.10187542554532154</v>
      </c>
    </row>
    <row r="71" spans="1:16">
      <c r="A71" s="163" t="s">
        <v>344</v>
      </c>
      <c r="B71" s="163">
        <v>7369</v>
      </c>
      <c r="C71" s="200">
        <v>1685.04</v>
      </c>
      <c r="D71" s="201">
        <v>104.31</v>
      </c>
      <c r="E71" s="202" t="s">
        <v>199</v>
      </c>
      <c r="F71" s="430">
        <v>2006</v>
      </c>
      <c r="G71" s="162">
        <v>45877</v>
      </c>
      <c r="H71" s="203" t="s">
        <v>199</v>
      </c>
      <c r="I71" s="186">
        <f t="shared" ref="I71:I134" si="11">IF(H71="","",IF(H71="JPY","",IF($H71="USD",4, IF(H71="EUR",7,IF(H71="CNY",47,IF(H71="HKD",34))))))</f>
        <v>4</v>
      </c>
      <c r="J71" s="204">
        <f>IF($H71="USD",IF(OR($I71="",$I71="-"),"",VLOOKUP($G71,為替!$A:$AX,$I71,FALSE))+$J$3,IF(OR($I71="",$I71="-"),"",VLOOKUP($G71,為替!$A:$AX,$I71,FALSE)))</f>
        <v>146.76</v>
      </c>
      <c r="K71" s="205">
        <f t="shared" ref="K71:K134" si="12">IF($H71="JPY",$F71,IF($H71="","",$F71*$J71))</f>
        <v>294400.56</v>
      </c>
      <c r="L71" s="189">
        <f t="shared" ref="L71:L134" si="13">IF(H71="","",IF(H71="JPY","",IF($H71="USD",3, IF(H71="EUR",6,IF(H71="CNY",46,IF(H71="HKD",33))))))</f>
        <v>3</v>
      </c>
      <c r="M71" s="204">
        <f>IF($H71="USD",IF(OR($L71="",$L71="-"),"",VLOOKUP($G71,為替!$A:$AX,$L71,FALSE))+$K$3,IF(OR($L71="",$L71="-"),"",VLOOKUP($G71,為替!$A:$AX,$L71,FALSE)))</f>
        <v>147.76</v>
      </c>
      <c r="N71" s="205">
        <f t="shared" ref="N71:N134" si="14">IF($E71="JPY",($C71+$D71),IF($E71="","",($C71+$D71)*$M71))</f>
        <v>264394.35599999997</v>
      </c>
      <c r="O71" s="206">
        <f t="shared" si="10"/>
        <v>30006.204000000027</v>
      </c>
      <c r="P71" s="207">
        <f t="shared" ref="P71:P134" si="15">IF(OR(K71="",O71=""),"",O71/K71)</f>
        <v>0.10192305340723545</v>
      </c>
    </row>
    <row r="72" spans="1:16">
      <c r="A72" s="163" t="s">
        <v>344</v>
      </c>
      <c r="B72" s="163">
        <v>7370</v>
      </c>
      <c r="C72" s="200">
        <v>1936.7</v>
      </c>
      <c r="D72" s="201">
        <v>119.89</v>
      </c>
      <c r="E72" s="202" t="s">
        <v>199</v>
      </c>
      <c r="F72" s="430">
        <v>2305.6</v>
      </c>
      <c r="G72" s="162">
        <v>45877</v>
      </c>
      <c r="H72" s="203" t="s">
        <v>199</v>
      </c>
      <c r="I72" s="186">
        <f t="shared" si="11"/>
        <v>4</v>
      </c>
      <c r="J72" s="204">
        <f>IF($H72="USD",IF(OR($I72="",$I72="-"),"",VLOOKUP($G72,為替!$A:$AX,$I72,FALSE))+$J$3,IF(OR($I72="",$I72="-"),"",VLOOKUP($G72,為替!$A:$AX,$I72,FALSE)))</f>
        <v>146.76</v>
      </c>
      <c r="K72" s="205">
        <f t="shared" si="12"/>
        <v>338369.85599999997</v>
      </c>
      <c r="L72" s="189">
        <f t="shared" si="13"/>
        <v>3</v>
      </c>
      <c r="M72" s="204">
        <f>IF($H72="USD",IF(OR($L72="",$L72="-"),"",VLOOKUP($G72,為替!$A:$AX,$L72,FALSE))+$K$3,IF(OR($L72="",$L72="-"),"",VLOOKUP($G72,為替!$A:$AX,$L72,FALSE)))</f>
        <v>147.76</v>
      </c>
      <c r="N72" s="205">
        <f t="shared" si="14"/>
        <v>303881.73840000003</v>
      </c>
      <c r="O72" s="206">
        <f t="shared" si="10"/>
        <v>34488.11759999994</v>
      </c>
      <c r="P72" s="207">
        <f t="shared" si="15"/>
        <v>0.10192432035080555</v>
      </c>
    </row>
    <row r="73" spans="1:16">
      <c r="A73" s="163" t="s">
        <v>344</v>
      </c>
      <c r="B73" s="163">
        <v>7373</v>
      </c>
      <c r="C73" s="200">
        <v>3574.68</v>
      </c>
      <c r="D73" s="201">
        <v>221.29</v>
      </c>
      <c r="E73" s="202" t="s">
        <v>199</v>
      </c>
      <c r="F73" s="430">
        <v>4255.51</v>
      </c>
      <c r="G73" s="162">
        <v>45883</v>
      </c>
      <c r="H73" s="203" t="s">
        <v>199</v>
      </c>
      <c r="I73" s="186">
        <f t="shared" si="11"/>
        <v>4</v>
      </c>
      <c r="J73" s="204">
        <f>IF($H73="USD",IF(OR($I73="",$I73="-"),"",VLOOKUP($G73,為替!$A:$AX,$I73,FALSE))+$J$3,IF(OR($I73="",$I73="-"),"",VLOOKUP($G73,為替!$A:$AX,$I73,FALSE)))</f>
        <v>146.19</v>
      </c>
      <c r="K73" s="205">
        <f t="shared" si="12"/>
        <v>622113.00690000004</v>
      </c>
      <c r="L73" s="189">
        <f t="shared" si="13"/>
        <v>3</v>
      </c>
      <c r="M73" s="204">
        <f>IF($H73="USD",IF(OR($L73="",$L73="-"),"",VLOOKUP($G73,為替!$A:$AX,$L73,FALSE))+$K$3,IF(OR($L73="",$L73="-"),"",VLOOKUP($G73,為替!$A:$AX,$L73,FALSE)))</f>
        <v>147.19</v>
      </c>
      <c r="N73" s="205">
        <f t="shared" si="14"/>
        <v>558728.82429999998</v>
      </c>
      <c r="O73" s="206">
        <f t="shared" si="10"/>
        <v>63384.182600000058</v>
      </c>
      <c r="P73" s="207">
        <f t="shared" si="15"/>
        <v>0.1018853197039627</v>
      </c>
    </row>
    <row r="74" spans="1:16">
      <c r="A74" s="163" t="s">
        <v>343</v>
      </c>
      <c r="B74" s="163">
        <v>7382</v>
      </c>
      <c r="C74" s="200">
        <v>745.27</v>
      </c>
      <c r="D74" s="201">
        <v>0</v>
      </c>
      <c r="E74" s="202" t="s">
        <v>199</v>
      </c>
      <c r="F74" s="430">
        <v>789.62</v>
      </c>
      <c r="G74" s="162">
        <v>45876</v>
      </c>
      <c r="H74" s="203" t="s">
        <v>199</v>
      </c>
      <c r="I74" s="186">
        <f t="shared" si="11"/>
        <v>4</v>
      </c>
      <c r="J74" s="204">
        <f>IF($H74="USD",IF(OR($I74="",$I74="-"),"",VLOOKUP($G74,為替!$A:$AX,$I74,FALSE))+$J$3,IF(OR($I74="",$I74="-"),"",VLOOKUP($G74,為替!$A:$AX,$I74,FALSE)))</f>
        <v>147.16999999999999</v>
      </c>
      <c r="K74" s="205">
        <f t="shared" si="12"/>
        <v>116208.37539999999</v>
      </c>
      <c r="L74" s="189">
        <f t="shared" si="13"/>
        <v>3</v>
      </c>
      <c r="M74" s="204">
        <f>IF($H74="USD",IF(OR($L74="",$L74="-"),"",VLOOKUP($G74,為替!$A:$AX,$L74,FALSE))+$K$3,IF(OR($L74="",$L74="-"),"",VLOOKUP($G74,為替!$A:$AX,$L74,FALSE)))</f>
        <v>148.16999999999999</v>
      </c>
      <c r="N74" s="205">
        <f t="shared" si="14"/>
        <v>110426.65589999998</v>
      </c>
      <c r="O74" s="206">
        <f t="shared" si="10"/>
        <v>5781.7195000000065</v>
      </c>
      <c r="P74" s="207">
        <f t="shared" si="15"/>
        <v>4.9753036130991357E-2</v>
      </c>
    </row>
    <row r="75" spans="1:16">
      <c r="A75" s="163" t="s">
        <v>343</v>
      </c>
      <c r="B75" s="163">
        <v>7364</v>
      </c>
      <c r="C75" s="200">
        <v>2059.06</v>
      </c>
      <c r="D75" s="201">
        <v>0</v>
      </c>
      <c r="E75" s="202" t="s">
        <v>199</v>
      </c>
      <c r="F75" s="430">
        <v>2182.36</v>
      </c>
      <c r="G75" s="162">
        <v>45877</v>
      </c>
      <c r="H75" s="203" t="s">
        <v>199</v>
      </c>
      <c r="I75" s="186">
        <f t="shared" si="11"/>
        <v>4</v>
      </c>
      <c r="J75" s="204">
        <f>IF($H75="USD",IF(OR($I75="",$I75="-"),"",VLOOKUP($G75,為替!$A:$AX,$I75,FALSE))+$J$3,IF(OR($I75="",$I75="-"),"",VLOOKUP($G75,為替!$A:$AX,$I75,FALSE)))</f>
        <v>146.76</v>
      </c>
      <c r="K75" s="205">
        <f t="shared" si="12"/>
        <v>320283.15360000002</v>
      </c>
      <c r="L75" s="189">
        <f t="shared" si="13"/>
        <v>3</v>
      </c>
      <c r="M75" s="204">
        <f>IF($H75="USD",IF(OR($L75="",$L75="-"),"",VLOOKUP($G75,為替!$A:$AX,$L75,FALSE))+$K$3,IF(OR($L75="",$L75="-"),"",VLOOKUP($G75,為替!$A:$AX,$L75,FALSE)))</f>
        <v>147.76</v>
      </c>
      <c r="N75" s="205">
        <f t="shared" si="14"/>
        <v>304246.70559999999</v>
      </c>
      <c r="O75" s="206">
        <f t="shared" si="10"/>
        <v>16036.448000000033</v>
      </c>
      <c r="P75" s="207">
        <f t="shared" si="15"/>
        <v>5.0069595667925355E-2</v>
      </c>
    </row>
    <row r="76" spans="1:16">
      <c r="A76" s="163" t="s">
        <v>343</v>
      </c>
      <c r="B76" s="163">
        <v>7383</v>
      </c>
      <c r="C76" s="200">
        <v>1127.32</v>
      </c>
      <c r="D76" s="201">
        <v>0</v>
      </c>
      <c r="E76" s="202" t="s">
        <v>199</v>
      </c>
      <c r="F76" s="430">
        <v>1194.4100000000001</v>
      </c>
      <c r="G76" s="162">
        <v>45880</v>
      </c>
      <c r="H76" s="203" t="s">
        <v>199</v>
      </c>
      <c r="I76" s="186">
        <f t="shared" si="11"/>
        <v>4</v>
      </c>
      <c r="J76" s="204">
        <f>IF($H76="USD",IF(OR($I76="",$I76="-"),"",VLOOKUP($G76,為替!$A:$AX,$I76,FALSE))+$J$3,IF(OR($I76="",$I76="-"),"",VLOOKUP($G76,為替!$A:$AX,$I76,FALSE)))</f>
        <v>146.76</v>
      </c>
      <c r="K76" s="205">
        <f t="shared" si="12"/>
        <v>175291.6116</v>
      </c>
      <c r="L76" s="189">
        <f t="shared" si="13"/>
        <v>3</v>
      </c>
      <c r="M76" s="204">
        <f>IF($H76="USD",IF(OR($L76="",$L76="-"),"",VLOOKUP($G76,為替!$A:$AX,$L76,FALSE))+$K$3,IF(OR($L76="",$L76="-"),"",VLOOKUP($G76,為替!$A:$AX,$L76,FALSE)))</f>
        <v>147.76</v>
      </c>
      <c r="N76" s="205">
        <f t="shared" si="14"/>
        <v>166572.80319999999</v>
      </c>
      <c r="O76" s="206">
        <f t="shared" si="10"/>
        <v>8718.808400000009</v>
      </c>
      <c r="P76" s="207">
        <f t="shared" si="15"/>
        <v>4.973887980387539E-2</v>
      </c>
    </row>
    <row r="77" spans="1:16">
      <c r="A77" s="163" t="s">
        <v>343</v>
      </c>
      <c r="B77" s="163">
        <v>7372</v>
      </c>
      <c r="C77" s="200">
        <v>555.24</v>
      </c>
      <c r="D77" s="201">
        <v>0</v>
      </c>
      <c r="E77" s="202" t="s">
        <v>199</v>
      </c>
      <c r="F77" s="430">
        <v>608.48</v>
      </c>
      <c r="G77" s="162">
        <v>45880</v>
      </c>
      <c r="H77" s="203" t="s">
        <v>199</v>
      </c>
      <c r="I77" s="186">
        <f t="shared" si="11"/>
        <v>4</v>
      </c>
      <c r="J77" s="204">
        <f>IF($H77="USD",IF(OR($I77="",$I77="-"),"",VLOOKUP($G77,為替!$A:$AX,$I77,FALSE))+$J$3,IF(OR($I77="",$I77="-"),"",VLOOKUP($G77,為替!$A:$AX,$I77,FALSE)))</f>
        <v>146.76</v>
      </c>
      <c r="K77" s="205">
        <f t="shared" si="12"/>
        <v>89300.524799999999</v>
      </c>
      <c r="L77" s="189">
        <f t="shared" si="13"/>
        <v>3</v>
      </c>
      <c r="M77" s="204">
        <f>IF($H77="USD",IF(OR($L77="",$L77="-"),"",VLOOKUP($G77,為替!$A:$AX,$L77,FALSE))+$K$3,IF(OR($L77="",$L77="-"),"",VLOOKUP($G77,為替!$A:$AX,$L77,FALSE)))</f>
        <v>147.76</v>
      </c>
      <c r="N77" s="205">
        <f t="shared" si="14"/>
        <v>82042.262399999992</v>
      </c>
      <c r="O77" s="206">
        <f t="shared" si="10"/>
        <v>7258.2624000000069</v>
      </c>
      <c r="P77" s="207">
        <f t="shared" si="15"/>
        <v>8.1279056492174248E-2</v>
      </c>
    </row>
    <row r="78" spans="1:16">
      <c r="A78" s="163" t="s">
        <v>343</v>
      </c>
      <c r="B78" s="163">
        <v>7375</v>
      </c>
      <c r="C78" s="200">
        <v>360.61</v>
      </c>
      <c r="D78" s="201">
        <v>0</v>
      </c>
      <c r="E78" s="202" t="s">
        <v>199</v>
      </c>
      <c r="F78" s="430">
        <v>394.96</v>
      </c>
      <c r="G78" s="162">
        <v>45883</v>
      </c>
      <c r="H78" s="203" t="s">
        <v>199</v>
      </c>
      <c r="I78" s="186">
        <f t="shared" si="11"/>
        <v>4</v>
      </c>
      <c r="J78" s="204">
        <f>IF($H78="USD",IF(OR($I78="",$I78="-"),"",VLOOKUP($G78,為替!$A:$AX,$I78,FALSE))+$J$3,IF(OR($I78="",$I78="-"),"",VLOOKUP($G78,為替!$A:$AX,$I78,FALSE)))</f>
        <v>146.19</v>
      </c>
      <c r="K78" s="205">
        <f t="shared" si="12"/>
        <v>57739.202399999995</v>
      </c>
      <c r="L78" s="189">
        <f t="shared" si="13"/>
        <v>3</v>
      </c>
      <c r="M78" s="204">
        <f>IF($H78="USD",IF(OR($L78="",$L78="-"),"",VLOOKUP($G78,為替!$A:$AX,$L78,FALSE))+$K$3,IF(OR($L78="",$L78="-"),"",VLOOKUP($G78,為替!$A:$AX,$L78,FALSE)))</f>
        <v>147.19</v>
      </c>
      <c r="N78" s="205">
        <f t="shared" si="14"/>
        <v>53078.185900000004</v>
      </c>
      <c r="O78" s="206">
        <f t="shared" si="10"/>
        <v>4661.0164999999906</v>
      </c>
      <c r="P78" s="207">
        <f t="shared" si="15"/>
        <v>8.0725335755590405E-2</v>
      </c>
    </row>
    <row r="79" spans="1:16">
      <c r="A79" s="163" t="s">
        <v>343</v>
      </c>
      <c r="B79" s="163">
        <v>7379</v>
      </c>
      <c r="C79" s="200">
        <v>345.35</v>
      </c>
      <c r="D79" s="201">
        <v>0</v>
      </c>
      <c r="E79" s="202" t="s">
        <v>199</v>
      </c>
      <c r="F79" s="430">
        <v>365.9</v>
      </c>
      <c r="G79" s="162">
        <v>45888</v>
      </c>
      <c r="H79" s="203" t="s">
        <v>199</v>
      </c>
      <c r="I79" s="186">
        <f t="shared" si="11"/>
        <v>4</v>
      </c>
      <c r="J79" s="204">
        <f>IF($H79="USD",IF(OR($I79="",$I79="-"),"",VLOOKUP($G79,為替!$A:$AX,$I79,FALSE))+$J$3,IF(OR($I79="",$I79="-"),"",VLOOKUP($G79,為替!$A:$AX,$I79,FALSE)))</f>
        <v>147.4</v>
      </c>
      <c r="K79" s="205">
        <f t="shared" si="12"/>
        <v>53933.659999999996</v>
      </c>
      <c r="L79" s="189">
        <f t="shared" si="13"/>
        <v>3</v>
      </c>
      <c r="M79" s="204">
        <f>IF($H79="USD",IF(OR($L79="",$L79="-"),"",VLOOKUP($G79,為替!$A:$AX,$L79,FALSE))+$K$3,IF(OR($L79="",$L79="-"),"",VLOOKUP($G79,為替!$A:$AX,$L79,FALSE)))</f>
        <v>148.4</v>
      </c>
      <c r="N79" s="205">
        <f t="shared" si="14"/>
        <v>51249.94</v>
      </c>
      <c r="O79" s="206">
        <f t="shared" si="10"/>
        <v>2683.7199999999939</v>
      </c>
      <c r="P79" s="207">
        <f t="shared" si="15"/>
        <v>4.9759649168997507E-2</v>
      </c>
    </row>
    <row r="80" spans="1:16">
      <c r="A80" s="163" t="s">
        <v>344</v>
      </c>
      <c r="B80" s="163">
        <v>7395</v>
      </c>
      <c r="C80" s="200">
        <v>2727.36</v>
      </c>
      <c r="D80" s="201">
        <v>168.86</v>
      </c>
      <c r="E80" s="202" t="s">
        <v>199</v>
      </c>
      <c r="F80" s="430">
        <v>3247.16</v>
      </c>
      <c r="G80" s="162">
        <v>45891</v>
      </c>
      <c r="H80" s="203" t="s">
        <v>199</v>
      </c>
      <c r="I80" s="186">
        <f t="shared" si="11"/>
        <v>4</v>
      </c>
      <c r="J80" s="204">
        <f>IF($H80="USD",IF(OR($I80="",$I80="-"),"",VLOOKUP($G80,為替!$A:$AX,$I80,FALSE))+$J$3,IF(OR($I80="",$I80="-"),"",VLOOKUP($G80,為替!$A:$AX,$I80,FALSE)))</f>
        <v>148.03</v>
      </c>
      <c r="K80" s="205">
        <f t="shared" si="12"/>
        <v>480677.09479999996</v>
      </c>
      <c r="L80" s="189">
        <f t="shared" si="13"/>
        <v>3</v>
      </c>
      <c r="M80" s="204">
        <f>IF($H80="USD",IF(OR($L80="",$L80="-"),"",VLOOKUP($G80,為替!$A:$AX,$L80,FALSE))+$K$3,IF(OR($L80="",$L80="-"),"",VLOOKUP($G80,為替!$A:$AX,$L80,FALSE)))</f>
        <v>149.03</v>
      </c>
      <c r="N80" s="205">
        <f t="shared" si="14"/>
        <v>431623.66660000006</v>
      </c>
      <c r="O80" s="206">
        <f t="shared" si="10"/>
        <v>49053.428199999908</v>
      </c>
      <c r="P80" s="207">
        <f t="shared" si="15"/>
        <v>0.10205068793721084</v>
      </c>
    </row>
    <row r="81" spans="1:16">
      <c r="A81" s="163" t="s">
        <v>344</v>
      </c>
      <c r="B81" s="163">
        <v>7396</v>
      </c>
      <c r="C81" s="200">
        <v>4663.68</v>
      </c>
      <c r="D81" s="201">
        <v>288.7</v>
      </c>
      <c r="E81" s="202" t="s">
        <v>199</v>
      </c>
      <c r="F81" s="430">
        <v>5552</v>
      </c>
      <c r="G81" s="162">
        <v>45891</v>
      </c>
      <c r="H81" s="203" t="s">
        <v>199</v>
      </c>
      <c r="I81" s="186">
        <f t="shared" si="11"/>
        <v>4</v>
      </c>
      <c r="J81" s="204">
        <f>IF($H81="USD",IF(OR($I81="",$I81="-"),"",VLOOKUP($G81,為替!$A:$AX,$I81,FALSE))+$J$3,IF(OR($I81="",$I81="-"),"",VLOOKUP($G81,為替!$A:$AX,$I81,FALSE)))</f>
        <v>148.03</v>
      </c>
      <c r="K81" s="205">
        <f t="shared" si="12"/>
        <v>821862.56</v>
      </c>
      <c r="L81" s="189">
        <f t="shared" si="13"/>
        <v>3</v>
      </c>
      <c r="M81" s="204">
        <f>IF($H81="USD",IF(OR($L81="",$L81="-"),"",VLOOKUP($G81,為替!$A:$AX,$L81,FALSE))+$K$3,IF(OR($L81="",$L81="-"),"",VLOOKUP($G81,為替!$A:$AX,$L81,FALSE)))</f>
        <v>149.03</v>
      </c>
      <c r="N81" s="205">
        <f t="shared" si="14"/>
        <v>738053.19140000001</v>
      </c>
      <c r="O81" s="206">
        <f t="shared" si="10"/>
        <v>83809.368600000045</v>
      </c>
      <c r="P81" s="207">
        <f t="shared" si="15"/>
        <v>0.10197491974813896</v>
      </c>
    </row>
    <row r="82" spans="1:16">
      <c r="A82" s="163" t="s">
        <v>344</v>
      </c>
      <c r="B82" s="163">
        <v>7397</v>
      </c>
      <c r="C82" s="200">
        <v>2724.54</v>
      </c>
      <c r="D82" s="201">
        <v>168.65</v>
      </c>
      <c r="E82" s="202" t="s">
        <v>199</v>
      </c>
      <c r="F82" s="430">
        <v>3243.24</v>
      </c>
      <c r="G82" s="162">
        <v>45891</v>
      </c>
      <c r="H82" s="203" t="s">
        <v>199</v>
      </c>
      <c r="I82" s="186">
        <f t="shared" si="11"/>
        <v>4</v>
      </c>
      <c r="J82" s="204">
        <f>IF($H82="USD",IF(OR($I82="",$I82="-"),"",VLOOKUP($G82,為替!$A:$AX,$I82,FALSE))+$J$3,IF(OR($I82="",$I82="-"),"",VLOOKUP($G82,為替!$A:$AX,$I82,FALSE)))</f>
        <v>148.03</v>
      </c>
      <c r="K82" s="205">
        <f t="shared" si="12"/>
        <v>480096.81719999999</v>
      </c>
      <c r="L82" s="189">
        <f t="shared" si="13"/>
        <v>3</v>
      </c>
      <c r="M82" s="204">
        <f>IF($H82="USD",IF(OR($L82="",$L82="-"),"",VLOOKUP($G82,為替!$A:$AX,$L82,FALSE))+$K$3,IF(OR($L82="",$L82="-"),"",VLOOKUP($G82,為替!$A:$AX,$L82,FALSE)))</f>
        <v>149.03</v>
      </c>
      <c r="N82" s="205">
        <f t="shared" si="14"/>
        <v>431172.10570000001</v>
      </c>
      <c r="O82" s="206">
        <f t="shared" si="10"/>
        <v>48924.711499999976</v>
      </c>
      <c r="P82" s="207">
        <f t="shared" si="15"/>
        <v>0.1019059276113026</v>
      </c>
    </row>
    <row r="83" spans="1:16">
      <c r="A83" s="163" t="s">
        <v>309</v>
      </c>
      <c r="B83" s="163">
        <v>7355</v>
      </c>
      <c r="C83" s="200">
        <v>313612</v>
      </c>
      <c r="D83" s="201">
        <v>0</v>
      </c>
      <c r="E83" s="202" t="s">
        <v>200</v>
      </c>
      <c r="F83" s="200">
        <v>397240</v>
      </c>
      <c r="G83" s="162">
        <v>45874</v>
      </c>
      <c r="H83" s="203" t="s">
        <v>200</v>
      </c>
      <c r="I83" s="186" t="str">
        <f t="shared" si="11"/>
        <v/>
      </c>
      <c r="J83" s="204" t="str">
        <f>IF($H83="USD",IF(OR($I83="",$I83="-"),"",VLOOKUP($G83,為替!$A:$AX,$I83,FALSE))+$J$3,IF(OR($I83="",$I83="-"),"",VLOOKUP($G83,為替!$A:$AX,$I83,FALSE)))</f>
        <v/>
      </c>
      <c r="K83" s="205">
        <f t="shared" si="12"/>
        <v>397240</v>
      </c>
      <c r="L83" s="189" t="str">
        <f t="shared" si="13"/>
        <v/>
      </c>
      <c r="M83" s="204" t="str">
        <f>IF($H83="USD",IF(OR($L83="",$L83="-"),"",VLOOKUP($G83,為替!$A:$AX,$L83,FALSE))+$K$3,IF(OR($L83="",$L83="-"),"",VLOOKUP($G83,為替!$A:$AX,$L83,FALSE)))</f>
        <v/>
      </c>
      <c r="N83" s="205">
        <f t="shared" si="14"/>
        <v>313612</v>
      </c>
      <c r="O83" s="206">
        <f t="shared" si="10"/>
        <v>83628</v>
      </c>
      <c r="P83" s="207">
        <f t="shared" si="15"/>
        <v>0.21052260598127076</v>
      </c>
    </row>
    <row r="84" spans="1:16">
      <c r="A84" s="163" t="s">
        <v>309</v>
      </c>
      <c r="B84" s="163">
        <v>7376</v>
      </c>
      <c r="C84" s="200">
        <v>208306</v>
      </c>
      <c r="D84" s="201">
        <v>0</v>
      </c>
      <c r="E84" s="202" t="s">
        <v>200</v>
      </c>
      <c r="F84" s="200">
        <v>261950</v>
      </c>
      <c r="G84" s="162">
        <v>45888</v>
      </c>
      <c r="H84" s="203" t="s">
        <v>200</v>
      </c>
      <c r="I84" s="186" t="str">
        <f t="shared" si="11"/>
        <v/>
      </c>
      <c r="J84" s="204" t="str">
        <f>IF($H84="USD",IF(OR($I84="",$I84="-"),"",VLOOKUP($G84,為替!$A:$AX,$I84,FALSE))+$J$3,IF(OR($I84="",$I84="-"),"",VLOOKUP($G84,為替!$A:$AX,$I84,FALSE)))</f>
        <v/>
      </c>
      <c r="K84" s="205">
        <f t="shared" si="12"/>
        <v>261950</v>
      </c>
      <c r="L84" s="189" t="str">
        <f t="shared" si="13"/>
        <v/>
      </c>
      <c r="M84" s="204" t="str">
        <f>IF($H84="USD",IF(OR($L84="",$L84="-"),"",VLOOKUP($G84,為替!$A:$AX,$L84,FALSE))+$K$3,IF(OR($L84="",$L84="-"),"",VLOOKUP($G84,為替!$A:$AX,$L84,FALSE)))</f>
        <v/>
      </c>
      <c r="N84" s="205">
        <f t="shared" si="14"/>
        <v>208306</v>
      </c>
      <c r="O84" s="206">
        <f t="shared" si="10"/>
        <v>53644</v>
      </c>
      <c r="P84" s="207">
        <f t="shared" si="15"/>
        <v>0.20478717312464212</v>
      </c>
    </row>
    <row r="85" spans="1:16">
      <c r="A85" s="163" t="s">
        <v>309</v>
      </c>
      <c r="B85" s="163">
        <v>7413</v>
      </c>
      <c r="C85" s="200">
        <v>701054</v>
      </c>
      <c r="D85" s="201">
        <v>0</v>
      </c>
      <c r="E85" s="202" t="s">
        <v>200</v>
      </c>
      <c r="F85" s="200">
        <v>896530</v>
      </c>
      <c r="G85" s="162">
        <v>45898</v>
      </c>
      <c r="H85" s="203" t="s">
        <v>200</v>
      </c>
      <c r="I85" s="186" t="str">
        <f t="shared" si="11"/>
        <v/>
      </c>
      <c r="J85" s="204" t="str">
        <f>IF($H85="USD",IF(OR($I85="",$I85="-"),"",VLOOKUP($G85,為替!$A:$AX,$I85,FALSE))+$J$3,IF(OR($I85="",$I85="-"),"",VLOOKUP($G85,為替!$A:$AX,$I85,FALSE)))</f>
        <v/>
      </c>
      <c r="K85" s="205">
        <f t="shared" si="12"/>
        <v>896530</v>
      </c>
      <c r="L85" s="189" t="str">
        <f t="shared" si="13"/>
        <v/>
      </c>
      <c r="M85" s="204" t="str">
        <f>IF($H85="USD",IF(OR($L85="",$L85="-"),"",VLOOKUP($G85,為替!$A:$AX,$L85,FALSE))+$K$3,IF(OR($L85="",$L85="-"),"",VLOOKUP($G85,為替!$A:$AX,$L85,FALSE)))</f>
        <v/>
      </c>
      <c r="N85" s="205">
        <f t="shared" si="14"/>
        <v>701054</v>
      </c>
      <c r="O85" s="206">
        <f t="shared" si="10"/>
        <v>195476</v>
      </c>
      <c r="P85" s="207">
        <f t="shared" si="15"/>
        <v>0.21803620626192097</v>
      </c>
    </row>
    <row r="86" spans="1:16">
      <c r="A86" s="163" t="s">
        <v>343</v>
      </c>
      <c r="B86" s="163">
        <v>7359</v>
      </c>
      <c r="C86" s="200">
        <v>34.4</v>
      </c>
      <c r="D86" s="201">
        <v>0</v>
      </c>
      <c r="E86" s="202" t="s">
        <v>199</v>
      </c>
      <c r="F86" s="430">
        <v>37.700000000000003</v>
      </c>
      <c r="G86" s="162">
        <v>45870</v>
      </c>
      <c r="H86" s="203" t="s">
        <v>199</v>
      </c>
      <c r="I86" s="186">
        <f t="shared" si="11"/>
        <v>4</v>
      </c>
      <c r="J86" s="204">
        <f>IF($H86="USD",IF(OR($I86="",$I86="-"),"",VLOOKUP($G86,為替!$A:$AX,$I86,FALSE))+$J$3,IF(OR($I86="",$I86="-"),"",VLOOKUP($G86,為替!$A:$AX,$I86,FALSE)))</f>
        <v>150.29</v>
      </c>
      <c r="K86" s="205">
        <f t="shared" si="12"/>
        <v>5665.933</v>
      </c>
      <c r="L86" s="189">
        <f t="shared" si="13"/>
        <v>3</v>
      </c>
      <c r="M86" s="204">
        <f>IF($H86="USD",IF(OR($L86="",$L86="-"),"",VLOOKUP($G86,為替!$A:$AX,$L86,FALSE))+$K$3,IF(OR($L86="",$L86="-"),"",VLOOKUP($G86,為替!$A:$AX,$L86,FALSE)))</f>
        <v>151.29</v>
      </c>
      <c r="N86" s="205">
        <f t="shared" si="14"/>
        <v>5204.3759999999993</v>
      </c>
      <c r="O86" s="206">
        <f t="shared" si="10"/>
        <v>461.5570000000007</v>
      </c>
      <c r="P86" s="207">
        <f t="shared" si="15"/>
        <v>8.1461782198977761E-2</v>
      </c>
    </row>
    <row r="87" spans="1:16">
      <c r="A87" s="163" t="s">
        <v>343</v>
      </c>
      <c r="B87" s="163">
        <v>7374</v>
      </c>
      <c r="C87" s="200">
        <v>861.84</v>
      </c>
      <c r="D87" s="201">
        <v>0</v>
      </c>
      <c r="E87" s="202" t="s">
        <v>199</v>
      </c>
      <c r="F87" s="430">
        <v>913.72</v>
      </c>
      <c r="G87" s="162">
        <v>45891</v>
      </c>
      <c r="H87" s="203" t="s">
        <v>199</v>
      </c>
      <c r="I87" s="186">
        <f t="shared" si="11"/>
        <v>4</v>
      </c>
      <c r="J87" s="204">
        <f>IF($H87="USD",IF(OR($I87="",$I87="-"),"",VLOOKUP($G87,為替!$A:$AX,$I87,FALSE))+$J$3,IF(OR($I87="",$I87="-"),"",VLOOKUP($G87,為替!$A:$AX,$I87,FALSE)))</f>
        <v>148.03</v>
      </c>
      <c r="K87" s="205">
        <f t="shared" si="12"/>
        <v>135257.97160000002</v>
      </c>
      <c r="L87" s="189">
        <f t="shared" si="13"/>
        <v>3</v>
      </c>
      <c r="M87" s="204">
        <f>IF($H87="USD",IF(OR($L87="",$L87="-"),"",VLOOKUP($G87,為替!$A:$AX,$L87,FALSE))+$K$3,IF(OR($L87="",$L87="-"),"",VLOOKUP($G87,為替!$A:$AX,$L87,FALSE)))</f>
        <v>149.03</v>
      </c>
      <c r="N87" s="205">
        <f t="shared" si="14"/>
        <v>128440.01520000001</v>
      </c>
      <c r="O87" s="206">
        <f t="shared" si="10"/>
        <v>6817.95640000001</v>
      </c>
      <c r="P87" s="207">
        <f t="shared" si="15"/>
        <v>5.0407057856544174E-2</v>
      </c>
    </row>
    <row r="88" spans="1:16">
      <c r="A88" s="163" t="s">
        <v>343</v>
      </c>
      <c r="B88" s="163">
        <v>7398</v>
      </c>
      <c r="C88" s="200">
        <v>293.60000000000002</v>
      </c>
      <c r="D88" s="201">
        <v>0</v>
      </c>
      <c r="E88" s="202" t="s">
        <v>199</v>
      </c>
      <c r="F88" s="430">
        <v>310.89999999999998</v>
      </c>
      <c r="G88" s="162">
        <v>45891</v>
      </c>
      <c r="H88" s="203" t="s">
        <v>199</v>
      </c>
      <c r="I88" s="186">
        <f t="shared" si="11"/>
        <v>4</v>
      </c>
      <c r="J88" s="204">
        <f>IF($H88="USD",IF(OR($I88="",$I88="-"),"",VLOOKUP($G88,為替!$A:$AX,$I88,FALSE))+$J$3,IF(OR($I88="",$I88="-"),"",VLOOKUP($G88,為替!$A:$AX,$I88,FALSE)))</f>
        <v>148.03</v>
      </c>
      <c r="K88" s="205">
        <f t="shared" si="12"/>
        <v>46022.526999999995</v>
      </c>
      <c r="L88" s="189">
        <f t="shared" si="13"/>
        <v>3</v>
      </c>
      <c r="M88" s="204">
        <f>IF($H88="USD",IF(OR($L88="",$L88="-"),"",VLOOKUP($G88,為替!$A:$AX,$L88,FALSE))+$K$3,IF(OR($L88="",$L88="-"),"",VLOOKUP($G88,為替!$A:$AX,$L88,FALSE)))</f>
        <v>149.03</v>
      </c>
      <c r="N88" s="205">
        <f t="shared" si="14"/>
        <v>43755.208000000006</v>
      </c>
      <c r="O88" s="206">
        <f t="shared" si="10"/>
        <v>2267.3189999999886</v>
      </c>
      <c r="P88" s="207">
        <f t="shared" si="15"/>
        <v>4.9265417346596133E-2</v>
      </c>
    </row>
    <row r="89" spans="1:16">
      <c r="A89" s="163" t="s">
        <v>343</v>
      </c>
      <c r="B89" s="163">
        <v>7414</v>
      </c>
      <c r="C89" s="200">
        <v>181.19</v>
      </c>
      <c r="D89" s="201">
        <v>0</v>
      </c>
      <c r="E89" s="202" t="s">
        <v>199</v>
      </c>
      <c r="F89" s="430">
        <v>192.77</v>
      </c>
      <c r="G89" s="162">
        <v>45896</v>
      </c>
      <c r="H89" s="203" t="s">
        <v>199</v>
      </c>
      <c r="I89" s="186">
        <f t="shared" si="11"/>
        <v>4</v>
      </c>
      <c r="J89" s="204">
        <f>IF($H89="USD",IF(OR($I89="",$I89="-"),"",VLOOKUP($G89,為替!$A:$AX,$I89,FALSE))+$J$3,IF(OR($I89="",$I89="-"),"",VLOOKUP($G89,為替!$A:$AX,$I89,FALSE)))</f>
        <v>147.05000000000001</v>
      </c>
      <c r="K89" s="205">
        <f t="shared" si="12"/>
        <v>28346.828500000003</v>
      </c>
      <c r="L89" s="189">
        <f t="shared" si="13"/>
        <v>3</v>
      </c>
      <c r="M89" s="204">
        <f>IF($H89="USD",IF(OR($L89="",$L89="-"),"",VLOOKUP($G89,為替!$A:$AX,$L89,FALSE))+$K$3,IF(OR($L89="",$L89="-"),"",VLOOKUP($G89,為替!$A:$AX,$L89,FALSE)))</f>
        <v>148.05000000000001</v>
      </c>
      <c r="N89" s="205">
        <f t="shared" si="14"/>
        <v>26825.179500000002</v>
      </c>
      <c r="O89" s="206">
        <f t="shared" si="10"/>
        <v>1521.6490000000013</v>
      </c>
      <c r="P89" s="207">
        <f t="shared" si="15"/>
        <v>5.3679691186617265E-2</v>
      </c>
    </row>
    <row r="90" spans="1:16">
      <c r="A90" s="163" t="s">
        <v>343</v>
      </c>
      <c r="B90" s="163">
        <v>7415</v>
      </c>
      <c r="C90" s="200">
        <v>683.57</v>
      </c>
      <c r="D90" s="201">
        <v>0</v>
      </c>
      <c r="E90" s="202" t="s">
        <v>199</v>
      </c>
      <c r="F90" s="430">
        <v>719.03</v>
      </c>
      <c r="G90" s="162">
        <v>45897</v>
      </c>
      <c r="H90" s="203" t="s">
        <v>199</v>
      </c>
      <c r="I90" s="186">
        <f t="shared" si="11"/>
        <v>4</v>
      </c>
      <c r="J90" s="204">
        <f>IF($H90="USD",IF(OR($I90="",$I90="-"),"",VLOOKUP($G90,為替!$A:$AX,$I90,FALSE))+$J$3,IF(OR($I90="",$I90="-"),"",VLOOKUP($G90,為替!$A:$AX,$I90,FALSE)))</f>
        <v>146.91999999999999</v>
      </c>
      <c r="K90" s="205">
        <f t="shared" si="12"/>
        <v>105639.88759999999</v>
      </c>
      <c r="L90" s="189">
        <f t="shared" si="13"/>
        <v>3</v>
      </c>
      <c r="M90" s="204">
        <f>IF($H90="USD",IF(OR($L90="",$L90="-"),"",VLOOKUP($G90,為替!$A:$AX,$L90,FALSE))+$K$3,IF(OR($L90="",$L90="-"),"",VLOOKUP($G90,為替!$A:$AX,$L90,FALSE)))</f>
        <v>147.91999999999999</v>
      </c>
      <c r="N90" s="205">
        <f t="shared" si="14"/>
        <v>101113.6744</v>
      </c>
      <c r="O90" s="206">
        <f t="shared" si="10"/>
        <v>4526.2131999999838</v>
      </c>
      <c r="P90" s="207">
        <f t="shared" si="15"/>
        <v>4.2845683603320917E-2</v>
      </c>
    </row>
    <row r="91" spans="1:16">
      <c r="A91" s="163" t="s">
        <v>344</v>
      </c>
      <c r="B91" s="163">
        <v>7433</v>
      </c>
      <c r="C91" s="200">
        <v>1089.46</v>
      </c>
      <c r="D91" s="201">
        <v>67.430000000000007</v>
      </c>
      <c r="E91" s="202" t="s">
        <v>199</v>
      </c>
      <c r="F91" s="200">
        <v>1296.8599999999999</v>
      </c>
      <c r="G91" s="162">
        <v>45898</v>
      </c>
      <c r="H91" s="203" t="s">
        <v>199</v>
      </c>
      <c r="I91" s="186">
        <f t="shared" si="11"/>
        <v>4</v>
      </c>
      <c r="J91" s="204">
        <f>IF($H91="USD",IF(OR($I91="",$I91="-"),"",VLOOKUP($G91,為替!$A:$AX,$I91,FALSE))+$J$3,IF(OR($I91="",$I91="-"),"",VLOOKUP($G91,為替!$A:$AX,$I91,FALSE)))</f>
        <v>146.41999999999999</v>
      </c>
      <c r="K91" s="205">
        <f t="shared" si="12"/>
        <v>189886.24119999996</v>
      </c>
      <c r="L91" s="189">
        <f t="shared" si="13"/>
        <v>3</v>
      </c>
      <c r="M91" s="204">
        <f>IF($H91="USD",IF(OR($L91="",$L91="-"),"",VLOOKUP($G91,為替!$A:$AX,$L91,FALSE))+$K$3,IF(OR($L91="",$L91="-"),"",VLOOKUP($G91,為替!$A:$AX,$L91,FALSE)))</f>
        <v>147.41999999999999</v>
      </c>
      <c r="N91" s="205">
        <f t="shared" si="14"/>
        <v>170548.72380000001</v>
      </c>
      <c r="O91" s="206">
        <f t="shared" si="10"/>
        <v>19337.517399999953</v>
      </c>
      <c r="P91" s="207">
        <f t="shared" si="15"/>
        <v>0.10183738051685631</v>
      </c>
    </row>
    <row r="92" spans="1:16">
      <c r="A92" s="163" t="s">
        <v>343</v>
      </c>
      <c r="B92" s="163">
        <v>7442</v>
      </c>
      <c r="C92" s="200">
        <v>2231.1</v>
      </c>
      <c r="D92" s="201">
        <v>0</v>
      </c>
      <c r="E92" s="202" t="s">
        <v>199</v>
      </c>
      <c r="F92" s="200">
        <v>2364</v>
      </c>
      <c r="G92" s="162">
        <v>45884</v>
      </c>
      <c r="H92" s="203" t="s">
        <v>199</v>
      </c>
      <c r="I92" s="186">
        <f t="shared" si="11"/>
        <v>4</v>
      </c>
      <c r="J92" s="204">
        <f>IF($H92="USD",IF(OR($I92="",$I92="-"),"",VLOOKUP($G92,為替!$A:$AX,$I92,FALSE))+$J$3,IF(OR($I92="",$I92="-"),"",VLOOKUP($G92,為替!$A:$AX,$I92,FALSE)))</f>
        <v>147.16</v>
      </c>
      <c r="K92" s="205">
        <f t="shared" si="12"/>
        <v>347886.24</v>
      </c>
      <c r="L92" s="189">
        <f t="shared" si="13"/>
        <v>3</v>
      </c>
      <c r="M92" s="204">
        <f>IF($H92="USD",IF(OR($L92="",$L92="-"),"",VLOOKUP($G92,為替!$A:$AX,$L92,FALSE))+$K$3,IF(OR($L92="",$L92="-"),"",VLOOKUP($G92,為替!$A:$AX,$L92,FALSE)))</f>
        <v>148.16</v>
      </c>
      <c r="N92" s="205">
        <f t="shared" si="14"/>
        <v>330559.77599999995</v>
      </c>
      <c r="O92" s="206">
        <f t="shared" si="10"/>
        <v>17326.464000000036</v>
      </c>
      <c r="P92" s="207">
        <f t="shared" si="15"/>
        <v>4.980497072836234E-2</v>
      </c>
    </row>
    <row r="93" spans="1:16">
      <c r="A93" s="163" t="s">
        <v>344</v>
      </c>
      <c r="B93" s="163">
        <v>7416</v>
      </c>
      <c r="C93" s="200">
        <v>5785.92</v>
      </c>
      <c r="D93" s="201">
        <v>358.18</v>
      </c>
      <c r="E93" s="202" t="s">
        <v>199</v>
      </c>
      <c r="F93" s="430">
        <v>6888</v>
      </c>
      <c r="G93" s="162">
        <v>45901</v>
      </c>
      <c r="H93" s="203" t="s">
        <v>199</v>
      </c>
      <c r="I93" s="186">
        <f t="shared" si="11"/>
        <v>4</v>
      </c>
      <c r="J93" s="204">
        <f>IF($H93="USD",IF(OR($I93="",$I93="-"),"",VLOOKUP($G93,為替!$A:$AX,$I93,FALSE))+$J$3,IF(OR($I93="",$I93="-"),"",VLOOKUP($G93,為替!$A:$AX,$I93,FALSE)))</f>
        <v>146.78</v>
      </c>
      <c r="K93" s="205">
        <f t="shared" si="12"/>
        <v>1011020.64</v>
      </c>
      <c r="L93" s="189">
        <f t="shared" si="13"/>
        <v>3</v>
      </c>
      <c r="M93" s="204">
        <f>IF($H93="USD",IF(OR($L93="",$L93="-"),"",VLOOKUP($G93,為替!$A:$AX,$L93,FALSE))+$K$3,IF(OR($L93="",$L93="-"),"",VLOOKUP($G93,為替!$A:$AX,$L93,FALSE)))</f>
        <v>147.78</v>
      </c>
      <c r="N93" s="205">
        <f t="shared" si="14"/>
        <v>907975.09800000011</v>
      </c>
      <c r="O93" s="206">
        <f t="shared" si="10"/>
        <v>103045.5419999999</v>
      </c>
      <c r="P93" s="207">
        <f t="shared" si="15"/>
        <v>0.10192229309977281</v>
      </c>
    </row>
    <row r="94" spans="1:16">
      <c r="A94" s="163" t="s">
        <v>344</v>
      </c>
      <c r="B94" s="163">
        <v>7417</v>
      </c>
      <c r="C94" s="200">
        <v>669.73</v>
      </c>
      <c r="D94" s="201">
        <v>41.46</v>
      </c>
      <c r="E94" s="202" t="s">
        <v>199</v>
      </c>
      <c r="F94" s="430">
        <v>797.3</v>
      </c>
      <c r="G94" s="162">
        <v>45901</v>
      </c>
      <c r="H94" s="203" t="s">
        <v>199</v>
      </c>
      <c r="I94" s="186">
        <f t="shared" si="11"/>
        <v>4</v>
      </c>
      <c r="J94" s="204">
        <f>IF($H94="USD",IF(OR($I94="",$I94="-"),"",VLOOKUP($G94,為替!$A:$AX,$I94,FALSE))+$J$3,IF(OR($I94="",$I94="-"),"",VLOOKUP($G94,為替!$A:$AX,$I94,FALSE)))</f>
        <v>146.78</v>
      </c>
      <c r="K94" s="205">
        <f t="shared" si="12"/>
        <v>117027.69399999999</v>
      </c>
      <c r="L94" s="189">
        <f t="shared" si="13"/>
        <v>3</v>
      </c>
      <c r="M94" s="204">
        <f>IF($H94="USD",IF(OR($L94="",$L94="-"),"",VLOOKUP($G94,為替!$A:$AX,$L94,FALSE))+$K$3,IF(OR($L94="",$L94="-"),"",VLOOKUP($G94,為替!$A:$AX,$L94,FALSE)))</f>
        <v>147.78</v>
      </c>
      <c r="N94" s="205">
        <f t="shared" si="14"/>
        <v>105099.65820000001</v>
      </c>
      <c r="O94" s="206">
        <f t="shared" si="10"/>
        <v>11928.035799999983</v>
      </c>
      <c r="P94" s="207">
        <f t="shared" si="15"/>
        <v>0.10192489822109957</v>
      </c>
    </row>
    <row r="95" spans="1:16">
      <c r="A95" s="163" t="s">
        <v>344</v>
      </c>
      <c r="B95" s="163">
        <v>7418</v>
      </c>
      <c r="C95" s="200">
        <v>2812.19</v>
      </c>
      <c r="D95" s="201">
        <v>174.08</v>
      </c>
      <c r="E95" s="202" t="s">
        <v>199</v>
      </c>
      <c r="F95" s="430">
        <v>3347.65</v>
      </c>
      <c r="G95" s="162">
        <v>45901</v>
      </c>
      <c r="H95" s="203" t="s">
        <v>199</v>
      </c>
      <c r="I95" s="186">
        <f t="shared" si="11"/>
        <v>4</v>
      </c>
      <c r="J95" s="204">
        <f>IF($H95="USD",IF(OR($I95="",$I95="-"),"",VLOOKUP($G95,為替!$A:$AX,$I95,FALSE))+$J$3,IF(OR($I95="",$I95="-"),"",VLOOKUP($G95,為替!$A:$AX,$I95,FALSE)))</f>
        <v>146.78</v>
      </c>
      <c r="K95" s="205">
        <f t="shared" si="12"/>
        <v>491368.06700000004</v>
      </c>
      <c r="L95" s="189">
        <f t="shared" si="13"/>
        <v>3</v>
      </c>
      <c r="M95" s="204">
        <f>IF($H95="USD",IF(OR($L95="",$L95="-"),"",VLOOKUP($G95,為替!$A:$AX,$L95,FALSE))+$K$3,IF(OR($L95="",$L95="-"),"",VLOOKUP($G95,為替!$A:$AX,$L95,FALSE)))</f>
        <v>147.78</v>
      </c>
      <c r="N95" s="205">
        <f t="shared" si="14"/>
        <v>441310.98060000001</v>
      </c>
      <c r="O95" s="206">
        <f t="shared" si="10"/>
        <v>50057.086400000029</v>
      </c>
      <c r="P95" s="207">
        <f t="shared" si="15"/>
        <v>0.10187289276981043</v>
      </c>
    </row>
    <row r="96" spans="1:16">
      <c r="A96" s="163" t="s">
        <v>344</v>
      </c>
      <c r="B96" s="163">
        <v>7419</v>
      </c>
      <c r="C96" s="200">
        <v>327.93</v>
      </c>
      <c r="D96" s="201">
        <v>20.3</v>
      </c>
      <c r="E96" s="202" t="s">
        <v>199</v>
      </c>
      <c r="F96" s="430">
        <v>390.4</v>
      </c>
      <c r="G96" s="162">
        <v>45901</v>
      </c>
      <c r="H96" s="203" t="s">
        <v>199</v>
      </c>
      <c r="I96" s="186">
        <f t="shared" si="11"/>
        <v>4</v>
      </c>
      <c r="J96" s="204">
        <f>IF($H96="USD",IF(OR($I96="",$I96="-"),"",VLOOKUP($G96,為替!$A:$AX,$I96,FALSE))+$J$3,IF(OR($I96="",$I96="-"),"",VLOOKUP($G96,為替!$A:$AX,$I96,FALSE)))</f>
        <v>146.78</v>
      </c>
      <c r="K96" s="205">
        <f t="shared" si="12"/>
        <v>57302.911999999997</v>
      </c>
      <c r="L96" s="189">
        <f t="shared" si="13"/>
        <v>3</v>
      </c>
      <c r="M96" s="204">
        <f>IF($H96="USD",IF(OR($L96="",$L96="-"),"",VLOOKUP($G96,為替!$A:$AX,$L96,FALSE))+$K$3,IF(OR($L96="",$L96="-"),"",VLOOKUP($G96,為替!$A:$AX,$L96,FALSE)))</f>
        <v>147.78</v>
      </c>
      <c r="N96" s="205">
        <f t="shared" si="14"/>
        <v>51461.429400000001</v>
      </c>
      <c r="O96" s="206">
        <f t="shared" si="10"/>
        <v>5841.4825999999957</v>
      </c>
      <c r="P96" s="207">
        <f t="shared" si="15"/>
        <v>0.10194041447666737</v>
      </c>
    </row>
    <row r="97" spans="1:16">
      <c r="A97" s="163" t="s">
        <v>344</v>
      </c>
      <c r="B97" s="163">
        <v>7420</v>
      </c>
      <c r="C97" s="200">
        <v>1108.8</v>
      </c>
      <c r="D97" s="201">
        <v>68.64</v>
      </c>
      <c r="E97" s="202" t="s">
        <v>199</v>
      </c>
      <c r="F97" s="430">
        <v>1320</v>
      </c>
      <c r="G97" s="162">
        <v>45901</v>
      </c>
      <c r="H97" s="203" t="s">
        <v>199</v>
      </c>
      <c r="I97" s="186">
        <f t="shared" si="11"/>
        <v>4</v>
      </c>
      <c r="J97" s="204">
        <f>IF($H97="USD",IF(OR($I97="",$I97="-"),"",VLOOKUP($G97,為替!$A:$AX,$I97,FALSE))+$J$3,IF(OR($I97="",$I97="-"),"",VLOOKUP($G97,為替!$A:$AX,$I97,FALSE)))</f>
        <v>146.78</v>
      </c>
      <c r="K97" s="205">
        <f t="shared" si="12"/>
        <v>193749.6</v>
      </c>
      <c r="L97" s="189">
        <f t="shared" si="13"/>
        <v>3</v>
      </c>
      <c r="M97" s="204">
        <f>IF($H97="USD",IF(OR($L97="",$L97="-"),"",VLOOKUP($G97,為替!$A:$AX,$L97,FALSE))+$K$3,IF(OR($L97="",$L97="-"),"",VLOOKUP($G97,為替!$A:$AX,$L97,FALSE)))</f>
        <v>147.78</v>
      </c>
      <c r="N97" s="205">
        <f t="shared" si="14"/>
        <v>174002.08320000002</v>
      </c>
      <c r="O97" s="206">
        <f t="shared" si="10"/>
        <v>19747.516799999983</v>
      </c>
      <c r="P97" s="207">
        <f t="shared" si="15"/>
        <v>0.1019228777762637</v>
      </c>
    </row>
    <row r="98" spans="1:16">
      <c r="A98" s="163" t="s">
        <v>344</v>
      </c>
      <c r="B98" s="163">
        <v>7421</v>
      </c>
      <c r="C98" s="200">
        <v>2131.08</v>
      </c>
      <c r="D98" s="201">
        <v>131.91999999999999</v>
      </c>
      <c r="E98" s="202" t="s">
        <v>199</v>
      </c>
      <c r="F98" s="430">
        <v>2537</v>
      </c>
      <c r="G98" s="162">
        <v>45901</v>
      </c>
      <c r="H98" s="203" t="s">
        <v>199</v>
      </c>
      <c r="I98" s="186">
        <f t="shared" si="11"/>
        <v>4</v>
      </c>
      <c r="J98" s="204">
        <f>IF($H98="USD",IF(OR($I98="",$I98="-"),"",VLOOKUP($G98,為替!$A:$AX,$I98,FALSE))+$J$3,IF(OR($I98="",$I98="-"),"",VLOOKUP($G98,為替!$A:$AX,$I98,FALSE)))</f>
        <v>146.78</v>
      </c>
      <c r="K98" s="205">
        <f t="shared" si="12"/>
        <v>372380.86</v>
      </c>
      <c r="L98" s="189">
        <f t="shared" si="13"/>
        <v>3</v>
      </c>
      <c r="M98" s="204">
        <f>IF($H98="USD",IF(OR($L98="",$L98="-"),"",VLOOKUP($G98,為替!$A:$AX,$L98,FALSE))+$K$3,IF(OR($L98="",$L98="-"),"",VLOOKUP($G98,為替!$A:$AX,$L98,FALSE)))</f>
        <v>147.78</v>
      </c>
      <c r="N98" s="205">
        <f t="shared" si="14"/>
        <v>334426.14</v>
      </c>
      <c r="O98" s="206">
        <f t="shared" si="10"/>
        <v>37954.719999999972</v>
      </c>
      <c r="P98" s="207">
        <f t="shared" si="15"/>
        <v>0.10192446518330715</v>
      </c>
    </row>
    <row r="99" spans="1:16">
      <c r="A99" s="163" t="s">
        <v>344</v>
      </c>
      <c r="B99" s="163">
        <v>7422</v>
      </c>
      <c r="C99" s="200">
        <v>1673.59</v>
      </c>
      <c r="D99" s="201">
        <v>103.6</v>
      </c>
      <c r="E99" s="202" t="s">
        <v>199</v>
      </c>
      <c r="F99" s="430">
        <v>1992.26</v>
      </c>
      <c r="G99" s="162">
        <v>45901</v>
      </c>
      <c r="H99" s="203" t="s">
        <v>199</v>
      </c>
      <c r="I99" s="186">
        <f t="shared" si="11"/>
        <v>4</v>
      </c>
      <c r="J99" s="204">
        <f>IF($H99="USD",IF(OR($I99="",$I99="-"),"",VLOOKUP($G99,為替!$A:$AX,$I99,FALSE))+$J$3,IF(OR($I99="",$I99="-"),"",VLOOKUP($G99,為替!$A:$AX,$I99,FALSE)))</f>
        <v>146.78</v>
      </c>
      <c r="K99" s="205">
        <f t="shared" si="12"/>
        <v>292423.9228</v>
      </c>
      <c r="L99" s="189">
        <f t="shared" si="13"/>
        <v>3</v>
      </c>
      <c r="M99" s="204">
        <f>IF($H99="USD",IF(OR($L99="",$L99="-"),"",VLOOKUP($G99,為替!$A:$AX,$L99,FALSE))+$K$3,IF(OR($L99="",$L99="-"),"",VLOOKUP($G99,為替!$A:$AX,$L99,FALSE)))</f>
        <v>147.78</v>
      </c>
      <c r="N99" s="205">
        <f t="shared" si="14"/>
        <v>262633.13819999999</v>
      </c>
      <c r="O99" s="206">
        <f t="shared" si="10"/>
        <v>29790.784600000014</v>
      </c>
      <c r="P99" s="207">
        <f t="shared" si="15"/>
        <v>0.10187533329950943</v>
      </c>
    </row>
    <row r="100" spans="1:16">
      <c r="A100" s="163" t="s">
        <v>344</v>
      </c>
      <c r="B100" s="163">
        <v>7436</v>
      </c>
      <c r="C100" s="200">
        <v>361.2</v>
      </c>
      <c r="D100" s="201">
        <v>22.36</v>
      </c>
      <c r="E100" s="202" t="s">
        <v>199</v>
      </c>
      <c r="F100" s="430">
        <v>430</v>
      </c>
      <c r="G100" s="162">
        <v>45905</v>
      </c>
      <c r="H100" s="203" t="s">
        <v>199</v>
      </c>
      <c r="I100" s="186">
        <f t="shared" si="11"/>
        <v>4</v>
      </c>
      <c r="J100" s="204">
        <f>IF($H100="USD",IF(OR($I100="",$I100="-"),"",VLOOKUP($G100,為替!$A:$AX,$I100,FALSE))+$J$3,IF(OR($I100="",$I100="-"),"",VLOOKUP($G100,為替!$A:$AX,$I100,FALSE)))</f>
        <v>147.75</v>
      </c>
      <c r="K100" s="205">
        <f t="shared" si="12"/>
        <v>63532.5</v>
      </c>
      <c r="L100" s="189">
        <f t="shared" si="13"/>
        <v>3</v>
      </c>
      <c r="M100" s="204">
        <f>IF($H100="USD",IF(OR($L100="",$L100="-"),"",VLOOKUP($G100,為替!$A:$AX,$L100,FALSE))+$K$3,IF(OR($L100="",$L100="-"),"",VLOOKUP($G100,為替!$A:$AX,$L100,FALSE)))</f>
        <v>148.75</v>
      </c>
      <c r="N100" s="205">
        <f t="shared" si="14"/>
        <v>57054.55</v>
      </c>
      <c r="O100" s="206">
        <f t="shared" si="10"/>
        <v>6477.9499999999971</v>
      </c>
      <c r="P100" s="207">
        <f t="shared" si="15"/>
        <v>0.10196277495769877</v>
      </c>
    </row>
    <row r="101" spans="1:16">
      <c r="A101" s="163" t="s">
        <v>344</v>
      </c>
      <c r="B101" s="163">
        <v>7437</v>
      </c>
      <c r="C101" s="200">
        <v>2167.1999999999998</v>
      </c>
      <c r="D101" s="201">
        <v>134.16</v>
      </c>
      <c r="E101" s="202" t="s">
        <v>199</v>
      </c>
      <c r="F101" s="430">
        <v>2580</v>
      </c>
      <c r="G101" s="162">
        <v>45905</v>
      </c>
      <c r="H101" s="203" t="s">
        <v>199</v>
      </c>
      <c r="I101" s="186">
        <f t="shared" si="11"/>
        <v>4</v>
      </c>
      <c r="J101" s="204">
        <f>IF($H101="USD",IF(OR($I101="",$I101="-"),"",VLOOKUP($G101,為替!$A:$AX,$I101,FALSE))+$J$3,IF(OR($I101="",$I101="-"),"",VLOOKUP($G101,為替!$A:$AX,$I101,FALSE)))</f>
        <v>147.75</v>
      </c>
      <c r="K101" s="205">
        <f t="shared" si="12"/>
        <v>381195</v>
      </c>
      <c r="L101" s="189">
        <f t="shared" si="13"/>
        <v>3</v>
      </c>
      <c r="M101" s="204">
        <f>IF($H101="USD",IF(OR($L101="",$L101="-"),"",VLOOKUP($G101,為替!$A:$AX,$L101,FALSE))+$K$3,IF(OR($L101="",$L101="-"),"",VLOOKUP($G101,為替!$A:$AX,$L101,FALSE)))</f>
        <v>148.75</v>
      </c>
      <c r="N101" s="205">
        <f t="shared" si="14"/>
        <v>342327.29999999993</v>
      </c>
      <c r="O101" s="206">
        <f t="shared" si="10"/>
        <v>38867.70000000007</v>
      </c>
      <c r="P101" s="207">
        <f t="shared" si="15"/>
        <v>0.101962774957699</v>
      </c>
    </row>
    <row r="102" spans="1:16">
      <c r="A102" s="163" t="s">
        <v>344</v>
      </c>
      <c r="B102" s="163">
        <v>7438</v>
      </c>
      <c r="C102" s="200">
        <v>4540.6499999999996</v>
      </c>
      <c r="D102" s="201">
        <v>281.07</v>
      </c>
      <c r="E102" s="202" t="s">
        <v>199</v>
      </c>
      <c r="F102" s="430">
        <v>5405.23</v>
      </c>
      <c r="G102" s="162">
        <v>45905</v>
      </c>
      <c r="H102" s="203" t="s">
        <v>199</v>
      </c>
      <c r="I102" s="186">
        <f t="shared" si="11"/>
        <v>4</v>
      </c>
      <c r="J102" s="204">
        <f>IF($H102="USD",IF(OR($I102="",$I102="-"),"",VLOOKUP($G102,為替!$A:$AX,$I102,FALSE))+$J$3,IF(OR($I102="",$I102="-"),"",VLOOKUP($G102,為替!$A:$AX,$I102,FALSE)))</f>
        <v>147.75</v>
      </c>
      <c r="K102" s="205">
        <f t="shared" si="12"/>
        <v>798622.73249999993</v>
      </c>
      <c r="L102" s="189">
        <f t="shared" si="13"/>
        <v>3</v>
      </c>
      <c r="M102" s="204">
        <f>IF($H102="USD",IF(OR($L102="",$L102="-"),"",VLOOKUP($G102,為替!$A:$AX,$L102,FALSE))+$K$3,IF(OR($L102="",$L102="-"),"",VLOOKUP($G102,為替!$A:$AX,$L102,FALSE)))</f>
        <v>148.75</v>
      </c>
      <c r="N102" s="205">
        <f t="shared" si="14"/>
        <v>717230.84999999986</v>
      </c>
      <c r="O102" s="206">
        <f t="shared" si="10"/>
        <v>81391.882500000065</v>
      </c>
      <c r="P102" s="207">
        <f t="shared" si="15"/>
        <v>0.10191530892842457</v>
      </c>
    </row>
    <row r="103" spans="1:16">
      <c r="A103" s="163" t="s">
        <v>343</v>
      </c>
      <c r="B103" s="163">
        <v>7429</v>
      </c>
      <c r="C103" s="200">
        <v>98.93</v>
      </c>
      <c r="D103" s="201">
        <v>0</v>
      </c>
      <c r="E103" s="202" t="s">
        <v>199</v>
      </c>
      <c r="F103" s="430">
        <v>103.49</v>
      </c>
      <c r="G103" s="162">
        <v>45902</v>
      </c>
      <c r="H103" s="203" t="s">
        <v>199</v>
      </c>
      <c r="I103" s="186">
        <f t="shared" si="11"/>
        <v>4</v>
      </c>
      <c r="J103" s="204">
        <f>IF($H103="USD",IF(OR($I103="",$I103="-"),"",VLOOKUP($G103,為替!$A:$AX,$I103,FALSE))+$J$3,IF(OR($I103="",$I103="-"),"",VLOOKUP($G103,為替!$A:$AX,$I103,FALSE)))</f>
        <v>146.84</v>
      </c>
      <c r="K103" s="205">
        <f t="shared" si="12"/>
        <v>15196.471599999999</v>
      </c>
      <c r="L103" s="189">
        <f t="shared" si="13"/>
        <v>3</v>
      </c>
      <c r="M103" s="204">
        <f>IF($H103="USD",IF(OR($L103="",$L103="-"),"",VLOOKUP($G103,為替!$A:$AX,$L103,FALSE))+$K$3,IF(OR($L103="",$L103="-"),"",VLOOKUP($G103,為替!$A:$AX,$L103,FALSE)))</f>
        <v>147.84</v>
      </c>
      <c r="N103" s="205">
        <f t="shared" si="14"/>
        <v>14625.811200000002</v>
      </c>
      <c r="O103" s="206">
        <f t="shared" si="10"/>
        <v>570.66039999999703</v>
      </c>
      <c r="P103" s="207">
        <f t="shared" si="15"/>
        <v>3.7552164411638625E-2</v>
      </c>
    </row>
    <row r="104" spans="1:16">
      <c r="A104" s="163" t="s">
        <v>343</v>
      </c>
      <c r="B104" s="163">
        <v>7430</v>
      </c>
      <c r="C104" s="200">
        <v>2528.4</v>
      </c>
      <c r="D104" s="201">
        <v>0</v>
      </c>
      <c r="E104" s="202" t="s">
        <v>199</v>
      </c>
      <c r="F104" s="430">
        <v>2775.36</v>
      </c>
      <c r="G104" s="162">
        <v>45903</v>
      </c>
      <c r="H104" s="203" t="s">
        <v>199</v>
      </c>
      <c r="I104" s="186">
        <f t="shared" si="11"/>
        <v>4</v>
      </c>
      <c r="J104" s="204">
        <f>IF($H104="USD",IF(OR($I104="",$I104="-"),"",VLOOKUP($G104,為替!$A:$AX,$I104,FALSE))+$J$3,IF(OR($I104="",$I104="-"),"",VLOOKUP($G104,為替!$A:$AX,$I104,FALSE)))</f>
        <v>148.29</v>
      </c>
      <c r="K104" s="205">
        <f t="shared" si="12"/>
        <v>411558.13439999998</v>
      </c>
      <c r="L104" s="189">
        <f t="shared" si="13"/>
        <v>3</v>
      </c>
      <c r="M104" s="204">
        <f>IF($H104="USD",IF(OR($L104="",$L104="-"),"",VLOOKUP($G104,為替!$A:$AX,$L104,FALSE))+$K$3,IF(OR($L104="",$L104="-"),"",VLOOKUP($G104,為替!$A:$AX,$L104,FALSE)))</f>
        <v>149.29</v>
      </c>
      <c r="N104" s="205">
        <f t="shared" si="14"/>
        <v>377464.83600000001</v>
      </c>
      <c r="O104" s="206">
        <f t="shared" si="10"/>
        <v>34093.298399999971</v>
      </c>
      <c r="P104" s="207">
        <f t="shared" si="15"/>
        <v>8.2839568824714674E-2</v>
      </c>
    </row>
    <row r="105" spans="1:16">
      <c r="A105" s="163" t="s">
        <v>343</v>
      </c>
      <c r="B105" s="163">
        <v>7431</v>
      </c>
      <c r="C105" s="200">
        <v>626.32000000000005</v>
      </c>
      <c r="D105" s="201">
        <v>0</v>
      </c>
      <c r="E105" s="202" t="s">
        <v>199</v>
      </c>
      <c r="F105" s="430">
        <v>660.44</v>
      </c>
      <c r="G105" s="162">
        <v>45904</v>
      </c>
      <c r="H105" s="203" t="s">
        <v>199</v>
      </c>
      <c r="I105" s="186">
        <f t="shared" si="11"/>
        <v>4</v>
      </c>
      <c r="J105" s="204">
        <f>IF($H105="USD",IF(OR($I105="",$I105="-"),"",VLOOKUP($G105,為替!$A:$AX,$I105,FALSE))+$J$3,IF(OR($I105="",$I105="-"),"",VLOOKUP($G105,為替!$A:$AX,$I105,FALSE)))</f>
        <v>147.52000000000001</v>
      </c>
      <c r="K105" s="205">
        <f t="shared" si="12"/>
        <v>97428.108800000016</v>
      </c>
      <c r="L105" s="189">
        <f t="shared" si="13"/>
        <v>3</v>
      </c>
      <c r="M105" s="204">
        <f>IF($H105="USD",IF(OR($L105="",$L105="-"),"",VLOOKUP($G105,為替!$A:$AX,$L105,FALSE))+$K$3,IF(OR($L105="",$L105="-"),"",VLOOKUP($G105,為替!$A:$AX,$L105,FALSE)))</f>
        <v>148.52000000000001</v>
      </c>
      <c r="N105" s="205">
        <f t="shared" si="14"/>
        <v>93021.046400000021</v>
      </c>
      <c r="O105" s="206">
        <f t="shared" si="10"/>
        <v>4407.0623999999953</v>
      </c>
      <c r="P105" s="207">
        <f t="shared" si="15"/>
        <v>4.5233993087629293E-2</v>
      </c>
    </row>
    <row r="106" spans="1:16">
      <c r="A106" s="163" t="s">
        <v>343</v>
      </c>
      <c r="B106" s="163">
        <v>7432</v>
      </c>
      <c r="C106" s="200">
        <v>23.5</v>
      </c>
      <c r="D106" s="201">
        <v>0</v>
      </c>
      <c r="E106" s="202" t="s">
        <v>199</v>
      </c>
      <c r="F106" s="430">
        <v>24.9</v>
      </c>
      <c r="G106" s="162">
        <v>45904</v>
      </c>
      <c r="H106" s="203" t="s">
        <v>199</v>
      </c>
      <c r="I106" s="186">
        <f t="shared" si="11"/>
        <v>4</v>
      </c>
      <c r="J106" s="204">
        <f>IF($H106="USD",IF(OR($I106="",$I106="-"),"",VLOOKUP($G106,為替!$A:$AX,$I106,FALSE))+$J$3,IF(OR($I106="",$I106="-"),"",VLOOKUP($G106,為替!$A:$AX,$I106,FALSE)))</f>
        <v>147.52000000000001</v>
      </c>
      <c r="K106" s="205">
        <f t="shared" si="12"/>
        <v>3673.248</v>
      </c>
      <c r="L106" s="189">
        <f t="shared" si="13"/>
        <v>3</v>
      </c>
      <c r="M106" s="204">
        <f>IF($H106="USD",IF(OR($L106="",$L106="-"),"",VLOOKUP($G106,為替!$A:$AX,$L106,FALSE))+$K$3,IF(OR($L106="",$L106="-"),"",VLOOKUP($G106,為替!$A:$AX,$L106,FALSE)))</f>
        <v>148.52000000000001</v>
      </c>
      <c r="N106" s="205">
        <f t="shared" si="14"/>
        <v>3490.2200000000003</v>
      </c>
      <c r="O106" s="206">
        <f t="shared" si="10"/>
        <v>183.02799999999979</v>
      </c>
      <c r="P106" s="207">
        <f t="shared" si="15"/>
        <v>4.982729181367547E-2</v>
      </c>
    </row>
    <row r="107" spans="1:16">
      <c r="A107" s="163" t="s">
        <v>343</v>
      </c>
      <c r="B107" s="163">
        <v>7402</v>
      </c>
      <c r="C107" s="200">
        <v>3873.45</v>
      </c>
      <c r="D107" s="201">
        <v>0</v>
      </c>
      <c r="E107" s="202" t="s">
        <v>199</v>
      </c>
      <c r="F107" s="430">
        <v>4104.3100000000004</v>
      </c>
      <c r="G107" s="162">
        <v>45904</v>
      </c>
      <c r="H107" s="203" t="s">
        <v>199</v>
      </c>
      <c r="I107" s="186">
        <f t="shared" si="11"/>
        <v>4</v>
      </c>
      <c r="J107" s="204">
        <f>IF($H107="USD",IF(OR($I107="",$I107="-"),"",VLOOKUP($G107,為替!$A:$AX,$I107,FALSE))+$J$3,IF(OR($I107="",$I107="-"),"",VLOOKUP($G107,為替!$A:$AX,$I107,FALSE)))</f>
        <v>147.52000000000001</v>
      </c>
      <c r="K107" s="205">
        <f t="shared" si="12"/>
        <v>605467.81120000011</v>
      </c>
      <c r="L107" s="189">
        <f t="shared" si="13"/>
        <v>3</v>
      </c>
      <c r="M107" s="204">
        <f>IF($H107="USD",IF(OR($L107="",$L107="-"),"",VLOOKUP($G107,為替!$A:$AX,$L107,FALSE))+$K$3,IF(OR($L107="",$L107="-"),"",VLOOKUP($G107,為替!$A:$AX,$L107,FALSE)))</f>
        <v>148.52000000000001</v>
      </c>
      <c r="N107" s="205">
        <f t="shared" si="14"/>
        <v>575284.79399999999</v>
      </c>
      <c r="O107" s="206">
        <f t="shared" si="10"/>
        <v>30183.017200000118</v>
      </c>
      <c r="P107" s="207">
        <f t="shared" si="15"/>
        <v>4.9850737961080423E-2</v>
      </c>
    </row>
    <row r="108" spans="1:16">
      <c r="A108" s="163" t="s">
        <v>343</v>
      </c>
      <c r="B108" s="163">
        <v>7447</v>
      </c>
      <c r="C108" s="200">
        <v>511.5</v>
      </c>
      <c r="D108" s="201">
        <v>0</v>
      </c>
      <c r="E108" s="202" t="s">
        <v>199</v>
      </c>
      <c r="F108" s="430">
        <v>540.16999999999996</v>
      </c>
      <c r="G108" s="162">
        <v>45906</v>
      </c>
      <c r="H108" s="203" t="s">
        <v>199</v>
      </c>
      <c r="I108" s="186">
        <f t="shared" si="11"/>
        <v>4</v>
      </c>
      <c r="J108" s="204">
        <f>IF($H108="USD",IF(OR($I108="",$I108="-"),"",VLOOKUP($G108,為替!$A:$AX,$I108,FALSE))+$J$3,IF(OR($I108="",$I108="-"),"",VLOOKUP($G108,為替!$A:$AX,$I108,FALSE)))</f>
        <v>147.75</v>
      </c>
      <c r="K108" s="205">
        <f t="shared" si="12"/>
        <v>79810.117499999993</v>
      </c>
      <c r="L108" s="189">
        <f t="shared" si="13"/>
        <v>3</v>
      </c>
      <c r="M108" s="204">
        <f>IF($H108="USD",IF(OR($L108="",$L108="-"),"",VLOOKUP($G108,為替!$A:$AX,$L108,FALSE))+$K$3,IF(OR($L108="",$L108="-"),"",VLOOKUP($G108,為替!$A:$AX,$L108,FALSE)))</f>
        <v>148.75</v>
      </c>
      <c r="N108" s="205">
        <f t="shared" si="14"/>
        <v>76085.625</v>
      </c>
      <c r="O108" s="206">
        <f t="shared" si="10"/>
        <v>3724.492499999993</v>
      </c>
      <c r="P108" s="207">
        <f t="shared" si="15"/>
        <v>4.6666921646870065E-2</v>
      </c>
    </row>
    <row r="109" spans="1:16">
      <c r="A109" s="163" t="s">
        <v>344</v>
      </c>
      <c r="B109" s="163">
        <v>7452</v>
      </c>
      <c r="C109" s="200">
        <v>3675.84</v>
      </c>
      <c r="D109" s="201">
        <v>227.55</v>
      </c>
      <c r="E109" s="202" t="s">
        <v>199</v>
      </c>
      <c r="F109" s="430">
        <v>4376</v>
      </c>
      <c r="G109" s="162">
        <v>45912</v>
      </c>
      <c r="H109" s="203" t="s">
        <v>199</v>
      </c>
      <c r="I109" s="186">
        <f t="shared" si="11"/>
        <v>4</v>
      </c>
      <c r="J109" s="204">
        <f>IF($H109="USD",IF(OR($I109="",$I109="-"),"",VLOOKUP($G109,為替!$A:$AX,$I109,FALSE))+$J$3,IF(OR($I109="",$I109="-"),"",VLOOKUP($G109,為替!$A:$AX,$I109,FALSE)))</f>
        <v>146.80000000000001</v>
      </c>
      <c r="K109" s="205">
        <f t="shared" si="12"/>
        <v>642396.80000000005</v>
      </c>
      <c r="L109" s="189">
        <f t="shared" si="13"/>
        <v>3</v>
      </c>
      <c r="M109" s="204">
        <f>IF($H109="USD",IF(OR($L109="",$L109="-"),"",VLOOKUP($G109,為替!$A:$AX,$L109,FALSE))+$K$3,IF(OR($L109="",$L109="-"),"",VLOOKUP($G109,為替!$A:$AX,$L109,FALSE)))</f>
        <v>147.80000000000001</v>
      </c>
      <c r="N109" s="205">
        <f t="shared" si="14"/>
        <v>576921.04200000013</v>
      </c>
      <c r="O109" s="206">
        <f t="shared" si="10"/>
        <v>65475.757999999914</v>
      </c>
      <c r="P109" s="207">
        <f t="shared" si="15"/>
        <v>0.10192416587380247</v>
      </c>
    </row>
    <row r="110" spans="1:16">
      <c r="A110" s="163" t="s">
        <v>343</v>
      </c>
      <c r="B110" s="163">
        <v>7462</v>
      </c>
      <c r="C110" s="200">
        <v>124.3</v>
      </c>
      <c r="D110" s="201">
        <v>0</v>
      </c>
      <c r="E110" s="202" t="s">
        <v>199</v>
      </c>
      <c r="F110" s="430">
        <v>131.56</v>
      </c>
      <c r="G110" s="162">
        <v>45918</v>
      </c>
      <c r="H110" s="203" t="s">
        <v>199</v>
      </c>
      <c r="I110" s="186">
        <f t="shared" si="11"/>
        <v>4</v>
      </c>
      <c r="J110" s="204">
        <f>IF($H110="USD",IF(OR($I110="",$I110="-"),"",VLOOKUP($G110,為替!$A:$AX,$I110,FALSE))+$J$3,IF(OR($I110="",$I110="-"),"",VLOOKUP($G110,為替!$A:$AX,$I110,FALSE)))</f>
        <v>146.47999999999999</v>
      </c>
      <c r="K110" s="205">
        <f t="shared" si="12"/>
        <v>19270.908799999997</v>
      </c>
      <c r="L110" s="189">
        <f t="shared" si="13"/>
        <v>3</v>
      </c>
      <c r="M110" s="204">
        <f>IF($H110="USD",IF(OR($L110="",$L110="-"),"",VLOOKUP($G110,為替!$A:$AX,$L110,FALSE))+$K$3,IF(OR($L110="",$L110="-"),"",VLOOKUP($G110,為替!$A:$AX,$L110,FALSE)))</f>
        <v>147.47999999999999</v>
      </c>
      <c r="N110" s="205">
        <f t="shared" si="14"/>
        <v>18331.763999999999</v>
      </c>
      <c r="O110" s="206">
        <f t="shared" si="10"/>
        <v>939.14479999999821</v>
      </c>
      <c r="P110" s="207">
        <f t="shared" si="15"/>
        <v>4.8733809585565488E-2</v>
      </c>
    </row>
    <row r="111" spans="1:16">
      <c r="A111" s="163" t="s">
        <v>343</v>
      </c>
      <c r="B111" s="163">
        <v>7470</v>
      </c>
      <c r="C111" s="200">
        <v>1272.03</v>
      </c>
      <c r="D111" s="201">
        <v>0</v>
      </c>
      <c r="E111" s="202" t="s">
        <v>199</v>
      </c>
      <c r="F111" s="430">
        <v>1347.86</v>
      </c>
      <c r="G111" s="162">
        <v>45919</v>
      </c>
      <c r="H111" s="203" t="s">
        <v>199</v>
      </c>
      <c r="I111" s="186">
        <f t="shared" si="11"/>
        <v>4</v>
      </c>
      <c r="J111" s="204">
        <f>IF($H111="USD",IF(OR($I111="",$I111="-"),"",VLOOKUP($G111,為替!$A:$AX,$I111,FALSE))+$J$3,IF(OR($I111="",$I111="-"),"",VLOOKUP($G111,為替!$A:$AX,$I111,FALSE)))</f>
        <v>147.55000000000001</v>
      </c>
      <c r="K111" s="205">
        <f t="shared" si="12"/>
        <v>198876.74299999999</v>
      </c>
      <c r="L111" s="189">
        <f t="shared" si="13"/>
        <v>3</v>
      </c>
      <c r="M111" s="204">
        <f>IF($H111="USD",IF(OR($L111="",$L111="-"),"",VLOOKUP($G111,為替!$A:$AX,$L111,FALSE))+$K$3,IF(OR($L111="",$L111="-"),"",VLOOKUP($G111,為替!$A:$AX,$L111,FALSE)))</f>
        <v>148.55000000000001</v>
      </c>
      <c r="N111" s="205">
        <f t="shared" si="14"/>
        <v>188960.05650000001</v>
      </c>
      <c r="O111" s="206">
        <f t="shared" si="10"/>
        <v>9916.6864999999816</v>
      </c>
      <c r="P111" s="207">
        <f t="shared" si="15"/>
        <v>4.986348001485514E-2</v>
      </c>
    </row>
    <row r="112" spans="1:16">
      <c r="A112" s="163" t="s">
        <v>344</v>
      </c>
      <c r="B112" s="163">
        <v>7465</v>
      </c>
      <c r="C112" s="200">
        <v>6162.24</v>
      </c>
      <c r="D112" s="201">
        <v>381.47</v>
      </c>
      <c r="E112" s="202" t="s">
        <v>199</v>
      </c>
      <c r="F112" s="430">
        <v>7336</v>
      </c>
      <c r="G112" s="162">
        <v>45919</v>
      </c>
      <c r="H112" s="203" t="s">
        <v>199</v>
      </c>
      <c r="I112" s="186">
        <f t="shared" si="11"/>
        <v>4</v>
      </c>
      <c r="J112" s="204">
        <f>IF($H112="USD",IF(OR($I112="",$I112="-"),"",VLOOKUP($G112,為替!$A:$AX,$I112,FALSE))+$J$3,IF(OR($I112="",$I112="-"),"",VLOOKUP($G112,為替!$A:$AX,$I112,FALSE)))</f>
        <v>147.55000000000001</v>
      </c>
      <c r="K112" s="205">
        <f t="shared" si="12"/>
        <v>1082426.8</v>
      </c>
      <c r="L112" s="189">
        <f t="shared" si="13"/>
        <v>3</v>
      </c>
      <c r="M112" s="204">
        <f>IF($H112="USD",IF(OR($L112="",$L112="-"),"",VLOOKUP($G112,為替!$A:$AX,$L112,FALSE))+$K$3,IF(OR($L112="",$L112="-"),"",VLOOKUP($G112,為替!$A:$AX,$L112,FALSE)))</f>
        <v>148.55000000000001</v>
      </c>
      <c r="N112" s="205">
        <f t="shared" si="14"/>
        <v>972068.12050000008</v>
      </c>
      <c r="O112" s="206">
        <f t="shared" si="10"/>
        <v>110358.67949999997</v>
      </c>
      <c r="P112" s="207">
        <f t="shared" si="15"/>
        <v>0.10195486613967795</v>
      </c>
    </row>
    <row r="113" spans="1:16">
      <c r="A113" s="163" t="s">
        <v>344</v>
      </c>
      <c r="B113" s="163">
        <v>7466</v>
      </c>
      <c r="C113" s="200">
        <v>1924.6</v>
      </c>
      <c r="D113" s="201">
        <v>119.14</v>
      </c>
      <c r="E113" s="202" t="s">
        <v>199</v>
      </c>
      <c r="F113" s="430">
        <v>2291.1999999999998</v>
      </c>
      <c r="G113" s="162">
        <v>45919</v>
      </c>
      <c r="H113" s="203" t="s">
        <v>199</v>
      </c>
      <c r="I113" s="186">
        <f t="shared" si="11"/>
        <v>4</v>
      </c>
      <c r="J113" s="204">
        <f>IF($H113="USD",IF(OR($I113="",$I113="-"),"",VLOOKUP($G113,為替!$A:$AX,$I113,FALSE))+$J$3,IF(OR($I113="",$I113="-"),"",VLOOKUP($G113,為替!$A:$AX,$I113,FALSE)))</f>
        <v>147.55000000000001</v>
      </c>
      <c r="K113" s="205">
        <f t="shared" si="12"/>
        <v>338066.56</v>
      </c>
      <c r="L113" s="189">
        <f t="shared" si="13"/>
        <v>3</v>
      </c>
      <c r="M113" s="204">
        <f>IF($H113="USD",IF(OR($L113="",$L113="-"),"",VLOOKUP($G113,為替!$A:$AX,$L113,FALSE))+$K$3,IF(OR($L113="",$L113="-"),"",VLOOKUP($G113,為替!$A:$AX,$L113,FALSE)))</f>
        <v>148.55000000000001</v>
      </c>
      <c r="N113" s="205">
        <f t="shared" si="14"/>
        <v>303597.57700000005</v>
      </c>
      <c r="O113" s="206">
        <f t="shared" si="10"/>
        <v>34468.982999999949</v>
      </c>
      <c r="P113" s="207">
        <f t="shared" si="15"/>
        <v>0.10195916153316066</v>
      </c>
    </row>
    <row r="114" spans="1:16">
      <c r="A114" s="163" t="s">
        <v>344</v>
      </c>
      <c r="B114" s="163">
        <v>7467</v>
      </c>
      <c r="C114" s="200">
        <v>2889.6</v>
      </c>
      <c r="D114" s="201">
        <v>178.88</v>
      </c>
      <c r="E114" s="202" t="s">
        <v>199</v>
      </c>
      <c r="F114" s="430">
        <v>3440</v>
      </c>
      <c r="G114" s="162">
        <v>45919</v>
      </c>
      <c r="H114" s="203" t="s">
        <v>199</v>
      </c>
      <c r="I114" s="186">
        <f t="shared" si="11"/>
        <v>4</v>
      </c>
      <c r="J114" s="204">
        <f>IF($H114="USD",IF(OR($I114="",$I114="-"),"",VLOOKUP($G114,為替!$A:$AX,$I114,FALSE))+$J$3,IF(OR($I114="",$I114="-"),"",VLOOKUP($G114,為替!$A:$AX,$I114,FALSE)))</f>
        <v>147.55000000000001</v>
      </c>
      <c r="K114" s="205">
        <f t="shared" si="12"/>
        <v>507572.00000000006</v>
      </c>
      <c r="L114" s="189">
        <f t="shared" si="13"/>
        <v>3</v>
      </c>
      <c r="M114" s="204">
        <f>IF($H114="USD",IF(OR($L114="",$L114="-"),"",VLOOKUP($G114,為替!$A:$AX,$L114,FALSE))+$K$3,IF(OR($L114="",$L114="-"),"",VLOOKUP($G114,為替!$A:$AX,$L114,FALSE)))</f>
        <v>148.55000000000001</v>
      </c>
      <c r="N114" s="205">
        <f t="shared" si="14"/>
        <v>455822.70400000003</v>
      </c>
      <c r="O114" s="206">
        <f t="shared" si="10"/>
        <v>51749.296000000031</v>
      </c>
      <c r="P114" s="207">
        <f t="shared" si="15"/>
        <v>0.10195459166384281</v>
      </c>
    </row>
    <row r="115" spans="1:16">
      <c r="A115" s="163" t="s">
        <v>344</v>
      </c>
      <c r="B115" s="163">
        <v>7468</v>
      </c>
      <c r="C115" s="200">
        <v>1444.8</v>
      </c>
      <c r="D115" s="201">
        <v>89.44</v>
      </c>
      <c r="E115" s="202" t="s">
        <v>199</v>
      </c>
      <c r="F115" s="430">
        <v>1720</v>
      </c>
      <c r="G115" s="162">
        <v>45919</v>
      </c>
      <c r="H115" s="203" t="s">
        <v>199</v>
      </c>
      <c r="I115" s="186">
        <f t="shared" si="11"/>
        <v>4</v>
      </c>
      <c r="J115" s="204">
        <f>IF($H115="USD",IF(OR($I115="",$I115="-"),"",VLOOKUP($G115,為替!$A:$AX,$I115,FALSE))+$J$3,IF(OR($I115="",$I115="-"),"",VLOOKUP($G115,為替!$A:$AX,$I115,FALSE)))</f>
        <v>147.55000000000001</v>
      </c>
      <c r="K115" s="205">
        <f t="shared" si="12"/>
        <v>253786.00000000003</v>
      </c>
      <c r="L115" s="189">
        <f t="shared" si="13"/>
        <v>3</v>
      </c>
      <c r="M115" s="204">
        <f>IF($H115="USD",IF(OR($L115="",$L115="-"),"",VLOOKUP($G115,為替!$A:$AX,$L115,FALSE))+$K$3,IF(OR($L115="",$L115="-"),"",VLOOKUP($G115,為替!$A:$AX,$L115,FALSE)))</f>
        <v>148.55000000000001</v>
      </c>
      <c r="N115" s="205">
        <f t="shared" si="14"/>
        <v>227911.35200000001</v>
      </c>
      <c r="O115" s="206">
        <f t="shared" si="10"/>
        <v>25874.648000000016</v>
      </c>
      <c r="P115" s="207">
        <f t="shared" si="15"/>
        <v>0.10195459166384281</v>
      </c>
    </row>
    <row r="116" spans="1:16">
      <c r="A116" s="163" t="s">
        <v>344</v>
      </c>
      <c r="B116" s="163">
        <v>7469</v>
      </c>
      <c r="C116" s="200">
        <v>623.61</v>
      </c>
      <c r="D116" s="201">
        <v>38.61</v>
      </c>
      <c r="E116" s="202" t="s">
        <v>199</v>
      </c>
      <c r="F116" s="430">
        <v>742.4</v>
      </c>
      <c r="G116" s="162">
        <v>45919</v>
      </c>
      <c r="H116" s="203" t="s">
        <v>199</v>
      </c>
      <c r="I116" s="186">
        <f t="shared" si="11"/>
        <v>4</v>
      </c>
      <c r="J116" s="204">
        <f>IF($H116="USD",IF(OR($I116="",$I116="-"),"",VLOOKUP($G116,為替!$A:$AX,$I116,FALSE))+$J$3,IF(OR($I116="",$I116="-"),"",VLOOKUP($G116,為替!$A:$AX,$I116,FALSE)))</f>
        <v>147.55000000000001</v>
      </c>
      <c r="K116" s="205">
        <f t="shared" si="12"/>
        <v>109541.12000000001</v>
      </c>
      <c r="L116" s="189">
        <f t="shared" si="13"/>
        <v>3</v>
      </c>
      <c r="M116" s="204">
        <f>IF($H116="USD",IF(OR($L116="",$L116="-"),"",VLOOKUP($G116,為替!$A:$AX,$L116,FALSE))+$K$3,IF(OR($L116="",$L116="-"),"",VLOOKUP($G116,為替!$A:$AX,$L116,FALSE)))</f>
        <v>148.55000000000001</v>
      </c>
      <c r="N116" s="205">
        <f t="shared" si="14"/>
        <v>98372.781000000017</v>
      </c>
      <c r="O116" s="206">
        <f t="shared" si="10"/>
        <v>11168.338999999993</v>
      </c>
      <c r="P116" s="207">
        <f t="shared" si="15"/>
        <v>0.10195567655324313</v>
      </c>
    </row>
    <row r="117" spans="1:16">
      <c r="A117" s="163" t="s">
        <v>343</v>
      </c>
      <c r="B117" s="163">
        <v>7472</v>
      </c>
      <c r="C117" s="200">
        <v>225.2</v>
      </c>
      <c r="D117" s="201">
        <v>0</v>
      </c>
      <c r="E117" s="202" t="s">
        <v>199</v>
      </c>
      <c r="F117" s="430">
        <v>240.2</v>
      </c>
      <c r="G117" s="162">
        <v>45922</v>
      </c>
      <c r="H117" s="203" t="s">
        <v>199</v>
      </c>
      <c r="I117" s="186">
        <f t="shared" si="11"/>
        <v>4</v>
      </c>
      <c r="J117" s="204">
        <f>IF($H117="USD",IF(OR($I117="",$I117="-"),"",VLOOKUP($G117,為替!$A:$AX,$I117,FALSE))+$J$3,IF(OR($I117="",$I117="-"),"",VLOOKUP($G117,為替!$A:$AX,$I117,FALSE)))</f>
        <v>147.79</v>
      </c>
      <c r="K117" s="205">
        <f t="shared" si="12"/>
        <v>35499.157999999996</v>
      </c>
      <c r="L117" s="189">
        <f t="shared" si="13"/>
        <v>3</v>
      </c>
      <c r="M117" s="204">
        <f>IF($H117="USD",IF(OR($L117="",$L117="-"),"",VLOOKUP($G117,為替!$A:$AX,$L117,FALSE))+$K$3,IF(OR($L117="",$L117="-"),"",VLOOKUP($G117,為替!$A:$AX,$L117,FALSE)))</f>
        <v>148.79</v>
      </c>
      <c r="N117" s="205">
        <f t="shared" si="14"/>
        <v>33507.507999999994</v>
      </c>
      <c r="O117" s="206">
        <f t="shared" si="10"/>
        <v>1991.6500000000015</v>
      </c>
      <c r="P117" s="207">
        <f t="shared" si="15"/>
        <v>5.6104147596965588E-2</v>
      </c>
    </row>
    <row r="118" spans="1:16">
      <c r="A118" s="163" t="s">
        <v>343</v>
      </c>
      <c r="B118" s="163">
        <v>7477</v>
      </c>
      <c r="C118" s="200">
        <v>1042.9000000000001</v>
      </c>
      <c r="D118" s="201">
        <v>0</v>
      </c>
      <c r="E118" s="202" t="s">
        <v>199</v>
      </c>
      <c r="F118" s="430">
        <v>1104.8900000000001</v>
      </c>
      <c r="G118" s="162">
        <v>45922</v>
      </c>
      <c r="H118" s="203" t="s">
        <v>199</v>
      </c>
      <c r="I118" s="186">
        <f t="shared" si="11"/>
        <v>4</v>
      </c>
      <c r="J118" s="204">
        <f>IF($H118="USD",IF(OR($I118="",$I118="-"),"",VLOOKUP($G118,為替!$A:$AX,$I118,FALSE))+$J$3,IF(OR($I118="",$I118="-"),"",VLOOKUP($G118,為替!$A:$AX,$I118,FALSE)))</f>
        <v>147.79</v>
      </c>
      <c r="K118" s="205">
        <f t="shared" si="12"/>
        <v>163291.6931</v>
      </c>
      <c r="L118" s="189">
        <f t="shared" si="13"/>
        <v>3</v>
      </c>
      <c r="M118" s="204">
        <f>IF($H118="USD",IF(OR($L118="",$L118="-"),"",VLOOKUP($G118,為替!$A:$AX,$L118,FALSE))+$K$3,IF(OR($L118="",$L118="-"),"",VLOOKUP($G118,為替!$A:$AX,$L118,FALSE)))</f>
        <v>148.79</v>
      </c>
      <c r="N118" s="205">
        <f t="shared" si="14"/>
        <v>155173.09100000001</v>
      </c>
      <c r="O118" s="206">
        <f t="shared" si="10"/>
        <v>8118.6020999999892</v>
      </c>
      <c r="P118" s="207">
        <f t="shared" si="15"/>
        <v>4.9718402362501982E-2</v>
      </c>
    </row>
    <row r="119" spans="1:16">
      <c r="A119" s="163" t="s">
        <v>343</v>
      </c>
      <c r="B119" s="163">
        <v>7478</v>
      </c>
      <c r="C119" s="200">
        <v>648.9</v>
      </c>
      <c r="D119" s="201">
        <v>0</v>
      </c>
      <c r="E119" s="202" t="s">
        <v>199</v>
      </c>
      <c r="F119" s="430">
        <v>687.6</v>
      </c>
      <c r="G119" s="162">
        <v>45922</v>
      </c>
      <c r="H119" s="203" t="s">
        <v>199</v>
      </c>
      <c r="I119" s="186">
        <f t="shared" si="11"/>
        <v>4</v>
      </c>
      <c r="J119" s="204">
        <f>IF($H119="USD",IF(OR($I119="",$I119="-"),"",VLOOKUP($G119,為替!$A:$AX,$I119,FALSE))+$J$3,IF(OR($I119="",$I119="-"),"",VLOOKUP($G119,為替!$A:$AX,$I119,FALSE)))</f>
        <v>147.79</v>
      </c>
      <c r="K119" s="205">
        <f t="shared" si="12"/>
        <v>101620.40399999999</v>
      </c>
      <c r="L119" s="189">
        <f t="shared" si="13"/>
        <v>3</v>
      </c>
      <c r="M119" s="204">
        <f>IF($H119="USD",IF(OR($L119="",$L119="-"),"",VLOOKUP($G119,為替!$A:$AX,$L119,FALSE))+$K$3,IF(OR($L119="",$L119="-"),"",VLOOKUP($G119,為替!$A:$AX,$L119,FALSE)))</f>
        <v>148.79</v>
      </c>
      <c r="N119" s="205">
        <f t="shared" si="14"/>
        <v>96549.830999999991</v>
      </c>
      <c r="O119" s="206">
        <f t="shared" si="10"/>
        <v>5070.573000000004</v>
      </c>
      <c r="P119" s="207">
        <f t="shared" si="15"/>
        <v>4.9897193874568778E-2</v>
      </c>
    </row>
    <row r="120" spans="1:16">
      <c r="A120" s="163" t="s">
        <v>344</v>
      </c>
      <c r="B120" s="163">
        <v>7479</v>
      </c>
      <c r="C120" s="200">
        <v>631</v>
      </c>
      <c r="D120" s="201">
        <v>0</v>
      </c>
      <c r="E120" s="202" t="s">
        <v>199</v>
      </c>
      <c r="F120" s="430">
        <v>751.2</v>
      </c>
      <c r="G120" s="162">
        <v>45922</v>
      </c>
      <c r="H120" s="203" t="s">
        <v>199</v>
      </c>
      <c r="I120" s="186">
        <f t="shared" si="11"/>
        <v>4</v>
      </c>
      <c r="J120" s="204">
        <f>IF($H120="USD",IF(OR($I120="",$I120="-"),"",VLOOKUP($G120,為替!$A:$AX,$I120,FALSE))+$J$3,IF(OR($I120="",$I120="-"),"",VLOOKUP($G120,為替!$A:$AX,$I120,FALSE)))</f>
        <v>147.79</v>
      </c>
      <c r="K120" s="205">
        <f t="shared" si="12"/>
        <v>111019.848</v>
      </c>
      <c r="L120" s="189">
        <f t="shared" si="13"/>
        <v>3</v>
      </c>
      <c r="M120" s="204">
        <f>IF($H120="USD",IF(OR($L120="",$L120="-"),"",VLOOKUP($G120,為替!$A:$AX,$L120,FALSE))+$K$3,IF(OR($L120="",$L120="-"),"",VLOOKUP($G120,為替!$A:$AX,$L120,FALSE)))</f>
        <v>148.79</v>
      </c>
      <c r="N120" s="205">
        <f t="shared" si="14"/>
        <v>93886.489999999991</v>
      </c>
      <c r="O120" s="206">
        <f t="shared" si="10"/>
        <v>17133.358000000007</v>
      </c>
      <c r="P120" s="207">
        <f t="shared" si="15"/>
        <v>0.15432698124393043</v>
      </c>
    </row>
    <row r="121" spans="1:16">
      <c r="A121" s="163" t="s">
        <v>344</v>
      </c>
      <c r="B121" s="163">
        <v>7480</v>
      </c>
      <c r="C121" s="200">
        <v>1481.76</v>
      </c>
      <c r="D121" s="201">
        <v>91.73</v>
      </c>
      <c r="E121" s="202" t="s">
        <v>199</v>
      </c>
      <c r="F121" s="430">
        <v>1764</v>
      </c>
      <c r="G121" s="162">
        <v>45923</v>
      </c>
      <c r="H121" s="203" t="s">
        <v>199</v>
      </c>
      <c r="I121" s="186">
        <f t="shared" si="11"/>
        <v>4</v>
      </c>
      <c r="J121" s="204">
        <f>IF($H121="USD",IF(OR($I121="",$I121="-"),"",VLOOKUP($G121,為替!$A:$AX,$I121,FALSE))+$J$3,IF(OR($I121="",$I121="-"),"",VLOOKUP($G121,為替!$A:$AX,$I121,FALSE)))</f>
        <v>147.79</v>
      </c>
      <c r="K121" s="205">
        <f t="shared" si="12"/>
        <v>260701.56</v>
      </c>
      <c r="L121" s="189">
        <f t="shared" si="13"/>
        <v>3</v>
      </c>
      <c r="M121" s="204">
        <f>IF($H121="USD",IF(OR($L121="",$L121="-"),"",VLOOKUP($G121,為替!$A:$AX,$L121,FALSE))+$K$3,IF(OR($L121="",$L121="-"),"",VLOOKUP($G121,為替!$A:$AX,$L121,FALSE)))</f>
        <v>148.79</v>
      </c>
      <c r="N121" s="205">
        <f t="shared" si="14"/>
        <v>234119.57709999999</v>
      </c>
      <c r="O121" s="206">
        <f t="shared" si="10"/>
        <v>26581.982900000003</v>
      </c>
      <c r="P121" s="207">
        <f t="shared" si="15"/>
        <v>0.10196326750020215</v>
      </c>
    </row>
    <row r="122" spans="1:16">
      <c r="A122" s="163" t="s">
        <v>343</v>
      </c>
      <c r="B122" s="163">
        <v>7488</v>
      </c>
      <c r="C122" s="200">
        <v>1774.08</v>
      </c>
      <c r="D122" s="201">
        <v>0</v>
      </c>
      <c r="E122" s="202" t="s">
        <v>199</v>
      </c>
      <c r="F122" s="430">
        <v>1879.68</v>
      </c>
      <c r="G122" s="162">
        <v>45925</v>
      </c>
      <c r="H122" s="203" t="s">
        <v>199</v>
      </c>
      <c r="I122" s="186">
        <f t="shared" si="11"/>
        <v>4</v>
      </c>
      <c r="J122" s="204">
        <f>IF($H122="USD",IF(OR($I122="",$I122="-"),"",VLOOKUP($G122,為替!$A:$AX,$I122,FALSE))+$J$3,IF(OR($I122="",$I122="-"),"",VLOOKUP($G122,為替!$A:$AX,$I122,FALSE)))</f>
        <v>148.27000000000001</v>
      </c>
      <c r="K122" s="205">
        <f t="shared" si="12"/>
        <v>278700.15360000002</v>
      </c>
      <c r="L122" s="189">
        <f t="shared" si="13"/>
        <v>3</v>
      </c>
      <c r="M122" s="204">
        <f>IF($H122="USD",IF(OR($L122="",$L122="-"),"",VLOOKUP($G122,為替!$A:$AX,$L122,FALSE))+$K$3,IF(OR($L122="",$L122="-"),"",VLOOKUP($G122,為替!$A:$AX,$L122,FALSE)))</f>
        <v>149.27000000000001</v>
      </c>
      <c r="N122" s="205">
        <f t="shared" si="14"/>
        <v>264816.9216</v>
      </c>
      <c r="O122" s="206">
        <f t="shared" si="10"/>
        <v>13883.232000000018</v>
      </c>
      <c r="P122" s="207">
        <f t="shared" si="15"/>
        <v>4.9814224429620184E-2</v>
      </c>
    </row>
    <row r="123" spans="1:16">
      <c r="A123" s="163" t="s">
        <v>343</v>
      </c>
      <c r="B123" s="163">
        <v>7487</v>
      </c>
      <c r="C123" s="200">
        <v>68.5</v>
      </c>
      <c r="D123" s="201">
        <v>0</v>
      </c>
      <c r="E123" s="202" t="s">
        <v>199</v>
      </c>
      <c r="F123" s="430">
        <v>72.650000000000006</v>
      </c>
      <c r="G123" s="162">
        <v>45925</v>
      </c>
      <c r="H123" s="203" t="s">
        <v>199</v>
      </c>
      <c r="I123" s="186">
        <f t="shared" si="11"/>
        <v>4</v>
      </c>
      <c r="J123" s="204">
        <f>IF($H123="USD",IF(OR($I123="",$I123="-"),"",VLOOKUP($G123,為替!$A:$AX,$I123,FALSE))+$J$3,IF(OR($I123="",$I123="-"),"",VLOOKUP($G123,為替!$A:$AX,$I123,FALSE)))</f>
        <v>148.27000000000001</v>
      </c>
      <c r="K123" s="205">
        <f t="shared" si="12"/>
        <v>10771.815500000002</v>
      </c>
      <c r="L123" s="189">
        <f t="shared" si="13"/>
        <v>3</v>
      </c>
      <c r="M123" s="204">
        <f>IF($H123="USD",IF(OR($L123="",$L123="-"),"",VLOOKUP($G123,為替!$A:$AX,$L123,FALSE))+$K$3,IF(OR($L123="",$L123="-"),"",VLOOKUP($G123,為替!$A:$AX,$L123,FALSE)))</f>
        <v>149.27000000000001</v>
      </c>
      <c r="N123" s="205">
        <f t="shared" si="14"/>
        <v>10224.995000000001</v>
      </c>
      <c r="O123" s="206">
        <f t="shared" si="10"/>
        <v>546.82050000000163</v>
      </c>
      <c r="P123" s="207">
        <f t="shared" si="15"/>
        <v>5.0764005380523045E-2</v>
      </c>
    </row>
    <row r="124" spans="1:16">
      <c r="A124" s="163" t="s">
        <v>344</v>
      </c>
      <c r="B124" s="163">
        <v>7489</v>
      </c>
      <c r="C124" s="200">
        <v>9226.56</v>
      </c>
      <c r="D124" s="201">
        <v>571.16999999999996</v>
      </c>
      <c r="E124" s="202" t="s">
        <v>199</v>
      </c>
      <c r="F124" s="430">
        <v>10984</v>
      </c>
      <c r="G124" s="162">
        <v>45926</v>
      </c>
      <c r="H124" s="203" t="s">
        <v>199</v>
      </c>
      <c r="I124" s="186">
        <f t="shared" si="11"/>
        <v>4</v>
      </c>
      <c r="J124" s="204">
        <f>IF($H124="USD",IF(OR($I124="",$I124="-"),"",VLOOKUP($G124,為替!$A:$AX,$I124,FALSE))+$J$3,IF(OR($I124="",$I124="-"),"",VLOOKUP($G124,為替!$A:$AX,$I124,FALSE)))</f>
        <v>149.29</v>
      </c>
      <c r="K124" s="205">
        <f t="shared" si="12"/>
        <v>1639801.3599999999</v>
      </c>
      <c r="L124" s="189">
        <f t="shared" si="13"/>
        <v>3</v>
      </c>
      <c r="M124" s="204">
        <f>IF($H124="USD",IF(OR($L124="",$L124="-"),"",VLOOKUP($G124,為替!$A:$AX,$L124,FALSE))+$K$3,IF(OR($L124="",$L124="-"),"",VLOOKUP($G124,為替!$A:$AX,$L124,FALSE)))</f>
        <v>150.29</v>
      </c>
      <c r="N124" s="205">
        <f t="shared" si="14"/>
        <v>1472500.8416999998</v>
      </c>
      <c r="O124" s="206">
        <f t="shared" si="10"/>
        <v>167300.51830000011</v>
      </c>
      <c r="P124" s="207">
        <f t="shared" si="15"/>
        <v>0.10202486860969558</v>
      </c>
    </row>
    <row r="125" spans="1:16">
      <c r="A125" s="163" t="s">
        <v>343</v>
      </c>
      <c r="B125" s="163">
        <v>7486</v>
      </c>
      <c r="C125" s="200">
        <v>996.01</v>
      </c>
      <c r="D125" s="201">
        <v>0</v>
      </c>
      <c r="E125" s="202" t="s">
        <v>199</v>
      </c>
      <c r="F125" s="430">
        <v>1049.45</v>
      </c>
      <c r="G125" s="162">
        <v>45925</v>
      </c>
      <c r="H125" s="203" t="s">
        <v>199</v>
      </c>
      <c r="I125" s="186">
        <f t="shared" si="11"/>
        <v>4</v>
      </c>
      <c r="J125" s="204">
        <f>IF($H125="USD",IF(OR($I125="",$I125="-"),"",VLOOKUP($G125,為替!$A:$AX,$I125,FALSE))+$J$3,IF(OR($I125="",$I125="-"),"",VLOOKUP($G125,為替!$A:$AX,$I125,FALSE)))</f>
        <v>148.27000000000001</v>
      </c>
      <c r="K125" s="205">
        <f t="shared" si="12"/>
        <v>155601.95150000002</v>
      </c>
      <c r="L125" s="189">
        <f t="shared" si="13"/>
        <v>3</v>
      </c>
      <c r="M125" s="204">
        <f>IF($H125="USD",IF(OR($L125="",$L125="-"),"",VLOOKUP($G125,為替!$A:$AX,$L125,FALSE))+$K$3,IF(OR($L125="",$L125="-"),"",VLOOKUP($G125,為替!$A:$AX,$L125,FALSE)))</f>
        <v>149.27000000000001</v>
      </c>
      <c r="N125" s="205">
        <f t="shared" si="14"/>
        <v>148674.41270000002</v>
      </c>
      <c r="O125" s="206">
        <f t="shared" si="10"/>
        <v>6927.5388000000094</v>
      </c>
      <c r="P125" s="207">
        <f t="shared" si="15"/>
        <v>4.4520899212501255E-2</v>
      </c>
    </row>
    <row r="126" spans="1:16">
      <c r="A126" s="163" t="s">
        <v>309</v>
      </c>
      <c r="B126" s="163">
        <v>7446</v>
      </c>
      <c r="C126" s="200">
        <v>289490</v>
      </c>
      <c r="D126" s="201">
        <v>0</v>
      </c>
      <c r="E126" s="202" t="s">
        <v>200</v>
      </c>
      <c r="F126" s="200">
        <v>364560</v>
      </c>
      <c r="G126" s="162">
        <v>45910</v>
      </c>
      <c r="H126" s="203" t="s">
        <v>200</v>
      </c>
      <c r="I126" s="186" t="str">
        <f t="shared" si="11"/>
        <v/>
      </c>
      <c r="J126" s="204" t="str">
        <f>IF($H126="USD",IF(OR($I126="",$I126="-"),"",VLOOKUP($G126,為替!$A:$AX,$I126,FALSE))+$J$3,IF(OR($I126="",$I126="-"),"",VLOOKUP($G126,為替!$A:$AX,$I126,FALSE)))</f>
        <v/>
      </c>
      <c r="K126" s="205">
        <f t="shared" si="12"/>
        <v>364560</v>
      </c>
      <c r="L126" s="189" t="str">
        <f t="shared" si="13"/>
        <v/>
      </c>
      <c r="M126" s="204" t="str">
        <f>IF($H126="USD",IF(OR($L126="",$L126="-"),"",VLOOKUP($G126,為替!$A:$AX,$L126,FALSE))+$K$3,IF(OR($L126="",$L126="-"),"",VLOOKUP($G126,為替!$A:$AX,$L126,FALSE)))</f>
        <v/>
      </c>
      <c r="N126" s="205">
        <f t="shared" si="14"/>
        <v>289490</v>
      </c>
      <c r="O126" s="206">
        <f t="shared" si="10"/>
        <v>75070</v>
      </c>
      <c r="P126" s="207">
        <f t="shared" si="15"/>
        <v>0.20591946456001756</v>
      </c>
    </row>
    <row r="127" spans="1:16">
      <c r="A127" s="163" t="s">
        <v>309</v>
      </c>
      <c r="B127" s="163">
        <v>7459</v>
      </c>
      <c r="C127" s="200">
        <v>201623</v>
      </c>
      <c r="D127" s="201">
        <v>0</v>
      </c>
      <c r="E127" s="202" t="s">
        <v>200</v>
      </c>
      <c r="F127" s="200">
        <v>266055</v>
      </c>
      <c r="G127" s="162">
        <v>45918</v>
      </c>
      <c r="H127" s="203" t="s">
        <v>200</v>
      </c>
      <c r="I127" s="186" t="str">
        <f t="shared" si="11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>
        <f t="shared" si="12"/>
        <v>266055</v>
      </c>
      <c r="L127" s="189" t="str">
        <f t="shared" si="13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>
        <f t="shared" si="14"/>
        <v>201623</v>
      </c>
      <c r="O127" s="206">
        <f t="shared" si="10"/>
        <v>64432</v>
      </c>
      <c r="P127" s="207">
        <f t="shared" si="15"/>
        <v>0.2421754900302569</v>
      </c>
    </row>
    <row r="128" spans="1:16">
      <c r="A128" s="163" t="s">
        <v>309</v>
      </c>
      <c r="B128" s="163">
        <v>7493</v>
      </c>
      <c r="C128" s="200">
        <v>279900</v>
      </c>
      <c r="D128" s="201">
        <v>0</v>
      </c>
      <c r="E128" s="202" t="s">
        <v>200</v>
      </c>
      <c r="F128" s="200">
        <v>373200</v>
      </c>
      <c r="G128" s="162">
        <v>45929</v>
      </c>
      <c r="H128" s="203" t="s">
        <v>200</v>
      </c>
      <c r="I128" s="186" t="str">
        <f t="shared" si="11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>
        <f t="shared" si="12"/>
        <v>373200</v>
      </c>
      <c r="L128" s="189" t="str">
        <f t="shared" si="13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>
        <f t="shared" si="14"/>
        <v>279900</v>
      </c>
      <c r="O128" s="206">
        <f t="shared" si="10"/>
        <v>93300</v>
      </c>
      <c r="P128" s="207">
        <f t="shared" si="15"/>
        <v>0.25</v>
      </c>
    </row>
    <row r="129" spans="1:16">
      <c r="A129" s="163" t="s">
        <v>343</v>
      </c>
      <c r="B129" s="163">
        <v>7439</v>
      </c>
      <c r="C129" s="200">
        <v>1341.6</v>
      </c>
      <c r="D129" s="201">
        <v>0</v>
      </c>
      <c r="E129" s="202" t="s">
        <v>199</v>
      </c>
      <c r="F129" s="200">
        <v>1472.64</v>
      </c>
      <c r="G129" s="162">
        <v>45932</v>
      </c>
      <c r="H129" s="203" t="s">
        <v>199</v>
      </c>
      <c r="I129" s="186">
        <f t="shared" si="11"/>
        <v>4</v>
      </c>
      <c r="J129" s="204">
        <f>IF($H129="USD",IF(OR($I129="",$I129="-"),"",VLOOKUP($G129,為替!$A:$AX,$I129,FALSE))+$J$3,IF(OR($I129="",$I129="-"),"",VLOOKUP($G129,為替!$A:$AX,$I129,FALSE)))</f>
        <v>146.69</v>
      </c>
      <c r="K129" s="205">
        <f t="shared" si="12"/>
        <v>216021.56160000002</v>
      </c>
      <c r="L129" s="189">
        <f t="shared" si="13"/>
        <v>3</v>
      </c>
      <c r="M129" s="204">
        <f>IF($H129="USD",IF(OR($L129="",$L129="-"),"",VLOOKUP($G129,為替!$A:$AX,$L129,FALSE))+$K$3,IF(OR($L129="",$L129="-"),"",VLOOKUP($G129,為替!$A:$AX,$L129,FALSE)))</f>
        <v>147.69</v>
      </c>
      <c r="N129" s="205">
        <f t="shared" si="14"/>
        <v>198140.90399999998</v>
      </c>
      <c r="O129" s="206">
        <f t="shared" si="10"/>
        <v>17880.657600000035</v>
      </c>
      <c r="P129" s="207">
        <f t="shared" si="15"/>
        <v>8.2772559681375965E-2</v>
      </c>
    </row>
    <row r="130" spans="1:16">
      <c r="A130" s="163" t="s">
        <v>344</v>
      </c>
      <c r="B130" s="163">
        <v>7507</v>
      </c>
      <c r="C130" s="200">
        <v>662.59</v>
      </c>
      <c r="D130" s="201">
        <v>41.02</v>
      </c>
      <c r="E130" s="202" t="s">
        <v>199</v>
      </c>
      <c r="F130" s="200">
        <v>788.8</v>
      </c>
      <c r="G130" s="162">
        <v>45934</v>
      </c>
      <c r="H130" s="203" t="s">
        <v>199</v>
      </c>
      <c r="I130" s="186">
        <f t="shared" si="11"/>
        <v>4</v>
      </c>
      <c r="J130" s="204">
        <f>IF($H130="USD",IF(OR($I130="",$I130="-"),"",VLOOKUP($G130,為替!$A:$AX,$I130,FALSE))+$J$3,IF(OR($I130="",$I130="-"),"",VLOOKUP($G130,為替!$A:$AX,$I130,FALSE)))</f>
        <v>146.9</v>
      </c>
      <c r="K130" s="205">
        <f t="shared" si="12"/>
        <v>115874.72</v>
      </c>
      <c r="L130" s="189">
        <f t="shared" si="13"/>
        <v>3</v>
      </c>
      <c r="M130" s="204">
        <f>IF($H130="USD",IF(OR($L130="",$L130="-"),"",VLOOKUP($G130,為替!$A:$AX,$L130,FALSE))+$K$3,IF(OR($L130="",$L130="-"),"",VLOOKUP($G130,為替!$A:$AX,$L130,FALSE)))</f>
        <v>147.9</v>
      </c>
      <c r="N130" s="205">
        <f t="shared" si="14"/>
        <v>104063.91900000001</v>
      </c>
      <c r="O130" s="206">
        <f t="shared" si="10"/>
        <v>11810.800999999992</v>
      </c>
      <c r="P130" s="207">
        <f t="shared" si="15"/>
        <v>0.10192733151803941</v>
      </c>
    </row>
    <row r="131" spans="1:16">
      <c r="A131" s="163" t="s">
        <v>344</v>
      </c>
      <c r="B131" s="163">
        <v>7508</v>
      </c>
      <c r="C131" s="200">
        <v>1325.18</v>
      </c>
      <c r="D131" s="201">
        <v>82.03</v>
      </c>
      <c r="E131" s="202" t="s">
        <v>199</v>
      </c>
      <c r="F131" s="200">
        <v>1577.6</v>
      </c>
      <c r="G131" s="162">
        <v>45934</v>
      </c>
      <c r="H131" s="203" t="s">
        <v>199</v>
      </c>
      <c r="I131" s="186">
        <f t="shared" si="11"/>
        <v>4</v>
      </c>
      <c r="J131" s="204">
        <f>IF($H131="USD",IF(OR($I131="",$I131="-"),"",VLOOKUP($G131,為替!$A:$AX,$I131,FALSE))+$J$3,IF(OR($I131="",$I131="-"),"",VLOOKUP($G131,為替!$A:$AX,$I131,FALSE)))</f>
        <v>146.9</v>
      </c>
      <c r="K131" s="205">
        <f t="shared" si="12"/>
        <v>231749.44</v>
      </c>
      <c r="L131" s="189">
        <f t="shared" si="13"/>
        <v>3</v>
      </c>
      <c r="M131" s="204">
        <f>IF($H131="USD",IF(OR($L131="",$L131="-"),"",VLOOKUP($G131,為替!$A:$AX,$L131,FALSE))+$K$3,IF(OR($L131="",$L131="-"),"",VLOOKUP($G131,為替!$A:$AX,$L131,FALSE)))</f>
        <v>147.9</v>
      </c>
      <c r="N131" s="205">
        <f t="shared" si="14"/>
        <v>208126.35900000003</v>
      </c>
      <c r="O131" s="206">
        <f t="shared" si="10"/>
        <v>23623.080999999976</v>
      </c>
      <c r="P131" s="207">
        <f t="shared" si="15"/>
        <v>0.10193371341048323</v>
      </c>
    </row>
    <row r="132" spans="1:16">
      <c r="A132" s="163" t="s">
        <v>344</v>
      </c>
      <c r="B132" s="163">
        <v>7509</v>
      </c>
      <c r="C132" s="200">
        <v>4478.12</v>
      </c>
      <c r="D132" s="201">
        <v>277.20999999999998</v>
      </c>
      <c r="E132" s="202" t="s">
        <v>199</v>
      </c>
      <c r="F132" s="200">
        <v>5331.1</v>
      </c>
      <c r="G132" s="162">
        <v>45934</v>
      </c>
      <c r="H132" s="203" t="s">
        <v>199</v>
      </c>
      <c r="I132" s="186">
        <f t="shared" si="11"/>
        <v>4</v>
      </c>
      <c r="J132" s="204">
        <f>IF($H132="USD",IF(OR($I132="",$I132="-"),"",VLOOKUP($G132,為替!$A:$AX,$I132,FALSE))+$J$3,IF(OR($I132="",$I132="-"),"",VLOOKUP($G132,為替!$A:$AX,$I132,FALSE)))</f>
        <v>146.9</v>
      </c>
      <c r="K132" s="205">
        <f t="shared" si="12"/>
        <v>783138.59000000008</v>
      </c>
      <c r="L132" s="189">
        <f t="shared" si="13"/>
        <v>3</v>
      </c>
      <c r="M132" s="204">
        <f>IF($H132="USD",IF(OR($L132="",$L132="-"),"",VLOOKUP($G132,為替!$A:$AX,$L132,FALSE))+$K$3,IF(OR($L132="",$L132="-"),"",VLOOKUP($G132,為替!$A:$AX,$L132,FALSE)))</f>
        <v>147.9</v>
      </c>
      <c r="N132" s="205">
        <f t="shared" si="14"/>
        <v>703313.30700000003</v>
      </c>
      <c r="O132" s="206">
        <f t="shared" si="10"/>
        <v>79825.283000000054</v>
      </c>
      <c r="P132" s="207">
        <f t="shared" si="15"/>
        <v>0.10192995725060623</v>
      </c>
    </row>
    <row r="133" spans="1:16">
      <c r="A133" s="163" t="s">
        <v>344</v>
      </c>
      <c r="B133" s="163">
        <v>7510</v>
      </c>
      <c r="C133" s="200">
        <v>646.79999999999995</v>
      </c>
      <c r="D133" s="201">
        <v>40.04</v>
      </c>
      <c r="E133" s="202" t="s">
        <v>199</v>
      </c>
      <c r="F133" s="200">
        <v>770</v>
      </c>
      <c r="G133" s="162">
        <v>45934</v>
      </c>
      <c r="H133" s="203" t="s">
        <v>199</v>
      </c>
      <c r="I133" s="186">
        <f t="shared" si="11"/>
        <v>4</v>
      </c>
      <c r="J133" s="204">
        <f>IF($H133="USD",IF(OR($I133="",$I133="-"),"",VLOOKUP($G133,為替!$A:$AX,$I133,FALSE))+$J$3,IF(OR($I133="",$I133="-"),"",VLOOKUP($G133,為替!$A:$AX,$I133,FALSE)))</f>
        <v>146.9</v>
      </c>
      <c r="K133" s="205">
        <f t="shared" si="12"/>
        <v>113113</v>
      </c>
      <c r="L133" s="189">
        <f t="shared" si="13"/>
        <v>3</v>
      </c>
      <c r="M133" s="204">
        <f>IF($H133="USD",IF(OR($L133="",$L133="-"),"",VLOOKUP($G133,為替!$A:$AX,$L133,FALSE))+$K$3,IF(OR($L133="",$L133="-"),"",VLOOKUP($G133,為替!$A:$AX,$L133,FALSE)))</f>
        <v>147.9</v>
      </c>
      <c r="N133" s="205">
        <f t="shared" si="14"/>
        <v>101583.636</v>
      </c>
      <c r="O133" s="206">
        <f t="shared" si="10"/>
        <v>11529.364000000001</v>
      </c>
      <c r="P133" s="207">
        <f t="shared" si="15"/>
        <v>0.101927842069435</v>
      </c>
    </row>
    <row r="134" spans="1:16">
      <c r="A134" s="163" t="s">
        <v>344</v>
      </c>
      <c r="B134" s="163">
        <v>7511</v>
      </c>
      <c r="C134" s="200">
        <v>559.1</v>
      </c>
      <c r="D134" s="201">
        <v>34.61</v>
      </c>
      <c r="E134" s="202" t="s">
        <v>199</v>
      </c>
      <c r="F134" s="200">
        <v>665.6</v>
      </c>
      <c r="G134" s="162">
        <v>45934</v>
      </c>
      <c r="H134" s="203" t="s">
        <v>199</v>
      </c>
      <c r="I134" s="186">
        <f t="shared" si="11"/>
        <v>4</v>
      </c>
      <c r="J134" s="204">
        <f>IF($H134="USD",IF(OR($I134="",$I134="-"),"",VLOOKUP($G134,為替!$A:$AX,$I134,FALSE))+$J$3,IF(OR($I134="",$I134="-"),"",VLOOKUP($G134,為替!$A:$AX,$I134,FALSE)))</f>
        <v>146.9</v>
      </c>
      <c r="K134" s="205">
        <f t="shared" si="12"/>
        <v>97776.640000000014</v>
      </c>
      <c r="L134" s="189">
        <f t="shared" si="13"/>
        <v>3</v>
      </c>
      <c r="M134" s="204">
        <f>IF($H134="USD",IF(OR($L134="",$L134="-"),"",VLOOKUP($G134,為替!$A:$AX,$L134,FALSE))+$K$3,IF(OR($L134="",$L134="-"),"",VLOOKUP($G134,為替!$A:$AX,$L134,FALSE)))</f>
        <v>147.9</v>
      </c>
      <c r="N134" s="205">
        <f t="shared" si="14"/>
        <v>87809.709000000003</v>
      </c>
      <c r="O134" s="206">
        <f t="shared" ref="O134:O197" si="16">IF(OR(K134="",N134=""),"",K134-N134)</f>
        <v>9966.9310000000114</v>
      </c>
      <c r="P134" s="207">
        <f t="shared" si="15"/>
        <v>0.10193570775187212</v>
      </c>
    </row>
    <row r="135" spans="1:16">
      <c r="A135" s="163" t="s">
        <v>344</v>
      </c>
      <c r="B135" s="163">
        <v>7512</v>
      </c>
      <c r="C135" s="200">
        <v>4283.83</v>
      </c>
      <c r="D135" s="201">
        <v>265.19</v>
      </c>
      <c r="E135" s="202" t="s">
        <v>199</v>
      </c>
      <c r="F135" s="200">
        <v>5099.8</v>
      </c>
      <c r="G135" s="162">
        <v>45934</v>
      </c>
      <c r="H135" s="203" t="s">
        <v>199</v>
      </c>
      <c r="I135" s="186">
        <f t="shared" ref="I135:I199" si="17">IF(H135="","",IF(H135="JPY","",IF($H135="USD",4, IF(H135="EUR",7,IF(H135="CNY",47,IF(H135="HKD",34))))))</f>
        <v>4</v>
      </c>
      <c r="J135" s="204">
        <f>IF($H135="USD",IF(OR($I135="",$I135="-"),"",VLOOKUP($G135,為替!$A:$AX,$I135,FALSE))+$J$3,IF(OR($I135="",$I135="-"),"",VLOOKUP($G135,為替!$A:$AX,$I135,FALSE)))</f>
        <v>146.9</v>
      </c>
      <c r="K135" s="205">
        <f t="shared" ref="K135:K200" si="18">IF($H135="JPY",$F135,IF($H135="","",$F135*$J135))</f>
        <v>749160.62000000011</v>
      </c>
      <c r="L135" s="189">
        <f t="shared" ref="L135:L199" si="19">IF(H135="","",IF(H135="JPY","",IF($H135="USD",3, IF(H135="EUR",6,IF(H135="CNY",46,IF(H135="HKD",33))))))</f>
        <v>3</v>
      </c>
      <c r="M135" s="204">
        <f>IF($H135="USD",IF(OR($L135="",$L135="-"),"",VLOOKUP($G135,為替!$A:$AX,$L135,FALSE))+$K$3,IF(OR($L135="",$L135="-"),"",VLOOKUP($G135,為替!$A:$AX,$L135,FALSE)))</f>
        <v>147.9</v>
      </c>
      <c r="N135" s="205">
        <f t="shared" ref="N135:N200" si="20">IF($E135="JPY",($C135+$D135),IF($E135="","",($C135+$D135)*$M135))</f>
        <v>672800.05799999996</v>
      </c>
      <c r="O135" s="206">
        <f t="shared" si="16"/>
        <v>76360.562000000151</v>
      </c>
      <c r="P135" s="207">
        <f t="shared" ref="P135:P199" si="21">IF(OR(K135="",O135=""),"",O135/K135)</f>
        <v>0.10192815794295239</v>
      </c>
    </row>
    <row r="136" spans="1:16">
      <c r="A136" s="163" t="s">
        <v>344</v>
      </c>
      <c r="B136" s="163">
        <v>7513</v>
      </c>
      <c r="C136" s="200">
        <v>11457.6</v>
      </c>
      <c r="D136" s="201">
        <v>709.28</v>
      </c>
      <c r="E136" s="202" t="s">
        <v>199</v>
      </c>
      <c r="F136" s="200">
        <v>13640</v>
      </c>
      <c r="G136" s="162">
        <v>45934</v>
      </c>
      <c r="H136" s="203" t="s">
        <v>199</v>
      </c>
      <c r="I136" s="186">
        <f t="shared" si="17"/>
        <v>4</v>
      </c>
      <c r="J136" s="204">
        <f>IF($H136="USD",IF(OR($I136="",$I136="-"),"",VLOOKUP($G136,為替!$A:$AX,$I136,FALSE))+$J$3,IF(OR($I136="",$I136="-"),"",VLOOKUP($G136,為替!$A:$AX,$I136,FALSE)))</f>
        <v>146.9</v>
      </c>
      <c r="K136" s="205">
        <f t="shared" si="18"/>
        <v>2003716</v>
      </c>
      <c r="L136" s="189">
        <f t="shared" si="19"/>
        <v>3</v>
      </c>
      <c r="M136" s="204">
        <f>IF($H136="USD",IF(OR($L136="",$L136="-"),"",VLOOKUP($G136,為替!$A:$AX,$L136,FALSE))+$K$3,IF(OR($L136="",$L136="-"),"",VLOOKUP($G136,為替!$A:$AX,$L136,FALSE)))</f>
        <v>147.9</v>
      </c>
      <c r="N136" s="205">
        <f t="shared" si="20"/>
        <v>1799481.5520000001</v>
      </c>
      <c r="O136" s="206">
        <f t="shared" si="16"/>
        <v>204234.44799999986</v>
      </c>
      <c r="P136" s="207">
        <f t="shared" si="21"/>
        <v>0.10192784206943492</v>
      </c>
    </row>
    <row r="137" spans="1:16">
      <c r="A137" s="163" t="s">
        <v>343</v>
      </c>
      <c r="B137" s="163">
        <v>7515</v>
      </c>
      <c r="C137" s="200">
        <v>275.58999999999997</v>
      </c>
      <c r="D137" s="201">
        <v>0</v>
      </c>
      <c r="E137" s="202" t="s">
        <v>199</v>
      </c>
      <c r="F137" s="200">
        <v>292.01</v>
      </c>
      <c r="G137" s="162">
        <v>45936</v>
      </c>
      <c r="H137" s="203" t="s">
        <v>199</v>
      </c>
      <c r="I137" s="186">
        <f t="shared" si="17"/>
        <v>4</v>
      </c>
      <c r="J137" s="204">
        <f>IF($H137="USD",IF(OR($I137="",$I137="-"),"",VLOOKUP($G137,為替!$A:$AX,$I137,FALSE))+$J$3,IF(OR($I137="",$I137="-"),"",VLOOKUP($G137,為替!$A:$AX,$I137,FALSE)))</f>
        <v>149.28</v>
      </c>
      <c r="K137" s="205">
        <f t="shared" si="18"/>
        <v>43591.252800000002</v>
      </c>
      <c r="L137" s="189">
        <f t="shared" si="19"/>
        <v>3</v>
      </c>
      <c r="M137" s="204">
        <f>IF($H137="USD",IF(OR($L137="",$L137="-"),"",VLOOKUP($G137,為替!$A:$AX,$L137,FALSE))+$K$3,IF(OR($L137="",$L137="-"),"",VLOOKUP($G137,為替!$A:$AX,$L137,FALSE)))</f>
        <v>150.28</v>
      </c>
      <c r="N137" s="205">
        <f t="shared" si="20"/>
        <v>41415.665199999996</v>
      </c>
      <c r="O137" s="206">
        <f t="shared" si="16"/>
        <v>2175.5876000000062</v>
      </c>
      <c r="P137" s="207">
        <f t="shared" si="21"/>
        <v>4.9908811063122421E-2</v>
      </c>
    </row>
    <row r="138" spans="1:16">
      <c r="A138" s="163" t="s">
        <v>343</v>
      </c>
      <c r="B138" s="163">
        <v>7516</v>
      </c>
      <c r="C138" s="200">
        <v>1449.77</v>
      </c>
      <c r="D138" s="201">
        <v>0</v>
      </c>
      <c r="E138" s="202" t="s">
        <v>199</v>
      </c>
      <c r="F138" s="200">
        <v>1537.25</v>
      </c>
      <c r="G138" s="162">
        <v>45936</v>
      </c>
      <c r="H138" s="203" t="s">
        <v>199</v>
      </c>
      <c r="I138" s="186">
        <f t="shared" si="17"/>
        <v>4</v>
      </c>
      <c r="J138" s="204">
        <f>IF($H138="USD",IF(OR($I138="",$I138="-"),"",VLOOKUP($G138,為替!$A:$AX,$I138,FALSE))+$J$3,IF(OR($I138="",$I138="-"),"",VLOOKUP($G138,為替!$A:$AX,$I138,FALSE)))</f>
        <v>149.28</v>
      </c>
      <c r="K138" s="205">
        <f t="shared" si="18"/>
        <v>229480.68</v>
      </c>
      <c r="L138" s="189">
        <f t="shared" si="19"/>
        <v>3</v>
      </c>
      <c r="M138" s="204">
        <f>IF($H138="USD",IF(OR($L138="",$L138="-"),"",VLOOKUP($G138,為替!$A:$AX,$L138,FALSE))+$K$3,IF(OR($L138="",$L138="-"),"",VLOOKUP($G138,為替!$A:$AX,$L138,FALSE)))</f>
        <v>150.28</v>
      </c>
      <c r="N138" s="205">
        <f t="shared" si="20"/>
        <v>217871.4356</v>
      </c>
      <c r="O138" s="206">
        <f t="shared" si="16"/>
        <v>11609.244399999996</v>
      </c>
      <c r="P138" s="207">
        <f t="shared" si="21"/>
        <v>5.0589201670484835E-2</v>
      </c>
    </row>
    <row r="139" spans="1:16">
      <c r="A139" s="163" t="s">
        <v>343</v>
      </c>
      <c r="B139" s="163">
        <v>7517</v>
      </c>
      <c r="C139" s="200">
        <v>122.52</v>
      </c>
      <c r="D139" s="201">
        <v>0</v>
      </c>
      <c r="E139" s="202" t="s">
        <v>199</v>
      </c>
      <c r="F139" s="200">
        <v>129.86000000000001</v>
      </c>
      <c r="G139" s="162">
        <v>45936</v>
      </c>
      <c r="H139" s="203" t="s">
        <v>199</v>
      </c>
      <c r="I139" s="186">
        <f t="shared" si="17"/>
        <v>4</v>
      </c>
      <c r="J139" s="204">
        <f>IF($H139="USD",IF(OR($I139="",$I139="-"),"",VLOOKUP($G139,為替!$A:$AX,$I139,FALSE))+$J$3,IF(OR($I139="",$I139="-"),"",VLOOKUP($G139,為替!$A:$AX,$I139,FALSE)))</f>
        <v>149.28</v>
      </c>
      <c r="K139" s="205">
        <f t="shared" si="18"/>
        <v>19385.500800000002</v>
      </c>
      <c r="L139" s="189">
        <f t="shared" si="19"/>
        <v>3</v>
      </c>
      <c r="M139" s="204">
        <f>IF($H139="USD",IF(OR($L139="",$L139="-"),"",VLOOKUP($G139,為替!$A:$AX,$L139,FALSE))+$K$3,IF(OR($L139="",$L139="-"),"",VLOOKUP($G139,為替!$A:$AX,$L139,FALSE)))</f>
        <v>150.28</v>
      </c>
      <c r="N139" s="205">
        <f t="shared" si="20"/>
        <v>18412.3056</v>
      </c>
      <c r="O139" s="206">
        <f t="shared" si="16"/>
        <v>973.19520000000193</v>
      </c>
      <c r="P139" s="207">
        <f t="shared" si="21"/>
        <v>5.0202221239494721E-2</v>
      </c>
    </row>
    <row r="140" spans="1:16">
      <c r="A140" s="163" t="s">
        <v>343</v>
      </c>
      <c r="B140" s="163">
        <v>7522</v>
      </c>
      <c r="C140" s="200">
        <v>4628.41</v>
      </c>
      <c r="D140" s="201">
        <v>0</v>
      </c>
      <c r="E140" s="202" t="s">
        <v>199</v>
      </c>
      <c r="F140" s="200">
        <v>4904.1899999999996</v>
      </c>
      <c r="G140" s="162">
        <v>45938</v>
      </c>
      <c r="H140" s="203" t="s">
        <v>199</v>
      </c>
      <c r="I140" s="186">
        <f t="shared" si="17"/>
        <v>4</v>
      </c>
      <c r="J140" s="204">
        <f>IF($H140="USD",IF(OR($I140="",$I140="-"),"",VLOOKUP($G140,為替!$A:$AX,$I140,FALSE))+$J$3,IF(OR($I140="",$I140="-"),"",VLOOKUP($G140,為替!$A:$AX,$I140,FALSE)))</f>
        <v>151.81</v>
      </c>
      <c r="K140" s="205">
        <f t="shared" si="18"/>
        <v>744505.08389999997</v>
      </c>
      <c r="L140" s="189">
        <f t="shared" si="19"/>
        <v>3</v>
      </c>
      <c r="M140" s="204">
        <f>IF($H140="USD",IF(OR($L140="",$L140="-"),"",VLOOKUP($G140,為替!$A:$AX,$L140,FALSE))+$K$3,IF(OR($L140="",$L140="-"),"",VLOOKUP($G140,為替!$A:$AX,$L140,FALSE)))</f>
        <v>152.81</v>
      </c>
      <c r="N140" s="205">
        <f t="shared" si="20"/>
        <v>707267.3321</v>
      </c>
      <c r="O140" s="206">
        <f t="shared" si="16"/>
        <v>37237.751799999969</v>
      </c>
      <c r="P140" s="207">
        <f t="shared" si="21"/>
        <v>5.0016786460254245E-2</v>
      </c>
    </row>
    <row r="141" spans="1:16">
      <c r="A141" s="163" t="s">
        <v>343</v>
      </c>
      <c r="B141" s="163">
        <v>7525</v>
      </c>
      <c r="C141" s="200">
        <v>3471.37</v>
      </c>
      <c r="D141" s="201">
        <v>0</v>
      </c>
      <c r="E141" s="202" t="s">
        <v>199</v>
      </c>
      <c r="F141" s="200">
        <v>3678.12</v>
      </c>
      <c r="G141" s="162">
        <v>45939</v>
      </c>
      <c r="H141" s="203" t="s">
        <v>199</v>
      </c>
      <c r="I141" s="186">
        <f t="shared" si="17"/>
        <v>4</v>
      </c>
      <c r="J141" s="204">
        <f>IF($H141="USD",IF(OR($I141="",$I141="-"),"",VLOOKUP($G141,為替!$A:$AX,$I141,FALSE))+$J$3,IF(OR($I141="",$I141="-"),"",VLOOKUP($G141,為替!$A:$AX,$I141,FALSE)))</f>
        <v>152.24</v>
      </c>
      <c r="K141" s="205">
        <f t="shared" si="18"/>
        <v>559956.98880000005</v>
      </c>
      <c r="L141" s="189">
        <f t="shared" si="19"/>
        <v>3</v>
      </c>
      <c r="M141" s="204">
        <f>IF($H141="USD",IF(OR($L141="",$L141="-"),"",VLOOKUP($G141,為替!$A:$AX,$L141,FALSE))+$K$3,IF(OR($L141="",$L141="-"),"",VLOOKUP($G141,為替!$A:$AX,$L141,FALSE)))</f>
        <v>153.24</v>
      </c>
      <c r="N141" s="205">
        <f t="shared" si="20"/>
        <v>531952.73880000005</v>
      </c>
      <c r="O141" s="206">
        <f t="shared" si="16"/>
        <v>28004.25</v>
      </c>
      <c r="P141" s="207">
        <f t="shared" si="21"/>
        <v>5.0011430449352391E-2</v>
      </c>
    </row>
    <row r="142" spans="1:16">
      <c r="A142" s="163" t="s">
        <v>343</v>
      </c>
      <c r="B142" s="163">
        <v>7528</v>
      </c>
      <c r="C142" s="200">
        <v>2521.2600000000002</v>
      </c>
      <c r="D142" s="201">
        <v>0</v>
      </c>
      <c r="E142" s="202" t="s">
        <v>199</v>
      </c>
      <c r="F142" s="200">
        <v>2653.39</v>
      </c>
      <c r="G142" s="162">
        <v>45940</v>
      </c>
      <c r="H142" s="203" t="s">
        <v>199</v>
      </c>
      <c r="I142" s="186">
        <f t="shared" si="17"/>
        <v>4</v>
      </c>
      <c r="J142" s="204">
        <f>IF($H142="USD",IF(OR($I142="",$I142="-"),"",VLOOKUP($G142,為替!$A:$AX,$I142,FALSE))+$J$3,IF(OR($I142="",$I142="-"),"",VLOOKUP($G142,為替!$A:$AX,$I142,FALSE)))</f>
        <v>152.59</v>
      </c>
      <c r="K142" s="205">
        <f t="shared" si="18"/>
        <v>404880.78009999997</v>
      </c>
      <c r="L142" s="189">
        <f t="shared" si="19"/>
        <v>3</v>
      </c>
      <c r="M142" s="204">
        <f>IF($H142="USD",IF(OR($L142="",$L142="-"),"",VLOOKUP($G142,為替!$A:$AX,$L142,FALSE))+$K$3,IF(OR($L142="",$L142="-"),"",VLOOKUP($G142,為替!$A:$AX,$L142,FALSE)))</f>
        <v>153.59</v>
      </c>
      <c r="N142" s="205">
        <f t="shared" si="20"/>
        <v>387240.32340000005</v>
      </c>
      <c r="O142" s="206">
        <f t="shared" si="16"/>
        <v>17640.456699999922</v>
      </c>
      <c r="P142" s="207">
        <f t="shared" si="21"/>
        <v>4.3569508771552391E-2</v>
      </c>
    </row>
    <row r="143" spans="1:16">
      <c r="A143" s="163" t="s">
        <v>343</v>
      </c>
      <c r="B143" s="163">
        <v>7533</v>
      </c>
      <c r="C143" s="200">
        <v>118.57</v>
      </c>
      <c r="D143" s="201">
        <v>0</v>
      </c>
      <c r="E143" s="202" t="s">
        <v>199</v>
      </c>
      <c r="F143" s="200">
        <v>122.56</v>
      </c>
      <c r="G143" s="162">
        <v>45944</v>
      </c>
      <c r="H143" s="203" t="s">
        <v>199</v>
      </c>
      <c r="I143" s="186">
        <f t="shared" si="17"/>
        <v>4</v>
      </c>
      <c r="J143" s="204">
        <f>IF($H143="USD",IF(OR($I143="",$I143="-"),"",VLOOKUP($G143,為替!$A:$AX,$I143,FALSE))+$J$3,IF(OR($I143="",$I143="-"),"",VLOOKUP($G143,為替!$A:$AX,$I143,FALSE)))</f>
        <v>151.99</v>
      </c>
      <c r="K143" s="205">
        <f t="shared" si="18"/>
        <v>18627.894400000001</v>
      </c>
      <c r="L143" s="189">
        <f t="shared" si="19"/>
        <v>3</v>
      </c>
      <c r="M143" s="204">
        <f>IF($H143="USD",IF(OR($L143="",$L143="-"),"",VLOOKUP($G143,為替!$A:$AX,$L143,FALSE))+$K$3,IF(OR($L143="",$L143="-"),"",VLOOKUP($G143,為替!$A:$AX,$L143,FALSE)))</f>
        <v>152.99</v>
      </c>
      <c r="N143" s="205">
        <f t="shared" si="20"/>
        <v>18140.024300000001</v>
      </c>
      <c r="O143" s="206">
        <f t="shared" si="16"/>
        <v>487.87010000000009</v>
      </c>
      <c r="P143" s="207">
        <f t="shared" si="21"/>
        <v>2.619029770750687E-2</v>
      </c>
    </row>
    <row r="144" spans="1:16">
      <c r="A144" s="163" t="s">
        <v>344</v>
      </c>
      <c r="B144" s="163">
        <v>7545</v>
      </c>
      <c r="C144" s="200">
        <v>1806.84</v>
      </c>
      <c r="D144" s="201">
        <v>111.85</v>
      </c>
      <c r="E144" s="202" t="s">
        <v>199</v>
      </c>
      <c r="F144" s="200">
        <v>2151</v>
      </c>
      <c r="G144" s="162">
        <v>45947</v>
      </c>
      <c r="H144" s="203" t="s">
        <v>199</v>
      </c>
      <c r="I144" s="186">
        <f t="shared" si="17"/>
        <v>4</v>
      </c>
      <c r="J144" s="204">
        <f>IF($H144="USD",IF(OR($I144="",$I144="-"),"",VLOOKUP($G144,為替!$A:$AX,$I144,FALSE))+$J$3,IF(OR($I144="",$I144="-"),"",VLOOKUP($G144,為替!$A:$AX,$I144,FALSE)))</f>
        <v>149.68</v>
      </c>
      <c r="K144" s="205">
        <f t="shared" si="18"/>
        <v>321961.68</v>
      </c>
      <c r="L144" s="189">
        <f t="shared" si="19"/>
        <v>3</v>
      </c>
      <c r="M144" s="204">
        <f>IF($H144="USD",IF(OR($L144="",$L144="-"),"",VLOOKUP($G144,為替!$A:$AX,$L144,FALSE))+$K$3,IF(OR($L144="",$L144="-"),"",VLOOKUP($G144,為替!$A:$AX,$L144,FALSE)))</f>
        <v>150.68</v>
      </c>
      <c r="N144" s="205">
        <f t="shared" si="20"/>
        <v>289108.20919999998</v>
      </c>
      <c r="O144" s="206">
        <f t="shared" si="16"/>
        <v>32853.47080000001</v>
      </c>
      <c r="P144" s="207">
        <f t="shared" si="21"/>
        <v>0.10204155600132292</v>
      </c>
    </row>
    <row r="145" spans="1:16">
      <c r="A145" s="163" t="s">
        <v>344</v>
      </c>
      <c r="B145" s="163">
        <v>7546</v>
      </c>
      <c r="C145" s="200">
        <v>3050.88</v>
      </c>
      <c r="D145" s="201">
        <v>188.86</v>
      </c>
      <c r="E145" s="202" t="s">
        <v>199</v>
      </c>
      <c r="F145" s="200">
        <v>3632</v>
      </c>
      <c r="G145" s="162">
        <v>45947</v>
      </c>
      <c r="H145" s="203" t="s">
        <v>199</v>
      </c>
      <c r="I145" s="186">
        <f t="shared" si="17"/>
        <v>4</v>
      </c>
      <c r="J145" s="204">
        <f>IF($H145="USD",IF(OR($I145="",$I145="-"),"",VLOOKUP($G145,為替!$A:$AX,$I145,FALSE))+$J$3,IF(OR($I145="",$I145="-"),"",VLOOKUP($G145,為替!$A:$AX,$I145,FALSE)))</f>
        <v>149.68</v>
      </c>
      <c r="K145" s="205">
        <f t="shared" si="18"/>
        <v>543637.76000000001</v>
      </c>
      <c r="L145" s="189">
        <f t="shared" si="19"/>
        <v>3</v>
      </c>
      <c r="M145" s="204">
        <f>IF($H145="USD",IF(OR($L145="",$L145="-"),"",VLOOKUP($G145,為替!$A:$AX,$L145,FALSE))+$K$3,IF(OR($L145="",$L145="-"),"",VLOOKUP($G145,為替!$A:$AX,$L145,FALSE)))</f>
        <v>150.68</v>
      </c>
      <c r="N145" s="205">
        <f t="shared" si="20"/>
        <v>488164.02320000005</v>
      </c>
      <c r="O145" s="206">
        <f t="shared" si="16"/>
        <v>55473.736799999955</v>
      </c>
      <c r="P145" s="207">
        <f t="shared" si="21"/>
        <v>0.10204172866873698</v>
      </c>
    </row>
    <row r="146" spans="1:16">
      <c r="A146" s="163" t="s">
        <v>344</v>
      </c>
      <c r="B146" s="163">
        <v>7547</v>
      </c>
      <c r="C146" s="200">
        <v>3901.96</v>
      </c>
      <c r="D146" s="201">
        <v>241.55</v>
      </c>
      <c r="E146" s="202" t="s">
        <v>199</v>
      </c>
      <c r="F146" s="200">
        <v>4645.2</v>
      </c>
      <c r="G146" s="162">
        <v>45947</v>
      </c>
      <c r="H146" s="203" t="s">
        <v>199</v>
      </c>
      <c r="I146" s="186">
        <f t="shared" si="17"/>
        <v>4</v>
      </c>
      <c r="J146" s="204">
        <f>IF($H146="USD",IF(OR($I146="",$I146="-"),"",VLOOKUP($G146,為替!$A:$AX,$I146,FALSE))+$J$3,IF(OR($I146="",$I146="-"),"",VLOOKUP($G146,為替!$A:$AX,$I146,FALSE)))</f>
        <v>149.68</v>
      </c>
      <c r="K146" s="205">
        <f t="shared" si="18"/>
        <v>695293.53599999996</v>
      </c>
      <c r="L146" s="189">
        <f t="shared" si="19"/>
        <v>3</v>
      </c>
      <c r="M146" s="204">
        <f>IF($H146="USD",IF(OR($L146="",$L146="-"),"",VLOOKUP($G146,為替!$A:$AX,$L146,FALSE))+$K$3,IF(OR($L146="",$L146="-"),"",VLOOKUP($G146,為替!$A:$AX,$L146,FALSE)))</f>
        <v>150.68</v>
      </c>
      <c r="N146" s="205">
        <f t="shared" si="20"/>
        <v>624344.08680000005</v>
      </c>
      <c r="O146" s="206">
        <f t="shared" si="16"/>
        <v>70949.449199999915</v>
      </c>
      <c r="P146" s="207">
        <f t="shared" si="21"/>
        <v>0.10204244038880281</v>
      </c>
    </row>
    <row r="147" spans="1:16">
      <c r="A147" s="163" t="s">
        <v>344</v>
      </c>
      <c r="B147" s="163">
        <v>7548</v>
      </c>
      <c r="C147" s="200">
        <v>531.02</v>
      </c>
      <c r="D147" s="201">
        <v>32.880000000000003</v>
      </c>
      <c r="E147" s="202" t="s">
        <v>199</v>
      </c>
      <c r="F147" s="200">
        <v>632.22</v>
      </c>
      <c r="G147" s="162">
        <v>45947</v>
      </c>
      <c r="H147" s="203" t="s">
        <v>199</v>
      </c>
      <c r="I147" s="186">
        <f t="shared" si="17"/>
        <v>4</v>
      </c>
      <c r="J147" s="204">
        <f>IF($H147="USD",IF(OR($I147="",$I147="-"),"",VLOOKUP($G147,為替!$A:$AX,$I147,FALSE))+$J$3,IF(OR($I147="",$I147="-"),"",VLOOKUP($G147,為替!$A:$AX,$I147,FALSE)))</f>
        <v>149.68</v>
      </c>
      <c r="K147" s="205">
        <f t="shared" si="18"/>
        <v>94630.689600000012</v>
      </c>
      <c r="L147" s="189">
        <f t="shared" si="19"/>
        <v>3</v>
      </c>
      <c r="M147" s="204">
        <f>IF($H147="USD",IF(OR($L147="",$L147="-"),"",VLOOKUP($G147,為替!$A:$AX,$L147,FALSE))+$K$3,IF(OR($L147="",$L147="-"),"",VLOOKUP($G147,為替!$A:$AX,$L147,FALSE)))</f>
        <v>150.68</v>
      </c>
      <c r="N147" s="205">
        <f t="shared" si="20"/>
        <v>84968.452000000005</v>
      </c>
      <c r="O147" s="206">
        <f t="shared" si="16"/>
        <v>9662.2376000000077</v>
      </c>
      <c r="P147" s="207">
        <f t="shared" si="21"/>
        <v>0.10210469395121058</v>
      </c>
    </row>
    <row r="148" spans="1:16">
      <c r="A148" s="163" t="s">
        <v>344</v>
      </c>
      <c r="B148" s="163">
        <v>7549</v>
      </c>
      <c r="C148" s="200">
        <v>754.49</v>
      </c>
      <c r="D148" s="201">
        <v>46.71</v>
      </c>
      <c r="E148" s="202" t="s">
        <v>199</v>
      </c>
      <c r="F148" s="200">
        <v>898.15</v>
      </c>
      <c r="G148" s="162">
        <v>45947</v>
      </c>
      <c r="H148" s="203" t="s">
        <v>199</v>
      </c>
      <c r="I148" s="186">
        <f t="shared" si="17"/>
        <v>4</v>
      </c>
      <c r="J148" s="204">
        <f>IF($H148="USD",IF(OR($I148="",$I148="-"),"",VLOOKUP($G148,為替!$A:$AX,$I148,FALSE))+$J$3,IF(OR($I148="",$I148="-"),"",VLOOKUP($G148,為替!$A:$AX,$I148,FALSE)))</f>
        <v>149.68</v>
      </c>
      <c r="K148" s="205">
        <f t="shared" si="18"/>
        <v>134435.092</v>
      </c>
      <c r="L148" s="189">
        <f t="shared" si="19"/>
        <v>3</v>
      </c>
      <c r="M148" s="204">
        <f>IF($H148="USD",IF(OR($L148="",$L148="-"),"",VLOOKUP($G148,為替!$A:$AX,$L148,FALSE))+$K$3,IF(OR($L148="",$L148="-"),"",VLOOKUP($G148,為替!$A:$AX,$L148,FALSE)))</f>
        <v>150.68</v>
      </c>
      <c r="N148" s="205">
        <f t="shared" si="20"/>
        <v>120724.81600000001</v>
      </c>
      <c r="O148" s="206">
        <f t="shared" si="16"/>
        <v>13710.275999999998</v>
      </c>
      <c r="P148" s="207">
        <f t="shared" si="21"/>
        <v>0.10198435390664215</v>
      </c>
    </row>
    <row r="149" spans="1:16">
      <c r="A149" s="163" t="s">
        <v>344</v>
      </c>
      <c r="B149" s="163">
        <v>7550</v>
      </c>
      <c r="C149" s="200">
        <v>13003.2</v>
      </c>
      <c r="D149" s="201">
        <v>804.96</v>
      </c>
      <c r="E149" s="202" t="s">
        <v>199</v>
      </c>
      <c r="F149" s="200">
        <v>15480</v>
      </c>
      <c r="G149" s="162">
        <v>45947</v>
      </c>
      <c r="H149" s="203" t="s">
        <v>199</v>
      </c>
      <c r="I149" s="186">
        <f t="shared" si="17"/>
        <v>4</v>
      </c>
      <c r="J149" s="204">
        <f>IF($H149="USD",IF(OR($I149="",$I149="-"),"",VLOOKUP($G149,為替!$A:$AX,$I149,FALSE))+$J$3,IF(OR($I149="",$I149="-"),"",VLOOKUP($G149,為替!$A:$AX,$I149,FALSE)))</f>
        <v>149.68</v>
      </c>
      <c r="K149" s="205">
        <f t="shared" si="18"/>
        <v>2317046.4</v>
      </c>
      <c r="L149" s="189">
        <f t="shared" si="19"/>
        <v>3</v>
      </c>
      <c r="M149" s="204">
        <f>IF($H149="USD",IF(OR($L149="",$L149="-"),"",VLOOKUP($G149,為替!$A:$AX,$L149,FALSE))+$K$3,IF(OR($L149="",$L149="-"),"",VLOOKUP($G149,為替!$A:$AX,$L149,FALSE)))</f>
        <v>150.68</v>
      </c>
      <c r="N149" s="205">
        <f t="shared" si="20"/>
        <v>2080613.5488</v>
      </c>
      <c r="O149" s="206">
        <f t="shared" si="16"/>
        <v>236432.85119999992</v>
      </c>
      <c r="P149" s="207">
        <f t="shared" si="21"/>
        <v>0.10204061998931049</v>
      </c>
    </row>
    <row r="150" spans="1:16">
      <c r="A150" s="163" t="s">
        <v>344</v>
      </c>
      <c r="B150" s="163">
        <v>7551</v>
      </c>
      <c r="C150" s="200">
        <v>4218.8100000000004</v>
      </c>
      <c r="D150" s="201">
        <v>261.17</v>
      </c>
      <c r="E150" s="202" t="s">
        <v>199</v>
      </c>
      <c r="F150" s="200">
        <v>5022.3999999999996</v>
      </c>
      <c r="G150" s="162">
        <v>45947</v>
      </c>
      <c r="H150" s="203" t="s">
        <v>199</v>
      </c>
      <c r="I150" s="186">
        <f t="shared" si="17"/>
        <v>4</v>
      </c>
      <c r="J150" s="204">
        <f>IF($H150="USD",IF(OR($I150="",$I150="-"),"",VLOOKUP($G150,為替!$A:$AX,$I150,FALSE))+$J$3,IF(OR($I150="",$I150="-"),"",VLOOKUP($G150,為替!$A:$AX,$I150,FALSE)))</f>
        <v>149.68</v>
      </c>
      <c r="K150" s="205">
        <f t="shared" si="18"/>
        <v>751752.83199999994</v>
      </c>
      <c r="L150" s="189">
        <f t="shared" si="19"/>
        <v>3</v>
      </c>
      <c r="M150" s="204">
        <f>IF($H150="USD",IF(OR($L150="",$L150="-"),"",VLOOKUP($G150,為替!$A:$AX,$L150,FALSE))+$K$3,IF(OR($L150="",$L150="-"),"",VLOOKUP($G150,為替!$A:$AX,$L150,FALSE)))</f>
        <v>150.68</v>
      </c>
      <c r="N150" s="205">
        <f t="shared" si="20"/>
        <v>675043.38640000008</v>
      </c>
      <c r="O150" s="206">
        <f t="shared" si="16"/>
        <v>76709.445599999861</v>
      </c>
      <c r="P150" s="207">
        <f t="shared" si="21"/>
        <v>0.10204078033988685</v>
      </c>
    </row>
    <row r="151" spans="1:16">
      <c r="A151" s="163" t="s">
        <v>344</v>
      </c>
      <c r="B151" s="163">
        <v>7552</v>
      </c>
      <c r="C151" s="200">
        <v>701.62</v>
      </c>
      <c r="D151" s="201">
        <v>43.44</v>
      </c>
      <c r="E151" s="202" t="s">
        <v>199</v>
      </c>
      <c r="F151" s="200">
        <v>835.38</v>
      </c>
      <c r="G151" s="162">
        <v>45947</v>
      </c>
      <c r="H151" s="203" t="s">
        <v>199</v>
      </c>
      <c r="I151" s="186">
        <f t="shared" si="17"/>
        <v>4</v>
      </c>
      <c r="J151" s="204">
        <f>IF($H151="USD",IF(OR($I151="",$I151="-"),"",VLOOKUP($G151,為替!$A:$AX,$I151,FALSE))+$J$3,IF(OR($I151="",$I151="-"),"",VLOOKUP($G151,為替!$A:$AX,$I151,FALSE)))</f>
        <v>149.68</v>
      </c>
      <c r="K151" s="205">
        <f t="shared" si="18"/>
        <v>125039.6784</v>
      </c>
      <c r="L151" s="189">
        <f t="shared" si="19"/>
        <v>3</v>
      </c>
      <c r="M151" s="204">
        <f>IF($H151="USD",IF(OR($L151="",$L151="-"),"",VLOOKUP($G151,為替!$A:$AX,$L151,FALSE))+$K$3,IF(OR($L151="",$L151="-"),"",VLOOKUP($G151,為替!$A:$AX,$L151,FALSE)))</f>
        <v>150.68</v>
      </c>
      <c r="N151" s="205">
        <f t="shared" si="20"/>
        <v>112265.64079999999</v>
      </c>
      <c r="O151" s="206">
        <f t="shared" si="16"/>
        <v>12774.037600000011</v>
      </c>
      <c r="P151" s="207">
        <f t="shared" si="21"/>
        <v>0.10215987247772712</v>
      </c>
    </row>
    <row r="152" spans="1:16">
      <c r="A152" s="163" t="s">
        <v>344</v>
      </c>
      <c r="B152" s="163">
        <v>7553</v>
      </c>
      <c r="C152" s="200">
        <v>4687.45</v>
      </c>
      <c r="D152" s="201">
        <v>290.17</v>
      </c>
      <c r="E152" s="202" t="s">
        <v>199</v>
      </c>
      <c r="F152" s="200">
        <v>5580.3</v>
      </c>
      <c r="G152" s="162">
        <v>45947</v>
      </c>
      <c r="H152" s="203" t="s">
        <v>199</v>
      </c>
      <c r="I152" s="186">
        <f t="shared" si="17"/>
        <v>4</v>
      </c>
      <c r="J152" s="204">
        <f>IF($H152="USD",IF(OR($I152="",$I152="-"),"",VLOOKUP($G152,為替!$A:$AX,$I152,FALSE))+$J$3,IF(OR($I152="",$I152="-"),"",VLOOKUP($G152,為替!$A:$AX,$I152,FALSE)))</f>
        <v>149.68</v>
      </c>
      <c r="K152" s="205">
        <f t="shared" si="18"/>
        <v>835259.30400000012</v>
      </c>
      <c r="L152" s="189">
        <f t="shared" si="19"/>
        <v>3</v>
      </c>
      <c r="M152" s="204">
        <f>IF($H152="USD",IF(OR($L152="",$L152="-"),"",VLOOKUP($G152,為替!$A:$AX,$L152,FALSE))+$K$3,IF(OR($L152="",$L152="-"),"",VLOOKUP($G152,為替!$A:$AX,$L152,FALSE)))</f>
        <v>150.68</v>
      </c>
      <c r="N152" s="205">
        <f t="shared" si="20"/>
        <v>750027.78159999999</v>
      </c>
      <c r="O152" s="206">
        <f t="shared" si="16"/>
        <v>85231.522400000133</v>
      </c>
      <c r="P152" s="207">
        <f t="shared" si="21"/>
        <v>0.10204199102222766</v>
      </c>
    </row>
    <row r="153" spans="1:16">
      <c r="A153" s="163" t="s">
        <v>344</v>
      </c>
      <c r="B153" s="163">
        <v>7554</v>
      </c>
      <c r="C153" s="200">
        <v>3731.29</v>
      </c>
      <c r="D153" s="201">
        <v>230.97</v>
      </c>
      <c r="E153" s="202" t="s">
        <v>199</v>
      </c>
      <c r="F153" s="200">
        <v>4441.76</v>
      </c>
      <c r="G153" s="162">
        <v>45947</v>
      </c>
      <c r="H153" s="203" t="s">
        <v>199</v>
      </c>
      <c r="I153" s="186">
        <f t="shared" si="17"/>
        <v>4</v>
      </c>
      <c r="J153" s="204">
        <f>IF($H153="USD",IF(OR($I153="",$I153="-"),"",VLOOKUP($G153,為替!$A:$AX,$I153,FALSE))+$J$3,IF(OR($I153="",$I153="-"),"",VLOOKUP($G153,為替!$A:$AX,$I153,FALSE)))</f>
        <v>149.68</v>
      </c>
      <c r="K153" s="205">
        <f t="shared" si="18"/>
        <v>664842.63680000009</v>
      </c>
      <c r="L153" s="189">
        <f t="shared" si="19"/>
        <v>3</v>
      </c>
      <c r="M153" s="204">
        <f>IF($H153="USD",IF(OR($L153="",$L153="-"),"",VLOOKUP($G153,為替!$A:$AX,$L153,FALSE))+$K$3,IF(OR($L153="",$L153="-"),"",VLOOKUP($G153,為替!$A:$AX,$L153,FALSE)))</f>
        <v>150.68</v>
      </c>
      <c r="N153" s="205">
        <f t="shared" si="20"/>
        <v>597033.33680000005</v>
      </c>
      <c r="O153" s="206">
        <f t="shared" si="16"/>
        <v>67809.300000000047</v>
      </c>
      <c r="P153" s="207">
        <f t="shared" si="21"/>
        <v>0.10199300743763616</v>
      </c>
    </row>
    <row r="154" spans="1:16">
      <c r="A154" s="163" t="s">
        <v>344</v>
      </c>
      <c r="B154" s="163">
        <v>7583</v>
      </c>
      <c r="C154" s="200">
        <v>631</v>
      </c>
      <c r="D154" s="201">
        <v>30.05</v>
      </c>
      <c r="E154" s="202" t="s">
        <v>199</v>
      </c>
      <c r="F154" s="200">
        <v>751.2</v>
      </c>
      <c r="G154" s="162">
        <v>45958</v>
      </c>
      <c r="H154" s="203" t="s">
        <v>199</v>
      </c>
      <c r="I154" s="186">
        <f t="shared" si="17"/>
        <v>4</v>
      </c>
      <c r="J154" s="204">
        <f>IF($H154="USD",IF(OR($I154="",$I154="-"),"",VLOOKUP($G154,為替!$A:$AX,$I154,FALSE))+$J$3,IF(OR($I154="",$I154="-"),"",VLOOKUP($G154,為替!$A:$AX,$I154,FALSE)))</f>
        <v>152.07</v>
      </c>
      <c r="K154" s="205">
        <f t="shared" si="18"/>
        <v>114234.984</v>
      </c>
      <c r="L154" s="189">
        <f t="shared" si="19"/>
        <v>3</v>
      </c>
      <c r="M154" s="204">
        <f>IF($H154="USD",IF(OR($L154="",$L154="-"),"",VLOOKUP($G154,為替!$A:$AX,$L154,FALSE))+$K$3,IF(OR($L154="",$L154="-"),"",VLOOKUP($G154,為替!$A:$AX,$L154,FALSE)))</f>
        <v>153.07</v>
      </c>
      <c r="N154" s="205">
        <f t="shared" si="20"/>
        <v>101186.92349999999</v>
      </c>
      <c r="O154" s="206">
        <f t="shared" si="16"/>
        <v>13048.060500000007</v>
      </c>
      <c r="P154" s="207">
        <f t="shared" si="21"/>
        <v>0.11422123103724519</v>
      </c>
    </row>
    <row r="155" spans="1:16">
      <c r="A155" s="163" t="s">
        <v>344</v>
      </c>
      <c r="B155" s="163">
        <v>7576</v>
      </c>
      <c r="C155" s="200">
        <v>6827.52</v>
      </c>
      <c r="D155" s="201">
        <v>422.66</v>
      </c>
      <c r="E155" s="202" t="s">
        <v>199</v>
      </c>
      <c r="F155" s="200">
        <v>8128</v>
      </c>
      <c r="G155" s="162">
        <v>45958</v>
      </c>
      <c r="H155" s="203" t="s">
        <v>199</v>
      </c>
      <c r="I155" s="186">
        <f t="shared" si="17"/>
        <v>4</v>
      </c>
      <c r="J155" s="204">
        <f>IF($H155="USD",IF(OR($I155="",$I155="-"),"",VLOOKUP($G155,為替!$A:$AX,$I155,FALSE))+$J$3,IF(OR($I155="",$I155="-"),"",VLOOKUP($G155,為替!$A:$AX,$I155,FALSE)))</f>
        <v>152.07</v>
      </c>
      <c r="K155" s="205">
        <f t="shared" si="18"/>
        <v>1236024.96</v>
      </c>
      <c r="L155" s="189">
        <f t="shared" si="19"/>
        <v>3</v>
      </c>
      <c r="M155" s="204">
        <f>IF($H155="USD",IF(OR($L155="",$L155="-"),"",VLOOKUP($G155,為替!$A:$AX,$L155,FALSE))+$K$3,IF(OR($L155="",$L155="-"),"",VLOOKUP($G155,為替!$A:$AX,$L155,FALSE)))</f>
        <v>153.07</v>
      </c>
      <c r="N155" s="205">
        <f t="shared" si="20"/>
        <v>1109785.0526000001</v>
      </c>
      <c r="O155" s="206">
        <f t="shared" si="16"/>
        <v>126239.90739999991</v>
      </c>
      <c r="P155" s="207">
        <f t="shared" si="21"/>
        <v>0.10213378490350219</v>
      </c>
    </row>
    <row r="156" spans="1:16">
      <c r="A156" s="163" t="s">
        <v>344</v>
      </c>
      <c r="B156" s="163">
        <v>7577</v>
      </c>
      <c r="C156" s="200">
        <v>519.79</v>
      </c>
      <c r="D156" s="201">
        <v>32.18</v>
      </c>
      <c r="E156" s="202" t="s">
        <v>199</v>
      </c>
      <c r="F156" s="200">
        <v>618.79999999999995</v>
      </c>
      <c r="G156" s="162">
        <v>45958</v>
      </c>
      <c r="H156" s="203" t="s">
        <v>199</v>
      </c>
      <c r="I156" s="186">
        <f t="shared" si="17"/>
        <v>4</v>
      </c>
      <c r="J156" s="204">
        <f>IF($H156="USD",IF(OR($I156="",$I156="-"),"",VLOOKUP($G156,為替!$A:$AX,$I156,FALSE))+$J$3,IF(OR($I156="",$I156="-"),"",VLOOKUP($G156,為替!$A:$AX,$I156,FALSE)))</f>
        <v>152.07</v>
      </c>
      <c r="K156" s="205">
        <f t="shared" si="18"/>
        <v>94100.915999999983</v>
      </c>
      <c r="L156" s="189">
        <f t="shared" si="19"/>
        <v>3</v>
      </c>
      <c r="M156" s="204">
        <f>IF($H156="USD",IF(OR($L156="",$L156="-"),"",VLOOKUP($G156,為替!$A:$AX,$L156,FALSE))+$K$3,IF(OR($L156="",$L156="-"),"",VLOOKUP($G156,為替!$A:$AX,$L156,FALSE)))</f>
        <v>153.07</v>
      </c>
      <c r="N156" s="205">
        <f t="shared" si="20"/>
        <v>84490.047899999976</v>
      </c>
      <c r="O156" s="206">
        <f t="shared" si="16"/>
        <v>9610.868100000007</v>
      </c>
      <c r="P156" s="207">
        <f t="shared" si="21"/>
        <v>0.10213362960250046</v>
      </c>
    </row>
    <row r="157" spans="1:16">
      <c r="A157" s="163" t="s">
        <v>344</v>
      </c>
      <c r="B157" s="163">
        <v>7578</v>
      </c>
      <c r="C157" s="200">
        <v>3410.06</v>
      </c>
      <c r="D157" s="201">
        <v>211.1</v>
      </c>
      <c r="E157" s="202" t="s">
        <v>199</v>
      </c>
      <c r="F157" s="200">
        <v>4059.6</v>
      </c>
      <c r="G157" s="162">
        <v>45958</v>
      </c>
      <c r="H157" s="203" t="s">
        <v>199</v>
      </c>
      <c r="I157" s="186">
        <f t="shared" si="17"/>
        <v>4</v>
      </c>
      <c r="J157" s="204">
        <f>IF($H157="USD",IF(OR($I157="",$I157="-"),"",VLOOKUP($G157,為替!$A:$AX,$I157,FALSE))+$J$3,IF(OR($I157="",$I157="-"),"",VLOOKUP($G157,為替!$A:$AX,$I157,FALSE)))</f>
        <v>152.07</v>
      </c>
      <c r="K157" s="205">
        <f t="shared" si="18"/>
        <v>617343.37199999997</v>
      </c>
      <c r="L157" s="189">
        <f t="shared" si="19"/>
        <v>3</v>
      </c>
      <c r="M157" s="204">
        <f>IF($H157="USD",IF(OR($L157="",$L157="-"),"",VLOOKUP($G157,為替!$A:$AX,$L157,FALSE))+$K$3,IF(OR($L157="",$L157="-"),"",VLOOKUP($G157,為替!$A:$AX,$L157,FALSE)))</f>
        <v>153.07</v>
      </c>
      <c r="N157" s="205">
        <f t="shared" si="20"/>
        <v>554290.9611999999</v>
      </c>
      <c r="O157" s="206">
        <f t="shared" si="16"/>
        <v>63052.410800000071</v>
      </c>
      <c r="P157" s="207">
        <f t="shared" si="21"/>
        <v>0.10213507370416876</v>
      </c>
    </row>
    <row r="158" spans="1:16">
      <c r="A158" s="163" t="s">
        <v>344</v>
      </c>
      <c r="B158" s="163">
        <v>7579</v>
      </c>
      <c r="C158" s="200">
        <v>2335.3200000000002</v>
      </c>
      <c r="D158" s="201">
        <v>144.56</v>
      </c>
      <c r="E158" s="202" t="s">
        <v>199</v>
      </c>
      <c r="F158" s="200">
        <v>2779.92</v>
      </c>
      <c r="G158" s="162">
        <v>45958</v>
      </c>
      <c r="H158" s="203" t="s">
        <v>199</v>
      </c>
      <c r="I158" s="186">
        <f t="shared" si="17"/>
        <v>4</v>
      </c>
      <c r="J158" s="204">
        <f>IF($H158="USD",IF(OR($I158="",$I158="-"),"",VLOOKUP($G158,為替!$A:$AX,$I158,FALSE))+$J$3,IF(OR($I158="",$I158="-"),"",VLOOKUP($G158,為替!$A:$AX,$I158,FALSE)))</f>
        <v>152.07</v>
      </c>
      <c r="K158" s="205">
        <f t="shared" si="18"/>
        <v>422742.43439999997</v>
      </c>
      <c r="L158" s="189">
        <f t="shared" si="19"/>
        <v>3</v>
      </c>
      <c r="M158" s="204">
        <f>IF($H158="USD",IF(OR($L158="",$L158="-"),"",VLOOKUP($G158,為替!$A:$AX,$L158,FALSE))+$K$3,IF(OR($L158="",$L158="-"),"",VLOOKUP($G158,為替!$A:$AX,$L158,FALSE)))</f>
        <v>153.07</v>
      </c>
      <c r="N158" s="205">
        <f t="shared" si="20"/>
        <v>379595.2316</v>
      </c>
      <c r="O158" s="206">
        <f t="shared" si="16"/>
        <v>43147.20279999997</v>
      </c>
      <c r="P158" s="207">
        <f t="shared" si="21"/>
        <v>0.10206499108905158</v>
      </c>
    </row>
    <row r="159" spans="1:16">
      <c r="A159" s="163" t="s">
        <v>343</v>
      </c>
      <c r="B159" s="163">
        <v>7582</v>
      </c>
      <c r="C159" s="200">
        <v>249.92</v>
      </c>
      <c r="D159" s="201">
        <v>0</v>
      </c>
      <c r="E159" s="202" t="s">
        <v>199</v>
      </c>
      <c r="F159" s="200">
        <v>262.26</v>
      </c>
      <c r="G159" s="162">
        <v>45958</v>
      </c>
      <c r="H159" s="203" t="s">
        <v>199</v>
      </c>
      <c r="I159" s="186">
        <f t="shared" si="17"/>
        <v>4</v>
      </c>
      <c r="J159" s="204">
        <f>IF($H159="USD",IF(OR($I159="",$I159="-"),"",VLOOKUP($G159,為替!$A:$AX,$I159,FALSE))+$J$3,IF(OR($I159="",$I159="-"),"",VLOOKUP($G159,為替!$A:$AX,$I159,FALSE)))</f>
        <v>152.07</v>
      </c>
      <c r="K159" s="205">
        <f t="shared" si="18"/>
        <v>39881.878199999999</v>
      </c>
      <c r="L159" s="189">
        <f t="shared" si="19"/>
        <v>3</v>
      </c>
      <c r="M159" s="204">
        <f>IF($H159="USD",IF(OR($L159="",$L159="-"),"",VLOOKUP($G159,為替!$A:$AX,$L159,FALSE))+$K$3,IF(OR($L159="",$L159="-"),"",VLOOKUP($G159,為替!$A:$AX,$L159,FALSE)))</f>
        <v>153.07</v>
      </c>
      <c r="N159" s="205">
        <f t="shared" si="20"/>
        <v>38255.254399999998</v>
      </c>
      <c r="O159" s="206">
        <f t="shared" si="16"/>
        <v>1626.6238000000012</v>
      </c>
      <c r="P159" s="207">
        <f t="shared" si="21"/>
        <v>4.0786038005602286E-2</v>
      </c>
    </row>
    <row r="160" spans="1:16">
      <c r="A160" s="163" t="s">
        <v>343</v>
      </c>
      <c r="B160" s="163">
        <v>7595</v>
      </c>
      <c r="C160" s="200">
        <v>72.599999999999994</v>
      </c>
      <c r="D160" s="201">
        <v>0</v>
      </c>
      <c r="E160" s="202" t="s">
        <v>199</v>
      </c>
      <c r="F160" s="200">
        <v>79.400000000000006</v>
      </c>
      <c r="G160" s="162">
        <v>45960</v>
      </c>
      <c r="H160" s="203" t="s">
        <v>199</v>
      </c>
      <c r="I160" s="186">
        <f t="shared" si="17"/>
        <v>4</v>
      </c>
      <c r="J160" s="204">
        <f>IF($H160="USD",IF(OR($I160="",$I160="-"),"",VLOOKUP($G160,為替!$A:$AX,$I160,FALSE))+$J$3,IF(OR($I160="",$I160="-"),"",VLOOKUP($G160,為替!$A:$AX,$I160,FALSE)))</f>
        <v>152.30000000000001</v>
      </c>
      <c r="K160" s="205">
        <f t="shared" si="18"/>
        <v>12092.620000000003</v>
      </c>
      <c r="L160" s="189">
        <f t="shared" si="19"/>
        <v>3</v>
      </c>
      <c r="M160" s="204">
        <f>IF($H160="USD",IF(OR($L160="",$L160="-"),"",VLOOKUP($G160,為替!$A:$AX,$L160,FALSE))+$K$3,IF(OR($L160="",$L160="-"),"",VLOOKUP($G160,為替!$A:$AX,$L160,FALSE)))</f>
        <v>153.30000000000001</v>
      </c>
      <c r="N160" s="205">
        <f t="shared" si="20"/>
        <v>11129.58</v>
      </c>
      <c r="O160" s="206">
        <f t="shared" si="16"/>
        <v>963.04000000000269</v>
      </c>
      <c r="P160" s="207">
        <f t="shared" si="21"/>
        <v>7.9638655642863376E-2</v>
      </c>
    </row>
    <row r="161" spans="1:16">
      <c r="A161" s="163" t="s">
        <v>343</v>
      </c>
      <c r="B161" s="163">
        <v>7598</v>
      </c>
      <c r="C161" s="200">
        <v>340.35</v>
      </c>
      <c r="D161" s="201">
        <v>0</v>
      </c>
      <c r="E161" s="202" t="s">
        <v>199</v>
      </c>
      <c r="F161" s="200">
        <v>357.85</v>
      </c>
      <c r="G161" s="162">
        <v>45961</v>
      </c>
      <c r="H161" s="203" t="s">
        <v>199</v>
      </c>
      <c r="I161" s="186">
        <f t="shared" si="17"/>
        <v>4</v>
      </c>
      <c r="J161" s="204">
        <f>IF($H161="USD",IF(OR($I161="",$I161="-"),"",VLOOKUP($G161,為替!$A:$AX,$I161,FALSE))+$J$3,IF(OR($I161="",$I161="-"),"",VLOOKUP($G161,為替!$A:$AX,$I161,FALSE)))</f>
        <v>153.6</v>
      </c>
      <c r="K161" s="205">
        <f t="shared" si="18"/>
        <v>54965.760000000002</v>
      </c>
      <c r="L161" s="189">
        <f t="shared" si="19"/>
        <v>3</v>
      </c>
      <c r="M161" s="204">
        <f>IF($H161="USD",IF(OR($L161="",$L161="-"),"",VLOOKUP($G161,為替!$A:$AX,$L161,FALSE))+$K$3,IF(OR($L161="",$L161="-"),"",VLOOKUP($G161,為替!$A:$AX,$L161,FALSE)))</f>
        <v>154.6</v>
      </c>
      <c r="N161" s="205">
        <f t="shared" si="20"/>
        <v>52618.11</v>
      </c>
      <c r="O161" s="206">
        <f t="shared" si="16"/>
        <v>2347.6500000000015</v>
      </c>
      <c r="P161" s="207">
        <f t="shared" si="21"/>
        <v>4.271113507754648E-2</v>
      </c>
    </row>
    <row r="162" spans="1:16">
      <c r="A162" s="163" t="s">
        <v>343</v>
      </c>
      <c r="B162" s="163">
        <v>7597</v>
      </c>
      <c r="C162" s="200">
        <v>3664.23</v>
      </c>
      <c r="D162" s="201">
        <v>0</v>
      </c>
      <c r="E162" s="202" t="s">
        <v>199</v>
      </c>
      <c r="F162" s="200">
        <v>3863.45</v>
      </c>
      <c r="G162" s="162">
        <v>45961</v>
      </c>
      <c r="H162" s="203" t="s">
        <v>199</v>
      </c>
      <c r="I162" s="186">
        <f t="shared" si="17"/>
        <v>4</v>
      </c>
      <c r="J162" s="204">
        <f>IF($H162="USD",IF(OR($I162="",$I162="-"),"",VLOOKUP($G162,為替!$A:$AX,$I162,FALSE))+$J$3,IF(OR($I162="",$I162="-"),"",VLOOKUP($G162,為替!$A:$AX,$I162,FALSE)))</f>
        <v>153.6</v>
      </c>
      <c r="K162" s="205">
        <f t="shared" si="18"/>
        <v>593425.91999999993</v>
      </c>
      <c r="L162" s="189">
        <f t="shared" si="19"/>
        <v>3</v>
      </c>
      <c r="M162" s="204">
        <f>IF($H162="USD",IF(OR($L162="",$L162="-"),"",VLOOKUP($G162,為替!$A:$AX,$L162,FALSE))+$K$3,IF(OR($L162="",$L162="-"),"",VLOOKUP($G162,為替!$A:$AX,$L162,FALSE)))</f>
        <v>154.6</v>
      </c>
      <c r="N162" s="205">
        <f t="shared" si="20"/>
        <v>566489.95799999998</v>
      </c>
      <c r="O162" s="206">
        <f t="shared" si="16"/>
        <v>26935.961999999941</v>
      </c>
      <c r="P162" s="207">
        <f t="shared" si="21"/>
        <v>4.5390605789514461E-2</v>
      </c>
    </row>
    <row r="163" spans="1:16">
      <c r="A163" s="163" t="s">
        <v>343</v>
      </c>
      <c r="B163" s="163">
        <v>7580</v>
      </c>
      <c r="C163" s="200">
        <v>287.5</v>
      </c>
      <c r="D163" s="201">
        <v>0</v>
      </c>
      <c r="E163" s="202" t="s">
        <v>199</v>
      </c>
      <c r="F163" s="200">
        <v>303.89999999999998</v>
      </c>
      <c r="G163" s="162">
        <v>45957</v>
      </c>
      <c r="H163" s="203" t="s">
        <v>199</v>
      </c>
      <c r="I163" s="186">
        <f t="shared" si="17"/>
        <v>4</v>
      </c>
      <c r="J163" s="204">
        <f>IF($H163="USD",IF(OR($I163="",$I163="-"),"",VLOOKUP($G163,為替!$A:$AX,$I163,FALSE))+$J$3,IF(OR($I163="",$I163="-"),"",VLOOKUP($G163,為替!$A:$AX,$I163,FALSE)))</f>
        <v>152.5</v>
      </c>
      <c r="K163" s="205">
        <f t="shared" si="18"/>
        <v>46344.75</v>
      </c>
      <c r="L163" s="189">
        <f t="shared" si="19"/>
        <v>3</v>
      </c>
      <c r="M163" s="204">
        <f>IF($H163="USD",IF(OR($L163="",$L163="-"),"",VLOOKUP($G163,為替!$A:$AX,$L163,FALSE))+$K$3,IF(OR($L163="",$L163="-"),"",VLOOKUP($G163,為替!$A:$AX,$L163,FALSE)))</f>
        <v>153.5</v>
      </c>
      <c r="N163" s="205">
        <f t="shared" si="20"/>
        <v>44131.25</v>
      </c>
      <c r="O163" s="206">
        <f t="shared" si="16"/>
        <v>2213.5</v>
      </c>
      <c r="P163" s="207">
        <f t="shared" si="21"/>
        <v>4.7761612696152207E-2</v>
      </c>
    </row>
    <row r="164" spans="1:16">
      <c r="A164" s="163" t="s">
        <v>343</v>
      </c>
      <c r="B164" s="163">
        <v>7581</v>
      </c>
      <c r="C164" s="200">
        <v>528</v>
      </c>
      <c r="D164" s="201">
        <v>0</v>
      </c>
      <c r="E164" s="202" t="s">
        <v>199</v>
      </c>
      <c r="F164" s="200">
        <v>558.9</v>
      </c>
      <c r="G164" s="162">
        <v>45957</v>
      </c>
      <c r="H164" s="203" t="s">
        <v>199</v>
      </c>
      <c r="I164" s="186">
        <f t="shared" si="17"/>
        <v>4</v>
      </c>
      <c r="J164" s="204">
        <f>IF($H164="USD",IF(OR($I164="",$I164="-"),"",VLOOKUP($G164,為替!$A:$AX,$I164,FALSE))+$J$3,IF(OR($I164="",$I164="-"),"",VLOOKUP($G164,為替!$A:$AX,$I164,FALSE)))</f>
        <v>152.5</v>
      </c>
      <c r="K164" s="205">
        <f t="shared" si="18"/>
        <v>85232.25</v>
      </c>
      <c r="L164" s="189">
        <f t="shared" si="19"/>
        <v>3</v>
      </c>
      <c r="M164" s="204">
        <f>IF($H164="USD",IF(OR($L164="",$L164="-"),"",VLOOKUP($G164,為替!$A:$AX,$L164,FALSE))+$K$3,IF(OR($L164="",$L164="-"),"",VLOOKUP($G164,為替!$A:$AX,$L164,FALSE)))</f>
        <v>153.5</v>
      </c>
      <c r="N164" s="205">
        <f t="shared" si="20"/>
        <v>81048</v>
      </c>
      <c r="O164" s="206">
        <f t="shared" si="16"/>
        <v>4184.25</v>
      </c>
      <c r="P164" s="207">
        <f t="shared" si="21"/>
        <v>4.9092333007752349E-2</v>
      </c>
    </row>
    <row r="165" spans="1:16">
      <c r="A165" s="163" t="s">
        <v>309</v>
      </c>
      <c r="B165" s="163">
        <v>7539</v>
      </c>
      <c r="C165" s="200">
        <v>314960</v>
      </c>
      <c r="D165" s="201">
        <v>0</v>
      </c>
      <c r="E165" s="202" t="s">
        <v>200</v>
      </c>
      <c r="F165" s="200">
        <v>414100</v>
      </c>
      <c r="G165" s="162">
        <v>45946</v>
      </c>
      <c r="H165" s="203" t="s">
        <v>200</v>
      </c>
      <c r="I165" s="186" t="str">
        <f t="shared" si="17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>
        <f t="shared" si="18"/>
        <v>414100</v>
      </c>
      <c r="L165" s="189" t="str">
        <f t="shared" si="19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>
        <f t="shared" si="20"/>
        <v>314960</v>
      </c>
      <c r="O165" s="206">
        <f t="shared" si="16"/>
        <v>99140</v>
      </c>
      <c r="P165" s="207">
        <f t="shared" si="21"/>
        <v>0.23941077034532721</v>
      </c>
    </row>
    <row r="166" spans="1:16">
      <c r="A166" s="163" t="s">
        <v>309</v>
      </c>
      <c r="B166" s="163">
        <v>7572</v>
      </c>
      <c r="C166" s="200">
        <v>98550</v>
      </c>
      <c r="D166" s="201">
        <v>0</v>
      </c>
      <c r="E166" s="202" t="s">
        <v>200</v>
      </c>
      <c r="F166" s="200">
        <v>127300</v>
      </c>
      <c r="G166" s="162">
        <v>45957</v>
      </c>
      <c r="H166" s="203" t="s">
        <v>200</v>
      </c>
      <c r="I166" s="186" t="str">
        <f t="shared" si="17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>
        <f t="shared" si="18"/>
        <v>127300</v>
      </c>
      <c r="L166" s="189" t="str">
        <f t="shared" si="19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>
        <f t="shared" si="20"/>
        <v>98550</v>
      </c>
      <c r="O166" s="206">
        <f t="shared" si="16"/>
        <v>28750</v>
      </c>
      <c r="P166" s="207">
        <f t="shared" si="21"/>
        <v>0.2258444619010212</v>
      </c>
    </row>
    <row r="167" spans="1:16">
      <c r="A167" s="163" t="s">
        <v>343</v>
      </c>
      <c r="B167" s="163">
        <v>7596</v>
      </c>
      <c r="C167" s="200">
        <v>4345.5600000000004</v>
      </c>
      <c r="D167" s="201">
        <v>0</v>
      </c>
      <c r="E167" s="202" t="s">
        <v>199</v>
      </c>
      <c r="F167" s="200">
        <v>4597.72</v>
      </c>
      <c r="G167" s="162">
        <v>45964</v>
      </c>
      <c r="H167" s="203" t="s">
        <v>199</v>
      </c>
      <c r="I167" s="186">
        <f t="shared" si="17"/>
        <v>4</v>
      </c>
      <c r="J167" s="204">
        <f>IF($H167="USD",IF(OR($I167="",$I167="-"),"",VLOOKUP($G167,為替!$A:$AX,$I167,FALSE))+$J$3,IF(OR($I167="",$I167="-"),"",VLOOKUP($G167,為替!$A:$AX,$I167,FALSE)))</f>
        <v>153.6</v>
      </c>
      <c r="K167" s="205">
        <f t="shared" si="18"/>
        <v>706209.79200000002</v>
      </c>
      <c r="L167" s="189">
        <f t="shared" si="19"/>
        <v>3</v>
      </c>
      <c r="M167" s="204">
        <f>IF($H167="USD",IF(OR($L167="",$L167="-"),"",VLOOKUP($G167,為替!$A:$AX,$L167,FALSE))+$K$3,IF(OR($L167="",$L167="-"),"",VLOOKUP($G167,為替!$A:$AX,$L167,FALSE)))</f>
        <v>154.6</v>
      </c>
      <c r="N167" s="205">
        <f t="shared" si="20"/>
        <v>671823.576</v>
      </c>
      <c r="O167" s="206">
        <f t="shared" si="16"/>
        <v>34386.216000000015</v>
      </c>
      <c r="P167" s="207">
        <f t="shared" si="21"/>
        <v>4.8691219506625041E-2</v>
      </c>
    </row>
    <row r="168" spans="1:16">
      <c r="A168" s="163" t="s">
        <v>344</v>
      </c>
      <c r="B168" s="163">
        <v>7601</v>
      </c>
      <c r="C168" s="200">
        <v>2953.02</v>
      </c>
      <c r="D168" s="201">
        <v>182.81</v>
      </c>
      <c r="E168" s="202" t="s">
        <v>199</v>
      </c>
      <c r="F168" s="200">
        <v>3515.5</v>
      </c>
      <c r="G168" s="162">
        <v>45965</v>
      </c>
      <c r="H168" s="203" t="s">
        <v>199</v>
      </c>
      <c r="I168" s="186">
        <f t="shared" si="17"/>
        <v>4</v>
      </c>
      <c r="J168" s="204">
        <f>IF($H168="USD",IF(OR($I168="",$I168="-"),"",VLOOKUP($G168,為替!$A:$AX,$I168,FALSE))+$J$3,IF(OR($I168="",$I168="-"),"",VLOOKUP($G168,為替!$A:$AX,$I168,FALSE)))</f>
        <v>153.88</v>
      </c>
      <c r="K168" s="205">
        <f t="shared" si="18"/>
        <v>540965.14</v>
      </c>
      <c r="L168" s="189">
        <f t="shared" si="19"/>
        <v>3</v>
      </c>
      <c r="M168" s="204">
        <f>IF($H168="USD",IF(OR($L168="",$L168="-"),"",VLOOKUP($G168,為替!$A:$AX,$L168,FALSE))+$K$3,IF(OR($L168="",$L168="-"),"",VLOOKUP($G168,為替!$A:$AX,$L168,FALSE)))</f>
        <v>154.88</v>
      </c>
      <c r="N168" s="205">
        <f t="shared" si="20"/>
        <v>485677.3504</v>
      </c>
      <c r="O168" s="206">
        <f t="shared" si="16"/>
        <v>55287.789600000018</v>
      </c>
      <c r="P168" s="207">
        <f t="shared" si="21"/>
        <v>0.10220213006701322</v>
      </c>
    </row>
    <row r="169" spans="1:16">
      <c r="A169" s="163" t="s">
        <v>344</v>
      </c>
      <c r="B169" s="163">
        <v>7602</v>
      </c>
      <c r="C169" s="200">
        <v>2167.1999999999998</v>
      </c>
      <c r="D169" s="201">
        <v>134.16</v>
      </c>
      <c r="E169" s="202" t="s">
        <v>199</v>
      </c>
      <c r="F169" s="200">
        <v>2580</v>
      </c>
      <c r="G169" s="162">
        <v>45965</v>
      </c>
      <c r="H169" s="203" t="s">
        <v>199</v>
      </c>
      <c r="I169" s="186">
        <f t="shared" si="17"/>
        <v>4</v>
      </c>
      <c r="J169" s="204">
        <f>IF($H169="USD",IF(OR($I169="",$I169="-"),"",VLOOKUP($G169,為替!$A:$AX,$I169,FALSE))+$J$3,IF(OR($I169="",$I169="-"),"",VLOOKUP($G169,為替!$A:$AX,$I169,FALSE)))</f>
        <v>153.88</v>
      </c>
      <c r="K169" s="205">
        <f t="shared" si="18"/>
        <v>397010.39999999997</v>
      </c>
      <c r="L169" s="189">
        <f t="shared" si="19"/>
        <v>3</v>
      </c>
      <c r="M169" s="204">
        <f>IF($H169="USD",IF(OR($L169="",$L169="-"),"",VLOOKUP($G169,為替!$A:$AX,$L169,FALSE))+$K$3,IF(OR($L169="",$L169="-"),"",VLOOKUP($G169,為替!$A:$AX,$L169,FALSE)))</f>
        <v>154.88</v>
      </c>
      <c r="N169" s="205">
        <f t="shared" si="20"/>
        <v>356434.63679999992</v>
      </c>
      <c r="O169" s="206">
        <f t="shared" si="16"/>
        <v>40575.763200000045</v>
      </c>
      <c r="P169" s="207">
        <f t="shared" si="21"/>
        <v>0.10220327527943865</v>
      </c>
    </row>
    <row r="170" spans="1:16">
      <c r="A170" s="163" t="s">
        <v>344</v>
      </c>
      <c r="B170" s="163">
        <v>7603</v>
      </c>
      <c r="C170" s="200">
        <v>4472.0600000000004</v>
      </c>
      <c r="D170" s="201">
        <v>276.82</v>
      </c>
      <c r="E170" s="202" t="s">
        <v>199</v>
      </c>
      <c r="F170" s="200">
        <v>5323.58</v>
      </c>
      <c r="G170" s="162">
        <v>45965</v>
      </c>
      <c r="H170" s="203" t="s">
        <v>199</v>
      </c>
      <c r="I170" s="186">
        <f t="shared" si="17"/>
        <v>4</v>
      </c>
      <c r="J170" s="204">
        <f>IF($H170="USD",IF(OR($I170="",$I170="-"),"",VLOOKUP($G170,為替!$A:$AX,$I170,FALSE))+$J$3,IF(OR($I170="",$I170="-"),"",VLOOKUP($G170,為替!$A:$AX,$I170,FALSE)))</f>
        <v>153.88</v>
      </c>
      <c r="K170" s="205">
        <f t="shared" si="18"/>
        <v>819192.49040000001</v>
      </c>
      <c r="L170" s="189">
        <f t="shared" si="19"/>
        <v>3</v>
      </c>
      <c r="M170" s="204">
        <f>IF($H170="USD",IF(OR($L170="",$L170="-"),"",VLOOKUP($G170,為替!$A:$AX,$L170,FALSE))+$K$3,IF(OR($L170="",$L170="-"),"",VLOOKUP($G170,為替!$A:$AX,$L170,FALSE)))</f>
        <v>154.88</v>
      </c>
      <c r="N170" s="205">
        <f t="shared" si="20"/>
        <v>735506.5344</v>
      </c>
      <c r="O170" s="206">
        <f t="shared" si="16"/>
        <v>83685.956000000006</v>
      </c>
      <c r="P170" s="207">
        <f t="shared" si="21"/>
        <v>0.10215664447697433</v>
      </c>
    </row>
    <row r="171" spans="1:16">
      <c r="A171" s="163" t="s">
        <v>344</v>
      </c>
      <c r="B171" s="163">
        <v>7604</v>
      </c>
      <c r="C171" s="200">
        <v>3630.06</v>
      </c>
      <c r="D171" s="201">
        <v>224.72</v>
      </c>
      <c r="E171" s="202" t="s">
        <v>199</v>
      </c>
      <c r="F171" s="200">
        <v>4321.5</v>
      </c>
      <c r="G171" s="162">
        <v>45965</v>
      </c>
      <c r="H171" s="203" t="s">
        <v>199</v>
      </c>
      <c r="I171" s="186">
        <f t="shared" si="17"/>
        <v>4</v>
      </c>
      <c r="J171" s="204">
        <f>IF($H171="USD",IF(OR($I171="",$I171="-"),"",VLOOKUP($G171,為替!$A:$AX,$I171,FALSE))+$J$3,IF(OR($I171="",$I171="-"),"",VLOOKUP($G171,為替!$A:$AX,$I171,FALSE)))</f>
        <v>153.88</v>
      </c>
      <c r="K171" s="205">
        <f t="shared" si="18"/>
        <v>664992.41999999993</v>
      </c>
      <c r="L171" s="189">
        <f t="shared" si="19"/>
        <v>3</v>
      </c>
      <c r="M171" s="204">
        <f>IF($H171="USD",IF(OR($L171="",$L171="-"),"",VLOOKUP($G171,為替!$A:$AX,$L171,FALSE))+$K$3,IF(OR($L171="",$L171="-"),"",VLOOKUP($G171,為替!$A:$AX,$L171,FALSE)))</f>
        <v>154.88</v>
      </c>
      <c r="N171" s="205">
        <f t="shared" si="20"/>
        <v>597028.3263999999</v>
      </c>
      <c r="O171" s="206">
        <f t="shared" si="16"/>
        <v>67964.093600000022</v>
      </c>
      <c r="P171" s="207">
        <f t="shared" si="21"/>
        <v>0.10220280946961775</v>
      </c>
    </row>
    <row r="172" spans="1:16">
      <c r="A172" s="163" t="s">
        <v>344</v>
      </c>
      <c r="B172" s="163">
        <v>7605</v>
      </c>
      <c r="C172" s="200">
        <v>3178.56</v>
      </c>
      <c r="D172" s="201">
        <v>196.77</v>
      </c>
      <c r="E172" s="202" t="s">
        <v>199</v>
      </c>
      <c r="F172" s="200">
        <v>3784</v>
      </c>
      <c r="G172" s="162">
        <v>45965</v>
      </c>
      <c r="H172" s="203" t="s">
        <v>199</v>
      </c>
      <c r="I172" s="186">
        <f t="shared" si="17"/>
        <v>4</v>
      </c>
      <c r="J172" s="204">
        <f>IF($H172="USD",IF(OR($I172="",$I172="-"),"",VLOOKUP($G172,為替!$A:$AX,$I172,FALSE))+$J$3,IF(OR($I172="",$I172="-"),"",VLOOKUP($G172,為替!$A:$AX,$I172,FALSE)))</f>
        <v>153.88</v>
      </c>
      <c r="K172" s="205">
        <f t="shared" si="18"/>
        <v>582281.91999999993</v>
      </c>
      <c r="L172" s="189">
        <f t="shared" si="19"/>
        <v>3</v>
      </c>
      <c r="M172" s="204">
        <f>IF($H172="USD",IF(OR($L172="",$L172="-"),"",VLOOKUP($G172,為替!$A:$AX,$L172,FALSE))+$K$3,IF(OR($L172="",$L172="-"),"",VLOOKUP($G172,為替!$A:$AX,$L172,FALSE)))</f>
        <v>154.88</v>
      </c>
      <c r="N172" s="205">
        <f t="shared" si="20"/>
        <v>522771.11039999995</v>
      </c>
      <c r="O172" s="206">
        <f t="shared" si="16"/>
        <v>59510.809599999979</v>
      </c>
      <c r="P172" s="207">
        <f t="shared" si="21"/>
        <v>0.10220274330344996</v>
      </c>
    </row>
    <row r="173" spans="1:16">
      <c r="A173" s="163" t="s">
        <v>344</v>
      </c>
      <c r="B173" s="163">
        <v>7606</v>
      </c>
      <c r="C173" s="200">
        <v>1559.04</v>
      </c>
      <c r="D173" s="201">
        <v>96.51</v>
      </c>
      <c r="E173" s="202" t="s">
        <v>199</v>
      </c>
      <c r="F173" s="200">
        <v>1856</v>
      </c>
      <c r="G173" s="162">
        <v>45965</v>
      </c>
      <c r="H173" s="203" t="s">
        <v>199</v>
      </c>
      <c r="I173" s="186">
        <f t="shared" si="17"/>
        <v>4</v>
      </c>
      <c r="J173" s="204">
        <f>IF($H173="USD",IF(OR($I173="",$I173="-"),"",VLOOKUP($G173,為替!$A:$AX,$I173,FALSE))+$J$3,IF(OR($I173="",$I173="-"),"",VLOOKUP($G173,為替!$A:$AX,$I173,FALSE)))</f>
        <v>153.88</v>
      </c>
      <c r="K173" s="205">
        <f t="shared" si="18"/>
        <v>285601.27999999997</v>
      </c>
      <c r="L173" s="189">
        <f t="shared" si="19"/>
        <v>3</v>
      </c>
      <c r="M173" s="204">
        <f>IF($H173="USD",IF(OR($L173="",$L173="-"),"",VLOOKUP($G173,為替!$A:$AX,$L173,FALSE))+$K$3,IF(OR($L173="",$L173="-"),"",VLOOKUP($G173,為替!$A:$AX,$L173,FALSE)))</f>
        <v>154.88</v>
      </c>
      <c r="N173" s="205">
        <f t="shared" si="20"/>
        <v>256411.58399999997</v>
      </c>
      <c r="O173" s="206">
        <f t="shared" si="16"/>
        <v>29189.695999999996</v>
      </c>
      <c r="P173" s="207">
        <f t="shared" si="21"/>
        <v>0.10220435986841515</v>
      </c>
    </row>
    <row r="174" spans="1:16">
      <c r="A174" s="163" t="s">
        <v>344</v>
      </c>
      <c r="B174" s="163">
        <v>7621</v>
      </c>
      <c r="C174" s="200">
        <v>1262</v>
      </c>
      <c r="D174" s="201">
        <v>78.13</v>
      </c>
      <c r="E174" s="202" t="s">
        <v>199</v>
      </c>
      <c r="F174" s="200">
        <v>1502.4</v>
      </c>
      <c r="G174" s="162">
        <v>45967</v>
      </c>
      <c r="H174" s="203" t="s">
        <v>199</v>
      </c>
      <c r="I174" s="186">
        <f t="shared" si="17"/>
        <v>4</v>
      </c>
      <c r="J174" s="204">
        <f>IF($H174="USD",IF(OR($I174="",$I174="-"),"",VLOOKUP($G174,為替!$A:$AX,$I174,FALSE))+$J$3,IF(OR($I174="",$I174="-"),"",VLOOKUP($G174,為替!$A:$AX,$I174,FALSE)))</f>
        <v>153.54</v>
      </c>
      <c r="K174" s="205">
        <f t="shared" si="18"/>
        <v>230678.49600000001</v>
      </c>
      <c r="L174" s="189">
        <f t="shared" si="19"/>
        <v>3</v>
      </c>
      <c r="M174" s="204">
        <f>IF($H174="USD",IF(OR($L174="",$L174="-"),"",VLOOKUP($G174,為替!$A:$AX,$L174,FALSE))+$K$3,IF(OR($L174="",$L174="-"),"",VLOOKUP($G174,為替!$A:$AX,$L174,FALSE)))</f>
        <v>154.54</v>
      </c>
      <c r="N174" s="205">
        <f t="shared" si="20"/>
        <v>207103.69020000001</v>
      </c>
      <c r="O174" s="206">
        <f t="shared" si="16"/>
        <v>23574.805800000002</v>
      </c>
      <c r="P174" s="207">
        <f t="shared" si="21"/>
        <v>0.10219767429036819</v>
      </c>
    </row>
    <row r="175" spans="1:16">
      <c r="A175" s="163" t="s">
        <v>343</v>
      </c>
      <c r="B175" s="163">
        <v>7614</v>
      </c>
      <c r="C175" s="200">
        <v>96.07</v>
      </c>
      <c r="D175" s="201">
        <v>0</v>
      </c>
      <c r="E175" s="202" t="s">
        <v>199</v>
      </c>
      <c r="F175" s="200">
        <v>105.23</v>
      </c>
      <c r="G175" s="162">
        <v>45966</v>
      </c>
      <c r="H175" s="203" t="s">
        <v>199</v>
      </c>
      <c r="I175" s="186">
        <f t="shared" si="17"/>
        <v>4</v>
      </c>
      <c r="J175" s="204">
        <f>IF($H175="USD",IF(OR($I175="",$I175="-"),"",VLOOKUP($G175,為替!$A:$AX,$I175,FALSE))+$J$3,IF(OR($I175="",$I175="-"),"",VLOOKUP($G175,為替!$A:$AX,$I175,FALSE)))</f>
        <v>152.99</v>
      </c>
      <c r="K175" s="205">
        <f t="shared" si="18"/>
        <v>16099.137700000001</v>
      </c>
      <c r="L175" s="189">
        <f t="shared" si="19"/>
        <v>3</v>
      </c>
      <c r="M175" s="204">
        <f>IF($H175="USD",IF(OR($L175="",$L175="-"),"",VLOOKUP($G175,為替!$A:$AX,$L175,FALSE))+$K$3,IF(OR($L175="",$L175="-"),"",VLOOKUP($G175,為替!$A:$AX,$L175,FALSE)))</f>
        <v>153.99</v>
      </c>
      <c r="N175" s="205">
        <f t="shared" si="20"/>
        <v>14793.819299999999</v>
      </c>
      <c r="O175" s="206">
        <f t="shared" si="16"/>
        <v>1305.3184000000019</v>
      </c>
      <c r="P175" s="207">
        <f t="shared" si="21"/>
        <v>8.1080019583906149E-2</v>
      </c>
    </row>
    <row r="176" spans="1:16">
      <c r="A176" s="163" t="s">
        <v>343</v>
      </c>
      <c r="B176" s="163">
        <v>7615</v>
      </c>
      <c r="C176" s="200">
        <v>139.26</v>
      </c>
      <c r="D176" s="201">
        <v>0</v>
      </c>
      <c r="E176" s="202" t="s">
        <v>199</v>
      </c>
      <c r="F176" s="200">
        <v>148.5</v>
      </c>
      <c r="G176" s="162">
        <v>45966</v>
      </c>
      <c r="H176" s="203" t="s">
        <v>199</v>
      </c>
      <c r="I176" s="186">
        <f t="shared" si="17"/>
        <v>4</v>
      </c>
      <c r="J176" s="204">
        <f>IF($H176="USD",IF(OR($I176="",$I176="-"),"",VLOOKUP($G176,為替!$A:$AX,$I176,FALSE))+$J$3,IF(OR($I176="",$I176="-"),"",VLOOKUP($G176,為替!$A:$AX,$I176,FALSE)))</f>
        <v>152.99</v>
      </c>
      <c r="K176" s="205">
        <f t="shared" si="18"/>
        <v>22719.015000000003</v>
      </c>
      <c r="L176" s="189">
        <f t="shared" si="19"/>
        <v>3</v>
      </c>
      <c r="M176" s="204">
        <f>IF($H176="USD",IF(OR($L176="",$L176="-"),"",VLOOKUP($G176,為替!$A:$AX,$L176,FALSE))+$K$3,IF(OR($L176="",$L176="-"),"",VLOOKUP($G176,為替!$A:$AX,$L176,FALSE)))</f>
        <v>153.99</v>
      </c>
      <c r="N176" s="205">
        <f t="shared" si="20"/>
        <v>21444.647400000002</v>
      </c>
      <c r="O176" s="206">
        <f t="shared" si="16"/>
        <v>1274.3676000000014</v>
      </c>
      <c r="P176" s="207">
        <f t="shared" si="21"/>
        <v>5.6092555068958806E-2</v>
      </c>
    </row>
    <row r="177" spans="1:16">
      <c r="A177" s="163" t="s">
        <v>343</v>
      </c>
      <c r="B177" s="163">
        <v>7616</v>
      </c>
      <c r="C177" s="200">
        <v>2638.6</v>
      </c>
      <c r="D177" s="201">
        <v>0</v>
      </c>
      <c r="E177" s="202" t="s">
        <v>199</v>
      </c>
      <c r="F177" s="200">
        <v>2790.45</v>
      </c>
      <c r="G177" s="162">
        <v>45968</v>
      </c>
      <c r="H177" s="203" t="s">
        <v>199</v>
      </c>
      <c r="I177" s="186">
        <f t="shared" si="17"/>
        <v>4</v>
      </c>
      <c r="J177" s="204">
        <f>IF($H177="USD",IF(OR($I177="",$I177="-"),"",VLOOKUP($G177,為替!$A:$AX,$I177,FALSE))+$J$3,IF(OR($I177="",$I177="-"),"",VLOOKUP($G177,為替!$A:$AX,$I177,FALSE)))</f>
        <v>152.74</v>
      </c>
      <c r="K177" s="205">
        <f t="shared" si="18"/>
        <v>426213.33299999998</v>
      </c>
      <c r="L177" s="189">
        <f t="shared" si="19"/>
        <v>3</v>
      </c>
      <c r="M177" s="204">
        <f>IF($H177="USD",IF(OR($L177="",$L177="-"),"",VLOOKUP($G177,為替!$A:$AX,$L177,FALSE))+$K$3,IF(OR($L177="",$L177="-"),"",VLOOKUP($G177,為替!$A:$AX,$L177,FALSE)))</f>
        <v>153.74</v>
      </c>
      <c r="N177" s="205">
        <f t="shared" si="20"/>
        <v>405658.364</v>
      </c>
      <c r="O177" s="206">
        <f t="shared" si="16"/>
        <v>20554.968999999983</v>
      </c>
      <c r="P177" s="207">
        <f t="shared" si="21"/>
        <v>4.8226949765553168E-2</v>
      </c>
    </row>
    <row r="178" spans="1:16">
      <c r="A178" s="163" t="s">
        <v>343</v>
      </c>
      <c r="B178" s="163">
        <v>7634</v>
      </c>
      <c r="C178" s="200">
        <v>405.94</v>
      </c>
      <c r="D178" s="201">
        <v>0</v>
      </c>
      <c r="E178" s="202" t="s">
        <v>199</v>
      </c>
      <c r="F178" s="200">
        <v>423.69</v>
      </c>
      <c r="G178" s="162">
        <v>45971</v>
      </c>
      <c r="H178" s="203" t="s">
        <v>199</v>
      </c>
      <c r="I178" s="186">
        <f t="shared" si="17"/>
        <v>4</v>
      </c>
      <c r="J178" s="204">
        <f>IF($H178="USD",IF(OR($I178="",$I178="-"),"",VLOOKUP($G178,為替!$A:$AX,$I178,FALSE))+$J$3,IF(OR($I178="",$I178="-"),"",VLOOKUP($G178,為替!$A:$AX,$I178,FALSE)))</f>
        <v>153.43</v>
      </c>
      <c r="K178" s="205">
        <f t="shared" si="18"/>
        <v>65006.756700000005</v>
      </c>
      <c r="L178" s="189">
        <f t="shared" si="19"/>
        <v>3</v>
      </c>
      <c r="M178" s="204">
        <f>IF($H178="USD",IF(OR($L178="",$L178="-"),"",VLOOKUP($G178,為替!$A:$AX,$L178,FALSE))+$K$3,IF(OR($L178="",$L178="-"),"",VLOOKUP($G178,為替!$A:$AX,$L178,FALSE)))</f>
        <v>154.43</v>
      </c>
      <c r="N178" s="205">
        <f t="shared" si="20"/>
        <v>62689.314200000001</v>
      </c>
      <c r="O178" s="206">
        <f t="shared" si="16"/>
        <v>2317.4425000000047</v>
      </c>
      <c r="P178" s="207">
        <f t="shared" si="21"/>
        <v>3.5649255825741029E-2</v>
      </c>
    </row>
    <row r="179" spans="1:16">
      <c r="A179" s="163" t="s">
        <v>343</v>
      </c>
      <c r="B179" s="163">
        <v>7365</v>
      </c>
      <c r="C179" s="200">
        <v>106.8</v>
      </c>
      <c r="D179" s="201">
        <v>0</v>
      </c>
      <c r="E179" s="202" t="s">
        <v>199</v>
      </c>
      <c r="F179" s="200">
        <v>111.12</v>
      </c>
      <c r="G179" s="162">
        <v>45972</v>
      </c>
      <c r="H179" s="203" t="s">
        <v>199</v>
      </c>
      <c r="I179" s="186">
        <f t="shared" si="17"/>
        <v>4</v>
      </c>
      <c r="J179" s="204">
        <f>IF($H179="USD",IF(OR($I179="",$I179="-"),"",VLOOKUP($G179,為替!$A:$AX,$I179,FALSE))+$J$3,IF(OR($I179="",$I179="-"),"",VLOOKUP($G179,為替!$A:$AX,$I179,FALSE)))</f>
        <v>153.86000000000001</v>
      </c>
      <c r="K179" s="205">
        <f t="shared" si="18"/>
        <v>17096.923200000001</v>
      </c>
      <c r="L179" s="189">
        <f t="shared" si="19"/>
        <v>3</v>
      </c>
      <c r="M179" s="204">
        <f>IF($H179="USD",IF(OR($L179="",$L179="-"),"",VLOOKUP($G179,為替!$A:$AX,$L179,FALSE))+$K$3,IF(OR($L179="",$L179="-"),"",VLOOKUP($G179,為替!$A:$AX,$L179,FALSE)))</f>
        <v>154.86000000000001</v>
      </c>
      <c r="N179" s="205">
        <f t="shared" si="20"/>
        <v>16539.048000000003</v>
      </c>
      <c r="O179" s="206">
        <f t="shared" si="16"/>
        <v>557.87519999999859</v>
      </c>
      <c r="P179" s="207">
        <f t="shared" si="21"/>
        <v>3.2630151839250152E-2</v>
      </c>
    </row>
    <row r="180" spans="1:16">
      <c r="A180" s="163" t="s">
        <v>343</v>
      </c>
      <c r="B180" s="163">
        <v>7636</v>
      </c>
      <c r="C180" s="200">
        <v>12.2</v>
      </c>
      <c r="D180" s="201">
        <v>0</v>
      </c>
      <c r="E180" s="202" t="s">
        <v>199</v>
      </c>
      <c r="F180" s="200">
        <v>12.9</v>
      </c>
      <c r="G180" s="162">
        <v>45968</v>
      </c>
      <c r="H180" s="203" t="s">
        <v>199</v>
      </c>
      <c r="I180" s="186">
        <f t="shared" si="17"/>
        <v>4</v>
      </c>
      <c r="J180" s="204">
        <f>IF($H180="USD",IF(OR($I180="",$I180="-"),"",VLOOKUP($G180,為替!$A:$AX,$I180,FALSE))+$J$3,IF(OR($I180="",$I180="-"),"",VLOOKUP($G180,為替!$A:$AX,$I180,FALSE)))</f>
        <v>152.74</v>
      </c>
      <c r="K180" s="205">
        <f t="shared" si="18"/>
        <v>1970.3460000000002</v>
      </c>
      <c r="L180" s="189">
        <f t="shared" si="19"/>
        <v>3</v>
      </c>
      <c r="M180" s="204">
        <f>IF($H180="USD",IF(OR($L180="",$L180="-"),"",VLOOKUP($G180,為替!$A:$AX,$L180,FALSE))+$K$3,IF(OR($L180="",$L180="-"),"",VLOOKUP($G180,為替!$A:$AX,$L180,FALSE)))</f>
        <v>153.74</v>
      </c>
      <c r="N180" s="205">
        <f t="shared" si="20"/>
        <v>1875.6279999999999</v>
      </c>
      <c r="O180" s="206">
        <f t="shared" si="16"/>
        <v>94.718000000000302</v>
      </c>
      <c r="P180" s="207">
        <f t="shared" si="21"/>
        <v>4.807175998530222E-2</v>
      </c>
    </row>
    <row r="181" spans="1:16">
      <c r="A181" s="163" t="s">
        <v>344</v>
      </c>
      <c r="B181" s="163">
        <v>7638</v>
      </c>
      <c r="C181" s="200">
        <v>1656.48</v>
      </c>
      <c r="D181" s="201">
        <v>102.54</v>
      </c>
      <c r="E181" s="202" t="s">
        <v>199</v>
      </c>
      <c r="F181" s="200">
        <v>1972</v>
      </c>
      <c r="G181" s="162">
        <v>45973</v>
      </c>
      <c r="H181" s="203" t="s">
        <v>199</v>
      </c>
      <c r="I181" s="186">
        <f t="shared" si="17"/>
        <v>4</v>
      </c>
      <c r="J181" s="204">
        <f>IF($H181="USD",IF(OR($I181="",$I181="-"),"",VLOOKUP($G181,為替!$A:$AX,$I181,FALSE))+$J$3,IF(OR($I181="",$I181="-"),"",VLOOKUP($G181,為替!$A:$AX,$I181,FALSE)))</f>
        <v>153.78</v>
      </c>
      <c r="K181" s="205">
        <f t="shared" si="18"/>
        <v>303254.15999999997</v>
      </c>
      <c r="L181" s="189">
        <f t="shared" si="19"/>
        <v>3</v>
      </c>
      <c r="M181" s="204">
        <f>IF($H181="USD",IF(OR($L181="",$L181="-"),"",VLOOKUP($G181,為替!$A:$AX,$L181,FALSE))+$K$3,IF(OR($L181="",$L181="-"),"",VLOOKUP($G181,為替!$A:$AX,$L181,FALSE)))</f>
        <v>154.78</v>
      </c>
      <c r="N181" s="205">
        <f t="shared" si="20"/>
        <v>272261.11560000002</v>
      </c>
      <c r="O181" s="206">
        <f t="shared" si="16"/>
        <v>30993.044399999955</v>
      </c>
      <c r="P181" s="207">
        <f t="shared" si="21"/>
        <v>0.1022015473753104</v>
      </c>
    </row>
    <row r="182" spans="1:16">
      <c r="A182" s="163" t="s">
        <v>344</v>
      </c>
      <c r="B182" s="163">
        <v>7639</v>
      </c>
      <c r="C182" s="200">
        <v>12203.52</v>
      </c>
      <c r="D182" s="201">
        <v>755.6</v>
      </c>
      <c r="E182" s="202" t="s">
        <v>199</v>
      </c>
      <c r="F182" s="200">
        <v>14528</v>
      </c>
      <c r="G182" s="162">
        <v>45973</v>
      </c>
      <c r="H182" s="203" t="s">
        <v>199</v>
      </c>
      <c r="I182" s="186">
        <f t="shared" si="17"/>
        <v>4</v>
      </c>
      <c r="J182" s="204">
        <f>IF($H182="USD",IF(OR($I182="",$I182="-"),"",VLOOKUP($G182,為替!$A:$AX,$I182,FALSE))+$J$3,IF(OR($I182="",$I182="-"),"",VLOOKUP($G182,為替!$A:$AX,$I182,FALSE)))</f>
        <v>153.78</v>
      </c>
      <c r="K182" s="205">
        <f t="shared" si="18"/>
        <v>2234115.84</v>
      </c>
      <c r="L182" s="189">
        <f t="shared" si="19"/>
        <v>3</v>
      </c>
      <c r="M182" s="204">
        <f>IF($H182="USD",IF(OR($L182="",$L182="-"),"",VLOOKUP($G182,為替!$A:$AX,$L182,FALSE))+$K$3,IF(OR($L182="",$L182="-"),"",VLOOKUP($G182,為替!$A:$AX,$L182,FALSE)))</f>
        <v>154.78</v>
      </c>
      <c r="N182" s="205">
        <f t="shared" si="20"/>
        <v>2005812.5936000003</v>
      </c>
      <c r="O182" s="206">
        <f t="shared" si="16"/>
        <v>228303.2463999996</v>
      </c>
      <c r="P182" s="207">
        <f t="shared" si="21"/>
        <v>0.10218952943818688</v>
      </c>
    </row>
    <row r="183" spans="1:16">
      <c r="A183" s="163" t="s">
        <v>344</v>
      </c>
      <c r="B183" s="163">
        <v>7640</v>
      </c>
      <c r="C183" s="200">
        <v>2420.04</v>
      </c>
      <c r="D183" s="201">
        <v>149.81</v>
      </c>
      <c r="E183" s="202" t="s">
        <v>199</v>
      </c>
      <c r="F183" s="200">
        <v>2881</v>
      </c>
      <c r="G183" s="162">
        <v>45973</v>
      </c>
      <c r="H183" s="203" t="s">
        <v>199</v>
      </c>
      <c r="I183" s="186">
        <f t="shared" si="17"/>
        <v>4</v>
      </c>
      <c r="J183" s="204">
        <f>IF($H183="USD",IF(OR($I183="",$I183="-"),"",VLOOKUP($G183,為替!$A:$AX,$I183,FALSE))+$J$3,IF(OR($I183="",$I183="-"),"",VLOOKUP($G183,為替!$A:$AX,$I183,FALSE)))</f>
        <v>153.78</v>
      </c>
      <c r="K183" s="205">
        <f t="shared" si="18"/>
        <v>443040.18</v>
      </c>
      <c r="L183" s="189">
        <f t="shared" si="19"/>
        <v>3</v>
      </c>
      <c r="M183" s="204">
        <f>IF($H183="USD",IF(OR($L183="",$L183="-"),"",VLOOKUP($G183,為替!$A:$AX,$L183,FALSE))+$K$3,IF(OR($L183="",$L183="-"),"",VLOOKUP($G183,為替!$A:$AX,$L183,FALSE)))</f>
        <v>154.78</v>
      </c>
      <c r="N183" s="205">
        <f t="shared" si="20"/>
        <v>397761.38299999997</v>
      </c>
      <c r="O183" s="206">
        <f t="shared" si="16"/>
        <v>45278.79700000002</v>
      </c>
      <c r="P183" s="207">
        <f t="shared" si="21"/>
        <v>0.10220020450515351</v>
      </c>
    </row>
    <row r="184" spans="1:16">
      <c r="A184" s="163" t="s">
        <v>344</v>
      </c>
      <c r="B184" s="163">
        <v>7641</v>
      </c>
      <c r="C184" s="200">
        <v>897.12</v>
      </c>
      <c r="D184" s="201">
        <v>55.54</v>
      </c>
      <c r="E184" s="202" t="s">
        <v>199</v>
      </c>
      <c r="F184" s="200">
        <v>1068</v>
      </c>
      <c r="G184" s="162">
        <v>45973</v>
      </c>
      <c r="H184" s="203" t="s">
        <v>199</v>
      </c>
      <c r="I184" s="186">
        <f t="shared" si="17"/>
        <v>4</v>
      </c>
      <c r="J184" s="204">
        <f>IF($H184="USD",IF(OR($I184="",$I184="-"),"",VLOOKUP($G184,為替!$A:$AX,$I184,FALSE))+$J$3,IF(OR($I184="",$I184="-"),"",VLOOKUP($G184,為替!$A:$AX,$I184,FALSE)))</f>
        <v>153.78</v>
      </c>
      <c r="K184" s="205">
        <f t="shared" si="18"/>
        <v>164237.04</v>
      </c>
      <c r="L184" s="189">
        <f t="shared" si="19"/>
        <v>3</v>
      </c>
      <c r="M184" s="204">
        <f>IF($H184="USD",IF(OR($L184="",$L184="-"),"",VLOOKUP($G184,為替!$A:$AX,$L184,FALSE))+$K$3,IF(OR($L184="",$L184="-"),"",VLOOKUP($G184,為替!$A:$AX,$L184,FALSE)))</f>
        <v>154.78</v>
      </c>
      <c r="N184" s="205">
        <f t="shared" si="20"/>
        <v>147452.71479999999</v>
      </c>
      <c r="O184" s="206">
        <f t="shared" si="16"/>
        <v>16784.325200000021</v>
      </c>
      <c r="P184" s="207">
        <f t="shared" si="21"/>
        <v>0.10219573611409473</v>
      </c>
    </row>
    <row r="185" spans="1:16">
      <c r="A185" s="163" t="s">
        <v>343</v>
      </c>
      <c r="B185" s="163">
        <v>7653</v>
      </c>
      <c r="C185" s="200">
        <v>1482.65</v>
      </c>
      <c r="D185" s="201">
        <v>0</v>
      </c>
      <c r="E185" s="202" t="s">
        <v>199</v>
      </c>
      <c r="F185" s="200">
        <v>1564.14</v>
      </c>
      <c r="G185" s="162">
        <v>45979</v>
      </c>
      <c r="H185" s="203" t="s">
        <v>199</v>
      </c>
      <c r="I185" s="186">
        <f t="shared" si="17"/>
        <v>4</v>
      </c>
      <c r="J185" s="204">
        <f>IF($H185="USD",IF(OR($I185="",$I185="-"),"",VLOOKUP($G185,為替!$A:$AX,$I185,FALSE))+$J$3,IF(OR($I185="",$I185="-"),"",VLOOKUP($G185,為替!$A:$AX,$I185,FALSE)))</f>
        <v>154.84</v>
      </c>
      <c r="K185" s="205">
        <f t="shared" si="18"/>
        <v>242191.43760000003</v>
      </c>
      <c r="L185" s="189">
        <f t="shared" si="19"/>
        <v>3</v>
      </c>
      <c r="M185" s="204">
        <f>IF($H185="USD",IF(OR($L185="",$L185="-"),"",VLOOKUP($G185,為替!$A:$AX,$L185,FALSE))+$K$3,IF(OR($L185="",$L185="-"),"",VLOOKUP($G185,為替!$A:$AX,$L185,FALSE)))</f>
        <v>155.84</v>
      </c>
      <c r="N185" s="205">
        <f t="shared" si="20"/>
        <v>231056.17600000001</v>
      </c>
      <c r="O185" s="206">
        <f t="shared" si="16"/>
        <v>11135.261600000027</v>
      </c>
      <c r="P185" s="207">
        <f t="shared" si="21"/>
        <v>4.5977106830633989E-2</v>
      </c>
    </row>
    <row r="186" spans="1:16">
      <c r="A186" s="163" t="s">
        <v>343</v>
      </c>
      <c r="B186" s="163">
        <v>7655</v>
      </c>
      <c r="C186" s="200">
        <v>41.9</v>
      </c>
      <c r="D186" s="201">
        <v>0</v>
      </c>
      <c r="E186" s="202" t="s">
        <v>199</v>
      </c>
      <c r="F186" s="200">
        <v>43.5</v>
      </c>
      <c r="G186" s="162">
        <v>45974</v>
      </c>
      <c r="H186" s="203" t="s">
        <v>199</v>
      </c>
      <c r="I186" s="186">
        <f t="shared" si="17"/>
        <v>4</v>
      </c>
      <c r="J186" s="204">
        <f>IF($H186="USD",IF(OR($I186="",$I186="-"),"",VLOOKUP($G186,為替!$A:$AX,$I186,FALSE))+$J$3,IF(OR($I186="",$I186="-"),"",VLOOKUP($G186,為替!$A:$AX,$I186,FALSE)))</f>
        <v>154.53</v>
      </c>
      <c r="K186" s="205">
        <f t="shared" si="18"/>
        <v>6722.0550000000003</v>
      </c>
      <c r="L186" s="189">
        <f t="shared" si="19"/>
        <v>3</v>
      </c>
      <c r="M186" s="204">
        <f>IF($H186="USD",IF(OR($L186="",$L186="-"),"",VLOOKUP($G186,為替!$A:$AX,$L186,FALSE))+$K$3,IF(OR($L186="",$L186="-"),"",VLOOKUP($G186,為替!$A:$AX,$L186,FALSE)))</f>
        <v>155.53</v>
      </c>
      <c r="N186" s="205">
        <f t="shared" si="20"/>
        <v>6516.7069999999994</v>
      </c>
      <c r="O186" s="206">
        <f t="shared" si="16"/>
        <v>205.34800000000087</v>
      </c>
      <c r="P186" s="207">
        <f t="shared" si="21"/>
        <v>3.0548396286552381E-2</v>
      </c>
    </row>
    <row r="187" spans="1:16">
      <c r="A187" s="163" t="s">
        <v>343</v>
      </c>
      <c r="B187" s="163">
        <v>7628</v>
      </c>
      <c r="C187" s="200">
        <v>1264.02</v>
      </c>
      <c r="D187" s="201">
        <v>0</v>
      </c>
      <c r="E187" s="202" t="s">
        <v>199</v>
      </c>
      <c r="F187" s="200">
        <v>1381.51</v>
      </c>
      <c r="G187" s="162">
        <v>45978</v>
      </c>
      <c r="H187" s="203" t="s">
        <v>199</v>
      </c>
      <c r="I187" s="186">
        <f t="shared" si="17"/>
        <v>4</v>
      </c>
      <c r="J187" s="204">
        <f>IF($H187="USD",IF(OR($I187="",$I187="-"),"",VLOOKUP($G187,為替!$A:$AX,$I187,FALSE))+$J$3,IF(OR($I187="",$I187="-"),"",VLOOKUP($G187,為替!$A:$AX,$I187,FALSE)))</f>
        <v>154.19999999999999</v>
      </c>
      <c r="K187" s="205">
        <f t="shared" si="18"/>
        <v>213028.84199999998</v>
      </c>
      <c r="L187" s="189">
        <f t="shared" si="19"/>
        <v>3</v>
      </c>
      <c r="M187" s="204">
        <f>IF($H187="USD",IF(OR($L187="",$L187="-"),"",VLOOKUP($G187,為替!$A:$AX,$L187,FALSE))+$K$3,IF(OR($L187="",$L187="-"),"",VLOOKUP($G187,為替!$A:$AX,$L187,FALSE)))</f>
        <v>155.19999999999999</v>
      </c>
      <c r="N187" s="205">
        <f t="shared" si="20"/>
        <v>196175.90399999998</v>
      </c>
      <c r="O187" s="206">
        <f t="shared" si="16"/>
        <v>16852.937999999995</v>
      </c>
      <c r="P187" s="207">
        <f t="shared" si="21"/>
        <v>7.9111062341502086E-2</v>
      </c>
    </row>
    <row r="188" spans="1:16">
      <c r="A188" s="163" t="s">
        <v>344</v>
      </c>
      <c r="B188" s="163">
        <v>7659</v>
      </c>
      <c r="C188" s="200">
        <v>1580.04</v>
      </c>
      <c r="D188" s="201">
        <v>97.81</v>
      </c>
      <c r="E188" s="202" t="s">
        <v>199</v>
      </c>
      <c r="F188" s="200">
        <v>1881</v>
      </c>
      <c r="G188" s="162">
        <v>45981</v>
      </c>
      <c r="H188" s="203" t="s">
        <v>199</v>
      </c>
      <c r="I188" s="186">
        <f t="shared" si="17"/>
        <v>4</v>
      </c>
      <c r="J188" s="204">
        <f>IF($H188="USD",IF(OR($I188="",$I188="-"),"",VLOOKUP($G188,為替!$A:$AX,$I188,FALSE))+$J$3,IF(OR($I188="",$I188="-"),"",VLOOKUP($G188,為替!$A:$AX,$I188,FALSE)))</f>
        <v>156.79</v>
      </c>
      <c r="K188" s="205">
        <f t="shared" si="18"/>
        <v>294921.99</v>
      </c>
      <c r="L188" s="189">
        <f t="shared" si="19"/>
        <v>3</v>
      </c>
      <c r="M188" s="204">
        <f>IF($H188="USD",IF(OR($L188="",$L188="-"),"",VLOOKUP($G188,為替!$A:$AX,$L188,FALSE))+$K$3,IF(OR($L188="",$L188="-"),"",VLOOKUP($G188,為替!$A:$AX,$L188,FALSE)))</f>
        <v>157.79</v>
      </c>
      <c r="N188" s="205">
        <f t="shared" si="20"/>
        <v>264747.95149999997</v>
      </c>
      <c r="O188" s="206">
        <f t="shared" si="16"/>
        <v>30174.038500000024</v>
      </c>
      <c r="P188" s="207">
        <f t="shared" si="21"/>
        <v>0.10231193170777135</v>
      </c>
    </row>
    <row r="189" spans="1:16">
      <c r="A189" s="163" t="s">
        <v>344</v>
      </c>
      <c r="B189" s="163">
        <v>7660</v>
      </c>
      <c r="C189" s="200">
        <v>2621.2199999999998</v>
      </c>
      <c r="D189" s="201">
        <v>162.27000000000001</v>
      </c>
      <c r="E189" s="202" t="s">
        <v>199</v>
      </c>
      <c r="F189" s="200">
        <v>3120.5</v>
      </c>
      <c r="G189" s="162">
        <v>45981</v>
      </c>
      <c r="H189" s="203" t="s">
        <v>199</v>
      </c>
      <c r="I189" s="186">
        <f t="shared" si="17"/>
        <v>4</v>
      </c>
      <c r="J189" s="204">
        <f>IF($H189="USD",IF(OR($I189="",$I189="-"),"",VLOOKUP($G189,為替!$A:$AX,$I189,FALSE))+$J$3,IF(OR($I189="",$I189="-"),"",VLOOKUP($G189,為替!$A:$AX,$I189,FALSE)))</f>
        <v>156.79</v>
      </c>
      <c r="K189" s="205">
        <f t="shared" si="18"/>
        <v>489263.19499999995</v>
      </c>
      <c r="L189" s="189">
        <f t="shared" si="19"/>
        <v>3</v>
      </c>
      <c r="M189" s="204">
        <f>IF($H189="USD",IF(OR($L189="",$L189="-"),"",VLOOKUP($G189,為替!$A:$AX,$L189,FALSE))+$K$3,IF(OR($L189="",$L189="-"),"",VLOOKUP($G189,為替!$A:$AX,$L189,FALSE)))</f>
        <v>157.79</v>
      </c>
      <c r="N189" s="205">
        <f t="shared" si="20"/>
        <v>439206.88709999993</v>
      </c>
      <c r="O189" s="206">
        <f t="shared" si="16"/>
        <v>50056.307900000014</v>
      </c>
      <c r="P189" s="207">
        <f t="shared" si="21"/>
        <v>0.10230957164067904</v>
      </c>
    </row>
    <row r="190" spans="1:16">
      <c r="A190" s="163" t="s">
        <v>344</v>
      </c>
      <c r="B190" s="163">
        <v>7661</v>
      </c>
      <c r="C190" s="200">
        <v>1444.8</v>
      </c>
      <c r="D190" s="201">
        <v>89.44</v>
      </c>
      <c r="E190" s="202" t="s">
        <v>199</v>
      </c>
      <c r="F190" s="200">
        <v>1720</v>
      </c>
      <c r="G190" s="162">
        <v>45981</v>
      </c>
      <c r="H190" s="203" t="s">
        <v>199</v>
      </c>
      <c r="I190" s="186">
        <f t="shared" si="17"/>
        <v>4</v>
      </c>
      <c r="J190" s="204">
        <f>IF($H190="USD",IF(OR($I190="",$I190="-"),"",VLOOKUP($G190,為替!$A:$AX,$I190,FALSE))+$J$3,IF(OR($I190="",$I190="-"),"",VLOOKUP($G190,為替!$A:$AX,$I190,FALSE)))</f>
        <v>156.79</v>
      </c>
      <c r="K190" s="205">
        <f t="shared" si="18"/>
        <v>269678.8</v>
      </c>
      <c r="L190" s="189">
        <f t="shared" si="19"/>
        <v>3</v>
      </c>
      <c r="M190" s="204">
        <f>IF($H190="USD",IF(OR($L190="",$L190="-"),"",VLOOKUP($G190,為替!$A:$AX,$L190,FALSE))+$K$3,IF(OR($L190="",$L190="-"),"",VLOOKUP($G190,為替!$A:$AX,$L190,FALSE)))</f>
        <v>157.79</v>
      </c>
      <c r="N190" s="205">
        <f t="shared" si="20"/>
        <v>242087.72959999999</v>
      </c>
      <c r="O190" s="206">
        <f t="shared" si="16"/>
        <v>27591.070399999997</v>
      </c>
      <c r="P190" s="207">
        <f t="shared" si="21"/>
        <v>0.10231086166209578</v>
      </c>
    </row>
    <row r="191" spans="1:16">
      <c r="A191" s="163" t="s">
        <v>344</v>
      </c>
      <c r="B191" s="163">
        <v>7662</v>
      </c>
      <c r="C191" s="200">
        <v>1713.6</v>
      </c>
      <c r="D191" s="201">
        <v>106.08</v>
      </c>
      <c r="E191" s="202" t="s">
        <v>199</v>
      </c>
      <c r="F191" s="200">
        <v>2040</v>
      </c>
      <c r="G191" s="162">
        <v>45981</v>
      </c>
      <c r="H191" s="203" t="s">
        <v>199</v>
      </c>
      <c r="I191" s="186">
        <f t="shared" si="17"/>
        <v>4</v>
      </c>
      <c r="J191" s="204">
        <f>IF($H191="USD",IF(OR($I191="",$I191="-"),"",VLOOKUP($G191,為替!$A:$AX,$I191,FALSE))+$J$3,IF(OR($I191="",$I191="-"),"",VLOOKUP($G191,為替!$A:$AX,$I191,FALSE)))</f>
        <v>156.79</v>
      </c>
      <c r="K191" s="205">
        <f t="shared" si="18"/>
        <v>319851.59999999998</v>
      </c>
      <c r="L191" s="189">
        <f t="shared" si="19"/>
        <v>3</v>
      </c>
      <c r="M191" s="204">
        <f>IF($H191="USD",IF(OR($L191="",$L191="-"),"",VLOOKUP($G191,為替!$A:$AX,$L191,FALSE))+$K$3,IF(OR($L191="",$L191="-"),"",VLOOKUP($G191,為替!$A:$AX,$L191,FALSE)))</f>
        <v>157.79</v>
      </c>
      <c r="N191" s="205">
        <f t="shared" si="20"/>
        <v>287127.30719999998</v>
      </c>
      <c r="O191" s="206">
        <f t="shared" si="16"/>
        <v>32724.292799999996</v>
      </c>
      <c r="P191" s="207">
        <f t="shared" si="21"/>
        <v>0.10231086166209578</v>
      </c>
    </row>
    <row r="192" spans="1:16">
      <c r="A192" s="163" t="s">
        <v>344</v>
      </c>
      <c r="B192" s="163">
        <v>7677</v>
      </c>
      <c r="C192" s="200">
        <v>318.48</v>
      </c>
      <c r="D192" s="201">
        <v>19.72</v>
      </c>
      <c r="E192" s="202" t="s">
        <v>199</v>
      </c>
      <c r="F192" s="200">
        <v>379.2</v>
      </c>
      <c r="G192" s="162">
        <v>45989</v>
      </c>
      <c r="H192" s="203" t="s">
        <v>199</v>
      </c>
      <c r="I192" s="186">
        <f t="shared" si="17"/>
        <v>4</v>
      </c>
      <c r="J192" s="204">
        <f>IF($H192="USD",IF(OR($I192="",$I192="-"),"",VLOOKUP($G192,為替!$A:$AX,$I192,FALSE))+$J$3,IF(OR($I192="",$I192="-"),"",VLOOKUP($G192,為替!$A:$AX,$I192,FALSE)))</f>
        <v>156.13</v>
      </c>
      <c r="K192" s="205">
        <f t="shared" si="18"/>
        <v>59204.495999999999</v>
      </c>
      <c r="L192" s="189">
        <f t="shared" si="19"/>
        <v>3</v>
      </c>
      <c r="M192" s="204">
        <f>IF($H192="USD",IF(OR($L192="",$L192="-"),"",VLOOKUP($G192,為替!$A:$AX,$L192,FALSE))+$K$3,IF(OR($L192="",$L192="-"),"",VLOOKUP($G192,為替!$A:$AX,$L192,FALSE)))</f>
        <v>157.13</v>
      </c>
      <c r="N192" s="205">
        <f t="shared" si="20"/>
        <v>53141.366000000009</v>
      </c>
      <c r="O192" s="206">
        <f t="shared" si="16"/>
        <v>6063.1299999999901</v>
      </c>
      <c r="P192" s="207">
        <f t="shared" si="21"/>
        <v>0.102409958865286</v>
      </c>
    </row>
    <row r="193" spans="1:16">
      <c r="A193" s="163" t="s">
        <v>344</v>
      </c>
      <c r="B193" s="163">
        <v>7678</v>
      </c>
      <c r="C193" s="200">
        <v>997.92</v>
      </c>
      <c r="D193" s="201">
        <v>61.78</v>
      </c>
      <c r="E193" s="202" t="s">
        <v>199</v>
      </c>
      <c r="F193" s="200">
        <v>1188</v>
      </c>
      <c r="G193" s="162">
        <v>45989</v>
      </c>
      <c r="H193" s="203" t="s">
        <v>199</v>
      </c>
      <c r="I193" s="186">
        <f t="shared" si="17"/>
        <v>4</v>
      </c>
      <c r="J193" s="204">
        <f>IF($H193="USD",IF(OR($I193="",$I193="-"),"",VLOOKUP($G193,為替!$A:$AX,$I193,FALSE))+$J$3,IF(OR($I193="",$I193="-"),"",VLOOKUP($G193,為替!$A:$AX,$I193,FALSE)))</f>
        <v>156.13</v>
      </c>
      <c r="K193" s="205">
        <f t="shared" si="18"/>
        <v>185482.44</v>
      </c>
      <c r="L193" s="189">
        <f t="shared" si="19"/>
        <v>3</v>
      </c>
      <c r="M193" s="204">
        <f>IF($H193="USD",IF(OR($L193="",$L193="-"),"",VLOOKUP($G193,為替!$A:$AX,$L193,FALSE))+$K$3,IF(OR($L193="",$L193="-"),"",VLOOKUP($G193,為替!$A:$AX,$L193,FALSE)))</f>
        <v>157.13</v>
      </c>
      <c r="N193" s="205">
        <f t="shared" si="20"/>
        <v>166510.66099999999</v>
      </c>
      <c r="O193" s="206">
        <f t="shared" si="16"/>
        <v>18971.77900000001</v>
      </c>
      <c r="P193" s="207">
        <f t="shared" si="21"/>
        <v>0.10228342370307404</v>
      </c>
    </row>
    <row r="194" spans="1:16">
      <c r="A194" s="163" t="s">
        <v>344</v>
      </c>
      <c r="B194" s="163">
        <v>7679</v>
      </c>
      <c r="C194" s="200">
        <v>8184.96</v>
      </c>
      <c r="D194" s="201">
        <v>506.69</v>
      </c>
      <c r="E194" s="202" t="s">
        <v>199</v>
      </c>
      <c r="F194" s="200">
        <v>9744</v>
      </c>
      <c r="G194" s="162">
        <v>45989</v>
      </c>
      <c r="H194" s="203" t="s">
        <v>199</v>
      </c>
      <c r="I194" s="186">
        <f t="shared" si="17"/>
        <v>4</v>
      </c>
      <c r="J194" s="204">
        <f>IF($H194="USD",IF(OR($I194="",$I194="-"),"",VLOOKUP($G194,為替!$A:$AX,$I194,FALSE))+$J$3,IF(OR($I194="",$I194="-"),"",VLOOKUP($G194,為替!$A:$AX,$I194,FALSE)))</f>
        <v>156.13</v>
      </c>
      <c r="K194" s="205">
        <f t="shared" si="18"/>
        <v>1521330.72</v>
      </c>
      <c r="L194" s="189">
        <f t="shared" si="19"/>
        <v>3</v>
      </c>
      <c r="M194" s="204">
        <f>IF($H194="USD",IF(OR($L194="",$L194="-"),"",VLOOKUP($G194,為替!$A:$AX,$L194,FALSE))+$K$3,IF(OR($L194="",$L194="-"),"",VLOOKUP($G194,為替!$A:$AX,$L194,FALSE)))</f>
        <v>157.13</v>
      </c>
      <c r="N194" s="205">
        <f t="shared" si="20"/>
        <v>1365718.9645</v>
      </c>
      <c r="O194" s="206">
        <f t="shared" si="16"/>
        <v>155611.75549999997</v>
      </c>
      <c r="P194" s="207">
        <f t="shared" si="21"/>
        <v>0.1022866057026706</v>
      </c>
    </row>
    <row r="195" spans="1:16">
      <c r="A195" s="163" t="s">
        <v>343</v>
      </c>
      <c r="B195" s="163">
        <v>7680</v>
      </c>
      <c r="C195" s="200">
        <v>142.80000000000001</v>
      </c>
      <c r="D195" s="201">
        <v>0</v>
      </c>
      <c r="E195" s="202" t="s">
        <v>199</v>
      </c>
      <c r="F195" s="200">
        <v>151.4</v>
      </c>
      <c r="G195" s="162">
        <v>45989</v>
      </c>
      <c r="H195" s="203" t="s">
        <v>199</v>
      </c>
      <c r="I195" s="186">
        <f t="shared" si="17"/>
        <v>4</v>
      </c>
      <c r="J195" s="204">
        <f>IF($H195="USD",IF(OR($I195="",$I195="-"),"",VLOOKUP($G195,為替!$A:$AX,$I195,FALSE))+$J$3,IF(OR($I195="",$I195="-"),"",VLOOKUP($G195,為替!$A:$AX,$I195,FALSE)))</f>
        <v>156.13</v>
      </c>
      <c r="K195" s="205">
        <f t="shared" si="18"/>
        <v>23638.081999999999</v>
      </c>
      <c r="L195" s="189">
        <f t="shared" si="19"/>
        <v>3</v>
      </c>
      <c r="M195" s="204">
        <f>IF($H195="USD",IF(OR($L195="",$L195="-"),"",VLOOKUP($G195,為替!$A:$AX,$L195,FALSE))+$K$3,IF(OR($L195="",$L195="-"),"",VLOOKUP($G195,為替!$A:$AX,$L195,FALSE)))</f>
        <v>157.13</v>
      </c>
      <c r="N195" s="205">
        <f t="shared" si="20"/>
        <v>22438.164000000001</v>
      </c>
      <c r="O195" s="206">
        <f t="shared" si="16"/>
        <v>1199.9179999999978</v>
      </c>
      <c r="P195" s="207">
        <f t="shared" si="21"/>
        <v>5.0762071135889875E-2</v>
      </c>
    </row>
    <row r="196" spans="1:16">
      <c r="A196" s="163" t="s">
        <v>309</v>
      </c>
      <c r="B196" s="163">
        <v>7610</v>
      </c>
      <c r="C196" s="200">
        <v>236270</v>
      </c>
      <c r="D196" s="201">
        <v>0</v>
      </c>
      <c r="E196" s="202" t="s">
        <v>200</v>
      </c>
      <c r="F196" s="200">
        <v>306900</v>
      </c>
      <c r="G196" s="162">
        <v>45966</v>
      </c>
      <c r="H196" s="203" t="s">
        <v>200</v>
      </c>
      <c r="I196" s="186" t="str">
        <f t="shared" si="17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>
        <f t="shared" si="18"/>
        <v>306900</v>
      </c>
      <c r="L196" s="189" t="str">
        <f t="shared" si="19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>
        <f t="shared" si="20"/>
        <v>236270</v>
      </c>
      <c r="O196" s="206">
        <f t="shared" si="16"/>
        <v>70630</v>
      </c>
      <c r="P196" s="207">
        <f t="shared" si="21"/>
        <v>0.23014011078527208</v>
      </c>
    </row>
    <row r="197" spans="1:16">
      <c r="A197" s="163" t="s">
        <v>309</v>
      </c>
      <c r="B197" s="163">
        <v>7620</v>
      </c>
      <c r="C197" s="200">
        <v>157200</v>
      </c>
      <c r="D197" s="201">
        <v>0</v>
      </c>
      <c r="E197" s="202" t="s">
        <v>200</v>
      </c>
      <c r="F197" s="200">
        <v>200650</v>
      </c>
      <c r="G197" s="162">
        <v>45968</v>
      </c>
      <c r="H197" s="203" t="s">
        <v>200</v>
      </c>
      <c r="I197" s="186" t="str">
        <f t="shared" si="17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>
        <f t="shared" si="18"/>
        <v>200650</v>
      </c>
      <c r="L197" s="189" t="str">
        <f t="shared" si="19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>
        <f t="shared" si="20"/>
        <v>157200</v>
      </c>
      <c r="O197" s="206">
        <f t="shared" si="16"/>
        <v>43450</v>
      </c>
      <c r="P197" s="207">
        <f t="shared" si="21"/>
        <v>0.21654622476949914</v>
      </c>
    </row>
    <row r="198" spans="1:16">
      <c r="A198" s="163" t="s">
        <v>309</v>
      </c>
      <c r="B198" s="163">
        <v>7651</v>
      </c>
      <c r="C198" s="200">
        <v>211975</v>
      </c>
      <c r="D198" s="201">
        <v>0</v>
      </c>
      <c r="E198" s="202" t="s">
        <v>200</v>
      </c>
      <c r="F198" s="200">
        <v>273275</v>
      </c>
      <c r="G198" s="162">
        <v>45978</v>
      </c>
      <c r="H198" s="203" t="s">
        <v>200</v>
      </c>
      <c r="I198" s="186" t="str">
        <f t="shared" si="17"/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>
        <f t="shared" si="18"/>
        <v>273275</v>
      </c>
      <c r="L198" s="189" t="str">
        <f t="shared" si="19"/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>
        <f t="shared" si="20"/>
        <v>211975</v>
      </c>
      <c r="O198" s="206">
        <f t="shared" ref="O198:O264" si="22">IF(OR(K198="",N198=""),"",K198-N198)</f>
        <v>61300</v>
      </c>
      <c r="P198" s="207">
        <f t="shared" si="21"/>
        <v>0.22431616503522092</v>
      </c>
    </row>
    <row r="199" spans="1:16">
      <c r="A199" s="163" t="s">
        <v>343</v>
      </c>
      <c r="B199" s="163">
        <v>7695</v>
      </c>
      <c r="C199" s="200">
        <v>53.76</v>
      </c>
      <c r="D199" s="201">
        <v>0</v>
      </c>
      <c r="E199" s="202" t="s">
        <v>199</v>
      </c>
      <c r="F199" s="200">
        <v>56.96</v>
      </c>
      <c r="G199" s="162">
        <v>45988</v>
      </c>
      <c r="H199" s="203" t="s">
        <v>199</v>
      </c>
      <c r="I199" s="186">
        <f t="shared" si="17"/>
        <v>4</v>
      </c>
      <c r="J199" s="204">
        <f>IF($H199="USD",IF(OR($I199="",$I199="-"),"",VLOOKUP($G199,為替!$A:$AX,$I199,FALSE))+$J$3,IF(OR($I199="",$I199="-"),"",VLOOKUP($G199,為替!$A:$AX,$I199,FALSE)))</f>
        <v>155.41</v>
      </c>
      <c r="K199" s="205">
        <f t="shared" si="18"/>
        <v>8852.1535999999996</v>
      </c>
      <c r="L199" s="189">
        <f t="shared" si="19"/>
        <v>3</v>
      </c>
      <c r="M199" s="204">
        <f>IF($H199="USD",IF(OR($L199="",$L199="-"),"",VLOOKUP($G199,為替!$A:$AX,$L199,FALSE))+$K$3,IF(OR($L199="",$L199="-"),"",VLOOKUP($G199,為替!$A:$AX,$L199,FALSE)))</f>
        <v>156.41</v>
      </c>
      <c r="N199" s="205">
        <f t="shared" si="20"/>
        <v>8408.6016</v>
      </c>
      <c r="O199" s="206">
        <f t="shared" si="22"/>
        <v>443.55199999999968</v>
      </c>
      <c r="P199" s="207">
        <f t="shared" si="21"/>
        <v>5.0106676865616033E-2</v>
      </c>
    </row>
    <row r="200" spans="1:16">
      <c r="A200" s="163" t="s">
        <v>343</v>
      </c>
      <c r="B200" s="163">
        <v>7696</v>
      </c>
      <c r="C200" s="200">
        <v>10.98</v>
      </c>
      <c r="D200" s="201">
        <v>0</v>
      </c>
      <c r="E200" s="202" t="s">
        <v>199</v>
      </c>
      <c r="F200" s="200">
        <v>11.61</v>
      </c>
      <c r="G200" s="162">
        <v>45988</v>
      </c>
      <c r="H200" s="203" t="s">
        <v>199</v>
      </c>
      <c r="I200" s="186">
        <f t="shared" ref="I200" si="23">IF(H200="","",IF(H200="JPY","",IF($H200="USD",4, IF(H200="EUR",7,IF(H200="CNY",47,IF(H200="HKD",34))))))</f>
        <v>4</v>
      </c>
      <c r="J200" s="204">
        <f>IF($H200="USD",IF(OR($I200="",$I200="-"),"",VLOOKUP($G200,為替!$A:$AX,$I200,FALSE))+$J$3,IF(OR($I200="",$I200="-"),"",VLOOKUP($G200,為替!$A:$AX,$I200,FALSE)))</f>
        <v>155.41</v>
      </c>
      <c r="K200" s="205">
        <f t="shared" si="18"/>
        <v>1804.3100999999999</v>
      </c>
      <c r="L200" s="189">
        <f t="shared" ref="L200" si="24">IF(H200="","",IF(H200="JPY","",IF($H200="USD",3, IF(H200="EUR",6,IF(H200="CNY",46,IF(H200="HKD",33))))))</f>
        <v>3</v>
      </c>
      <c r="M200" s="204">
        <f>IF($H200="USD",IF(OR($L200="",$L200="-"),"",VLOOKUP($G200,為替!$A:$AX,$L200,FALSE))+$K$3,IF(OR($L200="",$L200="-"),"",VLOOKUP($G200,為替!$A:$AX,$L200,FALSE)))</f>
        <v>156.41</v>
      </c>
      <c r="N200" s="205">
        <f t="shared" si="20"/>
        <v>1717.3818000000001</v>
      </c>
      <c r="O200" s="206">
        <f t="shared" ref="O200" si="25">IF(OR(K200="",N200=""),"",K200-N200)</f>
        <v>86.928299999999808</v>
      </c>
      <c r="P200" s="207">
        <f t="shared" ref="P200" si="26">IF(OR(K200="",O200=""),"",O200/K200)</f>
        <v>4.8178137449876167E-2</v>
      </c>
    </row>
    <row r="201" spans="1:16">
      <c r="A201" s="163" t="s">
        <v>343</v>
      </c>
      <c r="B201" s="163">
        <v>7685</v>
      </c>
      <c r="C201" s="200">
        <v>343.6</v>
      </c>
      <c r="D201" s="201">
        <v>0</v>
      </c>
      <c r="E201" s="202" t="s">
        <v>199</v>
      </c>
      <c r="F201" s="200">
        <v>364.32</v>
      </c>
      <c r="G201" s="162">
        <v>45992</v>
      </c>
      <c r="H201" s="203" t="s">
        <v>199</v>
      </c>
      <c r="I201" s="186">
        <f t="shared" ref="I201:I265" si="27">IF(H201="","",IF(H201="JPY","",IF($H201="USD",4, IF(H201="EUR",7,IF(H201="CNY",47,IF(H201="HKD",34))))))</f>
        <v>4</v>
      </c>
      <c r="J201" s="204">
        <f>IF($H201="USD",IF(OR($I201="",$I201="-"),"",VLOOKUP($G201,為替!$A:$AX,$I201,FALSE))+$J$3,IF(OR($I201="",$I201="-"),"",VLOOKUP($G201,為替!$A:$AX,$I201,FALSE)))</f>
        <v>155.37</v>
      </c>
      <c r="K201" s="205">
        <f t="shared" ref="K201:K265" si="28">IF($H201="JPY",$F201,IF($H201="","",$F201*$J201))</f>
        <v>56604.398399999998</v>
      </c>
      <c r="L201" s="189">
        <f t="shared" ref="L201:L265" si="29">IF(H201="","",IF(H201="JPY","",IF($H201="USD",3, IF(H201="EUR",6,IF(H201="CNY",46,IF(H201="HKD",33))))))</f>
        <v>3</v>
      </c>
      <c r="M201" s="204">
        <f>IF($H201="USD",IF(OR($L201="",$L201="-"),"",VLOOKUP($G201,為替!$A:$AX,$L201,FALSE))+$K$3,IF(OR($L201="",$L201="-"),"",VLOOKUP($G201,為替!$A:$AX,$L201,FALSE)))</f>
        <v>156.37</v>
      </c>
      <c r="N201" s="205">
        <f t="shared" ref="N201:N265" si="30">IF($E201="JPY",($C201+$D201),IF($E201="","",($C201+$D201)*$M201))</f>
        <v>53728.732000000004</v>
      </c>
      <c r="O201" s="206">
        <f t="shared" si="22"/>
        <v>2875.6663999999946</v>
      </c>
      <c r="P201" s="207">
        <f t="shared" ref="P201:P265" si="31">IF(OR(K201="",O201=""),"",O201/K201)</f>
        <v>5.0802878950834227E-2</v>
      </c>
    </row>
    <row r="202" spans="1:16">
      <c r="A202" s="163" t="s">
        <v>343</v>
      </c>
      <c r="B202" s="163">
        <v>7666</v>
      </c>
      <c r="C202" s="200">
        <v>886.05</v>
      </c>
      <c r="D202" s="201">
        <v>0</v>
      </c>
      <c r="E202" s="202" t="s">
        <v>199</v>
      </c>
      <c r="F202" s="200">
        <v>969.75</v>
      </c>
      <c r="G202" s="162">
        <v>45993</v>
      </c>
      <c r="H202" s="203" t="s">
        <v>199</v>
      </c>
      <c r="I202" s="186">
        <f t="shared" si="27"/>
        <v>4</v>
      </c>
      <c r="J202" s="204">
        <f>IF($H202="USD",IF(OR($I202="",$I202="-"),"",VLOOKUP($G202,為替!$A:$AX,$I202,FALSE))+$J$3,IF(OR($I202="",$I202="-"),"",VLOOKUP($G202,為替!$A:$AX,$I202,FALSE)))</f>
        <v>155.19999999999999</v>
      </c>
      <c r="K202" s="205">
        <f t="shared" si="28"/>
        <v>150505.19999999998</v>
      </c>
      <c r="L202" s="189">
        <f t="shared" si="29"/>
        <v>3</v>
      </c>
      <c r="M202" s="204">
        <f>IF($H202="USD",IF(OR($L202="",$L202="-"),"",VLOOKUP($G202,為替!$A:$AX,$L202,FALSE))+$K$3,IF(OR($L202="",$L202="-"),"",VLOOKUP($G202,為替!$A:$AX,$L202,FALSE)))</f>
        <v>156.19999999999999</v>
      </c>
      <c r="N202" s="205">
        <f t="shared" si="30"/>
        <v>138401.00999999998</v>
      </c>
      <c r="O202" s="206">
        <f t="shared" si="22"/>
        <v>12104.190000000002</v>
      </c>
      <c r="P202" s="207">
        <f t="shared" si="31"/>
        <v>8.0423732867701603E-2</v>
      </c>
    </row>
    <row r="203" spans="1:16">
      <c r="A203" s="163" t="s">
        <v>343</v>
      </c>
      <c r="B203" s="163">
        <v>7667</v>
      </c>
      <c r="C203" s="200">
        <v>244.28</v>
      </c>
      <c r="D203" s="201">
        <v>0</v>
      </c>
      <c r="E203" s="202" t="s">
        <v>199</v>
      </c>
      <c r="F203" s="200">
        <v>266.94</v>
      </c>
      <c r="G203" s="162">
        <v>45993</v>
      </c>
      <c r="H203" s="203" t="s">
        <v>199</v>
      </c>
      <c r="I203" s="186">
        <f t="shared" si="27"/>
        <v>4</v>
      </c>
      <c r="J203" s="204">
        <f>IF($H203="USD",IF(OR($I203="",$I203="-"),"",VLOOKUP($G203,為替!$A:$AX,$I203,FALSE))+$J$3,IF(OR($I203="",$I203="-"),"",VLOOKUP($G203,為替!$A:$AX,$I203,FALSE)))</f>
        <v>155.19999999999999</v>
      </c>
      <c r="K203" s="205">
        <f t="shared" si="28"/>
        <v>41429.087999999996</v>
      </c>
      <c r="L203" s="189">
        <f t="shared" si="29"/>
        <v>3</v>
      </c>
      <c r="M203" s="204">
        <f>IF($H203="USD",IF(OR($L203="",$L203="-"),"",VLOOKUP($G203,為替!$A:$AX,$L203,FALSE))+$K$3,IF(OR($L203="",$L203="-"),"",VLOOKUP($G203,為替!$A:$AX,$L203,FALSE)))</f>
        <v>156.19999999999999</v>
      </c>
      <c r="N203" s="205">
        <f t="shared" si="30"/>
        <v>38156.536</v>
      </c>
      <c r="O203" s="206">
        <f t="shared" si="22"/>
        <v>3272.551999999996</v>
      </c>
      <c r="P203" s="207">
        <f t="shared" si="31"/>
        <v>7.8991649538604283E-2</v>
      </c>
    </row>
    <row r="204" spans="1:16">
      <c r="A204" s="163" t="s">
        <v>343</v>
      </c>
      <c r="B204" s="163">
        <v>7687</v>
      </c>
      <c r="C204" s="200">
        <v>207.14</v>
      </c>
      <c r="D204" s="201">
        <v>0</v>
      </c>
      <c r="E204" s="202" t="s">
        <v>199</v>
      </c>
      <c r="F204" s="200">
        <v>219.48</v>
      </c>
      <c r="G204" s="162">
        <v>45993</v>
      </c>
      <c r="H204" s="203" t="s">
        <v>199</v>
      </c>
      <c r="I204" s="186">
        <f t="shared" si="27"/>
        <v>4</v>
      </c>
      <c r="J204" s="204">
        <f>IF($H204="USD",IF(OR($I204="",$I204="-"),"",VLOOKUP($G204,為替!$A:$AX,$I204,FALSE))+$J$3,IF(OR($I204="",$I204="-"),"",VLOOKUP($G204,為替!$A:$AX,$I204,FALSE)))</f>
        <v>155.19999999999999</v>
      </c>
      <c r="K204" s="205">
        <f t="shared" si="28"/>
        <v>34063.295999999995</v>
      </c>
      <c r="L204" s="189">
        <f t="shared" si="29"/>
        <v>3</v>
      </c>
      <c r="M204" s="204">
        <f>IF($H204="USD",IF(OR($L204="",$L204="-"),"",VLOOKUP($G204,為替!$A:$AX,$L204,FALSE))+$K$3,IF(OR($L204="",$L204="-"),"",VLOOKUP($G204,為替!$A:$AX,$L204,FALSE)))</f>
        <v>156.19999999999999</v>
      </c>
      <c r="N204" s="205">
        <f t="shared" si="30"/>
        <v>32355.267999999996</v>
      </c>
      <c r="O204" s="206">
        <f t="shared" si="22"/>
        <v>1708.0279999999984</v>
      </c>
      <c r="P204" s="207">
        <f t="shared" si="31"/>
        <v>5.0142769507683538E-2</v>
      </c>
    </row>
    <row r="205" spans="1:16">
      <c r="A205" s="163" t="s">
        <v>344</v>
      </c>
      <c r="B205" s="163">
        <v>7709</v>
      </c>
      <c r="C205" s="200">
        <v>13513.92</v>
      </c>
      <c r="D205" s="201">
        <v>836.58</v>
      </c>
      <c r="E205" s="202" t="s">
        <v>199</v>
      </c>
      <c r="F205" s="200">
        <v>16088</v>
      </c>
      <c r="G205" s="162">
        <v>46002</v>
      </c>
      <c r="H205" s="203" t="s">
        <v>199</v>
      </c>
      <c r="I205" s="186">
        <f t="shared" si="27"/>
        <v>4</v>
      </c>
      <c r="J205" s="204">
        <f>IF($H205="USD",IF(OR($I205="",$I205="-"),"",VLOOKUP($G205,為替!$A:$AX,$I205,FALSE))+$J$3,IF(OR($I205="",$I205="-"),"",VLOOKUP($G205,為替!$A:$AX,$I205,FALSE)))</f>
        <v>155.37</v>
      </c>
      <c r="K205" s="205">
        <f t="shared" si="28"/>
        <v>2499592.56</v>
      </c>
      <c r="L205" s="189">
        <f t="shared" si="29"/>
        <v>3</v>
      </c>
      <c r="M205" s="204">
        <f>IF($H205="USD",IF(OR($L205="",$L205="-"),"",VLOOKUP($G205,為替!$A:$AX,$L205,FALSE))+$K$3,IF(OR($L205="",$L205="-"),"",VLOOKUP($G205,為替!$A:$AX,$L205,FALSE)))</f>
        <v>156.37</v>
      </c>
      <c r="N205" s="205">
        <f t="shared" si="30"/>
        <v>2243987.6850000001</v>
      </c>
      <c r="O205" s="206">
        <f t="shared" si="22"/>
        <v>255604.875</v>
      </c>
      <c r="P205" s="207">
        <f t="shared" si="31"/>
        <v>0.10225861570015235</v>
      </c>
    </row>
    <row r="206" spans="1:16">
      <c r="A206" s="163" t="s">
        <v>343</v>
      </c>
      <c r="B206" s="163">
        <v>7710</v>
      </c>
      <c r="C206" s="200">
        <v>2266.46</v>
      </c>
      <c r="D206" s="201">
        <v>0</v>
      </c>
      <c r="E206" s="202" t="s">
        <v>199</v>
      </c>
      <c r="F206" s="200">
        <v>2401.54</v>
      </c>
      <c r="G206" s="162">
        <v>46002</v>
      </c>
      <c r="H206" s="203" t="s">
        <v>199</v>
      </c>
      <c r="I206" s="186">
        <f t="shared" si="27"/>
        <v>4</v>
      </c>
      <c r="J206" s="204">
        <f>IF($H206="USD",IF(OR($I206="",$I206="-"),"",VLOOKUP($G206,為替!$A:$AX,$I206,FALSE))+$J$3,IF(OR($I206="",$I206="-"),"",VLOOKUP($G206,為替!$A:$AX,$I206,FALSE)))</f>
        <v>155.37</v>
      </c>
      <c r="K206" s="205">
        <f t="shared" si="28"/>
        <v>373127.26980000001</v>
      </c>
      <c r="L206" s="189">
        <f t="shared" si="29"/>
        <v>3</v>
      </c>
      <c r="M206" s="204">
        <f>IF($H206="USD",IF(OR($L206="",$L206="-"),"",VLOOKUP($G206,為替!$A:$AX,$L206,FALSE))+$K$3,IF(OR($L206="",$L206="-"),"",VLOOKUP($G206,為替!$A:$AX,$L206,FALSE)))</f>
        <v>156.37</v>
      </c>
      <c r="N206" s="205">
        <f t="shared" si="30"/>
        <v>354406.35020000004</v>
      </c>
      <c r="O206" s="206">
        <f t="shared" si="22"/>
        <v>18720.919599999965</v>
      </c>
      <c r="P206" s="207">
        <f t="shared" si="31"/>
        <v>5.0173013647688003E-2</v>
      </c>
    </row>
    <row r="207" spans="1:16">
      <c r="A207" s="163" t="s">
        <v>343</v>
      </c>
      <c r="B207" s="163">
        <v>7711</v>
      </c>
      <c r="C207" s="200">
        <v>440.83</v>
      </c>
      <c r="D207" s="201">
        <v>0</v>
      </c>
      <c r="E207" s="202" t="s">
        <v>199</v>
      </c>
      <c r="F207" s="200">
        <v>467.07</v>
      </c>
      <c r="G207" s="162">
        <v>46002</v>
      </c>
      <c r="H207" s="203" t="s">
        <v>199</v>
      </c>
      <c r="I207" s="186">
        <f t="shared" si="27"/>
        <v>4</v>
      </c>
      <c r="J207" s="204">
        <f>IF($H207="USD",IF(OR($I207="",$I207="-"),"",VLOOKUP($G207,為替!$A:$AX,$I207,FALSE))+$J$3,IF(OR($I207="",$I207="-"),"",VLOOKUP($G207,為替!$A:$AX,$I207,FALSE)))</f>
        <v>155.37</v>
      </c>
      <c r="K207" s="205">
        <f t="shared" si="28"/>
        <v>72568.665900000007</v>
      </c>
      <c r="L207" s="189">
        <f t="shared" si="29"/>
        <v>3</v>
      </c>
      <c r="M207" s="204">
        <f>IF($H207="USD",IF(OR($L207="",$L207="-"),"",VLOOKUP($G207,為替!$A:$AX,$L207,FALSE))+$K$3,IF(OR($L207="",$L207="-"),"",VLOOKUP($G207,為替!$A:$AX,$L207,FALSE)))</f>
        <v>156.37</v>
      </c>
      <c r="N207" s="205">
        <f t="shared" si="30"/>
        <v>68932.587100000004</v>
      </c>
      <c r="O207" s="206">
        <f t="shared" si="22"/>
        <v>3636.078800000003</v>
      </c>
      <c r="P207" s="207">
        <f t="shared" si="31"/>
        <v>5.0105355457554339E-2</v>
      </c>
    </row>
    <row r="208" spans="1:16">
      <c r="A208" s="163" t="s">
        <v>343</v>
      </c>
      <c r="B208" s="163">
        <v>7712</v>
      </c>
      <c r="C208" s="200">
        <v>2640.06</v>
      </c>
      <c r="D208" s="201">
        <v>0</v>
      </c>
      <c r="E208" s="202" t="s">
        <v>199</v>
      </c>
      <c r="F208" s="200">
        <v>2797.52</v>
      </c>
      <c r="G208" s="162">
        <v>46002</v>
      </c>
      <c r="H208" s="203" t="s">
        <v>199</v>
      </c>
      <c r="I208" s="186">
        <f t="shared" si="27"/>
        <v>4</v>
      </c>
      <c r="J208" s="204">
        <f>IF($H208="USD",IF(OR($I208="",$I208="-"),"",VLOOKUP($G208,為替!$A:$AX,$I208,FALSE))+$J$3,IF(OR($I208="",$I208="-"),"",VLOOKUP($G208,為替!$A:$AX,$I208,FALSE)))</f>
        <v>155.37</v>
      </c>
      <c r="K208" s="205">
        <f t="shared" si="28"/>
        <v>434650.68239999999</v>
      </c>
      <c r="L208" s="189">
        <f t="shared" si="29"/>
        <v>3</v>
      </c>
      <c r="M208" s="204">
        <f>IF($H208="USD",IF(OR($L208="",$L208="-"),"",VLOOKUP($G208,為替!$A:$AX,$L208,FALSE))+$K$3,IF(OR($L208="",$L208="-"),"",VLOOKUP($G208,為替!$A:$AX,$L208,FALSE)))</f>
        <v>156.37</v>
      </c>
      <c r="N208" s="205">
        <f t="shared" si="30"/>
        <v>412826.18219999998</v>
      </c>
      <c r="O208" s="206">
        <f t="shared" si="22"/>
        <v>21824.500200000009</v>
      </c>
      <c r="P208" s="207">
        <f t="shared" si="31"/>
        <v>5.0211586185697911E-2</v>
      </c>
    </row>
    <row r="209" spans="1:16">
      <c r="A209" s="163" t="s">
        <v>343</v>
      </c>
      <c r="B209" s="163">
        <v>7713</v>
      </c>
      <c r="C209" s="200">
        <v>1072.3800000000001</v>
      </c>
      <c r="D209" s="201">
        <v>0</v>
      </c>
      <c r="E209" s="202" t="s">
        <v>199</v>
      </c>
      <c r="F209" s="200">
        <v>1136.3399999999999</v>
      </c>
      <c r="G209" s="162">
        <v>46002</v>
      </c>
      <c r="H209" s="203" t="s">
        <v>199</v>
      </c>
      <c r="I209" s="186">
        <f t="shared" si="27"/>
        <v>4</v>
      </c>
      <c r="J209" s="204">
        <f>IF($H209="USD",IF(OR($I209="",$I209="-"),"",VLOOKUP($G209,為替!$A:$AX,$I209,FALSE))+$J$3,IF(OR($I209="",$I209="-"),"",VLOOKUP($G209,為替!$A:$AX,$I209,FALSE)))</f>
        <v>155.37</v>
      </c>
      <c r="K209" s="205">
        <f t="shared" si="28"/>
        <v>176553.1458</v>
      </c>
      <c r="L209" s="189">
        <f t="shared" si="29"/>
        <v>3</v>
      </c>
      <c r="M209" s="204">
        <f>IF($H209="USD",IF(OR($L209="",$L209="-"),"",VLOOKUP($G209,為替!$A:$AX,$L209,FALSE))+$K$3,IF(OR($L209="",$L209="-"),"",VLOOKUP($G209,為替!$A:$AX,$L209,FALSE)))</f>
        <v>156.37</v>
      </c>
      <c r="N209" s="205">
        <f t="shared" si="30"/>
        <v>167688.06060000003</v>
      </c>
      <c r="O209" s="206">
        <f t="shared" si="22"/>
        <v>8865.0851999999722</v>
      </c>
      <c r="P209" s="207">
        <f t="shared" si="31"/>
        <v>5.0211992314440949E-2</v>
      </c>
    </row>
    <row r="210" spans="1:16">
      <c r="A210" s="163" t="s">
        <v>343</v>
      </c>
      <c r="B210" s="163">
        <v>7714</v>
      </c>
      <c r="C210" s="200">
        <v>3148.99</v>
      </c>
      <c r="D210" s="201">
        <v>0</v>
      </c>
      <c r="E210" s="202" t="s">
        <v>199</v>
      </c>
      <c r="F210" s="200">
        <v>3336.43</v>
      </c>
      <c r="G210" s="162">
        <v>46002</v>
      </c>
      <c r="H210" s="203" t="s">
        <v>199</v>
      </c>
      <c r="I210" s="186">
        <f t="shared" si="27"/>
        <v>4</v>
      </c>
      <c r="J210" s="204">
        <f>IF($H210="USD",IF(OR($I210="",$I210="-"),"",VLOOKUP($G210,為替!$A:$AX,$I210,FALSE))+$J$3,IF(OR($I210="",$I210="-"),"",VLOOKUP($G210,為替!$A:$AX,$I210,FALSE)))</f>
        <v>155.37</v>
      </c>
      <c r="K210" s="205">
        <f t="shared" si="28"/>
        <v>518381.12909999996</v>
      </c>
      <c r="L210" s="189">
        <f t="shared" si="29"/>
        <v>3</v>
      </c>
      <c r="M210" s="204">
        <f>IF($H210="USD",IF(OR($L210="",$L210="-"),"",VLOOKUP($G210,為替!$A:$AX,$L210,FALSE))+$K$3,IF(OR($L210="",$L210="-"),"",VLOOKUP($G210,為替!$A:$AX,$L210,FALSE)))</f>
        <v>156.37</v>
      </c>
      <c r="N210" s="205">
        <f t="shared" si="30"/>
        <v>492407.56630000001</v>
      </c>
      <c r="O210" s="206">
        <f t="shared" si="22"/>
        <v>25973.562799999956</v>
      </c>
      <c r="P210" s="207">
        <f t="shared" si="31"/>
        <v>5.0105147240013519E-2</v>
      </c>
    </row>
    <row r="211" spans="1:16">
      <c r="A211" s="163" t="s">
        <v>343</v>
      </c>
      <c r="B211" s="163">
        <v>7715</v>
      </c>
      <c r="C211" s="200">
        <v>1947.32</v>
      </c>
      <c r="D211" s="201">
        <v>0</v>
      </c>
      <c r="E211" s="202" t="s">
        <v>199</v>
      </c>
      <c r="F211" s="200">
        <v>2132.89</v>
      </c>
      <c r="G211" s="162">
        <v>46002</v>
      </c>
      <c r="H211" s="203" t="s">
        <v>199</v>
      </c>
      <c r="I211" s="186">
        <f t="shared" si="27"/>
        <v>4</v>
      </c>
      <c r="J211" s="204">
        <f>IF($H211="USD",IF(OR($I211="",$I211="-"),"",VLOOKUP($G211,為替!$A:$AX,$I211,FALSE))+$J$3,IF(OR($I211="",$I211="-"),"",VLOOKUP($G211,為替!$A:$AX,$I211,FALSE)))</f>
        <v>155.37</v>
      </c>
      <c r="K211" s="205">
        <f t="shared" si="28"/>
        <v>331387.11929999996</v>
      </c>
      <c r="L211" s="189">
        <f t="shared" si="29"/>
        <v>3</v>
      </c>
      <c r="M211" s="204">
        <f>IF($H211="USD",IF(OR($L211="",$L211="-"),"",VLOOKUP($G211,為替!$A:$AX,$L211,FALSE))+$K$3,IF(OR($L211="",$L211="-"),"",VLOOKUP($G211,為替!$A:$AX,$L211,FALSE)))</f>
        <v>156.37</v>
      </c>
      <c r="N211" s="205">
        <f t="shared" si="30"/>
        <v>304502.42839999998</v>
      </c>
      <c r="O211" s="206">
        <f t="shared" si="22"/>
        <v>26884.690899999987</v>
      </c>
      <c r="P211" s="207">
        <f t="shared" si="31"/>
        <v>8.1127748588386339E-2</v>
      </c>
    </row>
    <row r="212" spans="1:16">
      <c r="A212" s="163" t="s">
        <v>343</v>
      </c>
      <c r="B212" s="163">
        <v>7704</v>
      </c>
      <c r="C212" s="200">
        <v>3228.72</v>
      </c>
      <c r="D212" s="201">
        <v>0</v>
      </c>
      <c r="E212" s="202" t="s">
        <v>199</v>
      </c>
      <c r="F212" s="200">
        <v>3524.81</v>
      </c>
      <c r="G212" s="162">
        <v>46003</v>
      </c>
      <c r="H212" s="203" t="s">
        <v>199</v>
      </c>
      <c r="I212" s="186">
        <f t="shared" si="27"/>
        <v>4</v>
      </c>
      <c r="J212" s="204">
        <f>IF($H212="USD",IF(OR($I212="",$I212="-"),"",VLOOKUP($G212,為替!$A:$AX,$I212,FALSE))+$J$3,IF(OR($I212="",$I212="-"),"",VLOOKUP($G212,為替!$A:$AX,$I212,FALSE)))</f>
        <v>155.21</v>
      </c>
      <c r="K212" s="205">
        <f t="shared" si="28"/>
        <v>547085.76010000007</v>
      </c>
      <c r="L212" s="189">
        <f t="shared" si="29"/>
        <v>3</v>
      </c>
      <c r="M212" s="204">
        <f>IF($H212="USD",IF(OR($L212="",$L212="-"),"",VLOOKUP($G212,為替!$A:$AX,$L212,FALSE))+$K$3,IF(OR($L212="",$L212="-"),"",VLOOKUP($G212,為替!$A:$AX,$L212,FALSE)))</f>
        <v>156.21</v>
      </c>
      <c r="N212" s="205">
        <f t="shared" si="30"/>
        <v>504358.35119999998</v>
      </c>
      <c r="O212" s="206">
        <f t="shared" si="22"/>
        <v>42727.408900000097</v>
      </c>
      <c r="P212" s="207">
        <f t="shared" si="31"/>
        <v>7.8100020172687537E-2</v>
      </c>
    </row>
    <row r="213" spans="1:16">
      <c r="A213" s="163" t="s">
        <v>343</v>
      </c>
      <c r="B213" s="163">
        <v>7727</v>
      </c>
      <c r="C213" s="200">
        <v>5440.06</v>
      </c>
      <c r="D213" s="201">
        <v>0</v>
      </c>
      <c r="E213" s="202" t="s">
        <v>199</v>
      </c>
      <c r="F213" s="200">
        <v>5764.02</v>
      </c>
      <c r="G213" s="162">
        <v>46008</v>
      </c>
      <c r="H213" s="203" t="s">
        <v>199</v>
      </c>
      <c r="I213" s="186">
        <f t="shared" si="27"/>
        <v>4</v>
      </c>
      <c r="J213" s="204">
        <f>IF($H213="USD",IF(OR($I213="",$I213="-"),"",VLOOKUP($G213,為替!$A:$AX,$I213,FALSE))+$J$3,IF(OR($I213="",$I213="-"),"",VLOOKUP($G213,為替!$A:$AX,$I213,FALSE)))</f>
        <v>154.19</v>
      </c>
      <c r="K213" s="205">
        <f t="shared" si="28"/>
        <v>888754.24380000005</v>
      </c>
      <c r="L213" s="189">
        <f t="shared" si="29"/>
        <v>3</v>
      </c>
      <c r="M213" s="204">
        <f>IF($H213="USD",IF(OR($L213="",$L213="-"),"",VLOOKUP($G213,為替!$A:$AX,$L213,FALSE))+$K$3,IF(OR($L213="",$L213="-"),"",VLOOKUP($G213,為替!$A:$AX,$L213,FALSE)))</f>
        <v>155.19</v>
      </c>
      <c r="N213" s="205">
        <f t="shared" si="30"/>
        <v>844242.9114000001</v>
      </c>
      <c r="O213" s="206">
        <f t="shared" si="22"/>
        <v>44511.332399999956</v>
      </c>
      <c r="P213" s="207">
        <f t="shared" si="31"/>
        <v>5.0082835283784613E-2</v>
      </c>
    </row>
    <row r="214" spans="1:16">
      <c r="A214" s="163" t="s">
        <v>343</v>
      </c>
      <c r="B214" s="163">
        <v>7720</v>
      </c>
      <c r="C214" s="200">
        <v>534.6</v>
      </c>
      <c r="D214" s="201">
        <v>0</v>
      </c>
      <c r="E214" s="202" t="s">
        <v>199</v>
      </c>
      <c r="F214" s="200">
        <v>565.74</v>
      </c>
      <c r="G214" s="162">
        <v>46006</v>
      </c>
      <c r="H214" s="203" t="s">
        <v>199</v>
      </c>
      <c r="I214" s="186">
        <f t="shared" si="27"/>
        <v>4</v>
      </c>
      <c r="J214" s="204">
        <f>IF($H214="USD",IF(OR($I214="",$I214="-"),"",VLOOKUP($G214,為替!$A:$AX,$I214,FALSE))+$J$3,IF(OR($I214="",$I214="-"),"",VLOOKUP($G214,為替!$A:$AX,$I214,FALSE)))</f>
        <v>155.52000000000001</v>
      </c>
      <c r="K214" s="205">
        <f t="shared" si="28"/>
        <v>87983.884800000014</v>
      </c>
      <c r="L214" s="189">
        <f t="shared" si="29"/>
        <v>3</v>
      </c>
      <c r="M214" s="204">
        <f>IF($H214="USD",IF(OR($L214="",$L214="-"),"",VLOOKUP($G214,為替!$A:$AX,$L214,FALSE))+$K$3,IF(OR($L214="",$L214="-"),"",VLOOKUP($G214,為替!$A:$AX,$L214,FALSE)))</f>
        <v>156.52000000000001</v>
      </c>
      <c r="N214" s="205">
        <f t="shared" si="30"/>
        <v>83675.592000000004</v>
      </c>
      <c r="O214" s="206">
        <f t="shared" si="22"/>
        <v>4308.2928000000102</v>
      </c>
      <c r="P214" s="207">
        <f t="shared" si="31"/>
        <v>4.8966839891116165E-2</v>
      </c>
    </row>
    <row r="215" spans="1:16">
      <c r="A215" s="163" t="s">
        <v>343</v>
      </c>
      <c r="B215" s="163">
        <v>7721</v>
      </c>
      <c r="C215" s="200">
        <v>1022.41</v>
      </c>
      <c r="D215" s="201">
        <v>0</v>
      </c>
      <c r="E215" s="202" t="s">
        <v>199</v>
      </c>
      <c r="F215" s="200">
        <v>1083.02</v>
      </c>
      <c r="G215" s="162">
        <v>46006</v>
      </c>
      <c r="H215" s="203" t="s">
        <v>199</v>
      </c>
      <c r="I215" s="186">
        <f t="shared" si="27"/>
        <v>4</v>
      </c>
      <c r="J215" s="204">
        <f>IF($H215="USD",IF(OR($I215="",$I215="-"),"",VLOOKUP($G215,為替!$A:$AX,$I215,FALSE))+$J$3,IF(OR($I215="",$I215="-"),"",VLOOKUP($G215,為替!$A:$AX,$I215,FALSE)))</f>
        <v>155.52000000000001</v>
      </c>
      <c r="K215" s="205">
        <f t="shared" si="28"/>
        <v>168431.27040000001</v>
      </c>
      <c r="L215" s="189">
        <f t="shared" si="29"/>
        <v>3</v>
      </c>
      <c r="M215" s="204">
        <f>IF($H215="USD",IF(OR($L215="",$L215="-"),"",VLOOKUP($G215,為替!$A:$AX,$L215,FALSE))+$K$3,IF(OR($L215="",$L215="-"),"",VLOOKUP($G215,為替!$A:$AX,$L215,FALSE)))</f>
        <v>156.52000000000001</v>
      </c>
      <c r="N215" s="205">
        <f t="shared" si="30"/>
        <v>160027.61319999999</v>
      </c>
      <c r="O215" s="206">
        <f t="shared" si="22"/>
        <v>8403.657200000016</v>
      </c>
      <c r="P215" s="207">
        <f t="shared" si="31"/>
        <v>4.9893687674756243E-2</v>
      </c>
    </row>
    <row r="216" spans="1:16">
      <c r="A216" s="163" t="s">
        <v>343</v>
      </c>
      <c r="B216" s="163">
        <v>7717</v>
      </c>
      <c r="C216" s="200">
        <v>134.44</v>
      </c>
      <c r="D216" s="201">
        <v>0</v>
      </c>
      <c r="E216" s="202" t="s">
        <v>199</v>
      </c>
      <c r="F216" s="200">
        <v>142.49</v>
      </c>
      <c r="G216" s="162">
        <v>46003</v>
      </c>
      <c r="H216" s="203" t="s">
        <v>199</v>
      </c>
      <c r="I216" s="186">
        <f t="shared" si="27"/>
        <v>4</v>
      </c>
      <c r="J216" s="204">
        <f>IF($H216="USD",IF(OR($I216="",$I216="-"),"",VLOOKUP($G216,為替!$A:$AX,$I216,FALSE))+$J$3,IF(OR($I216="",$I216="-"),"",VLOOKUP($G216,為替!$A:$AX,$I216,FALSE)))</f>
        <v>155.21</v>
      </c>
      <c r="K216" s="205">
        <f t="shared" si="28"/>
        <v>22115.872900000002</v>
      </c>
      <c r="L216" s="189">
        <f t="shared" si="29"/>
        <v>3</v>
      </c>
      <c r="M216" s="204">
        <f>IF($H216="USD",IF(OR($L216="",$L216="-"),"",VLOOKUP($G216,為替!$A:$AX,$L216,FALSE))+$K$3,IF(OR($L216="",$L216="-"),"",VLOOKUP($G216,為替!$A:$AX,$L216,FALSE)))</f>
        <v>156.21</v>
      </c>
      <c r="N216" s="205">
        <f t="shared" si="30"/>
        <v>21000.8724</v>
      </c>
      <c r="O216" s="206">
        <f t="shared" si="22"/>
        <v>1115.0005000000019</v>
      </c>
      <c r="P216" s="207">
        <f t="shared" si="31"/>
        <v>5.0416300773730792E-2</v>
      </c>
    </row>
    <row r="217" spans="1:16">
      <c r="A217" s="163" t="s">
        <v>343</v>
      </c>
      <c r="B217" s="163">
        <v>7716</v>
      </c>
      <c r="C217" s="200">
        <v>68.89</v>
      </c>
      <c r="D217" s="201">
        <v>0</v>
      </c>
      <c r="E217" s="202" t="s">
        <v>199</v>
      </c>
      <c r="F217" s="200">
        <v>73.02</v>
      </c>
      <c r="G217" s="162">
        <v>46003</v>
      </c>
      <c r="H217" s="203" t="s">
        <v>199</v>
      </c>
      <c r="I217" s="186">
        <f t="shared" si="27"/>
        <v>4</v>
      </c>
      <c r="J217" s="204">
        <f>IF($H217="USD",IF(OR($I217="",$I217="-"),"",VLOOKUP($G217,為替!$A:$AX,$I217,FALSE))+$J$3,IF(OR($I217="",$I217="-"),"",VLOOKUP($G217,為替!$A:$AX,$I217,FALSE)))</f>
        <v>155.21</v>
      </c>
      <c r="K217" s="205">
        <f t="shared" si="28"/>
        <v>11333.4342</v>
      </c>
      <c r="L217" s="189">
        <f t="shared" si="29"/>
        <v>3</v>
      </c>
      <c r="M217" s="204">
        <f>IF($H217="USD",IF(OR($L217="",$L217="-"),"",VLOOKUP($G217,為替!$A:$AX,$L217,FALSE))+$K$3,IF(OR($L217="",$L217="-"),"",VLOOKUP($G217,為替!$A:$AX,$L217,FALSE)))</f>
        <v>156.21</v>
      </c>
      <c r="N217" s="205">
        <f t="shared" si="30"/>
        <v>10761.306900000001</v>
      </c>
      <c r="O217" s="206">
        <f t="shared" si="22"/>
        <v>572.12729999999829</v>
      </c>
      <c r="P217" s="207">
        <f t="shared" si="31"/>
        <v>5.0481371304030541E-2</v>
      </c>
    </row>
    <row r="218" spans="1:16">
      <c r="A218" s="163" t="s">
        <v>309</v>
      </c>
      <c r="B218" s="163">
        <v>7686</v>
      </c>
      <c r="C218" s="200">
        <v>170020</v>
      </c>
      <c r="D218" s="201">
        <v>0</v>
      </c>
      <c r="E218" s="202" t="s">
        <v>200</v>
      </c>
      <c r="F218" s="200">
        <v>217500</v>
      </c>
      <c r="G218" s="162">
        <v>45993</v>
      </c>
      <c r="H218" s="203" t="s">
        <v>200</v>
      </c>
      <c r="I218" s="186" t="str">
        <f t="shared" si="27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>
        <f t="shared" si="28"/>
        <v>217500</v>
      </c>
      <c r="L218" s="189" t="str">
        <f t="shared" si="29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>
        <f t="shared" si="30"/>
        <v>170020</v>
      </c>
      <c r="O218" s="206">
        <f t="shared" si="22"/>
        <v>47480</v>
      </c>
      <c r="P218" s="207">
        <f t="shared" si="31"/>
        <v>0.21829885057471266</v>
      </c>
    </row>
    <row r="219" spans="1:16">
      <c r="A219" s="163" t="s">
        <v>309</v>
      </c>
      <c r="B219" s="163">
        <v>7708</v>
      </c>
      <c r="C219" s="200">
        <v>321217</v>
      </c>
      <c r="D219" s="201">
        <v>0</v>
      </c>
      <c r="E219" s="202" t="s">
        <v>200</v>
      </c>
      <c r="F219" s="200">
        <v>413590</v>
      </c>
      <c r="G219" s="162">
        <v>46001</v>
      </c>
      <c r="H219" s="203" t="s">
        <v>200</v>
      </c>
      <c r="I219" s="186" t="str">
        <f t="shared" si="27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>
        <f t="shared" si="28"/>
        <v>413590</v>
      </c>
      <c r="L219" s="189" t="str">
        <f t="shared" si="29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>
        <f t="shared" si="30"/>
        <v>321217</v>
      </c>
      <c r="O219" s="206">
        <f t="shared" si="22"/>
        <v>92373</v>
      </c>
      <c r="P219" s="207">
        <f t="shared" si="31"/>
        <v>0.22334437486399575</v>
      </c>
    </row>
    <row r="220" spans="1:16">
      <c r="A220" s="163" t="s">
        <v>309</v>
      </c>
      <c r="B220" s="163">
        <v>7734</v>
      </c>
      <c r="C220" s="200">
        <v>134640</v>
      </c>
      <c r="D220" s="201">
        <v>0</v>
      </c>
      <c r="E220" s="202" t="s">
        <v>200</v>
      </c>
      <c r="F220" s="200">
        <v>169850</v>
      </c>
      <c r="G220" s="162">
        <v>46009</v>
      </c>
      <c r="H220" s="203" t="s">
        <v>200</v>
      </c>
      <c r="I220" s="186" t="str">
        <f t="shared" si="27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>
        <f t="shared" si="28"/>
        <v>169850</v>
      </c>
      <c r="L220" s="189" t="str">
        <f t="shared" si="29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>
        <f t="shared" si="30"/>
        <v>134640</v>
      </c>
      <c r="O220" s="206">
        <f t="shared" si="22"/>
        <v>35210</v>
      </c>
      <c r="P220" s="207">
        <f t="shared" si="31"/>
        <v>0.20730055931704444</v>
      </c>
    </row>
    <row r="221" spans="1:16">
      <c r="A221" s="163" t="s">
        <v>309</v>
      </c>
      <c r="B221" s="163">
        <v>7753</v>
      </c>
      <c r="C221" s="200">
        <v>133220</v>
      </c>
      <c r="D221" s="201">
        <v>0</v>
      </c>
      <c r="E221" s="202" t="s">
        <v>200</v>
      </c>
      <c r="F221" s="200">
        <v>168950</v>
      </c>
      <c r="G221" s="162">
        <v>46016</v>
      </c>
      <c r="H221" s="203" t="s">
        <v>200</v>
      </c>
      <c r="I221" s="186" t="str">
        <f t="shared" si="27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>
        <f t="shared" si="28"/>
        <v>168950</v>
      </c>
      <c r="L221" s="189" t="str">
        <f t="shared" si="29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>
        <f t="shared" si="30"/>
        <v>133220</v>
      </c>
      <c r="O221" s="206">
        <f t="shared" si="22"/>
        <v>35730</v>
      </c>
      <c r="P221" s="207">
        <f t="shared" si="31"/>
        <v>0.21148268718555785</v>
      </c>
    </row>
    <row r="222" spans="1:16">
      <c r="A222" s="163" t="s">
        <v>343</v>
      </c>
      <c r="B222" s="163">
        <v>7755</v>
      </c>
      <c r="C222" s="200">
        <v>1795.88</v>
      </c>
      <c r="D222" s="201">
        <v>0</v>
      </c>
      <c r="E222" s="202" t="s">
        <v>199</v>
      </c>
      <c r="F222" s="200">
        <v>1946.9</v>
      </c>
      <c r="G222" s="162">
        <v>46016</v>
      </c>
      <c r="H222" s="203" t="s">
        <v>199</v>
      </c>
      <c r="I222" s="186">
        <f t="shared" si="27"/>
        <v>4</v>
      </c>
      <c r="J222" s="204">
        <f>IF($H222="USD",IF(OR($I222="",$I222="-"),"",VLOOKUP($G222,為替!$A:$AX,$I222,FALSE))+$J$3,IF(OR($I222="",$I222="-"),"",VLOOKUP($G222,為替!$A:$AX,$I222,FALSE)))</f>
        <v>155.41999999999999</v>
      </c>
      <c r="K222" s="205">
        <f t="shared" si="28"/>
        <v>302587.19799999997</v>
      </c>
      <c r="L222" s="189">
        <f t="shared" si="29"/>
        <v>3</v>
      </c>
      <c r="M222" s="204">
        <f>IF($H222="USD",IF(OR($L222="",$L222="-"),"",VLOOKUP($G222,為替!$A:$AX,$L222,FALSE))+$K$3,IF(OR($L222="",$L222="-"),"",VLOOKUP($G222,為替!$A:$AX,$L222,FALSE)))</f>
        <v>156.41999999999999</v>
      </c>
      <c r="N222" s="205">
        <f t="shared" si="30"/>
        <v>280911.54959999997</v>
      </c>
      <c r="O222" s="206">
        <f t="shared" si="22"/>
        <v>21675.648400000005</v>
      </c>
      <c r="P222" s="207">
        <f t="shared" si="31"/>
        <v>7.1634386858627136E-2</v>
      </c>
    </row>
    <row r="223" spans="1:16">
      <c r="A223" s="163" t="s">
        <v>343</v>
      </c>
      <c r="B223" s="163">
        <v>7758</v>
      </c>
      <c r="C223" s="200">
        <v>3168.9</v>
      </c>
      <c r="D223" s="201">
        <v>0</v>
      </c>
      <c r="E223" s="202" t="s">
        <v>199</v>
      </c>
      <c r="F223" s="200">
        <v>3448.96</v>
      </c>
      <c r="G223" s="162">
        <v>46016</v>
      </c>
      <c r="H223" s="203" t="s">
        <v>199</v>
      </c>
      <c r="I223" s="186">
        <f t="shared" si="27"/>
        <v>4</v>
      </c>
      <c r="J223" s="204">
        <f>IF($H223="USD",IF(OR($I223="",$I223="-"),"",VLOOKUP($G223,為替!$A:$AX,$I223,FALSE))+$J$3,IF(OR($I223="",$I223="-"),"",VLOOKUP($G223,為替!$A:$AX,$I223,FALSE)))</f>
        <v>155.41999999999999</v>
      </c>
      <c r="K223" s="205">
        <f>IF($H223="JPY",$F223,IF($H223="","",$F223*$J223))</f>
        <v>536037.36319999991</v>
      </c>
      <c r="L223" s="189">
        <f t="shared" si="29"/>
        <v>3</v>
      </c>
      <c r="M223" s="204">
        <f>IF($H223="USD",IF(OR($L223="",$L223="-"),"",VLOOKUP($G223,為替!$A:$AX,$L223,FALSE))+$K$3,IF(OR($L223="",$L223="-"),"",VLOOKUP($G223,為替!$A:$AX,$L223,FALSE)))</f>
        <v>156.41999999999999</v>
      </c>
      <c r="N223" s="205">
        <f t="shared" si="30"/>
        <v>495679.33799999999</v>
      </c>
      <c r="O223" s="206">
        <f t="shared" si="22"/>
        <v>40358.025199999916</v>
      </c>
      <c r="P223" s="207">
        <f t="shared" si="31"/>
        <v>7.5289574889095948E-2</v>
      </c>
    </row>
    <row r="224" spans="1:16">
      <c r="A224" s="163" t="s">
        <v>343</v>
      </c>
      <c r="B224" s="163">
        <v>7759</v>
      </c>
      <c r="C224" s="200">
        <v>131.28</v>
      </c>
      <c r="D224" s="201">
        <v>0</v>
      </c>
      <c r="E224" s="202" t="s">
        <v>199</v>
      </c>
      <c r="F224" s="200">
        <v>143.79</v>
      </c>
      <c r="G224" s="162">
        <v>46027</v>
      </c>
      <c r="H224" s="203" t="s">
        <v>199</v>
      </c>
      <c r="I224" s="186">
        <f t="shared" si="27"/>
        <v>4</v>
      </c>
      <c r="J224" s="204">
        <f>IF($H224="USD",IF(OR($I224="",$I224="-"),"",VLOOKUP($G224,為替!$A:$AX,$I224,FALSE))+$J$3,IF(OR($I224="",$I224="-"),"",VLOOKUP($G224,為替!$A:$AX,$I224,FALSE)))</f>
        <v>156.79</v>
      </c>
      <c r="K224" s="205">
        <f t="shared" si="28"/>
        <v>22544.834099999996</v>
      </c>
      <c r="L224" s="189">
        <f t="shared" si="29"/>
        <v>3</v>
      </c>
      <c r="M224" s="204">
        <f>IF($H224="USD",IF(OR($L224="",$L224="-"),"",VLOOKUP($G224,為替!$A:$AX,$L224,FALSE))+$K$3,IF(OR($L224="",$L224="-"),"",VLOOKUP($G224,為替!$A:$AX,$L224,FALSE)))</f>
        <v>157.79</v>
      </c>
      <c r="N224" s="205">
        <f t="shared" si="30"/>
        <v>20714.671200000001</v>
      </c>
      <c r="O224" s="206">
        <f t="shared" si="22"/>
        <v>1830.1628999999957</v>
      </c>
      <c r="P224" s="207">
        <f t="shared" si="31"/>
        <v>8.1178814263263802E-2</v>
      </c>
    </row>
    <row r="225" spans="1:16">
      <c r="A225" s="163" t="s">
        <v>343</v>
      </c>
      <c r="B225" s="163">
        <v>7763</v>
      </c>
      <c r="C225" s="200">
        <v>1882.82</v>
      </c>
      <c r="D225" s="201">
        <v>0</v>
      </c>
      <c r="E225" s="202" t="s">
        <v>199</v>
      </c>
      <c r="F225" s="200">
        <v>1994.9</v>
      </c>
      <c r="G225" s="162">
        <v>46028</v>
      </c>
      <c r="H225" s="203" t="s">
        <v>199</v>
      </c>
      <c r="I225" s="186">
        <f t="shared" si="27"/>
        <v>4</v>
      </c>
      <c r="J225" s="204">
        <f>IF($H225="USD",IF(OR($I225="",$I225="-"),"",VLOOKUP($G225,為替!$A:$AX,$I225,FALSE))+$J$3,IF(OR($I225="",$I225="-"),"",VLOOKUP($G225,為替!$A:$AX,$I225,FALSE)))</f>
        <v>156.21</v>
      </c>
      <c r="K225" s="205">
        <f t="shared" si="28"/>
        <v>311623.32900000003</v>
      </c>
      <c r="L225" s="189">
        <f t="shared" si="29"/>
        <v>3</v>
      </c>
      <c r="M225" s="204">
        <f>IF($H225="USD",IF(OR($L225="",$L225="-"),"",VLOOKUP($G225,為替!$A:$AX,$L225,FALSE))+$K$3,IF(OR($L225="",$L225="-"),"",VLOOKUP($G225,為替!$A:$AX,$L225,FALSE)))</f>
        <v>157.21</v>
      </c>
      <c r="N225" s="205">
        <f t="shared" si="30"/>
        <v>295998.13219999999</v>
      </c>
      <c r="O225" s="206">
        <f t="shared" si="22"/>
        <v>15625.196800000034</v>
      </c>
      <c r="P225" s="207">
        <f t="shared" si="31"/>
        <v>5.0141293497317184E-2</v>
      </c>
    </row>
    <row r="226" spans="1:16">
      <c r="A226" s="163" t="s">
        <v>343</v>
      </c>
      <c r="B226" s="163">
        <v>7777</v>
      </c>
      <c r="C226" s="200">
        <v>557.4</v>
      </c>
      <c r="D226" s="201">
        <v>0</v>
      </c>
      <c r="E226" s="202" t="s">
        <v>199</v>
      </c>
      <c r="F226" s="200">
        <v>607.79999999999995</v>
      </c>
      <c r="G226" s="162">
        <v>46031</v>
      </c>
      <c r="H226" s="203" t="s">
        <v>199</v>
      </c>
      <c r="I226" s="186">
        <f t="shared" si="27"/>
        <v>4</v>
      </c>
      <c r="J226" s="204">
        <f>IF($H226="USD",IF(OR($I226="",$I226="-"),"",VLOOKUP($G226,為替!$A:$AX,$I226,FALSE))+$J$3,IF(OR($I226="",$I226="-"),"",VLOOKUP($G226,為替!$A:$AX,$I226,FALSE)))</f>
        <v>156.63999999999999</v>
      </c>
      <c r="K226" s="205">
        <f t="shared" si="28"/>
        <v>95205.791999999987</v>
      </c>
      <c r="L226" s="189">
        <f t="shared" si="29"/>
        <v>3</v>
      </c>
      <c r="M226" s="204">
        <f>IF($H226="USD",IF(OR($L226="",$L226="-"),"",VLOOKUP($G226,為替!$A:$AX,$L226,FALSE))+$K$3,IF(OR($L226="",$L226="-"),"",VLOOKUP($G226,為替!$A:$AX,$L226,FALSE)))</f>
        <v>157.63999999999999</v>
      </c>
      <c r="N226" s="205">
        <f t="shared" si="30"/>
        <v>87868.535999999993</v>
      </c>
      <c r="O226" s="206">
        <f t="shared" si="22"/>
        <v>7337.2559999999939</v>
      </c>
      <c r="P226" s="207">
        <f t="shared" si="31"/>
        <v>7.7067328004581853E-2</v>
      </c>
    </row>
    <row r="227" spans="1:16">
      <c r="A227" s="163" t="s">
        <v>343</v>
      </c>
      <c r="B227" s="163">
        <v>7769</v>
      </c>
      <c r="C227" s="200">
        <v>1655.82</v>
      </c>
      <c r="D227" s="201">
        <v>0</v>
      </c>
      <c r="E227" s="202" t="s">
        <v>199</v>
      </c>
      <c r="F227" s="200">
        <v>1754.95</v>
      </c>
      <c r="G227" s="162">
        <v>46031</v>
      </c>
      <c r="H227" s="203" t="s">
        <v>199</v>
      </c>
      <c r="I227" s="186">
        <f t="shared" si="27"/>
        <v>4</v>
      </c>
      <c r="J227" s="204">
        <f>IF($H227="USD",IF(OR($I227="",$I227="-"),"",VLOOKUP($G227,為替!$A:$AX,$I227,FALSE))+$J$3,IF(OR($I227="",$I227="-"),"",VLOOKUP($G227,為替!$A:$AX,$I227,FALSE)))</f>
        <v>156.63999999999999</v>
      </c>
      <c r="K227" s="205">
        <f t="shared" si="28"/>
        <v>274895.36799999996</v>
      </c>
      <c r="L227" s="189">
        <f t="shared" si="29"/>
        <v>3</v>
      </c>
      <c r="M227" s="204">
        <f>IF($H227="USD",IF(OR($L227="",$L227="-"),"",VLOOKUP($G227,為替!$A:$AX,$L227,FALSE))+$K$3,IF(OR($L227="",$L227="-"),"",VLOOKUP($G227,為替!$A:$AX,$L227,FALSE)))</f>
        <v>157.63999999999999</v>
      </c>
      <c r="N227" s="205">
        <f t="shared" si="30"/>
        <v>261023.46479999996</v>
      </c>
      <c r="O227" s="206">
        <f t="shared" si="22"/>
        <v>13871.903200000001</v>
      </c>
      <c r="P227" s="207">
        <f t="shared" si="31"/>
        <v>5.046248432967413E-2</v>
      </c>
    </row>
    <row r="228" spans="1:16">
      <c r="A228" s="163" t="s">
        <v>343</v>
      </c>
      <c r="B228" s="163">
        <v>7780</v>
      </c>
      <c r="C228" s="200">
        <v>182.79</v>
      </c>
      <c r="D228" s="201">
        <v>0</v>
      </c>
      <c r="E228" s="202" t="s">
        <v>199</v>
      </c>
      <c r="F228" s="200">
        <v>193.75</v>
      </c>
      <c r="G228" s="162">
        <v>46031</v>
      </c>
      <c r="H228" s="203" t="s">
        <v>199</v>
      </c>
      <c r="I228" s="186">
        <f t="shared" si="27"/>
        <v>4</v>
      </c>
      <c r="J228" s="204">
        <f>IF($H228="USD",IF(OR($I228="",$I228="-"),"",VLOOKUP($G228,為替!$A:$AX,$I228,FALSE))+$J$3,IF(OR($I228="",$I228="-"),"",VLOOKUP($G228,為替!$A:$AX,$I228,FALSE)))</f>
        <v>156.63999999999999</v>
      </c>
      <c r="K228" s="205">
        <f t="shared" si="28"/>
        <v>30348.999999999996</v>
      </c>
      <c r="L228" s="189">
        <f t="shared" si="29"/>
        <v>3</v>
      </c>
      <c r="M228" s="204">
        <f>IF($H228="USD",IF(OR($L228="",$L228="-"),"",VLOOKUP($G228,為替!$A:$AX,$L228,FALSE))+$K$3,IF(OR($L228="",$L228="-"),"",VLOOKUP($G228,為替!$A:$AX,$L228,FALSE)))</f>
        <v>157.63999999999999</v>
      </c>
      <c r="N228" s="205">
        <f t="shared" si="30"/>
        <v>28815.015599999995</v>
      </c>
      <c r="O228" s="206">
        <f t="shared" si="22"/>
        <v>1533.9844000000012</v>
      </c>
      <c r="P228" s="207">
        <f t="shared" si="31"/>
        <v>5.0544808725163974E-2</v>
      </c>
    </row>
    <row r="229" spans="1:16">
      <c r="A229" s="163" t="s">
        <v>343</v>
      </c>
      <c r="B229" s="163">
        <v>7778</v>
      </c>
      <c r="C229" s="200">
        <v>1780</v>
      </c>
      <c r="D229" s="201">
        <v>0</v>
      </c>
      <c r="E229" s="202" t="s">
        <v>199</v>
      </c>
      <c r="F229" s="435">
        <v>1885.26</v>
      </c>
      <c r="G229" s="162">
        <v>46034</v>
      </c>
      <c r="H229" s="203" t="s">
        <v>199</v>
      </c>
      <c r="I229" s="186">
        <f t="shared" si="27"/>
        <v>4</v>
      </c>
      <c r="J229" s="204">
        <f>IF($H229="USD",IF(OR($I229="",$I229="-"),"",VLOOKUP($G229,為替!$A:$AX,$I229,FALSE))+$J$3,IF(OR($I229="",$I229="-"),"",VLOOKUP($G229,為替!$A:$AX,$I229,FALSE)))</f>
        <v>156.63999999999999</v>
      </c>
      <c r="K229" s="205">
        <f t="shared" si="28"/>
        <v>295307.12639999995</v>
      </c>
      <c r="L229" s="189">
        <f t="shared" si="29"/>
        <v>3</v>
      </c>
      <c r="M229" s="204">
        <f>IF($H229="USD",IF(OR($L229="",$L229="-"),"",VLOOKUP($G229,為替!$A:$AX,$L229,FALSE))+$K$3,IF(OR($L229="",$L229="-"),"",VLOOKUP($G229,為替!$A:$AX,$L229,FALSE)))</f>
        <v>157.63999999999999</v>
      </c>
      <c r="N229" s="205">
        <f t="shared" si="30"/>
        <v>280599.19999999995</v>
      </c>
      <c r="O229" s="206">
        <f t="shared" si="22"/>
        <v>14707.926399999997</v>
      </c>
      <c r="P229" s="207">
        <f t="shared" si="31"/>
        <v>4.9805524774494569E-2</v>
      </c>
    </row>
    <row r="230" spans="1:16">
      <c r="A230" s="163" t="s">
        <v>343</v>
      </c>
      <c r="B230" s="163">
        <v>7779</v>
      </c>
      <c r="C230" s="200">
        <v>188.37</v>
      </c>
      <c r="D230" s="201">
        <v>0</v>
      </c>
      <c r="E230" s="202" t="s">
        <v>199</v>
      </c>
      <c r="F230" s="200">
        <v>199.33</v>
      </c>
      <c r="G230" s="162">
        <v>46034</v>
      </c>
      <c r="H230" s="203" t="s">
        <v>199</v>
      </c>
      <c r="I230" s="186">
        <f t="shared" si="27"/>
        <v>4</v>
      </c>
      <c r="J230" s="204">
        <f>IF($H230="USD",IF(OR($I230="",$I230="-"),"",VLOOKUP($G230,為替!$A:$AX,$I230,FALSE))+$J$3,IF(OR($I230="",$I230="-"),"",VLOOKUP($G230,為替!$A:$AX,$I230,FALSE)))</f>
        <v>156.63999999999999</v>
      </c>
      <c r="K230" s="205">
        <f t="shared" si="28"/>
        <v>31223.051199999998</v>
      </c>
      <c r="L230" s="189">
        <f t="shared" si="29"/>
        <v>3</v>
      </c>
      <c r="M230" s="204">
        <f>IF($H230="USD",IF(OR($L230="",$L230="-"),"",VLOOKUP($G230,為替!$A:$AX,$L230,FALSE))+$K$3,IF(OR($L230="",$L230="-"),"",VLOOKUP($G230,為替!$A:$AX,$L230,FALSE)))</f>
        <v>157.63999999999999</v>
      </c>
      <c r="N230" s="205">
        <f t="shared" si="30"/>
        <v>29694.646799999999</v>
      </c>
      <c r="O230" s="206">
        <f t="shared" si="22"/>
        <v>1528.4043999999994</v>
      </c>
      <c r="P230" s="207">
        <f t="shared" si="31"/>
        <v>4.8951154395826618E-2</v>
      </c>
    </row>
    <row r="231" spans="1:16">
      <c r="A231" s="163" t="s">
        <v>343</v>
      </c>
      <c r="B231" s="163">
        <v>7781</v>
      </c>
      <c r="C231" s="200">
        <v>165.81</v>
      </c>
      <c r="D231" s="201">
        <v>0</v>
      </c>
      <c r="E231" s="202" t="s">
        <v>199</v>
      </c>
      <c r="F231" s="200">
        <v>175.73</v>
      </c>
      <c r="G231" s="162">
        <v>46035</v>
      </c>
      <c r="H231" s="203" t="s">
        <v>199</v>
      </c>
      <c r="I231" s="186">
        <f t="shared" si="27"/>
        <v>4</v>
      </c>
      <c r="J231" s="204">
        <f>IF($H231="USD",IF(OR($I231="",$I231="-"),"",VLOOKUP($G231,為替!$A:$AX,$I231,FALSE))+$J$3,IF(OR($I231="",$I231="-"),"",VLOOKUP($G231,為替!$A:$AX,$I231,FALSE)))</f>
        <v>157.78</v>
      </c>
      <c r="K231" s="205">
        <f t="shared" si="28"/>
        <v>27726.679399999997</v>
      </c>
      <c r="L231" s="189">
        <f t="shared" si="29"/>
        <v>3</v>
      </c>
      <c r="M231" s="204">
        <f>IF($H231="USD",IF(OR($L231="",$L231="-"),"",VLOOKUP($G231,為替!$A:$AX,$L231,FALSE))+$K$3,IF(OR($L231="",$L231="-"),"",VLOOKUP($G231,為替!$A:$AX,$L231,FALSE)))</f>
        <v>158.78</v>
      </c>
      <c r="N231" s="205">
        <f t="shared" si="30"/>
        <v>26327.311799999999</v>
      </c>
      <c r="O231" s="206">
        <f t="shared" si="22"/>
        <v>1399.3675999999978</v>
      </c>
      <c r="P231" s="207">
        <f t="shared" si="31"/>
        <v>5.047007540325936E-2</v>
      </c>
    </row>
    <row r="232" spans="1:16">
      <c r="A232" s="163" t="s">
        <v>343</v>
      </c>
      <c r="B232" s="163">
        <v>7783</v>
      </c>
      <c r="C232" s="200">
        <v>834.07</v>
      </c>
      <c r="D232" s="201">
        <v>0</v>
      </c>
      <c r="E232" s="202" t="s">
        <v>199</v>
      </c>
      <c r="F232" s="200">
        <v>884.4</v>
      </c>
      <c r="G232" s="162">
        <v>46035</v>
      </c>
      <c r="H232" s="203" t="s">
        <v>199</v>
      </c>
      <c r="I232" s="186">
        <f t="shared" si="27"/>
        <v>4</v>
      </c>
      <c r="J232" s="204">
        <f>IF($H232="USD",IF(OR($I232="",$I232="-"),"",VLOOKUP($G232,為替!$A:$AX,$I232,FALSE))+$J$3,IF(OR($I232="",$I232="-"),"",VLOOKUP($G232,為替!$A:$AX,$I232,FALSE)))</f>
        <v>157.78</v>
      </c>
      <c r="K232" s="205">
        <f t="shared" si="28"/>
        <v>139540.63199999998</v>
      </c>
      <c r="L232" s="189">
        <f t="shared" si="29"/>
        <v>3</v>
      </c>
      <c r="M232" s="204">
        <f>IF($H232="USD",IF(OR($L232="",$L232="-"),"",VLOOKUP($G232,為替!$A:$AX,$L232,FALSE))+$K$3,IF(OR($L232="",$L232="-"),"",VLOOKUP($G232,為替!$A:$AX,$L232,FALSE)))</f>
        <v>158.78</v>
      </c>
      <c r="N232" s="205">
        <f t="shared" si="30"/>
        <v>132433.63460000002</v>
      </c>
      <c r="O232" s="206">
        <f t="shared" si="22"/>
        <v>7106.9973999999638</v>
      </c>
      <c r="P232" s="207">
        <f t="shared" si="31"/>
        <v>5.0931383197404215E-2</v>
      </c>
    </row>
    <row r="233" spans="1:16">
      <c r="A233" s="163" t="s">
        <v>343</v>
      </c>
      <c r="B233" s="163">
        <v>7788</v>
      </c>
      <c r="C233" s="200">
        <v>806.09</v>
      </c>
      <c r="D233" s="201">
        <v>0</v>
      </c>
      <c r="E233" s="202" t="s">
        <v>199</v>
      </c>
      <c r="F233" s="200">
        <v>876.37</v>
      </c>
      <c r="G233" s="162">
        <v>46035</v>
      </c>
      <c r="H233" s="203" t="s">
        <v>199</v>
      </c>
      <c r="I233" s="186">
        <f t="shared" si="27"/>
        <v>4</v>
      </c>
      <c r="J233" s="204">
        <f>IF($H233="USD",IF(OR($I233="",$I233="-"),"",VLOOKUP($G233,為替!$A:$AX,$I233,FALSE))+$J$3,IF(OR($I233="",$I233="-"),"",VLOOKUP($G233,為替!$A:$AX,$I233,FALSE)))</f>
        <v>157.78</v>
      </c>
      <c r="K233" s="205">
        <f t="shared" si="28"/>
        <v>138273.6586</v>
      </c>
      <c r="L233" s="189">
        <f t="shared" si="29"/>
        <v>3</v>
      </c>
      <c r="M233" s="204">
        <f>IF($H233="USD",IF(OR($L233="",$L233="-"),"",VLOOKUP($G233,為替!$A:$AX,$L233,FALSE))+$K$3,IF(OR($L233="",$L233="-"),"",VLOOKUP($G233,為替!$A:$AX,$L233,FALSE)))</f>
        <v>158.78</v>
      </c>
      <c r="N233" s="205">
        <f t="shared" si="30"/>
        <v>127990.97020000001</v>
      </c>
      <c r="O233" s="206">
        <f t="shared" si="22"/>
        <v>10282.688399999985</v>
      </c>
      <c r="P233" s="207">
        <f t="shared" si="31"/>
        <v>7.4364766970879764E-2</v>
      </c>
    </row>
    <row r="234" spans="1:16">
      <c r="A234" s="163" t="s">
        <v>343</v>
      </c>
      <c r="B234" s="163">
        <v>7790</v>
      </c>
      <c r="C234" s="200">
        <v>763.56</v>
      </c>
      <c r="D234" s="201">
        <v>0</v>
      </c>
      <c r="E234" s="202" t="s">
        <v>199</v>
      </c>
      <c r="F234" s="200">
        <v>800.7</v>
      </c>
      <c r="G234" s="162">
        <v>46037</v>
      </c>
      <c r="H234" s="203" t="s">
        <v>199</v>
      </c>
      <c r="I234" s="186">
        <f t="shared" si="27"/>
        <v>4</v>
      </c>
      <c r="J234" s="204">
        <f>IF($H234="USD",IF(OR($I234="",$I234="-"),"",VLOOKUP($G234,為替!$A:$AX,$I234,FALSE))+$J$3,IF(OR($I234="",$I234="-"),"",VLOOKUP($G234,為替!$A:$AX,$I234,FALSE)))</f>
        <v>158.08000000000001</v>
      </c>
      <c r="K234" s="205">
        <f t="shared" si="28"/>
        <v>126574.65600000002</v>
      </c>
      <c r="L234" s="189">
        <f t="shared" si="29"/>
        <v>3</v>
      </c>
      <c r="M234" s="204">
        <f>IF($H234="USD",IF(OR($L234="",$L234="-"),"",VLOOKUP($G234,為替!$A:$AX,$L234,FALSE))+$K$3,IF(OR($L234="",$L234="-"),"",VLOOKUP($G234,為替!$A:$AX,$L234,FALSE)))</f>
        <v>159.08000000000001</v>
      </c>
      <c r="N234" s="205">
        <f t="shared" si="30"/>
        <v>121467.12480000001</v>
      </c>
      <c r="O234" s="206">
        <f t="shared" si="22"/>
        <v>5107.5312000000122</v>
      </c>
      <c r="P234" s="207">
        <f t="shared" si="31"/>
        <v>4.0351926376161841E-2</v>
      </c>
    </row>
    <row r="235" spans="1:16">
      <c r="A235" s="163" t="s">
        <v>343</v>
      </c>
      <c r="B235" s="163">
        <v>7794</v>
      </c>
      <c r="C235" s="200">
        <v>30.89</v>
      </c>
      <c r="D235" s="201">
        <v>0</v>
      </c>
      <c r="E235" s="202" t="s">
        <v>199</v>
      </c>
      <c r="F235" s="200">
        <v>32.74</v>
      </c>
      <c r="G235" s="162">
        <v>46038</v>
      </c>
      <c r="H235" s="203" t="s">
        <v>199</v>
      </c>
      <c r="I235" s="186">
        <f t="shared" si="27"/>
        <v>4</v>
      </c>
      <c r="J235" s="204">
        <f>IF($H235="USD",IF(OR($I235="",$I235="-"),"",VLOOKUP($G235,為替!$A:$AX,$I235,FALSE))+$J$3,IF(OR($I235="",$I235="-"),"",VLOOKUP($G235,為替!$A:$AX,$I235,FALSE)))</f>
        <v>158.27000000000001</v>
      </c>
      <c r="K235" s="205">
        <f t="shared" si="28"/>
        <v>5181.7598000000007</v>
      </c>
      <c r="L235" s="189">
        <f t="shared" si="29"/>
        <v>3</v>
      </c>
      <c r="M235" s="204">
        <f>IF($H235="USD",IF(OR($L235="",$L235="-"),"",VLOOKUP($G235,為替!$A:$AX,$L235,FALSE))+$K$3,IF(OR($L235="",$L235="-"),"",VLOOKUP($G235,為替!$A:$AX,$L235,FALSE)))</f>
        <v>159.27000000000001</v>
      </c>
      <c r="N235" s="205">
        <f t="shared" si="30"/>
        <v>4919.8503000000001</v>
      </c>
      <c r="O235" s="206">
        <f t="shared" si="22"/>
        <v>261.90950000000066</v>
      </c>
      <c r="P235" s="207">
        <f t="shared" si="31"/>
        <v>5.0544508064615544E-2</v>
      </c>
    </row>
    <row r="236" spans="1:16">
      <c r="A236" s="163" t="s">
        <v>343</v>
      </c>
      <c r="B236" s="163">
        <v>7799</v>
      </c>
      <c r="C236" s="200">
        <v>368.6</v>
      </c>
      <c r="D236" s="201">
        <v>0</v>
      </c>
      <c r="E236" s="202" t="s">
        <v>199</v>
      </c>
      <c r="F236" s="200">
        <v>390.9</v>
      </c>
      <c r="G236" s="162">
        <v>46041</v>
      </c>
      <c r="H236" s="203" t="s">
        <v>199</v>
      </c>
      <c r="I236" s="186">
        <f t="shared" si="27"/>
        <v>4</v>
      </c>
      <c r="J236" s="204">
        <f>IF($H236="USD",IF(OR($I236="",$I236="-"),"",VLOOKUP($G236,為替!$A:$AX,$I236,FALSE))+$J$3,IF(OR($I236="",$I236="-"),"",VLOOKUP($G236,為替!$A:$AX,$I236,FALSE)))</f>
        <v>157.05000000000001</v>
      </c>
      <c r="K236" s="205">
        <f t="shared" si="28"/>
        <v>61390.845000000001</v>
      </c>
      <c r="L236" s="189">
        <f t="shared" si="29"/>
        <v>3</v>
      </c>
      <c r="M236" s="204">
        <f>IF($H236="USD",IF(OR($L236="",$L236="-"),"",VLOOKUP($G236,為替!$A:$AX,$L236,FALSE))+$K$3,IF(OR($L236="",$L236="-"),"",VLOOKUP($G236,為替!$A:$AX,$L236,FALSE)))</f>
        <v>158.05000000000001</v>
      </c>
      <c r="N236" s="205">
        <f t="shared" si="30"/>
        <v>58257.23000000001</v>
      </c>
      <c r="O236" s="206">
        <f t="shared" si="22"/>
        <v>3133.6149999999907</v>
      </c>
      <c r="P236" s="207">
        <f t="shared" si="31"/>
        <v>5.1043685748257586E-2</v>
      </c>
    </row>
    <row r="237" spans="1:16">
      <c r="A237" s="163" t="s">
        <v>343</v>
      </c>
      <c r="B237" s="163">
        <v>7801</v>
      </c>
      <c r="C237" s="200">
        <v>33.96</v>
      </c>
      <c r="D237" s="201">
        <v>0</v>
      </c>
      <c r="E237" s="202" t="s">
        <v>199</v>
      </c>
      <c r="F237" s="200">
        <v>35.94</v>
      </c>
      <c r="G237" s="162">
        <v>46041</v>
      </c>
      <c r="H237" s="203" t="s">
        <v>199</v>
      </c>
      <c r="I237" s="186">
        <f t="shared" si="27"/>
        <v>4</v>
      </c>
      <c r="J237" s="204">
        <f>IF($H237="USD",IF(OR($I237="",$I237="-"),"",VLOOKUP($G237,為替!$A:$AX,$I237,FALSE))+$J$3,IF(OR($I237="",$I237="-"),"",VLOOKUP($G237,為替!$A:$AX,$I237,FALSE)))</f>
        <v>157.05000000000001</v>
      </c>
      <c r="K237" s="205">
        <f t="shared" si="28"/>
        <v>5644.3770000000004</v>
      </c>
      <c r="L237" s="189">
        <f t="shared" si="29"/>
        <v>3</v>
      </c>
      <c r="M237" s="204">
        <f>IF($H237="USD",IF(OR($L237="",$L237="-"),"",VLOOKUP($G237,為替!$A:$AX,$L237,FALSE))+$K$3,IF(OR($L237="",$L237="-"),"",VLOOKUP($G237,為替!$A:$AX,$L237,FALSE)))</f>
        <v>158.05000000000001</v>
      </c>
      <c r="N237" s="205">
        <f t="shared" si="30"/>
        <v>5367.3780000000006</v>
      </c>
      <c r="O237" s="206">
        <f t="shared" si="22"/>
        <v>276.9989999999998</v>
      </c>
      <c r="P237" s="207">
        <f t="shared" si="31"/>
        <v>4.9075212375076963E-2</v>
      </c>
    </row>
    <row r="238" spans="1:16">
      <c r="A238" s="163" t="s">
        <v>343</v>
      </c>
      <c r="B238" s="163">
        <v>7802</v>
      </c>
      <c r="C238" s="200">
        <v>940.23</v>
      </c>
      <c r="D238" s="201">
        <v>0</v>
      </c>
      <c r="E238" s="202" t="s">
        <v>199</v>
      </c>
      <c r="F238" s="200">
        <v>996.96</v>
      </c>
      <c r="G238" s="162">
        <v>46042</v>
      </c>
      <c r="H238" s="203" t="s">
        <v>199</v>
      </c>
      <c r="I238" s="186">
        <f t="shared" si="27"/>
        <v>4</v>
      </c>
      <c r="J238" s="204">
        <f>IF($H238="USD",IF(OR($I238="",$I238="-"),"",VLOOKUP($G238,為替!$A:$AX,$I238,FALSE))+$J$3,IF(OR($I238="",$I238="-"),"",VLOOKUP($G238,為替!$A:$AX,$I238,FALSE)))</f>
        <v>157.69</v>
      </c>
      <c r="K238" s="205">
        <f t="shared" si="28"/>
        <v>157210.62239999999</v>
      </c>
      <c r="L238" s="189">
        <f t="shared" si="29"/>
        <v>3</v>
      </c>
      <c r="M238" s="204">
        <f>IF($H238="USD",IF(OR($L238="",$L238="-"),"",VLOOKUP($G238,為替!$A:$AX,$L238,FALSE))+$K$3,IF(OR($L238="",$L238="-"),"",VLOOKUP($G238,為替!$A:$AX,$L238,FALSE)))</f>
        <v>158.69</v>
      </c>
      <c r="N238" s="205">
        <f t="shared" si="30"/>
        <v>149205.0987</v>
      </c>
      <c r="O238" s="206">
        <f t="shared" si="22"/>
        <v>8005.5236999999906</v>
      </c>
      <c r="P238" s="207">
        <f t="shared" si="31"/>
        <v>5.0922282335547769E-2</v>
      </c>
    </row>
    <row r="239" spans="1:16">
      <c r="A239" s="163" t="s">
        <v>343</v>
      </c>
      <c r="B239" s="163">
        <v>7793</v>
      </c>
      <c r="C239" s="200">
        <v>795.38</v>
      </c>
      <c r="D239" s="201">
        <v>0</v>
      </c>
      <c r="E239" s="202" t="s">
        <v>199</v>
      </c>
      <c r="F239" s="200">
        <v>838.94</v>
      </c>
      <c r="G239" s="162">
        <v>46042</v>
      </c>
      <c r="H239" s="203" t="s">
        <v>199</v>
      </c>
      <c r="I239" s="186">
        <f t="shared" si="27"/>
        <v>4</v>
      </c>
      <c r="J239" s="204">
        <f>IF($H239="USD",IF(OR($I239="",$I239="-"),"",VLOOKUP($G239,為替!$A:$AX,$I239,FALSE))+$J$3,IF(OR($I239="",$I239="-"),"",VLOOKUP($G239,為替!$A:$AX,$I239,FALSE)))</f>
        <v>157.69</v>
      </c>
      <c r="K239" s="205">
        <f t="shared" si="28"/>
        <v>132292.4486</v>
      </c>
      <c r="L239" s="189">
        <f t="shared" si="29"/>
        <v>3</v>
      </c>
      <c r="M239" s="204">
        <f>IF($H239="USD",IF(OR($L239="",$L239="-"),"",VLOOKUP($G239,為替!$A:$AX,$L239,FALSE))+$K$3,IF(OR($L239="",$L239="-"),"",VLOOKUP($G239,為替!$A:$AX,$L239,FALSE)))</f>
        <v>158.69</v>
      </c>
      <c r="N239" s="205">
        <f t="shared" si="30"/>
        <v>126218.85219999999</v>
      </c>
      <c r="O239" s="206">
        <f t="shared" si="22"/>
        <v>6073.5964000000095</v>
      </c>
      <c r="P239" s="207">
        <f t="shared" si="31"/>
        <v>4.5910378591329584E-2</v>
      </c>
    </row>
    <row r="240" spans="1:16">
      <c r="A240" s="163" t="s">
        <v>343</v>
      </c>
      <c r="B240" s="163">
        <v>7823</v>
      </c>
      <c r="C240" s="200">
        <v>950.61</v>
      </c>
      <c r="D240" s="201">
        <v>0</v>
      </c>
      <c r="E240" s="202" t="s">
        <v>199</v>
      </c>
      <c r="F240" s="200">
        <v>1006.5</v>
      </c>
      <c r="G240" s="162">
        <v>46041</v>
      </c>
      <c r="H240" s="203" t="s">
        <v>199</v>
      </c>
      <c r="I240" s="186">
        <f t="shared" si="27"/>
        <v>4</v>
      </c>
      <c r="J240" s="204">
        <f>IF($H240="USD",IF(OR($I240="",$I240="-"),"",VLOOKUP($G240,為替!$A:$AX,$I240,FALSE))+$J$3,IF(OR($I240="",$I240="-"),"",VLOOKUP($G240,為替!$A:$AX,$I240,FALSE)))</f>
        <v>157.05000000000001</v>
      </c>
      <c r="K240" s="205">
        <f t="shared" si="28"/>
        <v>158070.82500000001</v>
      </c>
      <c r="L240" s="189">
        <f t="shared" si="29"/>
        <v>3</v>
      </c>
      <c r="M240" s="204">
        <f>IF($H240="USD",IF(OR($L240="",$L240="-"),"",VLOOKUP($G240,為替!$A:$AX,$L240,FALSE))+$K$3,IF(OR($L240="",$L240="-"),"",VLOOKUP($G240,為替!$A:$AX,$L240,FALSE)))</f>
        <v>158.05000000000001</v>
      </c>
      <c r="N240" s="205">
        <f t="shared" si="30"/>
        <v>150243.91050000003</v>
      </c>
      <c r="O240" s="206">
        <f t="shared" si="22"/>
        <v>7826.9144999999844</v>
      </c>
      <c r="P240" s="207">
        <f t="shared" si="31"/>
        <v>4.9515237868847609E-2</v>
      </c>
    </row>
    <row r="241" spans="1:16">
      <c r="A241" s="163" t="s">
        <v>343</v>
      </c>
      <c r="B241" s="163">
        <v>7819</v>
      </c>
      <c r="C241" s="200">
        <v>651.30999999999995</v>
      </c>
      <c r="D241" s="201">
        <v>0</v>
      </c>
      <c r="E241" s="202" t="s">
        <v>199</v>
      </c>
      <c r="F241" s="200">
        <v>685.54</v>
      </c>
      <c r="G241" s="162">
        <v>46049</v>
      </c>
      <c r="H241" s="203" t="s">
        <v>199</v>
      </c>
      <c r="I241" s="186">
        <f t="shared" si="27"/>
        <v>4</v>
      </c>
      <c r="J241" s="204">
        <f>IF($H241="USD",IF(OR($I241="",$I241="-"),"",VLOOKUP($G241,為替!$A:$AX,$I241,FALSE))+$J$3,IF(OR($I241="",$I241="-"),"",VLOOKUP($G241,為替!$A:$AX,$I241,FALSE)))</f>
        <v>153.83000000000001</v>
      </c>
      <c r="K241" s="205">
        <f t="shared" si="28"/>
        <v>105456.6182</v>
      </c>
      <c r="L241" s="189">
        <f t="shared" si="29"/>
        <v>3</v>
      </c>
      <c r="M241" s="204">
        <f>IF($H241="USD",IF(OR($L241="",$L241="-"),"",VLOOKUP($G241,為替!$A:$AX,$L241,FALSE))+$K$3,IF(OR($L241="",$L241="-"),"",VLOOKUP($G241,為替!$A:$AX,$L241,FALSE)))</f>
        <v>154.83000000000001</v>
      </c>
      <c r="N241" s="205">
        <f t="shared" si="30"/>
        <v>100842.3273</v>
      </c>
      <c r="O241" s="206">
        <f t="shared" si="22"/>
        <v>4614.2908999999927</v>
      </c>
      <c r="P241" s="207">
        <f t="shared" si="31"/>
        <v>4.3755346783915669E-2</v>
      </c>
    </row>
    <row r="242" spans="1:16">
      <c r="A242" s="163" t="s">
        <v>343</v>
      </c>
      <c r="B242" s="163">
        <v>7820</v>
      </c>
      <c r="C242" s="200">
        <v>169.8</v>
      </c>
      <c r="D242" s="201">
        <v>0</v>
      </c>
      <c r="E242" s="202" t="s">
        <v>199</v>
      </c>
      <c r="F242" s="200">
        <v>179.82</v>
      </c>
      <c r="G242" s="162">
        <v>46049</v>
      </c>
      <c r="H242" s="203" t="s">
        <v>199</v>
      </c>
      <c r="I242" s="186">
        <f t="shared" si="27"/>
        <v>4</v>
      </c>
      <c r="J242" s="204">
        <f>IF($H242="USD",IF(OR($I242="",$I242="-"),"",VLOOKUP($G242,為替!$A:$AX,$I242,FALSE))+$J$3,IF(OR($I242="",$I242="-"),"",VLOOKUP($G242,為替!$A:$AX,$I242,FALSE)))</f>
        <v>153.83000000000001</v>
      </c>
      <c r="K242" s="205">
        <f t="shared" si="28"/>
        <v>27661.710600000002</v>
      </c>
      <c r="L242" s="189">
        <f t="shared" si="29"/>
        <v>3</v>
      </c>
      <c r="M242" s="204">
        <f>IF($H242="USD",IF(OR($L242="",$L242="-"),"",VLOOKUP($G242,為替!$A:$AX,$L242,FALSE))+$K$3,IF(OR($L242="",$L242="-"),"",VLOOKUP($G242,為替!$A:$AX,$L242,FALSE)))</f>
        <v>154.83000000000001</v>
      </c>
      <c r="N242" s="205">
        <f t="shared" si="30"/>
        <v>26290.134000000005</v>
      </c>
      <c r="O242" s="206">
        <f t="shared" si="22"/>
        <v>1371.5765999999967</v>
      </c>
      <c r="P242" s="207">
        <f t="shared" si="31"/>
        <v>4.9583940047438588E-2</v>
      </c>
    </row>
    <row r="243" spans="1:16">
      <c r="A243" s="163" t="s">
        <v>343</v>
      </c>
      <c r="B243" s="163">
        <v>7818</v>
      </c>
      <c r="C243" s="200">
        <v>109.38</v>
      </c>
      <c r="D243" s="201">
        <v>0</v>
      </c>
      <c r="E243" s="202" t="s">
        <v>199</v>
      </c>
      <c r="F243" s="200">
        <v>119.76</v>
      </c>
      <c r="G243" s="162">
        <v>46048</v>
      </c>
      <c r="H243" s="203" t="s">
        <v>199</v>
      </c>
      <c r="I243" s="186">
        <f t="shared" si="27"/>
        <v>4</v>
      </c>
      <c r="J243" s="204">
        <f>IF($H243="USD",IF(OR($I243="",$I243="-"),"",VLOOKUP($G243,為替!$A:$AX,$I243,FALSE))+$J$3,IF(OR($I243="",$I243="-"),"",VLOOKUP($G243,為替!$A:$AX,$I243,FALSE)))</f>
        <v>154.35</v>
      </c>
      <c r="K243" s="205">
        <f t="shared" si="28"/>
        <v>18484.955999999998</v>
      </c>
      <c r="L243" s="189">
        <f t="shared" si="29"/>
        <v>3</v>
      </c>
      <c r="M243" s="204">
        <f>IF($H243="USD",IF(OR($L243="",$L243="-"),"",VLOOKUP($G243,為替!$A:$AX,$L243,FALSE))+$K$3,IF(OR($L243="",$L243="-"),"",VLOOKUP($G243,為替!$A:$AX,$L243,FALSE)))</f>
        <v>155.35</v>
      </c>
      <c r="N243" s="205">
        <f t="shared" si="30"/>
        <v>16992.182999999997</v>
      </c>
      <c r="O243" s="206">
        <f t="shared" si="22"/>
        <v>1492.773000000001</v>
      </c>
      <c r="P243" s="207">
        <f t="shared" si="31"/>
        <v>8.0756102421883025E-2</v>
      </c>
    </row>
    <row r="244" spans="1:16">
      <c r="A244" s="163" t="s">
        <v>343</v>
      </c>
      <c r="B244" s="163">
        <v>7800</v>
      </c>
      <c r="C244" s="200">
        <v>88.74</v>
      </c>
      <c r="D244" s="201">
        <v>0</v>
      </c>
      <c r="E244" s="202" t="s">
        <v>199</v>
      </c>
      <c r="F244" s="200">
        <v>94.02</v>
      </c>
      <c r="G244" s="162">
        <v>46041</v>
      </c>
      <c r="H244" s="203" t="s">
        <v>199</v>
      </c>
      <c r="I244" s="186">
        <f t="shared" si="27"/>
        <v>4</v>
      </c>
      <c r="J244" s="204">
        <f>IF($H244="USD",IF(OR($I244="",$I244="-"),"",VLOOKUP($G244,為替!$A:$AX,$I244,FALSE))+$J$3,IF(OR($I244="",$I244="-"),"",VLOOKUP($G244,為替!$A:$AX,$I244,FALSE)))</f>
        <v>157.05000000000001</v>
      </c>
      <c r="K244" s="205">
        <f t="shared" si="28"/>
        <v>14765.841</v>
      </c>
      <c r="L244" s="189">
        <f t="shared" si="29"/>
        <v>3</v>
      </c>
      <c r="M244" s="204">
        <f>IF($H244="USD",IF(OR($L244="",$L244="-"),"",VLOOKUP($G244,為替!$A:$AX,$L244,FALSE))+$K$3,IF(OR($L244="",$L244="-"),"",VLOOKUP($G244,為替!$A:$AX,$L244,FALSE)))</f>
        <v>158.05000000000001</v>
      </c>
      <c r="N244" s="205">
        <f t="shared" si="30"/>
        <v>14025.357</v>
      </c>
      <c r="O244" s="206">
        <f t="shared" si="22"/>
        <v>740.48400000000038</v>
      </c>
      <c r="P244" s="207">
        <f t="shared" si="31"/>
        <v>5.014844735223685E-2</v>
      </c>
    </row>
    <row r="245" spans="1:16">
      <c r="A245" s="163" t="s">
        <v>343</v>
      </c>
      <c r="B245" s="163">
        <v>7830</v>
      </c>
      <c r="C245" s="200">
        <v>575.67999999999995</v>
      </c>
      <c r="D245" s="201">
        <v>0</v>
      </c>
      <c r="E245" s="202" t="s">
        <v>199</v>
      </c>
      <c r="F245" s="200">
        <v>630.38</v>
      </c>
      <c r="G245" s="162">
        <v>46050</v>
      </c>
      <c r="H245" s="203" t="s">
        <v>199</v>
      </c>
      <c r="I245" s="186">
        <f t="shared" si="27"/>
        <v>4</v>
      </c>
      <c r="J245" s="204">
        <f>IF($H245="USD",IF(OR($I245="",$I245="-"),"",VLOOKUP($G245,為替!$A:$AX,$I245,FALSE))+$J$3,IF(OR($I245="",$I245="-"),"",VLOOKUP($G245,為替!$A:$AX,$I245,FALSE)))</f>
        <v>151.97</v>
      </c>
      <c r="K245" s="205">
        <f t="shared" si="28"/>
        <v>95798.848599999998</v>
      </c>
      <c r="L245" s="189">
        <f t="shared" si="29"/>
        <v>3</v>
      </c>
      <c r="M245" s="204">
        <f>IF($H245="USD",IF(OR($L245="",$L245="-"),"",VLOOKUP($G245,為替!$A:$AX,$L245,FALSE))+$K$3,IF(OR($L245="",$L245="-"),"",VLOOKUP($G245,為替!$A:$AX,$L245,FALSE)))</f>
        <v>152.97</v>
      </c>
      <c r="N245" s="205">
        <f t="shared" si="30"/>
        <v>88061.769599999985</v>
      </c>
      <c r="O245" s="206">
        <f t="shared" si="22"/>
        <v>7737.0790000000125</v>
      </c>
      <c r="P245" s="207">
        <f t="shared" si="31"/>
        <v>8.0763799493097588E-2</v>
      </c>
    </row>
    <row r="246" spans="1:16">
      <c r="A246" s="163" t="s">
        <v>343</v>
      </c>
      <c r="B246" s="163">
        <v>7831</v>
      </c>
      <c r="C246" s="200">
        <v>6601.01</v>
      </c>
      <c r="D246" s="201">
        <v>0</v>
      </c>
      <c r="E246" s="202" t="s">
        <v>199</v>
      </c>
      <c r="F246" s="200">
        <v>6993.89</v>
      </c>
      <c r="G246" s="162">
        <v>46051</v>
      </c>
      <c r="H246" s="203" t="s">
        <v>199</v>
      </c>
      <c r="I246" s="186">
        <f t="shared" si="27"/>
        <v>4</v>
      </c>
      <c r="J246" s="204">
        <f>IF($H246="USD",IF(OR($I246="",$I246="-"),"",VLOOKUP($G246,為替!$A:$AX,$I246,FALSE))+$J$3,IF(OR($I246="",$I246="-"),"",VLOOKUP($G246,為替!$A:$AX,$I246,FALSE)))</f>
        <v>152.65</v>
      </c>
      <c r="K246" s="205">
        <f t="shared" si="28"/>
        <v>1067617.3085</v>
      </c>
      <c r="L246" s="189">
        <f t="shared" si="29"/>
        <v>3</v>
      </c>
      <c r="M246" s="204">
        <f>IF($H246="USD",IF(OR($L246="",$L246="-"),"",VLOOKUP($G246,為替!$A:$AX,$L246,FALSE))+$K$3,IF(OR($L246="",$L246="-"),"",VLOOKUP($G246,為替!$A:$AX,$L246,FALSE)))</f>
        <v>153.65</v>
      </c>
      <c r="N246" s="205">
        <f t="shared" si="30"/>
        <v>1014245.1865000001</v>
      </c>
      <c r="O246" s="206">
        <f t="shared" si="22"/>
        <v>53372.121999999974</v>
      </c>
      <c r="P246" s="207">
        <f t="shared" si="31"/>
        <v>4.999181033790815E-2</v>
      </c>
    </row>
    <row r="247" spans="1:16">
      <c r="A247" s="163" t="s">
        <v>344</v>
      </c>
      <c r="B247" s="163">
        <v>7827</v>
      </c>
      <c r="C247" s="200">
        <v>5449.92</v>
      </c>
      <c r="D247" s="201">
        <v>337.38</v>
      </c>
      <c r="E247" s="202" t="s">
        <v>199</v>
      </c>
      <c r="F247" s="200">
        <v>6488</v>
      </c>
      <c r="G247" s="162">
        <v>46051</v>
      </c>
      <c r="H247" s="203" t="s">
        <v>199</v>
      </c>
      <c r="I247" s="186">
        <f t="shared" si="27"/>
        <v>4</v>
      </c>
      <c r="J247" s="204">
        <f>IF($H247="USD",IF(OR($I247="",$I247="-"),"",VLOOKUP($G247,為替!$A:$AX,$I247,FALSE))+$J$3,IF(OR($I247="",$I247="-"),"",VLOOKUP($G247,為替!$A:$AX,$I247,FALSE)))</f>
        <v>152.65</v>
      </c>
      <c r="K247" s="205">
        <f t="shared" si="28"/>
        <v>990393.20000000007</v>
      </c>
      <c r="L247" s="189">
        <f t="shared" si="29"/>
        <v>3</v>
      </c>
      <c r="M247" s="204">
        <f>IF($H247="USD",IF(OR($L247="",$L247="-"),"",VLOOKUP($G247,為替!$A:$AX,$L247,FALSE))+$K$3,IF(OR($L247="",$L247="-"),"",VLOOKUP($G247,為替!$A:$AX,$L247,FALSE)))</f>
        <v>153.65</v>
      </c>
      <c r="N247" s="205">
        <f t="shared" si="30"/>
        <v>889218.64500000002</v>
      </c>
      <c r="O247" s="206">
        <f t="shared" si="22"/>
        <v>101174.55500000005</v>
      </c>
      <c r="P247" s="207">
        <f t="shared" si="31"/>
        <v>0.10215594674923055</v>
      </c>
    </row>
    <row r="248" spans="1:16">
      <c r="A248" s="163" t="s">
        <v>344</v>
      </c>
      <c r="B248" s="163">
        <v>7828</v>
      </c>
      <c r="C248" s="200">
        <v>908.2</v>
      </c>
      <c r="D248" s="201">
        <v>56.22</v>
      </c>
      <c r="E248" s="202" t="s">
        <v>199</v>
      </c>
      <c r="F248" s="200">
        <v>1081.2</v>
      </c>
      <c r="G248" s="162">
        <v>46051</v>
      </c>
      <c r="H248" s="203" t="s">
        <v>199</v>
      </c>
      <c r="I248" s="186">
        <f t="shared" si="27"/>
        <v>4</v>
      </c>
      <c r="J248" s="204">
        <f>IF($H248="USD",IF(OR($I248="",$I248="-"),"",VLOOKUP($G248,為替!$A:$AX,$I248,FALSE))+$J$3,IF(OR($I248="",$I248="-"),"",VLOOKUP($G248,為替!$A:$AX,$I248,FALSE)))</f>
        <v>152.65</v>
      </c>
      <c r="K248" s="205">
        <f t="shared" si="28"/>
        <v>165045.18000000002</v>
      </c>
      <c r="L248" s="189">
        <f t="shared" si="29"/>
        <v>3</v>
      </c>
      <c r="M248" s="204">
        <f>IF($H248="USD",IF(OR($L248="",$L248="-"),"",VLOOKUP($G248,為替!$A:$AX,$L248,FALSE))+$K$3,IF(OR($L248="",$L248="-"),"",VLOOKUP($G248,為替!$A:$AX,$L248,FALSE)))</f>
        <v>153.65</v>
      </c>
      <c r="N248" s="205">
        <f t="shared" si="30"/>
        <v>148183.13300000003</v>
      </c>
      <c r="O248" s="206">
        <f t="shared" si="22"/>
        <v>16862.046999999991</v>
      </c>
      <c r="P248" s="207">
        <f t="shared" si="31"/>
        <v>0.10216624926580703</v>
      </c>
    </row>
    <row r="249" spans="1:16">
      <c r="A249" s="163" t="s">
        <v>344</v>
      </c>
      <c r="B249" s="163">
        <v>7829</v>
      </c>
      <c r="C249" s="200">
        <v>859.74</v>
      </c>
      <c r="D249" s="201">
        <v>53.22</v>
      </c>
      <c r="E249" s="202" t="s">
        <v>199</v>
      </c>
      <c r="F249" s="200">
        <v>1023.5</v>
      </c>
      <c r="G249" s="162">
        <v>46051</v>
      </c>
      <c r="H249" s="203" t="s">
        <v>199</v>
      </c>
      <c r="I249" s="186">
        <f t="shared" si="27"/>
        <v>4</v>
      </c>
      <c r="J249" s="204">
        <f>IF($H249="USD",IF(OR($I249="",$I249="-"),"",VLOOKUP($G249,為替!$A:$AX,$I249,FALSE))+$J$3,IF(OR($I249="",$I249="-"),"",VLOOKUP($G249,為替!$A:$AX,$I249,FALSE)))</f>
        <v>152.65</v>
      </c>
      <c r="K249" s="205">
        <f t="shared" si="28"/>
        <v>156237.27499999999</v>
      </c>
      <c r="L249" s="189">
        <f t="shared" si="29"/>
        <v>3</v>
      </c>
      <c r="M249" s="204">
        <f>IF($H249="USD",IF(OR($L249="",$L249="-"),"",VLOOKUP($G249,為替!$A:$AX,$L249,FALSE))+$K$3,IF(OR($L249="",$L249="-"),"",VLOOKUP($G249,為替!$A:$AX,$L249,FALSE)))</f>
        <v>153.65</v>
      </c>
      <c r="N249" s="205">
        <f t="shared" si="30"/>
        <v>140276.304</v>
      </c>
      <c r="O249" s="206">
        <f t="shared" si="22"/>
        <v>15960.97099999999</v>
      </c>
      <c r="P249" s="207">
        <f t="shared" si="31"/>
        <v>0.10215853419102446</v>
      </c>
    </row>
    <row r="250" spans="1:16">
      <c r="A250" s="163" t="s">
        <v>344</v>
      </c>
      <c r="B250" s="163">
        <v>7835</v>
      </c>
      <c r="C250" s="200">
        <v>3292.8</v>
      </c>
      <c r="D250" s="201">
        <v>156.80000000000001</v>
      </c>
      <c r="E250" s="202" t="s">
        <v>199</v>
      </c>
      <c r="F250" s="200">
        <v>3920</v>
      </c>
      <c r="G250" s="162">
        <v>46051</v>
      </c>
      <c r="H250" s="203" t="s">
        <v>199</v>
      </c>
      <c r="I250" s="186">
        <f t="shared" si="27"/>
        <v>4</v>
      </c>
      <c r="J250" s="204">
        <f>IF($H250="USD",IF(OR($I250="",$I250="-"),"",VLOOKUP($G250,為替!$A:$AX,$I250,FALSE))+$J$3,IF(OR($I250="",$I250="-"),"",VLOOKUP($G250,為替!$A:$AX,$I250,FALSE)))</f>
        <v>152.65</v>
      </c>
      <c r="K250" s="205">
        <f t="shared" si="28"/>
        <v>598388</v>
      </c>
      <c r="L250" s="189">
        <f t="shared" si="29"/>
        <v>3</v>
      </c>
      <c r="M250" s="204">
        <f>IF($H250="USD",IF(OR($L250="",$L250="-"),"",VLOOKUP($G250,為替!$A:$AX,$L250,FALSE))+$K$3,IF(OR($L250="",$L250="-"),"",VLOOKUP($G250,為替!$A:$AX,$L250,FALSE)))</f>
        <v>153.65</v>
      </c>
      <c r="N250" s="205">
        <f t="shared" si="30"/>
        <v>530031.04</v>
      </c>
      <c r="O250" s="206">
        <f t="shared" si="22"/>
        <v>68356.959999999963</v>
      </c>
      <c r="P250" s="207">
        <f t="shared" si="31"/>
        <v>0.11423517851293803</v>
      </c>
    </row>
    <row r="251" spans="1:16">
      <c r="A251" s="163" t="s">
        <v>309</v>
      </c>
      <c r="B251" s="163">
        <v>7772</v>
      </c>
      <c r="C251" s="200">
        <v>138220</v>
      </c>
      <c r="D251" s="201">
        <v>0</v>
      </c>
      <c r="E251" s="202" t="s">
        <v>200</v>
      </c>
      <c r="F251" s="200">
        <v>173050</v>
      </c>
      <c r="G251" s="162">
        <v>46035</v>
      </c>
      <c r="H251" s="203" t="s">
        <v>200</v>
      </c>
      <c r="I251" s="186" t="str">
        <f t="shared" si="27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>
        <f t="shared" si="28"/>
        <v>173050</v>
      </c>
      <c r="L251" s="189" t="str">
        <f t="shared" si="29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>
        <f t="shared" si="30"/>
        <v>138220</v>
      </c>
      <c r="O251" s="206">
        <f t="shared" si="22"/>
        <v>34830</v>
      </c>
      <c r="P251" s="207">
        <f t="shared" si="31"/>
        <v>0.2012713088702687</v>
      </c>
    </row>
    <row r="252" spans="1:16">
      <c r="A252" s="163" t="s">
        <v>309</v>
      </c>
      <c r="B252" s="163">
        <v>7807</v>
      </c>
      <c r="C252" s="200">
        <v>237073</v>
      </c>
      <c r="D252" s="201">
        <v>0</v>
      </c>
      <c r="E252" s="202" t="s">
        <v>200</v>
      </c>
      <c r="F252" s="200">
        <v>306605</v>
      </c>
      <c r="G252" s="162">
        <v>46044</v>
      </c>
      <c r="H252" s="203" t="s">
        <v>200</v>
      </c>
      <c r="I252" s="186" t="str">
        <f t="shared" si="27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>
        <f t="shared" si="28"/>
        <v>306605</v>
      </c>
      <c r="L252" s="189" t="str">
        <f t="shared" si="29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>
        <f t="shared" si="30"/>
        <v>237073</v>
      </c>
      <c r="O252" s="206">
        <f t="shared" si="22"/>
        <v>69532</v>
      </c>
      <c r="P252" s="207">
        <f t="shared" si="31"/>
        <v>0.22678038518615157</v>
      </c>
    </row>
    <row r="253" spans="1:16">
      <c r="A253" s="163" t="s">
        <v>309</v>
      </c>
      <c r="B253" s="163">
        <v>7822</v>
      </c>
      <c r="C253" s="200">
        <v>88300</v>
      </c>
      <c r="D253" s="201">
        <v>0</v>
      </c>
      <c r="E253" s="202" t="s">
        <v>200</v>
      </c>
      <c r="F253" s="200">
        <v>116275</v>
      </c>
      <c r="G253" s="162">
        <v>46050</v>
      </c>
      <c r="H253" s="203" t="s">
        <v>200</v>
      </c>
      <c r="I253" s="186" t="str">
        <f t="shared" si="27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>
        <f t="shared" si="28"/>
        <v>116275</v>
      </c>
      <c r="L253" s="189" t="str">
        <f t="shared" si="29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>
        <f t="shared" si="30"/>
        <v>88300</v>
      </c>
      <c r="O253" s="206">
        <f t="shared" si="22"/>
        <v>27975</v>
      </c>
      <c r="P253" s="207">
        <f t="shared" si="31"/>
        <v>0.24059342076972695</v>
      </c>
    </row>
    <row r="254" spans="1:16">
      <c r="A254" s="163" t="s">
        <v>343</v>
      </c>
      <c r="B254" s="163">
        <v>7869</v>
      </c>
      <c r="C254" s="200">
        <v>325.19</v>
      </c>
      <c r="D254" s="201">
        <v>0</v>
      </c>
      <c r="E254" s="202" t="s">
        <v>199</v>
      </c>
      <c r="F254" s="200">
        <v>344.56</v>
      </c>
      <c r="G254" s="162">
        <v>46035</v>
      </c>
      <c r="H254" s="203" t="s">
        <v>199</v>
      </c>
      <c r="I254" s="186">
        <f t="shared" ref="I254" si="32">IF(H254="","",IF(H254="JPY","",IF($H254="USD",4, IF(H254="EUR",7,IF(H254="CNY",47,IF(H254="HKD",34))))))</f>
        <v>4</v>
      </c>
      <c r="J254" s="204">
        <f>IF($H254="USD",IF(OR($I254="",$I254="-"),"",VLOOKUP($G254,為替!$A:$AX,$I254,FALSE))+$J$3,IF(OR($I254="",$I254="-"),"",VLOOKUP($G254,為替!$A:$AX,$I254,FALSE)))</f>
        <v>157.78</v>
      </c>
      <c r="K254" s="205">
        <f t="shared" si="28"/>
        <v>54364.676800000001</v>
      </c>
      <c r="L254" s="189">
        <f t="shared" ref="L254" si="33">IF(H254="","",IF(H254="JPY","",IF($H254="USD",3, IF(H254="EUR",6,IF(H254="CNY",46,IF(H254="HKD",33))))))</f>
        <v>3</v>
      </c>
      <c r="M254" s="204">
        <f>IF($H254="USD",IF(OR($L254="",$L254="-"),"",VLOOKUP($G254,為替!$A:$AX,$L254,FALSE))+$K$3,IF(OR($L254="",$L254="-"),"",VLOOKUP($G254,為替!$A:$AX,$L254,FALSE)))</f>
        <v>158.78</v>
      </c>
      <c r="N254" s="205">
        <f t="shared" si="30"/>
        <v>51633.6682</v>
      </c>
      <c r="O254" s="206">
        <f t="shared" ref="O254" si="34">IF(OR(K254="",N254=""),"",K254-N254)</f>
        <v>2731.008600000001</v>
      </c>
      <c r="P254" s="207">
        <f t="shared" ref="P254" si="35">IF(OR(K254="",O254=""),"",O254/K254)</f>
        <v>5.0234982726872407E-2</v>
      </c>
    </row>
    <row r="255" spans="1:16">
      <c r="A255" s="163" t="s">
        <v>343</v>
      </c>
      <c r="B255" s="163">
        <v>7792</v>
      </c>
      <c r="C255" s="200">
        <v>529.85</v>
      </c>
      <c r="D255" s="201">
        <v>0</v>
      </c>
      <c r="E255" s="202" t="s">
        <v>199</v>
      </c>
      <c r="F255" s="430">
        <v>558.35</v>
      </c>
      <c r="G255" s="162">
        <v>46055</v>
      </c>
      <c r="H255" s="203" t="s">
        <v>199</v>
      </c>
      <c r="I255" s="186">
        <f t="shared" si="27"/>
        <v>4</v>
      </c>
      <c r="J255" s="204">
        <f>IF($H255="USD",IF(OR($I255="",$I255="-"),"",VLOOKUP($G255,為替!$A:$AX,$I255,FALSE))+$J$3,IF(OR($I255="",$I255="-"),"",VLOOKUP($G255,為替!$A:$AX,$I255,FALSE)))</f>
        <v>154.79</v>
      </c>
      <c r="K255" s="205">
        <f t="shared" si="28"/>
        <v>86426.996499999994</v>
      </c>
      <c r="L255" s="189">
        <f t="shared" si="29"/>
        <v>3</v>
      </c>
      <c r="M255" s="204">
        <f>IF($H255="USD",IF(OR($L255="",$L255="-"),"",VLOOKUP($G255,為替!$A:$AX,$L255,FALSE))+$K$3,IF(OR($L255="",$L255="-"),"",VLOOKUP($G255,為替!$A:$AX,$L255,FALSE)))</f>
        <v>155.79</v>
      </c>
      <c r="N255" s="205">
        <f t="shared" si="30"/>
        <v>82545.3315</v>
      </c>
      <c r="O255" s="206">
        <f t="shared" si="22"/>
        <v>3881.6649999999936</v>
      </c>
      <c r="P255" s="207">
        <f t="shared" si="31"/>
        <v>4.4912644858600331E-2</v>
      </c>
    </row>
    <row r="256" spans="1:16">
      <c r="A256" s="163" t="s">
        <v>344</v>
      </c>
      <c r="B256" s="163">
        <v>7841</v>
      </c>
      <c r="C256" s="200">
        <v>1585.92</v>
      </c>
      <c r="D256" s="201">
        <v>98.18</v>
      </c>
      <c r="E256" s="202" t="s">
        <v>199</v>
      </c>
      <c r="F256" s="430">
        <v>1888</v>
      </c>
      <c r="G256" s="162">
        <v>46056</v>
      </c>
      <c r="H256" s="203" t="s">
        <v>199</v>
      </c>
      <c r="I256" s="186">
        <f t="shared" si="27"/>
        <v>4</v>
      </c>
      <c r="J256" s="204">
        <f>IF($H256="USD",IF(OR($I256="",$I256="-"),"",VLOOKUP($G256,為替!$A:$AX,$I256,FALSE))+$J$3,IF(OR($I256="",$I256="-"),"",VLOOKUP($G256,為替!$A:$AX,$I256,FALSE)))</f>
        <v>155.1</v>
      </c>
      <c r="K256" s="205">
        <f t="shared" si="28"/>
        <v>292828.79999999999</v>
      </c>
      <c r="L256" s="189">
        <f t="shared" si="29"/>
        <v>3</v>
      </c>
      <c r="M256" s="204">
        <f>IF($H256="USD",IF(OR($L256="",$L256="-"),"",VLOOKUP($G256,為替!$A:$AX,$L256,FALSE))+$K$3,IF(OR($L256="",$L256="-"),"",VLOOKUP($G256,為替!$A:$AX,$L256,FALSE)))</f>
        <v>156.1</v>
      </c>
      <c r="N256" s="205">
        <f t="shared" si="30"/>
        <v>262888.01</v>
      </c>
      <c r="O256" s="206">
        <f t="shared" si="22"/>
        <v>29940.789999999979</v>
      </c>
      <c r="P256" s="207">
        <f t="shared" si="31"/>
        <v>0.10224673939175374</v>
      </c>
    </row>
    <row r="257" spans="1:16">
      <c r="A257" s="163" t="s">
        <v>344</v>
      </c>
      <c r="B257" s="163">
        <v>7842</v>
      </c>
      <c r="C257" s="200">
        <v>2085.13</v>
      </c>
      <c r="D257" s="201">
        <v>129.08000000000001</v>
      </c>
      <c r="E257" s="202" t="s">
        <v>199</v>
      </c>
      <c r="F257" s="430">
        <v>2482.16</v>
      </c>
      <c r="G257" s="162">
        <v>46056</v>
      </c>
      <c r="H257" s="203" t="s">
        <v>199</v>
      </c>
      <c r="I257" s="186">
        <f t="shared" si="27"/>
        <v>4</v>
      </c>
      <c r="J257" s="204">
        <f>IF($H257="USD",IF(OR($I257="",$I257="-"),"",VLOOKUP($G257,為替!$A:$AX,$I257,FALSE))+$J$3,IF(OR($I257="",$I257="-"),"",VLOOKUP($G257,為替!$A:$AX,$I257,FALSE)))</f>
        <v>155.1</v>
      </c>
      <c r="K257" s="205">
        <f t="shared" si="28"/>
        <v>384983.01599999995</v>
      </c>
      <c r="L257" s="189">
        <f t="shared" si="29"/>
        <v>3</v>
      </c>
      <c r="M257" s="204">
        <f>IF($H257="USD",IF(OR($L257="",$L257="-"),"",VLOOKUP($G257,為替!$A:$AX,$L257,FALSE))+$K$3,IF(OR($L257="",$L257="-"),"",VLOOKUP($G257,為替!$A:$AX,$L257,FALSE)))</f>
        <v>156.1</v>
      </c>
      <c r="N257" s="205">
        <f t="shared" si="30"/>
        <v>345638.18099999998</v>
      </c>
      <c r="O257" s="206">
        <f t="shared" si="22"/>
        <v>39344.834999999963</v>
      </c>
      <c r="P257" s="207">
        <f t="shared" si="31"/>
        <v>0.1021988850541915</v>
      </c>
    </row>
    <row r="258" spans="1:16">
      <c r="A258" s="163" t="s">
        <v>344</v>
      </c>
      <c r="B258" s="163">
        <v>7843</v>
      </c>
      <c r="C258" s="200">
        <v>2131.08</v>
      </c>
      <c r="D258" s="201">
        <v>131.91999999999999</v>
      </c>
      <c r="E258" s="202" t="s">
        <v>199</v>
      </c>
      <c r="F258" s="430">
        <v>2537</v>
      </c>
      <c r="G258" s="162">
        <v>46056</v>
      </c>
      <c r="H258" s="203" t="s">
        <v>199</v>
      </c>
      <c r="I258" s="186">
        <f t="shared" si="27"/>
        <v>4</v>
      </c>
      <c r="J258" s="204">
        <f>IF($H258="USD",IF(OR($I258="",$I258="-"),"",VLOOKUP($G258,為替!$A:$AX,$I258,FALSE))+$J$3,IF(OR($I258="",$I258="-"),"",VLOOKUP($G258,為替!$A:$AX,$I258,FALSE)))</f>
        <v>155.1</v>
      </c>
      <c r="K258" s="205">
        <f t="shared" si="28"/>
        <v>393488.7</v>
      </c>
      <c r="L258" s="189">
        <f t="shared" si="29"/>
        <v>3</v>
      </c>
      <c r="M258" s="204">
        <f>IF($H258="USD",IF(OR($L258="",$L258="-"),"",VLOOKUP($G258,為替!$A:$AX,$L258,FALSE))+$K$3,IF(OR($L258="",$L258="-"),"",VLOOKUP($G258,為替!$A:$AX,$L258,FALSE)))</f>
        <v>156.1</v>
      </c>
      <c r="N258" s="205">
        <f t="shared" si="30"/>
        <v>353254.3</v>
      </c>
      <c r="O258" s="206">
        <f t="shared" si="22"/>
        <v>40234.400000000023</v>
      </c>
      <c r="P258" s="207">
        <f t="shared" si="31"/>
        <v>0.1022504585265092</v>
      </c>
    </row>
    <row r="259" spans="1:16">
      <c r="A259" s="163" t="s">
        <v>344</v>
      </c>
      <c r="B259" s="163">
        <v>7844</v>
      </c>
      <c r="C259" s="200">
        <v>1370.88</v>
      </c>
      <c r="D259" s="201">
        <v>84.86</v>
      </c>
      <c r="E259" s="202" t="s">
        <v>199</v>
      </c>
      <c r="F259" s="430">
        <v>1632</v>
      </c>
      <c r="G259" s="162">
        <v>46056</v>
      </c>
      <c r="H259" s="203" t="s">
        <v>199</v>
      </c>
      <c r="I259" s="186">
        <f t="shared" si="27"/>
        <v>4</v>
      </c>
      <c r="J259" s="204">
        <f>IF($H259="USD",IF(OR($I259="",$I259="-"),"",VLOOKUP($G259,為替!$A:$AX,$I259,FALSE))+$J$3,IF(OR($I259="",$I259="-"),"",VLOOKUP($G259,為替!$A:$AX,$I259,FALSE)))</f>
        <v>155.1</v>
      </c>
      <c r="K259" s="205">
        <f t="shared" si="28"/>
        <v>253123.19999999998</v>
      </c>
      <c r="L259" s="189">
        <f t="shared" si="29"/>
        <v>3</v>
      </c>
      <c r="M259" s="204">
        <f>IF($H259="USD",IF(OR($L259="",$L259="-"),"",VLOOKUP($G259,為替!$A:$AX,$L259,FALSE))+$K$3,IF(OR($L259="",$L259="-"),"",VLOOKUP($G259,為替!$A:$AX,$L259,FALSE)))</f>
        <v>156.1</v>
      </c>
      <c r="N259" s="205">
        <f t="shared" si="30"/>
        <v>227241.014</v>
      </c>
      <c r="O259" s="206">
        <f t="shared" si="22"/>
        <v>25882.185999999987</v>
      </c>
      <c r="P259" s="207">
        <f t="shared" si="31"/>
        <v>0.10225133847865382</v>
      </c>
    </row>
    <row r="260" spans="1:16">
      <c r="A260" s="163" t="s">
        <v>344</v>
      </c>
      <c r="B260" s="163">
        <v>7845</v>
      </c>
      <c r="C260" s="200">
        <v>1306.6199999999999</v>
      </c>
      <c r="D260" s="201">
        <v>80.89</v>
      </c>
      <c r="E260" s="202" t="s">
        <v>199</v>
      </c>
      <c r="F260" s="430">
        <v>1555.5</v>
      </c>
      <c r="G260" s="162">
        <v>46056</v>
      </c>
      <c r="H260" s="203" t="s">
        <v>199</v>
      </c>
      <c r="I260" s="186">
        <f t="shared" si="27"/>
        <v>4</v>
      </c>
      <c r="J260" s="204">
        <f>IF($H260="USD",IF(OR($I260="",$I260="-"),"",VLOOKUP($G260,為替!$A:$AX,$I260,FALSE))+$J$3,IF(OR($I260="",$I260="-"),"",VLOOKUP($G260,為替!$A:$AX,$I260,FALSE)))</f>
        <v>155.1</v>
      </c>
      <c r="K260" s="205">
        <f t="shared" si="28"/>
        <v>241258.05</v>
      </c>
      <c r="L260" s="189">
        <f t="shared" si="29"/>
        <v>3</v>
      </c>
      <c r="M260" s="204">
        <f>IF($H260="USD",IF(OR($L260="",$L260="-"),"",VLOOKUP($G260,為替!$A:$AX,$L260,FALSE))+$K$3,IF(OR($L260="",$L260="-"),"",VLOOKUP($G260,為替!$A:$AX,$L260,FALSE)))</f>
        <v>156.1</v>
      </c>
      <c r="N260" s="205">
        <f t="shared" si="30"/>
        <v>216590.31099999999</v>
      </c>
      <c r="O260" s="206">
        <f t="shared" si="22"/>
        <v>24667.739000000001</v>
      </c>
      <c r="P260" s="207">
        <f t="shared" si="31"/>
        <v>0.10224628359551112</v>
      </c>
    </row>
    <row r="261" spans="1:16">
      <c r="A261" s="163" t="s">
        <v>343</v>
      </c>
      <c r="B261" s="163">
        <v>7851</v>
      </c>
      <c r="C261" s="200">
        <v>744.07</v>
      </c>
      <c r="D261" s="201">
        <v>0</v>
      </c>
      <c r="E261" s="202" t="s">
        <v>199</v>
      </c>
      <c r="F261" s="430">
        <v>788.19</v>
      </c>
      <c r="G261" s="162">
        <v>46058</v>
      </c>
      <c r="H261" s="203" t="s">
        <v>199</v>
      </c>
      <c r="I261" s="186">
        <f t="shared" si="27"/>
        <v>4</v>
      </c>
      <c r="J261" s="204">
        <f>IF($H261="USD",IF(OR($I261="",$I261="-"),"",VLOOKUP($G261,為替!$A:$AX,$I261,FALSE))+$J$3,IF(OR($I261="",$I261="-"),"",VLOOKUP($G261,為替!$A:$AX,$I261,FALSE)))</f>
        <v>156.35</v>
      </c>
      <c r="K261" s="205">
        <f t="shared" si="28"/>
        <v>123233.5065</v>
      </c>
      <c r="L261" s="189">
        <f t="shared" si="29"/>
        <v>3</v>
      </c>
      <c r="M261" s="204">
        <f>IF($H261="USD",IF(OR($L261="",$L261="-"),"",VLOOKUP($G261,為替!$A:$AX,$L261,FALSE))+$K$3,IF(OR($L261="",$L261="-"),"",VLOOKUP($G261,為替!$A:$AX,$L261,FALSE)))</f>
        <v>157.35</v>
      </c>
      <c r="N261" s="205">
        <f t="shared" si="30"/>
        <v>117079.4145</v>
      </c>
      <c r="O261" s="206">
        <f t="shared" si="22"/>
        <v>6154.0920000000042</v>
      </c>
      <c r="P261" s="207">
        <f t="shared" si="31"/>
        <v>4.9938463773243388E-2</v>
      </c>
    </row>
    <row r="262" spans="1:16">
      <c r="A262" s="163" t="s">
        <v>343</v>
      </c>
      <c r="B262" s="163">
        <v>7859</v>
      </c>
      <c r="C262" s="200">
        <v>1528.63</v>
      </c>
      <c r="D262" s="201">
        <v>0</v>
      </c>
      <c r="E262" s="202" t="s">
        <v>199</v>
      </c>
      <c r="F262" s="430">
        <v>1620.86</v>
      </c>
      <c r="G262" s="162">
        <v>46058</v>
      </c>
      <c r="H262" s="203" t="s">
        <v>199</v>
      </c>
      <c r="I262" s="186">
        <f t="shared" si="27"/>
        <v>4</v>
      </c>
      <c r="J262" s="204">
        <f>IF($H262="USD",IF(OR($I262="",$I262="-"),"",VLOOKUP($G262,為替!$A:$AX,$I262,FALSE))+$J$3,IF(OR($I262="",$I262="-"),"",VLOOKUP($G262,為替!$A:$AX,$I262,FALSE)))</f>
        <v>156.35</v>
      </c>
      <c r="K262" s="205">
        <f t="shared" si="28"/>
        <v>253421.46099999998</v>
      </c>
      <c r="L262" s="189">
        <f t="shared" si="29"/>
        <v>3</v>
      </c>
      <c r="M262" s="204">
        <f>IF($H262="USD",IF(OR($L262="",$L262="-"),"",VLOOKUP($G262,為替!$A:$AX,$L262,FALSE))+$K$3,IF(OR($L262="",$L262="-"),"",VLOOKUP($G262,為替!$A:$AX,$L262,FALSE)))</f>
        <v>157.35</v>
      </c>
      <c r="N262" s="205">
        <f t="shared" si="30"/>
        <v>240529.93050000002</v>
      </c>
      <c r="O262" s="206">
        <f t="shared" si="22"/>
        <v>12891.530499999964</v>
      </c>
      <c r="P262" s="207">
        <f t="shared" si="31"/>
        <v>5.0869924153739941E-2</v>
      </c>
    </row>
    <row r="263" spans="1:16">
      <c r="A263" s="163" t="s">
        <v>343</v>
      </c>
      <c r="B263" s="163">
        <v>7861</v>
      </c>
      <c r="C263" s="200">
        <v>506</v>
      </c>
      <c r="D263" s="201">
        <v>0</v>
      </c>
      <c r="E263" s="202" t="s">
        <v>199</v>
      </c>
      <c r="F263" s="430">
        <v>535.70000000000005</v>
      </c>
      <c r="G263" s="162">
        <v>46058</v>
      </c>
      <c r="H263" s="203" t="s">
        <v>199</v>
      </c>
      <c r="I263" s="186">
        <f t="shared" si="27"/>
        <v>4</v>
      </c>
      <c r="J263" s="204">
        <f>IF($H263="USD",IF(OR($I263="",$I263="-"),"",VLOOKUP($G263,為替!$A:$AX,$I263,FALSE))+$J$3,IF(OR($I263="",$I263="-"),"",VLOOKUP($G263,為替!$A:$AX,$I263,FALSE)))</f>
        <v>156.35</v>
      </c>
      <c r="K263" s="205">
        <f t="shared" si="28"/>
        <v>83756.695000000007</v>
      </c>
      <c r="L263" s="189">
        <f t="shared" si="29"/>
        <v>3</v>
      </c>
      <c r="M263" s="204">
        <f>IF($H263="USD",IF(OR($L263="",$L263="-"),"",VLOOKUP($G263,為替!$A:$AX,$L263,FALSE))+$K$3,IF(OR($L263="",$L263="-"),"",VLOOKUP($G263,為替!$A:$AX,$L263,FALSE)))</f>
        <v>157.35</v>
      </c>
      <c r="N263" s="205">
        <f t="shared" si="30"/>
        <v>79619.099999999991</v>
      </c>
      <c r="O263" s="206">
        <f t="shared" si="22"/>
        <v>4137.5950000000157</v>
      </c>
      <c r="P263" s="207">
        <f t="shared" si="31"/>
        <v>4.9400170338622068E-2</v>
      </c>
    </row>
    <row r="264" spans="1:16">
      <c r="A264" s="163" t="s">
        <v>343</v>
      </c>
      <c r="B264" s="163">
        <v>7878</v>
      </c>
      <c r="C264" s="200">
        <v>303.3</v>
      </c>
      <c r="D264" s="201">
        <v>0</v>
      </c>
      <c r="E264" s="202" t="s">
        <v>199</v>
      </c>
      <c r="F264" s="430">
        <v>321.60000000000002</v>
      </c>
      <c r="G264" s="162">
        <v>46058</v>
      </c>
      <c r="H264" s="203" t="s">
        <v>199</v>
      </c>
      <c r="I264" s="186">
        <f t="shared" si="27"/>
        <v>4</v>
      </c>
      <c r="J264" s="204">
        <f>IF($H264="USD",IF(OR($I264="",$I264="-"),"",VLOOKUP($G264,為替!$A:$AX,$I264,FALSE))+$J$3,IF(OR($I264="",$I264="-"),"",VLOOKUP($G264,為替!$A:$AX,$I264,FALSE)))</f>
        <v>156.35</v>
      </c>
      <c r="K264" s="205">
        <f t="shared" si="28"/>
        <v>50282.16</v>
      </c>
      <c r="L264" s="189">
        <f t="shared" si="29"/>
        <v>3</v>
      </c>
      <c r="M264" s="204">
        <f>IF($H264="USD",IF(OR($L264="",$L264="-"),"",VLOOKUP($G264,為替!$A:$AX,$L264,FALSE))+$K$3,IF(OR($L264="",$L264="-"),"",VLOOKUP($G264,為替!$A:$AX,$L264,FALSE)))</f>
        <v>157.35</v>
      </c>
      <c r="N264" s="205">
        <f t="shared" si="30"/>
        <v>47724.254999999997</v>
      </c>
      <c r="O264" s="206">
        <f t="shared" si="22"/>
        <v>2557.9050000000061</v>
      </c>
      <c r="P264" s="207">
        <f t="shared" si="31"/>
        <v>5.0871024633786732E-2</v>
      </c>
    </row>
    <row r="265" spans="1:16">
      <c r="A265" s="163" t="s">
        <v>343</v>
      </c>
      <c r="B265" s="163">
        <v>7862</v>
      </c>
      <c r="C265" s="200">
        <v>147</v>
      </c>
      <c r="D265" s="201">
        <v>0</v>
      </c>
      <c r="E265" s="202" t="s">
        <v>199</v>
      </c>
      <c r="F265" s="430">
        <v>156</v>
      </c>
      <c r="G265" s="162">
        <v>46059</v>
      </c>
      <c r="H265" s="203" t="s">
        <v>199</v>
      </c>
      <c r="I265" s="186">
        <f t="shared" si="27"/>
        <v>4</v>
      </c>
      <c r="J265" s="204">
        <f>IF($H265="USD",IF(OR($I265="",$I265="-"),"",VLOOKUP($G265,為替!$A:$AX,$I265,FALSE))+$J$3,IF(OR($I265="",$I265="-"),"",VLOOKUP($G265,為替!$A:$AX,$I265,FALSE)))</f>
        <v>156.32</v>
      </c>
      <c r="K265" s="205">
        <f t="shared" si="28"/>
        <v>24385.919999999998</v>
      </c>
      <c r="L265" s="189">
        <f t="shared" si="29"/>
        <v>3</v>
      </c>
      <c r="M265" s="204">
        <f>IF($H265="USD",IF(OR($L265="",$L265="-"),"",VLOOKUP($G265,為替!$A:$AX,$L265,FALSE))+$K$3,IF(OR($L265="",$L265="-"),"",VLOOKUP($G265,為替!$A:$AX,$L265,FALSE)))</f>
        <v>157.32</v>
      </c>
      <c r="N265" s="205">
        <f t="shared" si="30"/>
        <v>23126.039999999997</v>
      </c>
      <c r="O265" s="206">
        <f t="shared" ref="O265:O329" si="36">IF(OR(K265="",N265=""),"",K265-N265)</f>
        <v>1259.880000000001</v>
      </c>
      <c r="P265" s="207">
        <f t="shared" si="31"/>
        <v>5.1664239036296397E-2</v>
      </c>
    </row>
    <row r="266" spans="1:16">
      <c r="A266" s="163" t="s">
        <v>343</v>
      </c>
      <c r="B266" s="163">
        <v>7856</v>
      </c>
      <c r="C266" s="200">
        <v>315.7</v>
      </c>
      <c r="D266" s="201">
        <v>0</v>
      </c>
      <c r="E266" s="202" t="s">
        <v>199</v>
      </c>
      <c r="F266" s="430">
        <v>343.11</v>
      </c>
      <c r="G266" s="162">
        <v>46059</v>
      </c>
      <c r="H266" s="203" t="s">
        <v>199</v>
      </c>
      <c r="I266" s="186">
        <f t="shared" ref="I266:I330" si="37">IF(H266="","",IF(H266="JPY","",IF($H266="USD",4, IF(H266="EUR",7,IF(H266="CNY",47,IF(H266="HKD",34))))))</f>
        <v>4</v>
      </c>
      <c r="J266" s="204">
        <f>IF($H266="USD",IF(OR($I266="",$I266="-"),"",VLOOKUP($G266,為替!$A:$AX,$I266,FALSE))+$J$3,IF(OR($I266="",$I266="-"),"",VLOOKUP($G266,為替!$A:$AX,$I266,FALSE)))</f>
        <v>156.32</v>
      </c>
      <c r="K266" s="205">
        <f t="shared" ref="K266:K330" si="38">IF($H266="JPY",$F266,IF($H266="","",$F266*$J266))</f>
        <v>53634.955199999997</v>
      </c>
      <c r="L266" s="189">
        <f t="shared" ref="L266:L330" si="39">IF(H266="","",IF(H266="JPY","",IF($H266="USD",3, IF(H266="EUR",6,IF(H266="CNY",46,IF(H266="HKD",33))))))</f>
        <v>3</v>
      </c>
      <c r="M266" s="204">
        <f>IF($H266="USD",IF(OR($L266="",$L266="-"),"",VLOOKUP($G266,為替!$A:$AX,$L266,FALSE))+$K$3,IF(OR($L266="",$L266="-"),"",VLOOKUP($G266,為替!$A:$AX,$L266,FALSE)))</f>
        <v>157.32</v>
      </c>
      <c r="N266" s="205">
        <f t="shared" ref="N266:N330" si="40">IF($E266="JPY",($C266+$D266),IF($E266="","",($C266+$D266)*$M266))</f>
        <v>49665.923999999999</v>
      </c>
      <c r="O266" s="206">
        <f t="shared" si="36"/>
        <v>3969.0311999999976</v>
      </c>
      <c r="P266" s="207">
        <f t="shared" ref="P266:P330" si="41">IF(OR(K266="",O266=""),"",O266/K266)</f>
        <v>7.4000829966200804E-2</v>
      </c>
    </row>
    <row r="267" spans="1:16">
      <c r="A267" s="163" t="s">
        <v>343</v>
      </c>
      <c r="B267" s="163">
        <v>7877</v>
      </c>
      <c r="C267" s="200">
        <v>266.58999999999997</v>
      </c>
      <c r="D267" s="201">
        <v>0</v>
      </c>
      <c r="E267" s="202" t="s">
        <v>199</v>
      </c>
      <c r="F267" s="430">
        <v>280.56</v>
      </c>
      <c r="G267" s="162">
        <v>46065</v>
      </c>
      <c r="H267" s="203" t="s">
        <v>199</v>
      </c>
      <c r="I267" s="186">
        <f t="shared" si="37"/>
        <v>4</v>
      </c>
      <c r="J267" s="204">
        <f>IF($H267="USD",IF(OR($I267="",$I267="-"),"",VLOOKUP($G267,為替!$A:$AX,$I267,FALSE))+$J$3,IF(OR($I267="",$I267="-"),"",VLOOKUP($G267,為替!$A:$AX,$I267,FALSE)))</f>
        <v>152.83000000000001</v>
      </c>
      <c r="K267" s="205">
        <f t="shared" si="38"/>
        <v>42877.984800000006</v>
      </c>
      <c r="L267" s="189">
        <f t="shared" si="39"/>
        <v>3</v>
      </c>
      <c r="M267" s="204">
        <f>IF($H267="USD",IF(OR($L267="",$L267="-"),"",VLOOKUP($G267,為替!$A:$AX,$L267,FALSE))+$K$3,IF(OR($L267="",$L267="-"),"",VLOOKUP($G267,為替!$A:$AX,$L267,FALSE)))</f>
        <v>153.83000000000001</v>
      </c>
      <c r="N267" s="205">
        <f t="shared" si="40"/>
        <v>41009.539700000001</v>
      </c>
      <c r="O267" s="206">
        <f t="shared" si="36"/>
        <v>1868.4451000000045</v>
      </c>
      <c r="P267" s="207">
        <f t="shared" si="41"/>
        <v>4.3575860869282369E-2</v>
      </c>
    </row>
    <row r="268" spans="1:16">
      <c r="A268" s="163" t="s">
        <v>343</v>
      </c>
      <c r="B268" s="163">
        <v>7882</v>
      </c>
      <c r="C268" s="200">
        <v>505.6</v>
      </c>
      <c r="D268" s="201">
        <v>0</v>
      </c>
      <c r="E268" s="202" t="s">
        <v>199</v>
      </c>
      <c r="F268" s="430">
        <v>532.20000000000005</v>
      </c>
      <c r="G268" s="162">
        <v>46066</v>
      </c>
      <c r="H268" s="203" t="s">
        <v>199</v>
      </c>
      <c r="I268" s="186">
        <f t="shared" si="37"/>
        <v>4</v>
      </c>
      <c r="J268" s="204">
        <f>IF($H268="USD",IF(OR($I268="",$I268="-"),"",VLOOKUP($G268,為替!$A:$AX,$I268,FALSE))+$J$3,IF(OR($I268="",$I268="-"),"",VLOOKUP($G268,為替!$A:$AX,$I268,FALSE)))</f>
        <v>152.44999999999999</v>
      </c>
      <c r="K268" s="205">
        <f t="shared" si="38"/>
        <v>81133.89</v>
      </c>
      <c r="L268" s="189">
        <f t="shared" si="39"/>
        <v>3</v>
      </c>
      <c r="M268" s="204">
        <f>IF($H268="USD",IF(OR($L268="",$L268="-"),"",VLOOKUP($G268,為替!$A:$AX,$L268,FALSE))+$K$3,IF(OR($L268="",$L268="-"),"",VLOOKUP($G268,為替!$A:$AX,$L268,FALSE)))</f>
        <v>153.44999999999999</v>
      </c>
      <c r="N268" s="205">
        <f t="shared" si="40"/>
        <v>77584.319999999992</v>
      </c>
      <c r="O268" s="206">
        <f t="shared" si="36"/>
        <v>3549.570000000007</v>
      </c>
      <c r="P268" s="207">
        <f t="shared" si="41"/>
        <v>4.374953549004007E-2</v>
      </c>
    </row>
    <row r="269" spans="1:16">
      <c r="A269" s="163" t="s">
        <v>343</v>
      </c>
      <c r="B269" s="163">
        <v>7855</v>
      </c>
      <c r="C269" s="200">
        <v>396.9</v>
      </c>
      <c r="D269" s="201">
        <v>0</v>
      </c>
      <c r="E269" s="202" t="s">
        <v>199</v>
      </c>
      <c r="F269" s="430">
        <v>431.03</v>
      </c>
      <c r="G269" s="162">
        <v>46066</v>
      </c>
      <c r="H269" s="203" t="s">
        <v>199</v>
      </c>
      <c r="I269" s="186">
        <f t="shared" si="37"/>
        <v>4</v>
      </c>
      <c r="J269" s="204">
        <f>IF($H269="USD",IF(OR($I269="",$I269="-"),"",VLOOKUP($G269,為替!$A:$AX,$I269,FALSE))+$J$3,IF(OR($I269="",$I269="-"),"",VLOOKUP($G269,為替!$A:$AX,$I269,FALSE)))</f>
        <v>152.44999999999999</v>
      </c>
      <c r="K269" s="205">
        <f t="shared" si="38"/>
        <v>65710.523499999996</v>
      </c>
      <c r="L269" s="189">
        <f t="shared" si="39"/>
        <v>3</v>
      </c>
      <c r="M269" s="204">
        <f>IF($H269="USD",IF(OR($L269="",$L269="-"),"",VLOOKUP($G269,為替!$A:$AX,$L269,FALSE))+$K$3,IF(OR($L269="",$L269="-"),"",VLOOKUP($G269,為替!$A:$AX,$L269,FALSE)))</f>
        <v>153.44999999999999</v>
      </c>
      <c r="N269" s="205">
        <f t="shared" si="40"/>
        <v>60904.304999999993</v>
      </c>
      <c r="O269" s="206">
        <f t="shared" si="36"/>
        <v>4806.2185000000027</v>
      </c>
      <c r="P269" s="207">
        <f t="shared" si="41"/>
        <v>7.3142295084591788E-2</v>
      </c>
    </row>
    <row r="270" spans="1:16">
      <c r="A270" s="163" t="s">
        <v>343</v>
      </c>
      <c r="B270" s="163">
        <v>7883</v>
      </c>
      <c r="C270" s="200">
        <v>393.9</v>
      </c>
      <c r="D270" s="201">
        <v>0</v>
      </c>
      <c r="E270" s="202" t="s">
        <v>199</v>
      </c>
      <c r="F270" s="430">
        <v>414.3</v>
      </c>
      <c r="G270" s="162">
        <v>46066</v>
      </c>
      <c r="H270" s="203" t="s">
        <v>199</v>
      </c>
      <c r="I270" s="186">
        <f t="shared" si="37"/>
        <v>4</v>
      </c>
      <c r="J270" s="204">
        <f>IF($H270="USD",IF(OR($I270="",$I270="-"),"",VLOOKUP($G270,為替!$A:$AX,$I270,FALSE))+$J$3,IF(OR($I270="",$I270="-"),"",VLOOKUP($G270,為替!$A:$AX,$I270,FALSE)))</f>
        <v>152.44999999999999</v>
      </c>
      <c r="K270" s="205">
        <f t="shared" si="38"/>
        <v>63160.034999999996</v>
      </c>
      <c r="L270" s="189">
        <f t="shared" si="39"/>
        <v>3</v>
      </c>
      <c r="M270" s="204">
        <f>IF($H270="USD",IF(OR($L270="",$L270="-"),"",VLOOKUP($G270,為替!$A:$AX,$L270,FALSE))+$K$3,IF(OR($L270="",$L270="-"),"",VLOOKUP($G270,為替!$A:$AX,$L270,FALSE)))</f>
        <v>153.44999999999999</v>
      </c>
      <c r="N270" s="205">
        <f t="shared" si="40"/>
        <v>60443.954999999994</v>
      </c>
      <c r="O270" s="206">
        <f t="shared" si="36"/>
        <v>2716.0800000000017</v>
      </c>
      <c r="P270" s="207">
        <f t="shared" si="41"/>
        <v>4.3003142731000733E-2</v>
      </c>
    </row>
    <row r="271" spans="1:16">
      <c r="A271" s="163" t="s">
        <v>343</v>
      </c>
      <c r="B271" s="163">
        <v>7888</v>
      </c>
      <c r="C271" s="200">
        <v>163.43</v>
      </c>
      <c r="D271" s="201">
        <v>0</v>
      </c>
      <c r="E271" s="202" t="s">
        <v>199</v>
      </c>
      <c r="F271" s="430">
        <v>173.46</v>
      </c>
      <c r="G271" s="162">
        <v>46069</v>
      </c>
      <c r="H271" s="203" t="s">
        <v>199</v>
      </c>
      <c r="I271" s="186">
        <f t="shared" si="37"/>
        <v>4</v>
      </c>
      <c r="J271" s="204">
        <f>IF($H271="USD",IF(OR($I271="",$I271="-"),"",VLOOKUP($G271,為替!$A:$AX,$I271,FALSE))+$J$3,IF(OR($I271="",$I271="-"),"",VLOOKUP($G271,為替!$A:$AX,$I271,FALSE)))</f>
        <v>152.59</v>
      </c>
      <c r="K271" s="205">
        <f t="shared" si="38"/>
        <v>26468.261400000003</v>
      </c>
      <c r="L271" s="189">
        <f t="shared" si="39"/>
        <v>3</v>
      </c>
      <c r="M271" s="204">
        <f>IF($H271="USD",IF(OR($L271="",$L271="-"),"",VLOOKUP($G271,為替!$A:$AX,$L271,FALSE))+$K$3,IF(OR($L271="",$L271="-"),"",VLOOKUP($G271,為替!$A:$AX,$L271,FALSE)))</f>
        <v>153.59</v>
      </c>
      <c r="N271" s="205">
        <f t="shared" si="40"/>
        <v>25101.2137</v>
      </c>
      <c r="O271" s="206">
        <f t="shared" si="36"/>
        <v>1367.0477000000028</v>
      </c>
      <c r="P271" s="207">
        <f t="shared" si="41"/>
        <v>5.164856426875105E-2</v>
      </c>
    </row>
    <row r="272" spans="1:16">
      <c r="A272" s="163" t="s">
        <v>344</v>
      </c>
      <c r="B272" s="163">
        <v>7871</v>
      </c>
      <c r="C272" s="200">
        <v>1625.82</v>
      </c>
      <c r="D272" s="201">
        <v>100.65</v>
      </c>
      <c r="E272" s="202" t="s">
        <v>199</v>
      </c>
      <c r="F272" s="430">
        <v>1935.5</v>
      </c>
      <c r="G272" s="162">
        <v>46064</v>
      </c>
      <c r="H272" s="203" t="s">
        <v>199</v>
      </c>
      <c r="I272" s="186">
        <f t="shared" si="37"/>
        <v>4</v>
      </c>
      <c r="J272" s="204">
        <f>IF($H272="USD",IF(OR($I272="",$I272="-"),"",VLOOKUP($G272,為替!$A:$AX,$I272,FALSE))+$J$3,IF(OR($I272="",$I272="-"),"",VLOOKUP($G272,為替!$A:$AX,$I272,FALSE)))</f>
        <v>155.66999999999999</v>
      </c>
      <c r="K272" s="205">
        <f t="shared" si="38"/>
        <v>301299.28499999997</v>
      </c>
      <c r="L272" s="189">
        <f t="shared" si="39"/>
        <v>3</v>
      </c>
      <c r="M272" s="204">
        <f>IF($H272="USD",IF(OR($L272="",$L272="-"),"",VLOOKUP($G272,為替!$A:$AX,$L272,FALSE))+$K$3,IF(OR($L272="",$L272="-"),"",VLOOKUP($G272,為替!$A:$AX,$L272,FALSE)))</f>
        <v>156.66999999999999</v>
      </c>
      <c r="N272" s="205">
        <f t="shared" si="40"/>
        <v>270486.05489999999</v>
      </c>
      <c r="O272" s="206">
        <f t="shared" si="36"/>
        <v>30813.230099999986</v>
      </c>
      <c r="P272" s="207">
        <f t="shared" si="41"/>
        <v>0.1022678500548051</v>
      </c>
    </row>
    <row r="273" spans="1:16">
      <c r="A273" s="163" t="s">
        <v>344</v>
      </c>
      <c r="B273" s="163">
        <v>7872</v>
      </c>
      <c r="C273" s="200">
        <v>4992.96</v>
      </c>
      <c r="D273" s="201">
        <v>309.08999999999997</v>
      </c>
      <c r="E273" s="202" t="s">
        <v>199</v>
      </c>
      <c r="F273" s="430">
        <v>5944</v>
      </c>
      <c r="G273" s="162">
        <v>46064</v>
      </c>
      <c r="H273" s="203" t="s">
        <v>199</v>
      </c>
      <c r="I273" s="186">
        <f t="shared" si="37"/>
        <v>4</v>
      </c>
      <c r="J273" s="204">
        <f>IF($H273="USD",IF(OR($I273="",$I273="-"),"",VLOOKUP($G273,為替!$A:$AX,$I273,FALSE))+$J$3,IF(OR($I273="",$I273="-"),"",VLOOKUP($G273,為替!$A:$AX,$I273,FALSE)))</f>
        <v>155.66999999999999</v>
      </c>
      <c r="K273" s="205">
        <f t="shared" si="38"/>
        <v>925302.48</v>
      </c>
      <c r="L273" s="189">
        <f t="shared" si="39"/>
        <v>3</v>
      </c>
      <c r="M273" s="204">
        <f>IF($H273="USD",IF(OR($L273="",$L273="-"),"",VLOOKUP($G273,為替!$A:$AX,$L273,FALSE))+$K$3,IF(OR($L273="",$L273="-"),"",VLOOKUP($G273,為替!$A:$AX,$L273,FALSE)))</f>
        <v>156.66999999999999</v>
      </c>
      <c r="N273" s="205">
        <f t="shared" si="40"/>
        <v>830672.17349999992</v>
      </c>
      <c r="O273" s="206">
        <f t="shared" si="36"/>
        <v>94630.306500000064</v>
      </c>
      <c r="P273" s="207">
        <f t="shared" si="41"/>
        <v>0.10226959134487575</v>
      </c>
    </row>
    <row r="274" spans="1:16">
      <c r="A274" s="163" t="s">
        <v>344</v>
      </c>
      <c r="B274" s="163">
        <v>7873</v>
      </c>
      <c r="C274" s="200">
        <v>2318.4</v>
      </c>
      <c r="D274" s="201">
        <v>143.52000000000001</v>
      </c>
      <c r="E274" s="202" t="s">
        <v>199</v>
      </c>
      <c r="F274" s="430">
        <v>2760</v>
      </c>
      <c r="G274" s="162">
        <v>46064</v>
      </c>
      <c r="H274" s="203" t="s">
        <v>199</v>
      </c>
      <c r="I274" s="186">
        <f t="shared" si="37"/>
        <v>4</v>
      </c>
      <c r="J274" s="204">
        <f>IF($H274="USD",IF(OR($I274="",$I274="-"),"",VLOOKUP($G274,為替!$A:$AX,$I274,FALSE))+$J$3,IF(OR($I274="",$I274="-"),"",VLOOKUP($G274,為替!$A:$AX,$I274,FALSE)))</f>
        <v>155.66999999999999</v>
      </c>
      <c r="K274" s="205">
        <f t="shared" si="38"/>
        <v>429649.19999999995</v>
      </c>
      <c r="L274" s="189">
        <f t="shared" si="39"/>
        <v>3</v>
      </c>
      <c r="M274" s="204">
        <f>IF($H274="USD",IF(OR($L274="",$L274="-"),"",VLOOKUP($G274,為替!$A:$AX,$L274,FALSE))+$K$3,IF(OR($L274="",$L274="-"),"",VLOOKUP($G274,為替!$A:$AX,$L274,FALSE)))</f>
        <v>156.66999999999999</v>
      </c>
      <c r="N274" s="205">
        <f t="shared" si="40"/>
        <v>385709.00639999995</v>
      </c>
      <c r="O274" s="206">
        <f t="shared" si="36"/>
        <v>43940.193599999999</v>
      </c>
      <c r="P274" s="207">
        <f t="shared" si="41"/>
        <v>0.10226992998008609</v>
      </c>
    </row>
    <row r="275" spans="1:16">
      <c r="A275" s="163" t="s">
        <v>344</v>
      </c>
      <c r="B275" s="163">
        <v>7874</v>
      </c>
      <c r="C275" s="200">
        <v>2050.84</v>
      </c>
      <c r="D275" s="201">
        <v>126.95</v>
      </c>
      <c r="E275" s="202" t="s">
        <v>199</v>
      </c>
      <c r="F275" s="430">
        <v>2441.34</v>
      </c>
      <c r="G275" s="162">
        <v>46064</v>
      </c>
      <c r="H275" s="203" t="s">
        <v>199</v>
      </c>
      <c r="I275" s="186">
        <f t="shared" si="37"/>
        <v>4</v>
      </c>
      <c r="J275" s="204">
        <f>IF($H275="USD",IF(OR($I275="",$I275="-"),"",VLOOKUP($G275,為替!$A:$AX,$I275,FALSE))+$J$3,IF(OR($I275="",$I275="-"),"",VLOOKUP($G275,為替!$A:$AX,$I275,FALSE)))</f>
        <v>155.66999999999999</v>
      </c>
      <c r="K275" s="205">
        <f t="shared" si="38"/>
        <v>380043.39779999998</v>
      </c>
      <c r="L275" s="189">
        <f t="shared" si="39"/>
        <v>3</v>
      </c>
      <c r="M275" s="204">
        <f>IF($H275="USD",IF(OR($L275="",$L275="-"),"",VLOOKUP($G275,為替!$A:$AX,$L275,FALSE))+$K$3,IF(OR($L275="",$L275="-"),"",VLOOKUP($G275,為替!$A:$AX,$L275,FALSE)))</f>
        <v>156.66999999999999</v>
      </c>
      <c r="N275" s="205">
        <f t="shared" si="40"/>
        <v>341194.35929999995</v>
      </c>
      <c r="O275" s="206">
        <f t="shared" si="36"/>
        <v>38849.038500000024</v>
      </c>
      <c r="P275" s="207">
        <f t="shared" si="41"/>
        <v>0.10222263753268661</v>
      </c>
    </row>
    <row r="276" spans="1:16">
      <c r="A276" s="163" t="s">
        <v>344</v>
      </c>
      <c r="B276" s="163">
        <v>7875</v>
      </c>
      <c r="C276" s="200">
        <v>2102.1799999999998</v>
      </c>
      <c r="D276" s="201">
        <v>130.13</v>
      </c>
      <c r="E276" s="202" t="s">
        <v>199</v>
      </c>
      <c r="F276" s="430">
        <v>2502.6</v>
      </c>
      <c r="G276" s="162">
        <v>46064</v>
      </c>
      <c r="H276" s="203" t="s">
        <v>199</v>
      </c>
      <c r="I276" s="186">
        <f t="shared" si="37"/>
        <v>4</v>
      </c>
      <c r="J276" s="204">
        <f>IF($H276="USD",IF(OR($I276="",$I276="-"),"",VLOOKUP($G276,為替!$A:$AX,$I276,FALSE))+$J$3,IF(OR($I276="",$I276="-"),"",VLOOKUP($G276,為替!$A:$AX,$I276,FALSE)))</f>
        <v>155.66999999999999</v>
      </c>
      <c r="K276" s="205">
        <f t="shared" si="38"/>
        <v>389579.74199999997</v>
      </c>
      <c r="L276" s="189">
        <f t="shared" si="39"/>
        <v>3</v>
      </c>
      <c r="M276" s="204">
        <f>IF($H276="USD",IF(OR($L276="",$L276="-"),"",VLOOKUP($G276,為替!$A:$AX,$L276,FALSE))+$K$3,IF(OR($L276="",$L276="-"),"",VLOOKUP($G276,為替!$A:$AX,$L276,FALSE)))</f>
        <v>156.66999999999999</v>
      </c>
      <c r="N276" s="205">
        <f t="shared" si="40"/>
        <v>349736.00769999996</v>
      </c>
      <c r="O276" s="206">
        <f t="shared" si="36"/>
        <v>39843.734300000011</v>
      </c>
      <c r="P276" s="207">
        <f t="shared" si="41"/>
        <v>0.10227362977205323</v>
      </c>
    </row>
    <row r="277" spans="1:16">
      <c r="A277" s="163" t="s">
        <v>344</v>
      </c>
      <c r="B277" s="163">
        <v>7876</v>
      </c>
      <c r="C277" s="200">
        <v>630.41999999999996</v>
      </c>
      <c r="D277" s="201">
        <v>39.03</v>
      </c>
      <c r="E277" s="202" t="s">
        <v>199</v>
      </c>
      <c r="F277" s="430">
        <v>750.5</v>
      </c>
      <c r="G277" s="162">
        <v>46064</v>
      </c>
      <c r="H277" s="203" t="s">
        <v>199</v>
      </c>
      <c r="I277" s="186">
        <f t="shared" si="37"/>
        <v>4</v>
      </c>
      <c r="J277" s="204">
        <f>IF($H277="USD",IF(OR($I277="",$I277="-"),"",VLOOKUP($G277,為替!$A:$AX,$I277,FALSE))+$J$3,IF(OR($I277="",$I277="-"),"",VLOOKUP($G277,為替!$A:$AX,$I277,FALSE)))</f>
        <v>155.66999999999999</v>
      </c>
      <c r="K277" s="205">
        <f t="shared" si="38"/>
        <v>116830.33499999999</v>
      </c>
      <c r="L277" s="189">
        <f t="shared" si="39"/>
        <v>3</v>
      </c>
      <c r="M277" s="204">
        <f>IF($H277="USD",IF(OR($L277="",$L277="-"),"",VLOOKUP($G277,為替!$A:$AX,$L277,FALSE))+$K$3,IF(OR($L277="",$L277="-"),"",VLOOKUP($G277,為替!$A:$AX,$L277,FALSE)))</f>
        <v>156.66999999999999</v>
      </c>
      <c r="N277" s="205">
        <f t="shared" si="40"/>
        <v>104882.73149999998</v>
      </c>
      <c r="O277" s="206">
        <f t="shared" si="36"/>
        <v>11947.603500000012</v>
      </c>
      <c r="P277" s="207">
        <f t="shared" si="41"/>
        <v>0.1022645659622564</v>
      </c>
    </row>
    <row r="278" spans="1:16">
      <c r="A278" s="163" t="s">
        <v>343</v>
      </c>
      <c r="B278" s="163">
        <v>7860</v>
      </c>
      <c r="C278" s="200">
        <v>6821.55</v>
      </c>
      <c r="D278" s="201">
        <v>0</v>
      </c>
      <c r="E278" s="202" t="s">
        <v>199</v>
      </c>
      <c r="F278" s="430">
        <v>7210.16</v>
      </c>
      <c r="G278" s="162">
        <v>46059</v>
      </c>
      <c r="H278" s="203" t="s">
        <v>199</v>
      </c>
      <c r="I278" s="186">
        <f t="shared" si="37"/>
        <v>4</v>
      </c>
      <c r="J278" s="204">
        <f>IF($H278="USD",IF(OR($I278="",$I278="-"),"",VLOOKUP($G278,為替!$A:$AX,$I278,FALSE))+$J$3,IF(OR($I278="",$I278="-"),"",VLOOKUP($G278,為替!$A:$AX,$I278,FALSE)))</f>
        <v>156.32</v>
      </c>
      <c r="K278" s="205">
        <f t="shared" si="38"/>
        <v>1127092.2112</v>
      </c>
      <c r="L278" s="189">
        <f t="shared" si="39"/>
        <v>3</v>
      </c>
      <c r="M278" s="204">
        <f>IF($H278="USD",IF(OR($L278="",$L278="-"),"",VLOOKUP($G278,為替!$A:$AX,$L278,FALSE))+$K$3,IF(OR($L278="",$L278="-"),"",VLOOKUP($G278,為替!$A:$AX,$L278,FALSE)))</f>
        <v>157.32</v>
      </c>
      <c r="N278" s="205">
        <f t="shared" si="40"/>
        <v>1073166.246</v>
      </c>
      <c r="O278" s="206">
        <f t="shared" si="36"/>
        <v>53925.965199999977</v>
      </c>
      <c r="P278" s="207">
        <f t="shared" si="41"/>
        <v>4.7845211477937306E-2</v>
      </c>
    </row>
    <row r="279" spans="1:16">
      <c r="A279" s="163" t="s">
        <v>343</v>
      </c>
      <c r="B279" s="163">
        <v>7887</v>
      </c>
      <c r="C279" s="200">
        <v>548.36</v>
      </c>
      <c r="D279" s="201">
        <v>0</v>
      </c>
      <c r="E279" s="202" t="s">
        <v>199</v>
      </c>
      <c r="F279" s="430">
        <v>580.99</v>
      </c>
      <c r="G279" s="162">
        <v>46070</v>
      </c>
      <c r="H279" s="203" t="s">
        <v>199</v>
      </c>
      <c r="I279" s="186">
        <f t="shared" si="37"/>
        <v>4</v>
      </c>
      <c r="J279" s="204">
        <f>IF($H279="USD",IF(OR($I279="",$I279="-"),"",VLOOKUP($G279,為替!$A:$AX,$I279,FALSE))+$J$3,IF(OR($I279="",$I279="-"),"",VLOOKUP($G279,為替!$A:$AX,$I279,FALSE)))</f>
        <v>152.84</v>
      </c>
      <c r="K279" s="205">
        <f t="shared" si="38"/>
        <v>88798.511599999998</v>
      </c>
      <c r="L279" s="189">
        <f t="shared" si="39"/>
        <v>3</v>
      </c>
      <c r="M279" s="204">
        <f>IF($H279="USD",IF(OR($L279="",$L279="-"),"",VLOOKUP($G279,為替!$A:$AX,$L279,FALSE))+$K$3,IF(OR($L279="",$L279="-"),"",VLOOKUP($G279,為替!$A:$AX,$L279,FALSE)))</f>
        <v>153.84</v>
      </c>
      <c r="N279" s="205">
        <f t="shared" si="40"/>
        <v>84359.702400000009</v>
      </c>
      <c r="O279" s="206">
        <f t="shared" si="36"/>
        <v>4438.8091999999888</v>
      </c>
      <c r="P279" s="207">
        <f t="shared" si="41"/>
        <v>4.998742794242949E-2</v>
      </c>
    </row>
    <row r="280" spans="1:16">
      <c r="A280" s="163" t="s">
        <v>343</v>
      </c>
      <c r="B280" s="163">
        <v>7901</v>
      </c>
      <c r="C280" s="200">
        <v>111.8</v>
      </c>
      <c r="D280" s="201">
        <v>0</v>
      </c>
      <c r="E280" s="202" t="s">
        <v>199</v>
      </c>
      <c r="F280" s="430">
        <v>153.4</v>
      </c>
      <c r="G280" s="162">
        <v>46078</v>
      </c>
      <c r="H280" s="203" t="s">
        <v>199</v>
      </c>
      <c r="I280" s="186">
        <f t="shared" si="37"/>
        <v>4</v>
      </c>
      <c r="J280" s="204">
        <f>IF($H280="USD",IF(OR($I280="",$I280="-"),"",VLOOKUP($G280,為替!$A:$AX,$I280,FALSE))+$J$3,IF(OR($I280="",$I280="-"),"",VLOOKUP($G280,為替!$A:$AX,$I280,FALSE)))</f>
        <v>155.33000000000001</v>
      </c>
      <c r="K280" s="205">
        <f t="shared" si="38"/>
        <v>23827.622000000003</v>
      </c>
      <c r="L280" s="189">
        <f t="shared" si="39"/>
        <v>3</v>
      </c>
      <c r="M280" s="204">
        <f>IF($H280="USD",IF(OR($L280="",$L280="-"),"",VLOOKUP($G280,為替!$A:$AX,$L280,FALSE))+$K$3,IF(OR($L280="",$L280="-"),"",VLOOKUP($G280,為替!$A:$AX,$L280,FALSE)))</f>
        <v>156.33000000000001</v>
      </c>
      <c r="N280" s="205">
        <f t="shared" si="40"/>
        <v>17477.694</v>
      </c>
      <c r="O280" s="206">
        <f t="shared" si="36"/>
        <v>6349.9280000000035</v>
      </c>
      <c r="P280" s="207">
        <f t="shared" si="41"/>
        <v>0.26649440720521766</v>
      </c>
    </row>
    <row r="281" spans="1:16">
      <c r="A281" s="163" t="s">
        <v>343</v>
      </c>
      <c r="B281" s="163">
        <v>7934</v>
      </c>
      <c r="C281" s="200">
        <v>205.38</v>
      </c>
      <c r="D281" s="201">
        <v>0</v>
      </c>
      <c r="E281" s="202" t="s">
        <v>199</v>
      </c>
      <c r="F281" s="430">
        <v>225.03</v>
      </c>
      <c r="G281" s="162">
        <v>46079</v>
      </c>
      <c r="H281" s="203" t="s">
        <v>199</v>
      </c>
      <c r="I281" s="186">
        <f t="shared" si="37"/>
        <v>4</v>
      </c>
      <c r="J281" s="204">
        <f>IF($H281="USD",IF(OR($I281="",$I281="-"),"",VLOOKUP($G281,為替!$A:$AX,$I281,FALSE))+$J$3,IF(OR($I281="",$I281="-"),"",VLOOKUP($G281,為替!$A:$AX,$I281,FALSE)))</f>
        <v>155.66</v>
      </c>
      <c r="K281" s="205">
        <f t="shared" si="38"/>
        <v>35028.169799999996</v>
      </c>
      <c r="L281" s="189">
        <f t="shared" si="39"/>
        <v>3</v>
      </c>
      <c r="M281" s="204">
        <f>IF($H281="USD",IF(OR($L281="",$L281="-"),"",VLOOKUP($G281,為替!$A:$AX,$L281,FALSE))+$K$3,IF(OR($L281="",$L281="-"),"",VLOOKUP($G281,為替!$A:$AX,$L281,FALSE)))</f>
        <v>156.66</v>
      </c>
      <c r="N281" s="205">
        <f t="shared" si="40"/>
        <v>32174.8308</v>
      </c>
      <c r="O281" s="206">
        <f t="shared" si="36"/>
        <v>2853.3389999999963</v>
      </c>
      <c r="P281" s="207">
        <f t="shared" si="41"/>
        <v>8.1458409511307006E-2</v>
      </c>
    </row>
    <row r="282" spans="1:16">
      <c r="A282" s="163" t="s">
        <v>343</v>
      </c>
      <c r="B282" s="163">
        <v>7916</v>
      </c>
      <c r="C282" s="200">
        <v>377.8</v>
      </c>
      <c r="D282" s="201">
        <v>0</v>
      </c>
      <c r="E282" s="202" t="s">
        <v>199</v>
      </c>
      <c r="F282" s="430">
        <v>400.5</v>
      </c>
      <c r="G282" s="162">
        <v>46079</v>
      </c>
      <c r="H282" s="203" t="s">
        <v>199</v>
      </c>
      <c r="I282" s="186">
        <f t="shared" si="37"/>
        <v>4</v>
      </c>
      <c r="J282" s="204">
        <f>IF($H282="USD",IF(OR($I282="",$I282="-"),"",VLOOKUP($G282,為替!$A:$AX,$I282,FALSE))+$J$3,IF(OR($I282="",$I282="-"),"",VLOOKUP($G282,為替!$A:$AX,$I282,FALSE)))</f>
        <v>155.66</v>
      </c>
      <c r="K282" s="205">
        <f t="shared" si="38"/>
        <v>62341.83</v>
      </c>
      <c r="L282" s="189">
        <f t="shared" si="39"/>
        <v>3</v>
      </c>
      <c r="M282" s="204">
        <f>IF($H282="USD",IF(OR($L282="",$L282="-"),"",VLOOKUP($G282,為替!$A:$AX,$L282,FALSE))+$K$3,IF(OR($L282="",$L282="-"),"",VLOOKUP($G282,為替!$A:$AX,$L282,FALSE)))</f>
        <v>156.66</v>
      </c>
      <c r="N282" s="205">
        <f t="shared" si="40"/>
        <v>59186.148000000001</v>
      </c>
      <c r="O282" s="206">
        <f t="shared" si="36"/>
        <v>3155.6820000000007</v>
      </c>
      <c r="P282" s="207">
        <f t="shared" si="41"/>
        <v>5.0619014552508335E-2</v>
      </c>
    </row>
    <row r="283" spans="1:16">
      <c r="A283" s="163" t="s">
        <v>343</v>
      </c>
      <c r="B283" s="163">
        <v>7917</v>
      </c>
      <c r="C283" s="200">
        <v>340.63</v>
      </c>
      <c r="D283" s="201">
        <v>0</v>
      </c>
      <c r="E283" s="202" t="s">
        <v>199</v>
      </c>
      <c r="F283" s="430">
        <v>360.84</v>
      </c>
      <c r="G283" s="162">
        <v>46079</v>
      </c>
      <c r="H283" s="203" t="s">
        <v>199</v>
      </c>
      <c r="I283" s="186">
        <f t="shared" si="37"/>
        <v>4</v>
      </c>
      <c r="J283" s="204">
        <f>IF($H283="USD",IF(OR($I283="",$I283="-"),"",VLOOKUP($G283,為替!$A:$AX,$I283,FALSE))+$J$3,IF(OR($I283="",$I283="-"),"",VLOOKUP($G283,為替!$A:$AX,$I283,FALSE)))</f>
        <v>155.66</v>
      </c>
      <c r="K283" s="205">
        <f t="shared" si="38"/>
        <v>56168.354399999997</v>
      </c>
      <c r="L283" s="189">
        <f t="shared" si="39"/>
        <v>3</v>
      </c>
      <c r="M283" s="204">
        <f>IF($H283="USD",IF(OR($L283="",$L283="-"),"",VLOOKUP($G283,為替!$A:$AX,$L283,FALSE))+$K$3,IF(OR($L283="",$L283="-"),"",VLOOKUP($G283,為替!$A:$AX,$L283,FALSE)))</f>
        <v>156.66</v>
      </c>
      <c r="N283" s="205">
        <f t="shared" si="40"/>
        <v>53363.095799999996</v>
      </c>
      <c r="O283" s="206">
        <f t="shared" si="36"/>
        <v>2805.258600000001</v>
      </c>
      <c r="P283" s="207">
        <f t="shared" si="41"/>
        <v>4.9943756230109548E-2</v>
      </c>
    </row>
    <row r="284" spans="1:16">
      <c r="A284" s="163" t="s">
        <v>343</v>
      </c>
      <c r="B284" s="163">
        <v>7900</v>
      </c>
      <c r="C284" s="200">
        <v>53.8</v>
      </c>
      <c r="D284" s="201">
        <v>0</v>
      </c>
      <c r="E284" s="202" t="s">
        <v>199</v>
      </c>
      <c r="F284" s="430">
        <v>58.93</v>
      </c>
      <c r="G284" s="162">
        <v>46077</v>
      </c>
      <c r="H284" s="203" t="s">
        <v>199</v>
      </c>
      <c r="I284" s="186">
        <f t="shared" si="37"/>
        <v>4</v>
      </c>
      <c r="J284" s="204">
        <f>IF($H284="USD",IF(OR($I284="",$I284="-"),"",VLOOKUP($G284,為替!$A:$AX,$I284,FALSE))+$J$3,IF(OR($I284="",$I284="-"),"",VLOOKUP($G284,為替!$A:$AX,$I284,FALSE)))</f>
        <v>154.65</v>
      </c>
      <c r="K284" s="205">
        <f t="shared" si="38"/>
        <v>9113.5244999999995</v>
      </c>
      <c r="L284" s="189">
        <f t="shared" si="39"/>
        <v>3</v>
      </c>
      <c r="M284" s="204">
        <f>IF($H284="USD",IF(OR($L284="",$L284="-"),"",VLOOKUP($G284,為替!$A:$AX,$L284,FALSE))+$K$3,IF(OR($L284="",$L284="-"),"",VLOOKUP($G284,為替!$A:$AX,$L284,FALSE)))</f>
        <v>155.65</v>
      </c>
      <c r="N284" s="205">
        <f t="shared" si="40"/>
        <v>8373.9699999999993</v>
      </c>
      <c r="O284" s="206">
        <f t="shared" si="36"/>
        <v>739.55450000000019</v>
      </c>
      <c r="P284" s="207">
        <f t="shared" si="41"/>
        <v>8.1149120738085487E-2</v>
      </c>
    </row>
    <row r="285" spans="1:16">
      <c r="A285" s="163" t="s">
        <v>343</v>
      </c>
      <c r="B285" s="163">
        <v>7924</v>
      </c>
      <c r="C285" s="200">
        <v>706.27</v>
      </c>
      <c r="D285" s="201">
        <v>0</v>
      </c>
      <c r="E285" s="202" t="s">
        <v>199</v>
      </c>
      <c r="F285" s="430">
        <v>735.69</v>
      </c>
      <c r="G285" s="162">
        <v>46080</v>
      </c>
      <c r="H285" s="203" t="s">
        <v>199</v>
      </c>
      <c r="I285" s="186">
        <f t="shared" si="37"/>
        <v>4</v>
      </c>
      <c r="J285" s="204">
        <f>IF($H285="USD",IF(OR($I285="",$I285="-"),"",VLOOKUP($G285,為替!$A:$AX,$I285,FALSE))+$J$3,IF(OR($I285="",$I285="-"),"",VLOOKUP($G285,為替!$A:$AX,$I285,FALSE)))</f>
        <v>155.31</v>
      </c>
      <c r="K285" s="205">
        <f t="shared" si="38"/>
        <v>114260.01390000001</v>
      </c>
      <c r="L285" s="189">
        <f t="shared" si="39"/>
        <v>3</v>
      </c>
      <c r="M285" s="204">
        <f>IF($H285="USD",IF(OR($L285="",$L285="-"),"",VLOOKUP($G285,為替!$A:$AX,$L285,FALSE))+$K$3,IF(OR($L285="",$L285="-"),"",VLOOKUP($G285,為替!$A:$AX,$L285,FALSE)))</f>
        <v>156.31</v>
      </c>
      <c r="N285" s="205">
        <f t="shared" si="40"/>
        <v>110397.0637</v>
      </c>
      <c r="O285" s="206">
        <f t="shared" si="36"/>
        <v>3862.9502000000066</v>
      </c>
      <c r="P285" s="207">
        <f t="shared" si="41"/>
        <v>3.380841703188351E-2</v>
      </c>
    </row>
    <row r="286" spans="1:16">
      <c r="A286" s="163" t="s">
        <v>343</v>
      </c>
      <c r="B286" s="163">
        <v>7925</v>
      </c>
      <c r="C286" s="200">
        <v>394.68</v>
      </c>
      <c r="D286" s="201">
        <v>0</v>
      </c>
      <c r="E286" s="202" t="s">
        <v>199</v>
      </c>
      <c r="F286" s="430">
        <v>418.18</v>
      </c>
      <c r="G286" s="162">
        <v>46080</v>
      </c>
      <c r="H286" s="203" t="s">
        <v>199</v>
      </c>
      <c r="I286" s="186">
        <f t="shared" si="37"/>
        <v>4</v>
      </c>
      <c r="J286" s="204">
        <f>IF($H286="USD",IF(OR($I286="",$I286="-"),"",VLOOKUP($G286,為替!$A:$AX,$I286,FALSE))+$J$3,IF(OR($I286="",$I286="-"),"",VLOOKUP($G286,為替!$A:$AX,$I286,FALSE)))</f>
        <v>155.31</v>
      </c>
      <c r="K286" s="205">
        <f t="shared" si="38"/>
        <v>64947.535800000005</v>
      </c>
      <c r="L286" s="189">
        <f t="shared" si="39"/>
        <v>3</v>
      </c>
      <c r="M286" s="204">
        <f>IF($H286="USD",IF(OR($L286="",$L286="-"),"",VLOOKUP($G286,為替!$A:$AX,$L286,FALSE))+$K$3,IF(OR($L286="",$L286="-"),"",VLOOKUP($G286,為替!$A:$AX,$L286,FALSE)))</f>
        <v>156.31</v>
      </c>
      <c r="N286" s="205">
        <f t="shared" si="40"/>
        <v>61692.430800000002</v>
      </c>
      <c r="O286" s="206">
        <f t="shared" si="36"/>
        <v>3255.1050000000032</v>
      </c>
      <c r="P286" s="207">
        <f t="shared" si="41"/>
        <v>5.0118991581509745E-2</v>
      </c>
    </row>
    <row r="287" spans="1:16">
      <c r="A287" s="163" t="s">
        <v>343</v>
      </c>
      <c r="B287" s="163">
        <v>7926</v>
      </c>
      <c r="C287" s="200">
        <v>335.65</v>
      </c>
      <c r="D287" s="201">
        <v>0</v>
      </c>
      <c r="E287" s="202" t="s">
        <v>199</v>
      </c>
      <c r="F287" s="430">
        <v>355.9</v>
      </c>
      <c r="G287" s="162">
        <v>46080</v>
      </c>
      <c r="H287" s="203" t="s">
        <v>199</v>
      </c>
      <c r="I287" s="186">
        <f t="shared" si="37"/>
        <v>4</v>
      </c>
      <c r="J287" s="204">
        <f>IF($H287="USD",IF(OR($I287="",$I287="-"),"",VLOOKUP($G287,為替!$A:$AX,$I287,FALSE))+$J$3,IF(OR($I287="",$I287="-"),"",VLOOKUP($G287,為替!$A:$AX,$I287,FALSE)))</f>
        <v>155.31</v>
      </c>
      <c r="K287" s="205">
        <f t="shared" si="38"/>
        <v>55274.828999999998</v>
      </c>
      <c r="L287" s="189">
        <f t="shared" si="39"/>
        <v>3</v>
      </c>
      <c r="M287" s="204">
        <f>IF($H287="USD",IF(OR($L287="",$L287="-"),"",VLOOKUP($G287,為替!$A:$AX,$L287,FALSE))+$K$3,IF(OR($L287="",$L287="-"),"",VLOOKUP($G287,為替!$A:$AX,$L287,FALSE)))</f>
        <v>156.31</v>
      </c>
      <c r="N287" s="205">
        <f t="shared" si="40"/>
        <v>52465.451499999996</v>
      </c>
      <c r="O287" s="206">
        <f t="shared" si="36"/>
        <v>2809.3775000000023</v>
      </c>
      <c r="P287" s="207">
        <f t="shared" si="41"/>
        <v>5.0825620826434444E-2</v>
      </c>
    </row>
    <row r="288" spans="1:16">
      <c r="A288" s="163" t="s">
        <v>343</v>
      </c>
      <c r="B288" s="163">
        <v>7927</v>
      </c>
      <c r="C288" s="200">
        <v>363.52</v>
      </c>
      <c r="D288" s="201">
        <v>0</v>
      </c>
      <c r="E288" s="202" t="s">
        <v>199</v>
      </c>
      <c r="F288" s="430">
        <v>385.2</v>
      </c>
      <c r="G288" s="162">
        <v>46080</v>
      </c>
      <c r="H288" s="203" t="s">
        <v>199</v>
      </c>
      <c r="I288" s="186">
        <f t="shared" si="37"/>
        <v>4</v>
      </c>
      <c r="J288" s="204">
        <f>IF($H288="USD",IF(OR($I288="",$I288="-"),"",VLOOKUP($G288,為替!$A:$AX,$I288,FALSE))+$J$3,IF(OR($I288="",$I288="-"),"",VLOOKUP($G288,為替!$A:$AX,$I288,FALSE)))</f>
        <v>155.31</v>
      </c>
      <c r="K288" s="205">
        <f t="shared" si="38"/>
        <v>59825.411999999997</v>
      </c>
      <c r="L288" s="189">
        <f t="shared" si="39"/>
        <v>3</v>
      </c>
      <c r="M288" s="204">
        <f>IF($H288="USD",IF(OR($L288="",$L288="-"),"",VLOOKUP($G288,為替!$A:$AX,$L288,FALSE))+$K$3,IF(OR($L288="",$L288="-"),"",VLOOKUP($G288,為替!$A:$AX,$L288,FALSE)))</f>
        <v>156.31</v>
      </c>
      <c r="N288" s="205">
        <f t="shared" si="40"/>
        <v>56821.811199999996</v>
      </c>
      <c r="O288" s="206">
        <f t="shared" si="36"/>
        <v>3003.6008000000002</v>
      </c>
      <c r="P288" s="207">
        <f t="shared" si="41"/>
        <v>5.0206103051994029E-2</v>
      </c>
    </row>
    <row r="289" spans="1:16">
      <c r="A289" s="163" t="s">
        <v>343</v>
      </c>
      <c r="B289" s="163">
        <v>7928</v>
      </c>
      <c r="C289" s="200">
        <v>573.33000000000004</v>
      </c>
      <c r="D289" s="201">
        <v>0</v>
      </c>
      <c r="E289" s="202" t="s">
        <v>199</v>
      </c>
      <c r="F289" s="430">
        <v>607.55999999999995</v>
      </c>
      <c r="G289" s="162">
        <v>46080</v>
      </c>
      <c r="H289" s="203" t="s">
        <v>199</v>
      </c>
      <c r="I289" s="186">
        <f t="shared" si="37"/>
        <v>4</v>
      </c>
      <c r="J289" s="204">
        <f>IF($H289="USD",IF(OR($I289="",$I289="-"),"",VLOOKUP($G289,為替!$A:$AX,$I289,FALSE))+$J$3,IF(OR($I289="",$I289="-"),"",VLOOKUP($G289,為替!$A:$AX,$I289,FALSE)))</f>
        <v>155.31</v>
      </c>
      <c r="K289" s="205">
        <f t="shared" si="38"/>
        <v>94360.143599999996</v>
      </c>
      <c r="L289" s="189">
        <f t="shared" si="39"/>
        <v>3</v>
      </c>
      <c r="M289" s="204">
        <f>IF($H289="USD",IF(OR($L289="",$L289="-"),"",VLOOKUP($G289,為替!$A:$AX,$L289,FALSE))+$K$3,IF(OR($L289="",$L289="-"),"",VLOOKUP($G289,為替!$A:$AX,$L289,FALSE)))</f>
        <v>156.31</v>
      </c>
      <c r="N289" s="205">
        <f t="shared" si="40"/>
        <v>89617.212300000014</v>
      </c>
      <c r="O289" s="206">
        <f t="shared" si="36"/>
        <v>4742.931299999982</v>
      </c>
      <c r="P289" s="207">
        <f t="shared" si="41"/>
        <v>5.0264138216084511E-2</v>
      </c>
    </row>
    <row r="290" spans="1:16">
      <c r="A290" s="163" t="s">
        <v>343</v>
      </c>
      <c r="B290" s="163">
        <v>7929</v>
      </c>
      <c r="C290" s="200">
        <v>552.49</v>
      </c>
      <c r="D290" s="201">
        <v>0</v>
      </c>
      <c r="E290" s="202" t="s">
        <v>199</v>
      </c>
      <c r="F290" s="430">
        <v>585.37</v>
      </c>
      <c r="G290" s="162">
        <v>46080</v>
      </c>
      <c r="H290" s="203" t="s">
        <v>199</v>
      </c>
      <c r="I290" s="186">
        <f t="shared" si="37"/>
        <v>4</v>
      </c>
      <c r="J290" s="204">
        <f>IF($H290="USD",IF(OR($I290="",$I290="-"),"",VLOOKUP($G290,為替!$A:$AX,$I290,FALSE))+$J$3,IF(OR($I290="",$I290="-"),"",VLOOKUP($G290,為替!$A:$AX,$I290,FALSE)))</f>
        <v>155.31</v>
      </c>
      <c r="K290" s="205">
        <f t="shared" si="38"/>
        <v>90913.814700000003</v>
      </c>
      <c r="L290" s="189">
        <f t="shared" si="39"/>
        <v>3</v>
      </c>
      <c r="M290" s="204">
        <f>IF($H290="USD",IF(OR($L290="",$L290="-"),"",VLOOKUP($G290,為替!$A:$AX,$L290,FALSE))+$K$3,IF(OR($L290="",$L290="-"),"",VLOOKUP($G290,為替!$A:$AX,$L290,FALSE)))</f>
        <v>156.31</v>
      </c>
      <c r="N290" s="205">
        <f t="shared" si="40"/>
        <v>86359.711900000009</v>
      </c>
      <c r="O290" s="206">
        <f t="shared" si="36"/>
        <v>4554.1027999999933</v>
      </c>
      <c r="P290" s="207">
        <f t="shared" si="41"/>
        <v>5.0092527907092572E-2</v>
      </c>
    </row>
    <row r="291" spans="1:16">
      <c r="A291" s="163" t="s">
        <v>343</v>
      </c>
      <c r="B291" s="163">
        <v>7930</v>
      </c>
      <c r="C291" s="200">
        <v>112.1</v>
      </c>
      <c r="D291" s="201">
        <v>0</v>
      </c>
      <c r="E291" s="202" t="s">
        <v>199</v>
      </c>
      <c r="F291" s="430">
        <v>118.8</v>
      </c>
      <c r="G291" s="162">
        <v>46080</v>
      </c>
      <c r="H291" s="203" t="s">
        <v>199</v>
      </c>
      <c r="I291" s="186">
        <f t="shared" si="37"/>
        <v>4</v>
      </c>
      <c r="J291" s="204">
        <f>IF($H291="USD",IF(OR($I291="",$I291="-"),"",VLOOKUP($G291,為替!$A:$AX,$I291,FALSE))+$J$3,IF(OR($I291="",$I291="-"),"",VLOOKUP($G291,為替!$A:$AX,$I291,FALSE)))</f>
        <v>155.31</v>
      </c>
      <c r="K291" s="205">
        <f t="shared" si="38"/>
        <v>18450.828000000001</v>
      </c>
      <c r="L291" s="189">
        <f t="shared" si="39"/>
        <v>3</v>
      </c>
      <c r="M291" s="204">
        <f>IF($H291="USD",IF(OR($L291="",$L291="-"),"",VLOOKUP($G291,為替!$A:$AX,$L291,FALSE))+$K$3,IF(OR($L291="",$L291="-"),"",VLOOKUP($G291,為替!$A:$AX,$L291,FALSE)))</f>
        <v>156.31</v>
      </c>
      <c r="N291" s="205">
        <f t="shared" si="40"/>
        <v>17522.350999999999</v>
      </c>
      <c r="O291" s="206">
        <f t="shared" si="36"/>
        <v>928.47700000000259</v>
      </c>
      <c r="P291" s="207">
        <f t="shared" si="41"/>
        <v>5.0321698299935512E-2</v>
      </c>
    </row>
    <row r="292" spans="1:16">
      <c r="A292" s="163" t="s">
        <v>344</v>
      </c>
      <c r="B292" s="163">
        <v>7902</v>
      </c>
      <c r="C292" s="200">
        <v>1050.98</v>
      </c>
      <c r="D292" s="201">
        <v>65.069999999999993</v>
      </c>
      <c r="E292" s="202" t="s">
        <v>199</v>
      </c>
      <c r="F292" s="430">
        <v>1251.3599999999999</v>
      </c>
      <c r="G292" s="162">
        <v>46078</v>
      </c>
      <c r="H292" s="203" t="s">
        <v>199</v>
      </c>
      <c r="I292" s="186">
        <f t="shared" si="37"/>
        <v>4</v>
      </c>
      <c r="J292" s="204">
        <f>IF($H292="USD",IF(OR($I292="",$I292="-"),"",VLOOKUP($G292,為替!$A:$AX,$I292,FALSE))+$J$3,IF(OR($I292="",$I292="-"),"",VLOOKUP($G292,為替!$A:$AX,$I292,FALSE)))</f>
        <v>155.33000000000001</v>
      </c>
      <c r="K292" s="205">
        <f t="shared" si="38"/>
        <v>194373.7488</v>
      </c>
      <c r="L292" s="189">
        <f t="shared" si="39"/>
        <v>3</v>
      </c>
      <c r="M292" s="204">
        <f>IF($H292="USD",IF(OR($L292="",$L292="-"),"",VLOOKUP($G292,為替!$A:$AX,$L292,FALSE))+$K$3,IF(OR($L292="",$L292="-"),"",VLOOKUP($G292,為替!$A:$AX,$L292,FALSE)))</f>
        <v>156.33000000000001</v>
      </c>
      <c r="N292" s="205">
        <f t="shared" si="40"/>
        <v>174472.09650000001</v>
      </c>
      <c r="O292" s="206">
        <f t="shared" si="36"/>
        <v>19901.652299999987</v>
      </c>
      <c r="P292" s="207">
        <f t="shared" si="41"/>
        <v>0.10238858088021806</v>
      </c>
    </row>
    <row r="293" spans="1:16">
      <c r="A293" s="163" t="s">
        <v>344</v>
      </c>
      <c r="B293" s="163">
        <v>7903</v>
      </c>
      <c r="C293" s="200">
        <v>1016.4</v>
      </c>
      <c r="D293" s="201">
        <v>62.92</v>
      </c>
      <c r="E293" s="202" t="s">
        <v>199</v>
      </c>
      <c r="F293" s="430">
        <v>1210</v>
      </c>
      <c r="G293" s="162">
        <v>46078</v>
      </c>
      <c r="H293" s="203" t="s">
        <v>199</v>
      </c>
      <c r="I293" s="186">
        <f t="shared" si="37"/>
        <v>4</v>
      </c>
      <c r="J293" s="204">
        <f>IF($H293="USD",IF(OR($I293="",$I293="-"),"",VLOOKUP($G293,為替!$A:$AX,$I293,FALSE))+$J$3,IF(OR($I293="",$I293="-"),"",VLOOKUP($G293,為替!$A:$AX,$I293,FALSE)))</f>
        <v>155.33000000000001</v>
      </c>
      <c r="K293" s="205">
        <f t="shared" si="38"/>
        <v>187949.30000000002</v>
      </c>
      <c r="L293" s="189">
        <f t="shared" si="39"/>
        <v>3</v>
      </c>
      <c r="M293" s="204">
        <f>IF($H293="USD",IF(OR($L293="",$L293="-"),"",VLOOKUP($G293,為替!$A:$AX,$L293,FALSE))+$K$3,IF(OR($L293="",$L293="-"),"",VLOOKUP($G293,為替!$A:$AX,$L293,FALSE)))</f>
        <v>156.33000000000001</v>
      </c>
      <c r="N293" s="205">
        <f t="shared" si="40"/>
        <v>168730.0956</v>
      </c>
      <c r="O293" s="206">
        <f t="shared" si="36"/>
        <v>19219.204400000017</v>
      </c>
      <c r="P293" s="207">
        <f t="shared" si="41"/>
        <v>0.10225738749758587</v>
      </c>
    </row>
    <row r="294" spans="1:16">
      <c r="A294" s="163" t="s">
        <v>344</v>
      </c>
      <c r="B294" s="163">
        <v>7904</v>
      </c>
      <c r="C294" s="200">
        <v>1559.04</v>
      </c>
      <c r="D294" s="201">
        <v>96.51</v>
      </c>
      <c r="E294" s="202" t="s">
        <v>199</v>
      </c>
      <c r="F294" s="430">
        <v>1856</v>
      </c>
      <c r="G294" s="162">
        <v>46078</v>
      </c>
      <c r="H294" s="203" t="s">
        <v>199</v>
      </c>
      <c r="I294" s="186">
        <f t="shared" si="37"/>
        <v>4</v>
      </c>
      <c r="J294" s="204">
        <f>IF($H294="USD",IF(OR($I294="",$I294="-"),"",VLOOKUP($G294,為替!$A:$AX,$I294,FALSE))+$J$3,IF(OR($I294="",$I294="-"),"",VLOOKUP($G294,為替!$A:$AX,$I294,FALSE)))</f>
        <v>155.33000000000001</v>
      </c>
      <c r="K294" s="205">
        <f t="shared" si="38"/>
        <v>288292.48000000004</v>
      </c>
      <c r="L294" s="189">
        <f t="shared" si="39"/>
        <v>3</v>
      </c>
      <c r="M294" s="204">
        <f>IF($H294="USD",IF(OR($L294="",$L294="-"),"",VLOOKUP($G294,為替!$A:$AX,$L294,FALSE))+$K$3,IF(OR($L294="",$L294="-"),"",VLOOKUP($G294,為替!$A:$AX,$L294,FALSE)))</f>
        <v>156.33000000000001</v>
      </c>
      <c r="N294" s="205">
        <f t="shared" si="40"/>
        <v>258812.13150000002</v>
      </c>
      <c r="O294" s="206">
        <f t="shared" si="36"/>
        <v>29480.348500000022</v>
      </c>
      <c r="P294" s="207">
        <f t="shared" si="41"/>
        <v>0.10225847202119187</v>
      </c>
    </row>
    <row r="295" spans="1:16">
      <c r="A295" s="163" t="s">
        <v>344</v>
      </c>
      <c r="B295" s="163">
        <v>7905</v>
      </c>
      <c r="C295" s="200">
        <v>5308.8</v>
      </c>
      <c r="D295" s="201">
        <v>328.64</v>
      </c>
      <c r="E295" s="202" t="s">
        <v>199</v>
      </c>
      <c r="F295" s="430">
        <v>6320</v>
      </c>
      <c r="G295" s="162">
        <v>46078</v>
      </c>
      <c r="H295" s="203" t="s">
        <v>199</v>
      </c>
      <c r="I295" s="186">
        <f t="shared" si="37"/>
        <v>4</v>
      </c>
      <c r="J295" s="204">
        <f>IF($H295="USD",IF(OR($I295="",$I295="-"),"",VLOOKUP($G295,為替!$A:$AX,$I295,FALSE))+$J$3,IF(OR($I295="",$I295="-"),"",VLOOKUP($G295,為替!$A:$AX,$I295,FALSE)))</f>
        <v>155.33000000000001</v>
      </c>
      <c r="K295" s="205">
        <f t="shared" si="38"/>
        <v>981685.60000000009</v>
      </c>
      <c r="L295" s="189">
        <f t="shared" si="39"/>
        <v>3</v>
      </c>
      <c r="M295" s="204">
        <f>IF($H295="USD",IF(OR($L295="",$L295="-"),"",VLOOKUP($G295,為替!$A:$AX,$L295,FALSE))+$K$3,IF(OR($L295="",$L295="-"),"",VLOOKUP($G295,為替!$A:$AX,$L295,FALSE)))</f>
        <v>156.33000000000001</v>
      </c>
      <c r="N295" s="205">
        <f t="shared" si="40"/>
        <v>881300.99520000012</v>
      </c>
      <c r="O295" s="206">
        <f t="shared" si="36"/>
        <v>100384.60479999997</v>
      </c>
      <c r="P295" s="207">
        <f t="shared" si="41"/>
        <v>0.10225738749758574</v>
      </c>
    </row>
    <row r="296" spans="1:16">
      <c r="A296" s="163" t="s">
        <v>344</v>
      </c>
      <c r="B296" s="163">
        <v>7906</v>
      </c>
      <c r="C296" s="200">
        <v>1618.72</v>
      </c>
      <c r="D296" s="201">
        <v>100.2</v>
      </c>
      <c r="E296" s="202" t="s">
        <v>199</v>
      </c>
      <c r="F296" s="430">
        <v>1926.94</v>
      </c>
      <c r="G296" s="162">
        <v>46078</v>
      </c>
      <c r="H296" s="203" t="s">
        <v>199</v>
      </c>
      <c r="I296" s="186">
        <f t="shared" si="37"/>
        <v>4</v>
      </c>
      <c r="J296" s="204">
        <f>IF($H296="USD",IF(OR($I296="",$I296="-"),"",VLOOKUP($G296,為替!$A:$AX,$I296,FALSE))+$J$3,IF(OR($I296="",$I296="-"),"",VLOOKUP($G296,為替!$A:$AX,$I296,FALSE)))</f>
        <v>155.33000000000001</v>
      </c>
      <c r="K296" s="205">
        <f t="shared" si="38"/>
        <v>299311.59020000004</v>
      </c>
      <c r="L296" s="189">
        <f t="shared" si="39"/>
        <v>3</v>
      </c>
      <c r="M296" s="204">
        <f>IF($H296="USD",IF(OR($L296="",$L296="-"),"",VLOOKUP($G296,為替!$A:$AX,$L296,FALSE))+$K$3,IF(OR($L296="",$L296="-"),"",VLOOKUP($G296,為替!$A:$AX,$L296,FALSE)))</f>
        <v>156.33000000000001</v>
      </c>
      <c r="N296" s="205">
        <f t="shared" si="40"/>
        <v>268718.76360000001</v>
      </c>
      <c r="O296" s="206">
        <f t="shared" si="36"/>
        <v>30592.826600000029</v>
      </c>
      <c r="P296" s="207">
        <f t="shared" si="41"/>
        <v>0.10221063133424903</v>
      </c>
    </row>
    <row r="297" spans="1:16">
      <c r="A297" s="163" t="s">
        <v>344</v>
      </c>
      <c r="B297" s="163">
        <v>7907</v>
      </c>
      <c r="C297" s="200">
        <v>3142.44</v>
      </c>
      <c r="D297" s="201">
        <v>194.53</v>
      </c>
      <c r="E297" s="202" t="s">
        <v>199</v>
      </c>
      <c r="F297" s="430">
        <v>3741</v>
      </c>
      <c r="G297" s="162">
        <v>46078</v>
      </c>
      <c r="H297" s="203" t="s">
        <v>199</v>
      </c>
      <c r="I297" s="186">
        <f t="shared" si="37"/>
        <v>4</v>
      </c>
      <c r="J297" s="204">
        <f>IF($H297="USD",IF(OR($I297="",$I297="-"),"",VLOOKUP($G297,為替!$A:$AX,$I297,FALSE))+$J$3,IF(OR($I297="",$I297="-"),"",VLOOKUP($G297,為替!$A:$AX,$I297,FALSE)))</f>
        <v>155.33000000000001</v>
      </c>
      <c r="K297" s="205">
        <f t="shared" si="38"/>
        <v>581089.53</v>
      </c>
      <c r="L297" s="189">
        <f t="shared" si="39"/>
        <v>3</v>
      </c>
      <c r="M297" s="204">
        <f>IF($H297="USD",IF(OR($L297="",$L297="-"),"",VLOOKUP($G297,為替!$A:$AX,$L297,FALSE))+$K$3,IF(OR($L297="",$L297="-"),"",VLOOKUP($G297,為替!$A:$AX,$L297,FALSE)))</f>
        <v>156.33000000000001</v>
      </c>
      <c r="N297" s="205">
        <f t="shared" si="40"/>
        <v>521668.52010000008</v>
      </c>
      <c r="O297" s="206">
        <f t="shared" si="36"/>
        <v>59421.009899999946</v>
      </c>
      <c r="P297" s="207">
        <f t="shared" si="41"/>
        <v>0.10225792555580883</v>
      </c>
    </row>
    <row r="298" spans="1:16">
      <c r="A298" s="163" t="s">
        <v>344</v>
      </c>
      <c r="B298" s="163">
        <v>7908</v>
      </c>
      <c r="C298" s="200">
        <v>1067.42</v>
      </c>
      <c r="D298" s="201">
        <v>66.08</v>
      </c>
      <c r="E298" s="202" t="s">
        <v>199</v>
      </c>
      <c r="F298" s="430">
        <v>1270.8599999999999</v>
      </c>
      <c r="G298" s="162">
        <v>46078</v>
      </c>
      <c r="H298" s="203" t="s">
        <v>199</v>
      </c>
      <c r="I298" s="186">
        <f t="shared" si="37"/>
        <v>4</v>
      </c>
      <c r="J298" s="204">
        <f>IF($H298="USD",IF(OR($I298="",$I298="-"),"",VLOOKUP($G298,為替!$A:$AX,$I298,FALSE))+$J$3,IF(OR($I298="",$I298="-"),"",VLOOKUP($G298,為替!$A:$AX,$I298,FALSE)))</f>
        <v>155.33000000000001</v>
      </c>
      <c r="K298" s="205">
        <f t="shared" si="38"/>
        <v>197402.6838</v>
      </c>
      <c r="L298" s="189">
        <f t="shared" si="39"/>
        <v>3</v>
      </c>
      <c r="M298" s="204">
        <f>IF($H298="USD",IF(OR($L298="",$L298="-"),"",VLOOKUP($G298,為替!$A:$AX,$L298,FALSE))+$K$3,IF(OR($L298="",$L298="-"),"",VLOOKUP($G298,為替!$A:$AX,$L298,FALSE)))</f>
        <v>156.33000000000001</v>
      </c>
      <c r="N298" s="205">
        <f t="shared" si="40"/>
        <v>177200.05500000002</v>
      </c>
      <c r="O298" s="206">
        <f t="shared" si="36"/>
        <v>20202.628799999977</v>
      </c>
      <c r="P298" s="207">
        <f t="shared" si="41"/>
        <v>0.10234221952356241</v>
      </c>
    </row>
    <row r="299" spans="1:16">
      <c r="A299" s="163" t="s">
        <v>344</v>
      </c>
      <c r="B299" s="163">
        <v>7909</v>
      </c>
      <c r="C299" s="200">
        <v>891.07</v>
      </c>
      <c r="D299" s="201">
        <v>55.16</v>
      </c>
      <c r="E299" s="202" t="s">
        <v>199</v>
      </c>
      <c r="F299" s="430">
        <v>1060.8</v>
      </c>
      <c r="G299" s="162">
        <v>46078</v>
      </c>
      <c r="H299" s="203" t="s">
        <v>199</v>
      </c>
      <c r="I299" s="186">
        <f t="shared" si="37"/>
        <v>4</v>
      </c>
      <c r="J299" s="204">
        <f>IF($H299="USD",IF(OR($I299="",$I299="-"),"",VLOOKUP($G299,為替!$A:$AX,$I299,FALSE))+$J$3,IF(OR($I299="",$I299="-"),"",VLOOKUP($G299,為替!$A:$AX,$I299,FALSE)))</f>
        <v>155.33000000000001</v>
      </c>
      <c r="K299" s="205">
        <f t="shared" si="38"/>
        <v>164774.06400000001</v>
      </c>
      <c r="L299" s="189">
        <f t="shared" si="39"/>
        <v>3</v>
      </c>
      <c r="M299" s="204">
        <f>IF($H299="USD",IF(OR($L299="",$L299="-"),"",VLOOKUP($G299,為替!$A:$AX,$L299,FALSE))+$K$3,IF(OR($L299="",$L299="-"),"",VLOOKUP($G299,為替!$A:$AX,$L299,FALSE)))</f>
        <v>156.33000000000001</v>
      </c>
      <c r="N299" s="205">
        <f t="shared" si="40"/>
        <v>147924.13590000002</v>
      </c>
      <c r="O299" s="206">
        <f t="shared" si="36"/>
        <v>16849.92809999999</v>
      </c>
      <c r="P299" s="207">
        <f t="shared" si="41"/>
        <v>0.10226080301084271</v>
      </c>
    </row>
    <row r="300" spans="1:16">
      <c r="A300" s="163" t="s">
        <v>344</v>
      </c>
      <c r="B300" s="163">
        <v>7910</v>
      </c>
      <c r="C300" s="200">
        <v>3050.2</v>
      </c>
      <c r="D300" s="201">
        <v>188.82</v>
      </c>
      <c r="E300" s="202" t="s">
        <v>199</v>
      </c>
      <c r="F300" s="430">
        <v>3631.2</v>
      </c>
      <c r="G300" s="162">
        <v>46078</v>
      </c>
      <c r="H300" s="203" t="s">
        <v>199</v>
      </c>
      <c r="I300" s="186">
        <f t="shared" si="37"/>
        <v>4</v>
      </c>
      <c r="J300" s="204">
        <f>IF($H300="USD",IF(OR($I300="",$I300="-"),"",VLOOKUP($G300,為替!$A:$AX,$I300,FALSE))+$J$3,IF(OR($I300="",$I300="-"),"",VLOOKUP($G300,為替!$A:$AX,$I300,FALSE)))</f>
        <v>155.33000000000001</v>
      </c>
      <c r="K300" s="205">
        <f t="shared" si="38"/>
        <v>564034.29599999997</v>
      </c>
      <c r="L300" s="189">
        <f t="shared" si="39"/>
        <v>3</v>
      </c>
      <c r="M300" s="204">
        <f>IF($H300="USD",IF(OR($L300="",$L300="-"),"",VLOOKUP($G300,為替!$A:$AX,$L300,FALSE))+$K$3,IF(OR($L300="",$L300="-"),"",VLOOKUP($G300,為替!$A:$AX,$L300,FALSE)))</f>
        <v>156.33000000000001</v>
      </c>
      <c r="N300" s="205">
        <f t="shared" si="40"/>
        <v>506355.99660000001</v>
      </c>
      <c r="O300" s="206">
        <f t="shared" si="36"/>
        <v>57678.29939999996</v>
      </c>
      <c r="P300" s="207">
        <f t="shared" si="41"/>
        <v>0.10226027000315591</v>
      </c>
    </row>
    <row r="301" spans="1:16">
      <c r="A301" s="163" t="s">
        <v>344</v>
      </c>
      <c r="B301" s="163">
        <v>7911</v>
      </c>
      <c r="C301" s="200">
        <v>1392.21</v>
      </c>
      <c r="D301" s="201">
        <v>86.18</v>
      </c>
      <c r="E301" s="202" t="s">
        <v>199</v>
      </c>
      <c r="F301" s="430">
        <v>1657.26</v>
      </c>
      <c r="G301" s="162">
        <v>46078</v>
      </c>
      <c r="H301" s="203" t="s">
        <v>199</v>
      </c>
      <c r="I301" s="186">
        <f t="shared" si="37"/>
        <v>4</v>
      </c>
      <c r="J301" s="204">
        <f>IF($H301="USD",IF(OR($I301="",$I301="-"),"",VLOOKUP($G301,為替!$A:$AX,$I301,FALSE))+$J$3,IF(OR($I301="",$I301="-"),"",VLOOKUP($G301,為替!$A:$AX,$I301,FALSE)))</f>
        <v>155.33000000000001</v>
      </c>
      <c r="K301" s="205">
        <f t="shared" si="38"/>
        <v>257422.19580000002</v>
      </c>
      <c r="L301" s="189">
        <f t="shared" si="39"/>
        <v>3</v>
      </c>
      <c r="M301" s="204">
        <f>IF($H301="USD",IF(OR($L301="",$L301="-"),"",VLOOKUP($G301,為替!$A:$AX,$L301,FALSE))+$K$3,IF(OR($L301="",$L301="-"),"",VLOOKUP($G301,為替!$A:$AX,$L301,FALSE)))</f>
        <v>156.33000000000001</v>
      </c>
      <c r="N301" s="205">
        <f t="shared" si="40"/>
        <v>231116.70870000005</v>
      </c>
      <c r="O301" s="206">
        <f t="shared" si="36"/>
        <v>26305.487099999969</v>
      </c>
      <c r="P301" s="207">
        <f t="shared" si="41"/>
        <v>0.10218810782127578</v>
      </c>
    </row>
    <row r="302" spans="1:16">
      <c r="A302" s="163" t="s">
        <v>344</v>
      </c>
      <c r="B302" s="163">
        <v>7912</v>
      </c>
      <c r="C302" s="200">
        <v>3948.42</v>
      </c>
      <c r="D302" s="201">
        <v>244.43</v>
      </c>
      <c r="E302" s="202" t="s">
        <v>199</v>
      </c>
      <c r="F302" s="430">
        <v>4700.5</v>
      </c>
      <c r="G302" s="162">
        <v>46078</v>
      </c>
      <c r="H302" s="203" t="s">
        <v>199</v>
      </c>
      <c r="I302" s="186">
        <f t="shared" si="37"/>
        <v>4</v>
      </c>
      <c r="J302" s="204">
        <f>IF($H302="USD",IF(OR($I302="",$I302="-"),"",VLOOKUP($G302,為替!$A:$AX,$I302,FALSE))+$J$3,IF(OR($I302="",$I302="-"),"",VLOOKUP($G302,為替!$A:$AX,$I302,FALSE)))</f>
        <v>155.33000000000001</v>
      </c>
      <c r="K302" s="205">
        <f t="shared" si="38"/>
        <v>730128.66500000004</v>
      </c>
      <c r="L302" s="189">
        <f t="shared" si="39"/>
        <v>3</v>
      </c>
      <c r="M302" s="204">
        <f>IF($H302="USD",IF(OR($L302="",$L302="-"),"",VLOOKUP($G302,為替!$A:$AX,$L302,FALSE))+$K$3,IF(OR($L302="",$L302="-"),"",VLOOKUP($G302,為替!$A:$AX,$L302,FALSE)))</f>
        <v>156.33000000000001</v>
      </c>
      <c r="N302" s="205">
        <f t="shared" si="40"/>
        <v>655468.24050000007</v>
      </c>
      <c r="O302" s="206">
        <f t="shared" si="36"/>
        <v>74660.424499999965</v>
      </c>
      <c r="P302" s="207">
        <f t="shared" si="41"/>
        <v>0.10225653104579857</v>
      </c>
    </row>
    <row r="303" spans="1:16">
      <c r="A303" s="163" t="s">
        <v>344</v>
      </c>
      <c r="B303" s="163">
        <v>7913</v>
      </c>
      <c r="C303" s="200">
        <v>1365.16</v>
      </c>
      <c r="D303" s="201">
        <v>84.51</v>
      </c>
      <c r="E303" s="202" t="s">
        <v>199</v>
      </c>
      <c r="F303" s="430">
        <v>1625.2</v>
      </c>
      <c r="G303" s="162">
        <v>46078</v>
      </c>
      <c r="H303" s="203" t="s">
        <v>199</v>
      </c>
      <c r="I303" s="186">
        <f t="shared" si="37"/>
        <v>4</v>
      </c>
      <c r="J303" s="204">
        <f>IF($H303="USD",IF(OR($I303="",$I303="-"),"",VLOOKUP($G303,為替!$A:$AX,$I303,FALSE))+$J$3,IF(OR($I303="",$I303="-"),"",VLOOKUP($G303,為替!$A:$AX,$I303,FALSE)))</f>
        <v>155.33000000000001</v>
      </c>
      <c r="K303" s="205">
        <f t="shared" si="38"/>
        <v>252442.31600000002</v>
      </c>
      <c r="L303" s="189">
        <f t="shared" si="39"/>
        <v>3</v>
      </c>
      <c r="M303" s="204">
        <f>IF($H303="USD",IF(OR($L303="",$L303="-"),"",VLOOKUP($G303,為替!$A:$AX,$L303,FALSE))+$K$3,IF(OR($L303="",$L303="-"),"",VLOOKUP($G303,為替!$A:$AX,$L303,FALSE)))</f>
        <v>156.33000000000001</v>
      </c>
      <c r="N303" s="205">
        <f t="shared" si="40"/>
        <v>226626.91110000003</v>
      </c>
      <c r="O303" s="206">
        <f t="shared" si="36"/>
        <v>25815.404899999994</v>
      </c>
      <c r="P303" s="207">
        <f t="shared" si="41"/>
        <v>0.1022625893671487</v>
      </c>
    </row>
    <row r="304" spans="1:16">
      <c r="A304" s="163" t="s">
        <v>344</v>
      </c>
      <c r="B304" s="163">
        <v>7914</v>
      </c>
      <c r="C304" s="200">
        <v>922.32</v>
      </c>
      <c r="D304" s="201">
        <v>57.1</v>
      </c>
      <c r="E304" s="202" t="s">
        <v>199</v>
      </c>
      <c r="F304" s="430">
        <v>1098</v>
      </c>
      <c r="G304" s="162">
        <v>46078</v>
      </c>
      <c r="H304" s="203" t="s">
        <v>199</v>
      </c>
      <c r="I304" s="186">
        <f t="shared" si="37"/>
        <v>4</v>
      </c>
      <c r="J304" s="204">
        <f>IF($H304="USD",IF(OR($I304="",$I304="-"),"",VLOOKUP($G304,為替!$A:$AX,$I304,FALSE))+$J$3,IF(OR($I304="",$I304="-"),"",VLOOKUP($G304,為替!$A:$AX,$I304,FALSE)))</f>
        <v>155.33000000000001</v>
      </c>
      <c r="K304" s="205">
        <f t="shared" si="38"/>
        <v>170552.34000000003</v>
      </c>
      <c r="L304" s="189">
        <f t="shared" si="39"/>
        <v>3</v>
      </c>
      <c r="M304" s="204">
        <f>IF($H304="USD",IF(OR($L304="",$L304="-"),"",VLOOKUP($G304,為替!$A:$AX,$L304,FALSE))+$K$3,IF(OR($L304="",$L304="-"),"",VLOOKUP($G304,為替!$A:$AX,$L304,FALSE)))</f>
        <v>156.33000000000001</v>
      </c>
      <c r="N304" s="205">
        <f t="shared" si="40"/>
        <v>153112.72860000003</v>
      </c>
      <c r="O304" s="206">
        <f t="shared" si="36"/>
        <v>17439.611399999994</v>
      </c>
      <c r="P304" s="207">
        <f t="shared" si="41"/>
        <v>0.10225372105712528</v>
      </c>
    </row>
    <row r="305" spans="1:16">
      <c r="A305" s="163" t="s">
        <v>344</v>
      </c>
      <c r="B305" s="163">
        <v>7915</v>
      </c>
      <c r="C305" s="200">
        <v>536.25</v>
      </c>
      <c r="D305" s="201">
        <v>33.200000000000003</v>
      </c>
      <c r="E305" s="202" t="s">
        <v>199</v>
      </c>
      <c r="F305" s="430">
        <v>638.4</v>
      </c>
      <c r="G305" s="162">
        <v>46078</v>
      </c>
      <c r="H305" s="203" t="s">
        <v>199</v>
      </c>
      <c r="I305" s="186">
        <f t="shared" si="37"/>
        <v>4</v>
      </c>
      <c r="J305" s="204">
        <f>IF($H305="USD",IF(OR($I305="",$I305="-"),"",VLOOKUP($G305,為替!$A:$AX,$I305,FALSE))+$J$3,IF(OR($I305="",$I305="-"),"",VLOOKUP($G305,為替!$A:$AX,$I305,FALSE)))</f>
        <v>155.33000000000001</v>
      </c>
      <c r="K305" s="205">
        <f t="shared" si="38"/>
        <v>99162.672000000006</v>
      </c>
      <c r="L305" s="189">
        <f t="shared" si="39"/>
        <v>3</v>
      </c>
      <c r="M305" s="204">
        <f>IF($H305="USD",IF(OR($L305="",$L305="-"),"",VLOOKUP($G305,為替!$A:$AX,$L305,FALSE))+$K$3,IF(OR($L305="",$L305="-"),"",VLOOKUP($G305,為替!$A:$AX,$L305,FALSE)))</f>
        <v>156.33000000000001</v>
      </c>
      <c r="N305" s="205">
        <f t="shared" si="40"/>
        <v>89022.118500000011</v>
      </c>
      <c r="O305" s="206">
        <f t="shared" si="36"/>
        <v>10140.553499999995</v>
      </c>
      <c r="P305" s="207">
        <f t="shared" si="41"/>
        <v>0.10226180169892955</v>
      </c>
    </row>
    <row r="306" spans="1:16">
      <c r="A306" s="163" t="s">
        <v>309</v>
      </c>
      <c r="B306" s="163">
        <v>7850</v>
      </c>
      <c r="C306" s="200">
        <v>32090</v>
      </c>
      <c r="D306" s="201">
        <v>0</v>
      </c>
      <c r="E306" s="202" t="s">
        <v>200</v>
      </c>
      <c r="F306" s="200">
        <v>42650</v>
      </c>
      <c r="G306" s="162">
        <v>46078</v>
      </c>
      <c r="H306" s="203" t="s">
        <v>200</v>
      </c>
      <c r="I306" s="186" t="str">
        <f t="shared" si="37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>
        <f t="shared" si="38"/>
        <v>42650</v>
      </c>
      <c r="L306" s="189" t="str">
        <f t="shared" si="39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>
        <f t="shared" si="40"/>
        <v>32090</v>
      </c>
      <c r="O306" s="206">
        <f t="shared" si="36"/>
        <v>10560</v>
      </c>
      <c r="P306" s="207">
        <f t="shared" si="41"/>
        <v>0.24759671746776085</v>
      </c>
    </row>
    <row r="307" spans="1:16">
      <c r="A307" s="163" t="s">
        <v>309</v>
      </c>
      <c r="B307" s="163">
        <v>7879</v>
      </c>
      <c r="C307" s="200">
        <v>223055</v>
      </c>
      <c r="D307" s="201">
        <v>0</v>
      </c>
      <c r="E307" s="202" t="s">
        <v>200</v>
      </c>
      <c r="F307" s="200">
        <v>282425</v>
      </c>
      <c r="G307" s="162">
        <v>46065</v>
      </c>
      <c r="H307" s="203" t="s">
        <v>200</v>
      </c>
      <c r="I307" s="186" t="str">
        <f t="shared" si="37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>
        <f t="shared" si="38"/>
        <v>282425</v>
      </c>
      <c r="L307" s="189" t="str">
        <f t="shared" si="39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>
        <f t="shared" si="40"/>
        <v>223055</v>
      </c>
      <c r="O307" s="206">
        <f t="shared" si="36"/>
        <v>59370</v>
      </c>
      <c r="P307" s="207">
        <f t="shared" si="41"/>
        <v>0.21021510135434185</v>
      </c>
    </row>
    <row r="308" spans="1:16">
      <c r="A308" s="163" t="s">
        <v>309</v>
      </c>
      <c r="B308" s="163">
        <v>7918</v>
      </c>
      <c r="C308" s="200">
        <v>114790</v>
      </c>
      <c r="D308" s="201">
        <v>0</v>
      </c>
      <c r="E308" s="202" t="s">
        <v>200</v>
      </c>
      <c r="F308" s="200">
        <v>146000</v>
      </c>
      <c r="G308" s="162">
        <v>46080</v>
      </c>
      <c r="H308" s="203" t="s">
        <v>200</v>
      </c>
      <c r="I308" s="186" t="str">
        <f t="shared" si="37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>
        <f t="shared" si="38"/>
        <v>146000</v>
      </c>
      <c r="L308" s="189" t="str">
        <f t="shared" si="39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>
        <f t="shared" si="40"/>
        <v>114790</v>
      </c>
      <c r="O308" s="206">
        <f t="shared" si="36"/>
        <v>31210</v>
      </c>
      <c r="P308" s="207">
        <f t="shared" si="41"/>
        <v>0.21376712328767122</v>
      </c>
    </row>
    <row r="309" spans="1:16">
      <c r="A309" s="163" t="s">
        <v>343</v>
      </c>
      <c r="B309" s="163">
        <v>7938</v>
      </c>
      <c r="C309" s="200">
        <v>142.02000000000001</v>
      </c>
      <c r="D309" s="201">
        <v>0</v>
      </c>
      <c r="E309" s="202" t="s">
        <v>199</v>
      </c>
      <c r="F309" s="200">
        <v>155.35</v>
      </c>
      <c r="G309" s="162">
        <v>46084</v>
      </c>
      <c r="H309" s="203" t="s">
        <v>199</v>
      </c>
      <c r="I309" s="186">
        <f t="shared" si="37"/>
        <v>4</v>
      </c>
      <c r="J309" s="204">
        <f>IF($H309="USD",IF(OR($I309="",$I309="-"),"",VLOOKUP($G309,為替!$A:$AX,$I309,FALSE))+$J$3,IF(OR($I309="",$I309="-"),"",VLOOKUP($G309,為替!$A:$AX,$I309,FALSE)))</f>
        <v>157</v>
      </c>
      <c r="K309" s="205">
        <f t="shared" si="38"/>
        <v>24389.95</v>
      </c>
      <c r="L309" s="189">
        <f t="shared" si="39"/>
        <v>3</v>
      </c>
      <c r="M309" s="204">
        <f>IF($H309="USD",IF(OR($L309="",$L309="-"),"",VLOOKUP($G309,為替!$A:$AX,$L309,FALSE))+$K$3,IF(OR($L309="",$L309="-"),"",VLOOKUP($G309,為替!$A:$AX,$L309,FALSE)))</f>
        <v>158</v>
      </c>
      <c r="N309" s="205">
        <f t="shared" si="40"/>
        <v>22439.16</v>
      </c>
      <c r="O309" s="206">
        <f t="shared" si="36"/>
        <v>1950.7900000000009</v>
      </c>
      <c r="P309" s="207">
        <f t="shared" si="41"/>
        <v>7.998335379941332E-2</v>
      </c>
    </row>
    <row r="310" spans="1:16">
      <c r="A310" s="163" t="s">
        <v>343</v>
      </c>
      <c r="B310" s="163">
        <v>7939</v>
      </c>
      <c r="C310" s="200">
        <f>313.76+44</f>
        <v>357.76</v>
      </c>
      <c r="D310" s="201">
        <v>0</v>
      </c>
      <c r="E310" s="202" t="s">
        <v>199</v>
      </c>
      <c r="F310" s="430">
        <v>387.72</v>
      </c>
      <c r="G310" s="162">
        <v>46084</v>
      </c>
      <c r="H310" s="203" t="s">
        <v>199</v>
      </c>
      <c r="I310" s="186">
        <f t="shared" si="37"/>
        <v>4</v>
      </c>
      <c r="J310" s="204">
        <f>IF($H310="USD",IF(OR($I310="",$I310="-"),"",VLOOKUP($G310,為替!$A:$AX,$I310,FALSE))+$J$3,IF(OR($I310="",$I310="-"),"",VLOOKUP($G310,為替!$A:$AX,$I310,FALSE)))</f>
        <v>157</v>
      </c>
      <c r="K310" s="205">
        <f t="shared" si="38"/>
        <v>60872.04</v>
      </c>
      <c r="L310" s="189">
        <f t="shared" si="39"/>
        <v>3</v>
      </c>
      <c r="M310" s="204">
        <f>IF($H310="USD",IF(OR($L310="",$L310="-"),"",VLOOKUP($G310,為替!$A:$AX,$L310,FALSE))+$K$3,IF(OR($L310="",$L310="-"),"",VLOOKUP($G310,為替!$A:$AX,$L310,FALSE)))</f>
        <v>158</v>
      </c>
      <c r="N310" s="205">
        <f t="shared" si="40"/>
        <v>56526.080000000002</v>
      </c>
      <c r="O310" s="206">
        <f t="shared" si="36"/>
        <v>4345.9599999999991</v>
      </c>
      <c r="P310" s="207">
        <f t="shared" si="41"/>
        <v>7.1395011568529634E-2</v>
      </c>
    </row>
    <row r="311" spans="1:16">
      <c r="A311" s="163" t="s">
        <v>343</v>
      </c>
      <c r="B311" s="163">
        <v>7940</v>
      </c>
      <c r="C311" s="200">
        <v>58.17</v>
      </c>
      <c r="D311" s="201">
        <v>0</v>
      </c>
      <c r="E311" s="202" t="s">
        <v>199</v>
      </c>
      <c r="F311" s="200">
        <v>61.74</v>
      </c>
      <c r="G311" s="162">
        <v>46085</v>
      </c>
      <c r="H311" s="203" t="s">
        <v>199</v>
      </c>
      <c r="I311" s="186">
        <f t="shared" si="37"/>
        <v>4</v>
      </c>
      <c r="J311" s="204">
        <f>IF($H311="USD",IF(OR($I311="",$I311="-"),"",VLOOKUP($G311,為替!$A:$AX,$I311,FALSE))+$J$3,IF(OR($I311="",$I311="-"),"",VLOOKUP($G311,為替!$A:$AX,$I311,FALSE)))</f>
        <v>157.19</v>
      </c>
      <c r="K311" s="205">
        <f t="shared" si="38"/>
        <v>9704.9106000000011</v>
      </c>
      <c r="L311" s="189">
        <f t="shared" si="39"/>
        <v>3</v>
      </c>
      <c r="M311" s="204">
        <f>IF($H311="USD",IF(OR($L311="",$L311="-"),"",VLOOKUP($G311,為替!$A:$AX,$L311,FALSE))+$K$3,IF(OR($L311="",$L311="-"),"",VLOOKUP($G311,為替!$A:$AX,$L311,FALSE)))</f>
        <v>158.19</v>
      </c>
      <c r="N311" s="205">
        <f t="shared" si="40"/>
        <v>9201.9123</v>
      </c>
      <c r="O311" s="206">
        <f t="shared" si="36"/>
        <v>502.99830000000111</v>
      </c>
      <c r="P311" s="207">
        <f t="shared" si="41"/>
        <v>5.1829256417879936E-2</v>
      </c>
    </row>
    <row r="312" spans="1:16">
      <c r="A312" s="163" t="s">
        <v>343</v>
      </c>
      <c r="B312" s="163">
        <v>7944</v>
      </c>
      <c r="C312" s="200">
        <v>40.15</v>
      </c>
      <c r="D312" s="201">
        <v>0</v>
      </c>
      <c r="E312" s="202" t="s">
        <v>199</v>
      </c>
      <c r="F312" s="200">
        <v>44</v>
      </c>
      <c r="G312" s="162">
        <v>46085</v>
      </c>
      <c r="H312" s="203" t="s">
        <v>199</v>
      </c>
      <c r="I312" s="186">
        <f t="shared" si="37"/>
        <v>4</v>
      </c>
      <c r="J312" s="204">
        <f>IF($H312="USD",IF(OR($I312="",$I312="-"),"",VLOOKUP($G312,為替!$A:$AX,$I312,FALSE))+$J$3,IF(OR($I312="",$I312="-"),"",VLOOKUP($G312,為替!$A:$AX,$I312,FALSE)))</f>
        <v>157.19</v>
      </c>
      <c r="K312" s="205">
        <f t="shared" si="38"/>
        <v>6916.36</v>
      </c>
      <c r="L312" s="189">
        <f t="shared" si="39"/>
        <v>3</v>
      </c>
      <c r="M312" s="204">
        <f>IF($H312="USD",IF(OR($L312="",$L312="-"),"",VLOOKUP($G312,為替!$A:$AX,$L312,FALSE))+$K$3,IF(OR($L312="",$L312="-"),"",VLOOKUP($G312,為替!$A:$AX,$L312,FALSE)))</f>
        <v>158.19</v>
      </c>
      <c r="N312" s="205">
        <f t="shared" si="40"/>
        <v>6351.3284999999996</v>
      </c>
      <c r="O312" s="206">
        <f t="shared" si="36"/>
        <v>565.03150000000005</v>
      </c>
      <c r="P312" s="207">
        <f t="shared" si="41"/>
        <v>8.1694923341179476E-2</v>
      </c>
    </row>
    <row r="313" spans="1:16">
      <c r="A313" s="163" t="s">
        <v>343</v>
      </c>
      <c r="B313" s="163">
        <v>7870</v>
      </c>
      <c r="C313" s="200">
        <v>340.67</v>
      </c>
      <c r="D313" s="201">
        <v>0</v>
      </c>
      <c r="E313" s="202" t="s">
        <v>199</v>
      </c>
      <c r="F313" s="200">
        <v>366.17</v>
      </c>
      <c r="G313" s="162">
        <v>46086</v>
      </c>
      <c r="H313" s="203" t="s">
        <v>199</v>
      </c>
      <c r="I313" s="186">
        <f t="shared" si="37"/>
        <v>4</v>
      </c>
      <c r="J313" s="204">
        <f>IF($H313="USD",IF(OR($I313="",$I313="-"),"",VLOOKUP($G313,為替!$A:$AX,$I313,FALSE))+$J$3,IF(OR($I313="",$I313="-"),"",VLOOKUP($G313,為替!$A:$AX,$I313,FALSE)))</f>
        <v>156.1</v>
      </c>
      <c r="K313" s="205">
        <f t="shared" si="38"/>
        <v>57159.137000000002</v>
      </c>
      <c r="L313" s="189">
        <f t="shared" si="39"/>
        <v>3</v>
      </c>
      <c r="M313" s="204">
        <f>IF($H313="USD",IF(OR($L313="",$L313="-"),"",VLOOKUP($G313,為替!$A:$AX,$L313,FALSE))+$K$3,IF(OR($L313="",$L313="-"),"",VLOOKUP($G313,為替!$A:$AX,$L313,FALSE)))</f>
        <v>157.1</v>
      </c>
      <c r="N313" s="205">
        <f t="shared" si="40"/>
        <v>53519.256999999998</v>
      </c>
      <c r="O313" s="206">
        <f t="shared" si="36"/>
        <v>3639.8800000000047</v>
      </c>
      <c r="P313" s="207">
        <f t="shared" si="41"/>
        <v>6.3679757796203329E-2</v>
      </c>
    </row>
    <row r="314" spans="1:16">
      <c r="A314" s="163" t="s">
        <v>343</v>
      </c>
      <c r="B314" s="163">
        <v>7942</v>
      </c>
      <c r="C314" s="200">
        <v>340.2</v>
      </c>
      <c r="D314" s="201">
        <v>0</v>
      </c>
      <c r="E314" s="202" t="s">
        <v>199</v>
      </c>
      <c r="F314" s="200">
        <v>372.6</v>
      </c>
      <c r="G314" s="162">
        <v>46086</v>
      </c>
      <c r="H314" s="203" t="s">
        <v>199</v>
      </c>
      <c r="I314" s="186">
        <f t="shared" si="37"/>
        <v>4</v>
      </c>
      <c r="J314" s="204">
        <f>IF($H314="USD",IF(OR($I314="",$I314="-"),"",VLOOKUP($G314,為替!$A:$AX,$I314,FALSE))+$J$3,IF(OR($I314="",$I314="-"),"",VLOOKUP($G314,為替!$A:$AX,$I314,FALSE)))</f>
        <v>156.1</v>
      </c>
      <c r="K314" s="205">
        <f t="shared" si="38"/>
        <v>58162.86</v>
      </c>
      <c r="L314" s="189">
        <f t="shared" si="39"/>
        <v>3</v>
      </c>
      <c r="M314" s="204">
        <f>IF($H314="USD",IF(OR($L314="",$L314="-"),"",VLOOKUP($G314,為替!$A:$AX,$L314,FALSE))+$K$3,IF(OR($L314="",$L314="-"),"",VLOOKUP($G314,為替!$A:$AX,$L314,FALSE)))</f>
        <v>157.1</v>
      </c>
      <c r="N314" s="205">
        <f t="shared" si="40"/>
        <v>53445.42</v>
      </c>
      <c r="O314" s="206">
        <f t="shared" si="36"/>
        <v>4717.4400000000023</v>
      </c>
      <c r="P314" s="207">
        <f t="shared" si="41"/>
        <v>8.1107428348606E-2</v>
      </c>
    </row>
    <row r="315" spans="1:16">
      <c r="A315" s="163" t="s">
        <v>343</v>
      </c>
      <c r="B315" s="163">
        <v>7943</v>
      </c>
      <c r="C315" s="200">
        <v>144.85</v>
      </c>
      <c r="D315" s="201">
        <v>0</v>
      </c>
      <c r="E315" s="202" t="s">
        <v>199</v>
      </c>
      <c r="F315" s="200">
        <v>153.44999999999999</v>
      </c>
      <c r="G315" s="162">
        <v>46086</v>
      </c>
      <c r="H315" s="203" t="s">
        <v>199</v>
      </c>
      <c r="I315" s="186">
        <f t="shared" si="37"/>
        <v>4</v>
      </c>
      <c r="J315" s="204">
        <f>IF($H315="USD",IF(OR($I315="",$I315="-"),"",VLOOKUP($G315,為替!$A:$AX,$I315,FALSE))+$J$3,IF(OR($I315="",$I315="-"),"",VLOOKUP($G315,為替!$A:$AX,$I315,FALSE)))</f>
        <v>156.1</v>
      </c>
      <c r="K315" s="205">
        <f t="shared" si="38"/>
        <v>23953.544999999998</v>
      </c>
      <c r="L315" s="189">
        <f t="shared" si="39"/>
        <v>3</v>
      </c>
      <c r="M315" s="204">
        <f>IF($H315="USD",IF(OR($L315="",$L315="-"),"",VLOOKUP($G315,為替!$A:$AX,$L315,FALSE))+$K$3,IF(OR($L315="",$L315="-"),"",VLOOKUP($G315,為替!$A:$AX,$L315,FALSE)))</f>
        <v>157.1</v>
      </c>
      <c r="N315" s="205">
        <f t="shared" si="40"/>
        <v>22755.934999999998</v>
      </c>
      <c r="O315" s="206">
        <f t="shared" si="36"/>
        <v>1197.6100000000006</v>
      </c>
      <c r="P315" s="207">
        <f t="shared" si="41"/>
        <v>4.9997192482365373E-2</v>
      </c>
    </row>
    <row r="316" spans="1:16">
      <c r="A316" s="163" t="s">
        <v>343</v>
      </c>
      <c r="B316" s="163">
        <v>7946</v>
      </c>
      <c r="C316" s="200">
        <f>389.42+79.44</f>
        <v>468.86</v>
      </c>
      <c r="D316" s="201">
        <v>0</v>
      </c>
      <c r="E316" s="202" t="s">
        <v>199</v>
      </c>
      <c r="F316" s="200">
        <v>505.95</v>
      </c>
      <c r="G316" s="162">
        <v>46087</v>
      </c>
      <c r="H316" s="203" t="s">
        <v>199</v>
      </c>
      <c r="I316" s="186">
        <f t="shared" si="37"/>
        <v>4</v>
      </c>
      <c r="J316" s="204">
        <f>IF($H316="USD",IF(OR($I316="",$I316="-"),"",VLOOKUP($G316,為替!$A:$AX,$I316,FALSE))+$J$3,IF(OR($I316="",$I316="-"),"",VLOOKUP($G316,為替!$A:$AX,$I316,FALSE)))</f>
        <v>156.94999999999999</v>
      </c>
      <c r="K316" s="205">
        <f t="shared" si="38"/>
        <v>79408.852499999994</v>
      </c>
      <c r="L316" s="189">
        <f t="shared" si="39"/>
        <v>3</v>
      </c>
      <c r="M316" s="204">
        <f>IF($H316="USD",IF(OR($L316="",$L316="-"),"",VLOOKUP($G316,為替!$A:$AX,$L316,FALSE))+$K$3,IF(OR($L316="",$L316="-"),"",VLOOKUP($G316,為替!$A:$AX,$L316,FALSE)))</f>
        <v>157.94999999999999</v>
      </c>
      <c r="N316" s="205">
        <f t="shared" si="40"/>
        <v>74056.436999999991</v>
      </c>
      <c r="O316" s="206">
        <f t="shared" si="36"/>
        <v>5352.4155000000028</v>
      </c>
      <c r="P316" s="207">
        <f t="shared" si="41"/>
        <v>6.7403259605092553E-2</v>
      </c>
    </row>
    <row r="317" spans="1:16">
      <c r="A317" s="163" t="s">
        <v>343</v>
      </c>
      <c r="B317" s="163">
        <v>7947</v>
      </c>
      <c r="C317" s="200">
        <v>638.16</v>
      </c>
      <c r="D317" s="201">
        <v>0</v>
      </c>
      <c r="E317" s="202" t="s">
        <v>199</v>
      </c>
      <c r="F317" s="200">
        <v>674.05</v>
      </c>
      <c r="G317" s="162">
        <v>46087</v>
      </c>
      <c r="H317" s="203" t="s">
        <v>199</v>
      </c>
      <c r="I317" s="186">
        <f t="shared" si="37"/>
        <v>4</v>
      </c>
      <c r="J317" s="204">
        <f>IF($H317="USD",IF(OR($I317="",$I317="-"),"",VLOOKUP($G317,為替!$A:$AX,$I317,FALSE))+$J$3,IF(OR($I317="",$I317="-"),"",VLOOKUP($G317,為替!$A:$AX,$I317,FALSE)))</f>
        <v>156.94999999999999</v>
      </c>
      <c r="K317" s="205">
        <f t="shared" si="38"/>
        <v>105792.14749999999</v>
      </c>
      <c r="L317" s="189">
        <f t="shared" si="39"/>
        <v>3</v>
      </c>
      <c r="M317" s="204">
        <f>IF($H317="USD",IF(OR($L317="",$L317="-"),"",VLOOKUP($G317,為替!$A:$AX,$L317,FALSE))+$K$3,IF(OR($L317="",$L317="-"),"",VLOOKUP($G317,為替!$A:$AX,$L317,FALSE)))</f>
        <v>157.94999999999999</v>
      </c>
      <c r="N317" s="205">
        <f t="shared" si="40"/>
        <v>100797.37199999999</v>
      </c>
      <c r="O317" s="206">
        <f t="shared" si="36"/>
        <v>4994.7755000000034</v>
      </c>
      <c r="P317" s="207">
        <f t="shared" si="41"/>
        <v>4.7213102465851767E-2</v>
      </c>
    </row>
    <row r="318" spans="1:16">
      <c r="A318" s="163" t="s">
        <v>344</v>
      </c>
      <c r="B318" s="163">
        <v>7931</v>
      </c>
      <c r="C318" s="200">
        <v>940.8</v>
      </c>
      <c r="D318" s="201">
        <v>0</v>
      </c>
      <c r="E318" s="202" t="s">
        <v>199</v>
      </c>
      <c r="F318" s="200">
        <v>1120</v>
      </c>
      <c r="G318" s="162">
        <v>46086</v>
      </c>
      <c r="H318" s="203" t="s">
        <v>199</v>
      </c>
      <c r="I318" s="186">
        <f t="shared" si="37"/>
        <v>4</v>
      </c>
      <c r="J318" s="204">
        <f>IF($H318="USD",IF(OR($I318="",$I318="-"),"",VLOOKUP($G318,為替!$A:$AX,$I318,FALSE))+$J$3,IF(OR($I318="",$I318="-"),"",VLOOKUP($G318,為替!$A:$AX,$I318,FALSE)))</f>
        <v>156.1</v>
      </c>
      <c r="K318" s="205">
        <f t="shared" si="38"/>
        <v>174832</v>
      </c>
      <c r="L318" s="189">
        <f t="shared" si="39"/>
        <v>3</v>
      </c>
      <c r="M318" s="204">
        <f>IF($H318="USD",IF(OR($L318="",$L318="-"),"",VLOOKUP($G318,為替!$A:$AX,$L318,FALSE))+$K$3,IF(OR($L318="",$L318="-"),"",VLOOKUP($G318,為替!$A:$AX,$L318,FALSE)))</f>
        <v>157.1</v>
      </c>
      <c r="N318" s="205">
        <f t="shared" si="40"/>
        <v>147799.67999999999</v>
      </c>
      <c r="O318" s="206">
        <f t="shared" si="36"/>
        <v>27032.320000000007</v>
      </c>
      <c r="P318" s="207">
        <f t="shared" si="41"/>
        <v>0.15461883408071753</v>
      </c>
    </row>
    <row r="319" spans="1:16">
      <c r="A319" s="163" t="s">
        <v>344</v>
      </c>
      <c r="B319" s="163">
        <v>7963</v>
      </c>
      <c r="C319" s="200">
        <v>1677.31</v>
      </c>
      <c r="D319" s="201">
        <v>103.83</v>
      </c>
      <c r="E319" s="202" t="s">
        <v>199</v>
      </c>
      <c r="F319" s="200">
        <v>1996.8</v>
      </c>
      <c r="G319" s="162">
        <v>46088</v>
      </c>
      <c r="H319" s="203" t="s">
        <v>199</v>
      </c>
      <c r="I319" s="186">
        <f t="shared" si="37"/>
        <v>4</v>
      </c>
      <c r="J319" s="204">
        <f>IF($H319="USD",IF(OR($I319="",$I319="-"),"",VLOOKUP($G319,為替!$A:$AX,$I319,FALSE))+$J$3,IF(OR($I319="",$I319="-"),"",VLOOKUP($G319,為替!$A:$AX,$I319,FALSE)))</f>
        <v>156.94999999999999</v>
      </c>
      <c r="K319" s="205">
        <f t="shared" si="38"/>
        <v>313397.75999999995</v>
      </c>
      <c r="L319" s="189">
        <f t="shared" si="39"/>
        <v>3</v>
      </c>
      <c r="M319" s="204">
        <f>IF($H319="USD",IF(OR($L319="",$L319="-"),"",VLOOKUP($G319,為替!$A:$AX,$L319,FALSE))+$K$3,IF(OR($L319="",$L319="-"),"",VLOOKUP($G319,為替!$A:$AX,$L319,FALSE)))</f>
        <v>157.94999999999999</v>
      </c>
      <c r="N319" s="205">
        <f t="shared" si="40"/>
        <v>281331.06299999997</v>
      </c>
      <c r="O319" s="206">
        <f t="shared" si="36"/>
        <v>32066.696999999986</v>
      </c>
      <c r="P319" s="207">
        <f t="shared" si="41"/>
        <v>0.10231948371296588</v>
      </c>
    </row>
    <row r="320" spans="1:16">
      <c r="A320" s="163" t="s">
        <v>344</v>
      </c>
      <c r="B320" s="163">
        <v>7964</v>
      </c>
      <c r="C320" s="200">
        <v>6908.16</v>
      </c>
      <c r="D320" s="201">
        <v>427.65</v>
      </c>
      <c r="E320" s="202" t="s">
        <v>199</v>
      </c>
      <c r="F320" s="200">
        <v>8224</v>
      </c>
      <c r="G320" s="162">
        <v>46088</v>
      </c>
      <c r="H320" s="203" t="s">
        <v>199</v>
      </c>
      <c r="I320" s="186">
        <f t="shared" si="37"/>
        <v>4</v>
      </c>
      <c r="J320" s="204">
        <f>IF($H320="USD",IF(OR($I320="",$I320="-"),"",VLOOKUP($G320,為替!$A:$AX,$I320,FALSE))+$J$3,IF(OR($I320="",$I320="-"),"",VLOOKUP($G320,為替!$A:$AX,$I320,FALSE)))</f>
        <v>156.94999999999999</v>
      </c>
      <c r="K320" s="205">
        <f t="shared" si="38"/>
        <v>1290756.7999999998</v>
      </c>
      <c r="L320" s="189">
        <f t="shared" si="39"/>
        <v>3</v>
      </c>
      <c r="M320" s="204">
        <f>IF($H320="USD",IF(OR($L320="",$L320="-"),"",VLOOKUP($G320,為替!$A:$AX,$L320,FALSE))+$K$3,IF(OR($L320="",$L320="-"),"",VLOOKUP($G320,為替!$A:$AX,$L320,FALSE)))</f>
        <v>157.94999999999999</v>
      </c>
      <c r="N320" s="205">
        <f t="shared" si="40"/>
        <v>1158691.1894999999</v>
      </c>
      <c r="O320" s="206">
        <f t="shared" si="36"/>
        <v>132065.61049999995</v>
      </c>
      <c r="P320" s="207">
        <f t="shared" si="41"/>
        <v>0.10231641661698003</v>
      </c>
    </row>
    <row r="321" spans="1:16">
      <c r="A321" s="163" t="s">
        <v>344</v>
      </c>
      <c r="B321" s="163">
        <v>7965</v>
      </c>
      <c r="C321" s="200">
        <v>2492.2800000000002</v>
      </c>
      <c r="D321" s="201">
        <v>154.28</v>
      </c>
      <c r="E321" s="202" t="s">
        <v>199</v>
      </c>
      <c r="F321" s="200">
        <v>2967</v>
      </c>
      <c r="G321" s="162">
        <v>46088</v>
      </c>
      <c r="H321" s="203" t="s">
        <v>199</v>
      </c>
      <c r="I321" s="186">
        <f t="shared" si="37"/>
        <v>4</v>
      </c>
      <c r="J321" s="204">
        <f>IF($H321="USD",IF(OR($I321="",$I321="-"),"",VLOOKUP($G321,為替!$A:$AX,$I321,FALSE))+$J$3,IF(OR($I321="",$I321="-"),"",VLOOKUP($G321,為替!$A:$AX,$I321,FALSE)))</f>
        <v>156.94999999999999</v>
      </c>
      <c r="K321" s="205">
        <f t="shared" si="38"/>
        <v>465670.64999999997</v>
      </c>
      <c r="L321" s="189">
        <f t="shared" si="39"/>
        <v>3</v>
      </c>
      <c r="M321" s="204">
        <f>IF($H321="USD",IF(OR($L321="",$L321="-"),"",VLOOKUP($G321,為替!$A:$AX,$L321,FALSE))+$K$3,IF(OR($L321="",$L321="-"),"",VLOOKUP($G321,為替!$A:$AX,$L321,FALSE)))</f>
        <v>157.94999999999999</v>
      </c>
      <c r="N321" s="205">
        <f t="shared" si="40"/>
        <v>418024.15200000006</v>
      </c>
      <c r="O321" s="206">
        <f t="shared" si="36"/>
        <v>47646.497999999905</v>
      </c>
      <c r="P321" s="207">
        <f t="shared" si="41"/>
        <v>0.10231801811000953</v>
      </c>
    </row>
    <row r="322" spans="1:16">
      <c r="A322" s="163" t="s">
        <v>344</v>
      </c>
      <c r="B322" s="163">
        <v>7966</v>
      </c>
      <c r="C322" s="200">
        <v>10864.22</v>
      </c>
      <c r="D322" s="201">
        <v>672.54</v>
      </c>
      <c r="E322" s="202" t="s">
        <v>199</v>
      </c>
      <c r="F322" s="200">
        <v>12933.6</v>
      </c>
      <c r="G322" s="162">
        <v>46088</v>
      </c>
      <c r="H322" s="203" t="s">
        <v>199</v>
      </c>
      <c r="I322" s="186">
        <f t="shared" si="37"/>
        <v>4</v>
      </c>
      <c r="J322" s="204">
        <f>IF($H322="USD",IF(OR($I322="",$I322="-"),"",VLOOKUP($G322,為替!$A:$AX,$I322,FALSE))+$J$3,IF(OR($I322="",$I322="-"),"",VLOOKUP($G322,為替!$A:$AX,$I322,FALSE)))</f>
        <v>156.94999999999999</v>
      </c>
      <c r="K322" s="205">
        <f t="shared" si="38"/>
        <v>2029928.52</v>
      </c>
      <c r="L322" s="189">
        <f t="shared" si="39"/>
        <v>3</v>
      </c>
      <c r="M322" s="204">
        <f>IF($H322="USD",IF(OR($L322="",$L322="-"),"",VLOOKUP($G322,為替!$A:$AX,$L322,FALSE))+$K$3,IF(OR($L322="",$L322="-"),"",VLOOKUP($G322,為替!$A:$AX,$L322,FALSE)))</f>
        <v>157.94999999999999</v>
      </c>
      <c r="N322" s="205">
        <f t="shared" si="40"/>
        <v>1822231.2419999996</v>
      </c>
      <c r="O322" s="206">
        <f t="shared" si="36"/>
        <v>207697.2780000004</v>
      </c>
      <c r="P322" s="207">
        <f t="shared" si="41"/>
        <v>0.10231753283608253</v>
      </c>
    </row>
    <row r="323" spans="1:16">
      <c r="A323" s="163" t="s">
        <v>344</v>
      </c>
      <c r="B323" s="163">
        <v>7967</v>
      </c>
      <c r="C323" s="200">
        <v>716.36</v>
      </c>
      <c r="D323" s="201">
        <v>44.36</v>
      </c>
      <c r="E323" s="202" t="s">
        <v>199</v>
      </c>
      <c r="F323" s="200">
        <v>852.93</v>
      </c>
      <c r="G323" s="162">
        <v>46088</v>
      </c>
      <c r="H323" s="203" t="s">
        <v>199</v>
      </c>
      <c r="I323" s="186">
        <f t="shared" si="37"/>
        <v>4</v>
      </c>
      <c r="J323" s="204">
        <f>IF($H323="USD",IF(OR($I323="",$I323="-"),"",VLOOKUP($G323,為替!$A:$AX,$I323,FALSE))+$J$3,IF(OR($I323="",$I323="-"),"",VLOOKUP($G323,為替!$A:$AX,$I323,FALSE)))</f>
        <v>156.94999999999999</v>
      </c>
      <c r="K323" s="205">
        <f t="shared" si="38"/>
        <v>133867.36349999998</v>
      </c>
      <c r="L323" s="189">
        <f t="shared" si="39"/>
        <v>3</v>
      </c>
      <c r="M323" s="204">
        <f>IF($H323="USD",IF(OR($L323="",$L323="-"),"",VLOOKUP($G323,為替!$A:$AX,$L323,FALSE))+$K$3,IF(OR($L323="",$L323="-"),"",VLOOKUP($G323,為替!$A:$AX,$L323,FALSE)))</f>
        <v>157.94999999999999</v>
      </c>
      <c r="N323" s="205">
        <f t="shared" si="40"/>
        <v>120155.724</v>
      </c>
      <c r="O323" s="206">
        <f t="shared" si="36"/>
        <v>13711.639499999976</v>
      </c>
      <c r="P323" s="207">
        <f t="shared" si="41"/>
        <v>0.10242705272969672</v>
      </c>
    </row>
    <row r="324" spans="1:16">
      <c r="A324" s="163" t="s">
        <v>344</v>
      </c>
      <c r="B324" s="163">
        <v>7968</v>
      </c>
      <c r="C324" s="200">
        <v>258.72000000000003</v>
      </c>
      <c r="D324" s="201">
        <v>16.02</v>
      </c>
      <c r="E324" s="202" t="s">
        <v>199</v>
      </c>
      <c r="F324" s="200">
        <v>308</v>
      </c>
      <c r="G324" s="162">
        <v>46088</v>
      </c>
      <c r="H324" s="203" t="s">
        <v>199</v>
      </c>
      <c r="I324" s="186">
        <f t="shared" si="37"/>
        <v>4</v>
      </c>
      <c r="J324" s="204">
        <f>IF($H324="USD",IF(OR($I324="",$I324="-"),"",VLOOKUP($G324,為替!$A:$AX,$I324,FALSE))+$J$3,IF(OR($I324="",$I324="-"),"",VLOOKUP($G324,為替!$A:$AX,$I324,FALSE)))</f>
        <v>156.94999999999999</v>
      </c>
      <c r="K324" s="205">
        <f t="shared" si="38"/>
        <v>48340.6</v>
      </c>
      <c r="L324" s="189">
        <f t="shared" si="39"/>
        <v>3</v>
      </c>
      <c r="M324" s="204">
        <f>IF($H324="USD",IF(OR($L324="",$L324="-"),"",VLOOKUP($G324,為替!$A:$AX,$L324,FALSE))+$K$3,IF(OR($L324="",$L324="-"),"",VLOOKUP($G324,為替!$A:$AX,$L324,FALSE)))</f>
        <v>157.94999999999999</v>
      </c>
      <c r="N324" s="205">
        <f t="shared" si="40"/>
        <v>43395.182999999997</v>
      </c>
      <c r="O324" s="206">
        <f t="shared" si="36"/>
        <v>4945.4170000000013</v>
      </c>
      <c r="P324" s="207">
        <f t="shared" si="41"/>
        <v>0.10230359159795289</v>
      </c>
    </row>
    <row r="325" spans="1:16">
      <c r="A325" s="163" t="s">
        <v>344</v>
      </c>
      <c r="B325" s="163">
        <v>7985</v>
      </c>
      <c r="C325" s="200">
        <v>467.71</v>
      </c>
      <c r="D325" s="201">
        <v>28.95</v>
      </c>
      <c r="E325" s="202" t="s">
        <v>199</v>
      </c>
      <c r="F325" s="200">
        <v>556.79999999999995</v>
      </c>
      <c r="G325" s="162">
        <v>46093</v>
      </c>
      <c r="H325" s="203" t="s">
        <v>199</v>
      </c>
      <c r="I325" s="186">
        <f t="shared" si="37"/>
        <v>4</v>
      </c>
      <c r="J325" s="204">
        <f>IF($H325="USD",IF(OR($I325="",$I325="-"),"",VLOOKUP($G325,為替!$A:$AX,$I325,FALSE))+$J$3,IF(OR($I325="",$I325="-"),"",VLOOKUP($G325,為替!$A:$AX,$I325,FALSE)))</f>
        <v>158.59</v>
      </c>
      <c r="K325" s="205">
        <f t="shared" si="38"/>
        <v>88302.911999999997</v>
      </c>
      <c r="L325" s="189">
        <f t="shared" si="39"/>
        <v>3</v>
      </c>
      <c r="M325" s="204">
        <f>IF($H325="USD",IF(OR($L325="",$L325="-"),"",VLOOKUP($G325,為替!$A:$AX,$L325,FALSE))+$K$3,IF(OR($L325="",$L325="-"),"",VLOOKUP($G325,為替!$A:$AX,$L325,FALSE)))</f>
        <v>159.59</v>
      </c>
      <c r="N325" s="205">
        <f t="shared" si="40"/>
        <v>79261.969400000002</v>
      </c>
      <c r="O325" s="206">
        <f t="shared" si="36"/>
        <v>9040.9425999999949</v>
      </c>
      <c r="P325" s="207">
        <f t="shared" si="41"/>
        <v>0.10238555439711881</v>
      </c>
    </row>
    <row r="326" spans="1:16">
      <c r="A326" s="163" t="s">
        <v>344</v>
      </c>
      <c r="B326" s="163">
        <v>7986</v>
      </c>
      <c r="C326" s="200">
        <v>1884.96</v>
      </c>
      <c r="D326" s="201">
        <v>116.69</v>
      </c>
      <c r="E326" s="202" t="s">
        <v>199</v>
      </c>
      <c r="F326" s="200">
        <v>2244</v>
      </c>
      <c r="G326" s="162">
        <v>46093</v>
      </c>
      <c r="H326" s="203" t="s">
        <v>199</v>
      </c>
      <c r="I326" s="186">
        <f t="shared" si="37"/>
        <v>4</v>
      </c>
      <c r="J326" s="204">
        <f>IF($H326="USD",IF(OR($I326="",$I326="-"),"",VLOOKUP($G326,為替!$A:$AX,$I326,FALSE))+$J$3,IF(OR($I326="",$I326="-"),"",VLOOKUP($G326,為替!$A:$AX,$I326,FALSE)))</f>
        <v>158.59</v>
      </c>
      <c r="K326" s="205">
        <f t="shared" si="38"/>
        <v>355875.96</v>
      </c>
      <c r="L326" s="189">
        <f t="shared" si="39"/>
        <v>3</v>
      </c>
      <c r="M326" s="204">
        <f>IF($H326="USD",IF(OR($L326="",$L326="-"),"",VLOOKUP($G326,為替!$A:$AX,$L326,FALSE))+$K$3,IF(OR($L326="",$L326="-"),"",VLOOKUP($G326,為替!$A:$AX,$L326,FALSE)))</f>
        <v>159.59</v>
      </c>
      <c r="N326" s="205">
        <f t="shared" si="40"/>
        <v>319443.3235</v>
      </c>
      <c r="O326" s="206">
        <f t="shared" si="36"/>
        <v>36432.636500000022</v>
      </c>
      <c r="P326" s="207">
        <f t="shared" si="41"/>
        <v>0.10237453662225462</v>
      </c>
    </row>
    <row r="327" spans="1:16">
      <c r="A327" s="163" t="s">
        <v>344</v>
      </c>
      <c r="B327" s="163">
        <v>7987</v>
      </c>
      <c r="C327" s="200">
        <v>4509.12</v>
      </c>
      <c r="D327" s="201">
        <v>279.14</v>
      </c>
      <c r="E327" s="202" t="s">
        <v>199</v>
      </c>
      <c r="F327" s="200">
        <v>5368</v>
      </c>
      <c r="G327" s="162">
        <v>46093</v>
      </c>
      <c r="H327" s="203" t="s">
        <v>199</v>
      </c>
      <c r="I327" s="186">
        <f t="shared" si="37"/>
        <v>4</v>
      </c>
      <c r="J327" s="204">
        <f>IF($H327="USD",IF(OR($I327="",$I327="-"),"",VLOOKUP($G327,為替!$A:$AX,$I327,FALSE))+$J$3,IF(OR($I327="",$I327="-"),"",VLOOKUP($G327,為替!$A:$AX,$I327,FALSE)))</f>
        <v>158.59</v>
      </c>
      <c r="K327" s="205">
        <f t="shared" si="38"/>
        <v>851311.12</v>
      </c>
      <c r="L327" s="189">
        <f t="shared" si="39"/>
        <v>3</v>
      </c>
      <c r="M327" s="204">
        <f>IF($H327="USD",IF(OR($L327="",$L327="-"),"",VLOOKUP($G327,為替!$A:$AX,$L327,FALSE))+$K$3,IF(OR($L327="",$L327="-"),"",VLOOKUP($G327,為替!$A:$AX,$L327,FALSE)))</f>
        <v>159.59</v>
      </c>
      <c r="N327" s="205">
        <f t="shared" si="40"/>
        <v>764158.41340000008</v>
      </c>
      <c r="O327" s="206">
        <f t="shared" si="36"/>
        <v>87152.706599999918</v>
      </c>
      <c r="P327" s="207">
        <f t="shared" si="41"/>
        <v>0.10237468365266968</v>
      </c>
    </row>
    <row r="328" spans="1:16">
      <c r="A328" s="163" t="s">
        <v>344</v>
      </c>
      <c r="B328" s="163">
        <v>7988</v>
      </c>
      <c r="C328" s="200">
        <v>1990.8</v>
      </c>
      <c r="D328" s="201">
        <v>123.24</v>
      </c>
      <c r="E328" s="202" t="s">
        <v>199</v>
      </c>
      <c r="F328" s="200">
        <v>2370</v>
      </c>
      <c r="G328" s="162">
        <v>46093</v>
      </c>
      <c r="H328" s="203" t="s">
        <v>199</v>
      </c>
      <c r="I328" s="186">
        <f t="shared" si="37"/>
        <v>4</v>
      </c>
      <c r="J328" s="204">
        <f>IF($H328="USD",IF(OR($I328="",$I328="-"),"",VLOOKUP($G328,為替!$A:$AX,$I328,FALSE))+$J$3,IF(OR($I328="",$I328="-"),"",VLOOKUP($G328,為替!$A:$AX,$I328,FALSE)))</f>
        <v>158.59</v>
      </c>
      <c r="K328" s="205">
        <f t="shared" si="38"/>
        <v>375858.3</v>
      </c>
      <c r="L328" s="189">
        <f t="shared" si="39"/>
        <v>3</v>
      </c>
      <c r="M328" s="204">
        <f>IF($H328="USD",IF(OR($L328="",$L328="-"),"",VLOOKUP($G328,為替!$A:$AX,$L328,FALSE))+$K$3,IF(OR($L328="",$L328="-"),"",VLOOKUP($G328,為替!$A:$AX,$L328,FALSE)))</f>
        <v>159.59</v>
      </c>
      <c r="N328" s="205">
        <f t="shared" si="40"/>
        <v>337379.64360000001</v>
      </c>
      <c r="O328" s="206">
        <f t="shared" si="36"/>
        <v>38478.656399999978</v>
      </c>
      <c r="P328" s="207">
        <f t="shared" si="41"/>
        <v>0.10237543350778733</v>
      </c>
    </row>
    <row r="329" spans="1:16">
      <c r="A329" s="163" t="s">
        <v>344</v>
      </c>
      <c r="B329" s="163">
        <v>7989</v>
      </c>
      <c r="C329" s="200">
        <v>2839.62</v>
      </c>
      <c r="D329" s="201">
        <v>175.77</v>
      </c>
      <c r="E329" s="202" t="s">
        <v>199</v>
      </c>
      <c r="F329" s="200">
        <v>3380.31</v>
      </c>
      <c r="G329" s="162">
        <v>46093</v>
      </c>
      <c r="H329" s="203" t="s">
        <v>199</v>
      </c>
      <c r="I329" s="186">
        <f t="shared" si="37"/>
        <v>4</v>
      </c>
      <c r="J329" s="204">
        <f>IF($H329="USD",IF(OR($I329="",$I329="-"),"",VLOOKUP($G329,為替!$A:$AX,$I329,FALSE))+$J$3,IF(OR($I329="",$I329="-"),"",VLOOKUP($G329,為替!$A:$AX,$I329,FALSE)))</f>
        <v>158.59</v>
      </c>
      <c r="K329" s="205">
        <f t="shared" si="38"/>
        <v>536083.36289999995</v>
      </c>
      <c r="L329" s="189">
        <f t="shared" si="39"/>
        <v>3</v>
      </c>
      <c r="M329" s="204">
        <f>IF($H329="USD",IF(OR($L329="",$L329="-"),"",VLOOKUP($G329,為替!$A:$AX,$L329,FALSE))+$K$3,IF(OR($L329="",$L329="-"),"",VLOOKUP($G329,為替!$A:$AX,$L329,FALSE)))</f>
        <v>159.59</v>
      </c>
      <c r="N329" s="205">
        <f t="shared" si="40"/>
        <v>481226.09009999997</v>
      </c>
      <c r="O329" s="206">
        <f t="shared" si="36"/>
        <v>54857.272799999977</v>
      </c>
      <c r="P329" s="207">
        <f t="shared" si="41"/>
        <v>0.10232974308929067</v>
      </c>
    </row>
    <row r="330" spans="1:16">
      <c r="A330" s="163" t="s">
        <v>344</v>
      </c>
      <c r="B330" s="163">
        <v>7990</v>
      </c>
      <c r="C330" s="200">
        <v>4276.6000000000004</v>
      </c>
      <c r="D330" s="201">
        <v>264.74</v>
      </c>
      <c r="E330" s="202" t="s">
        <v>199</v>
      </c>
      <c r="F330" s="200">
        <v>5091.2</v>
      </c>
      <c r="G330" s="162">
        <v>46093</v>
      </c>
      <c r="H330" s="203" t="s">
        <v>199</v>
      </c>
      <c r="I330" s="186">
        <f t="shared" si="37"/>
        <v>4</v>
      </c>
      <c r="J330" s="204">
        <f>IF($H330="USD",IF(OR($I330="",$I330="-"),"",VLOOKUP($G330,為替!$A:$AX,$I330,FALSE))+$J$3,IF(OR($I330="",$I330="-"),"",VLOOKUP($G330,為替!$A:$AX,$I330,FALSE)))</f>
        <v>158.59</v>
      </c>
      <c r="K330" s="205">
        <f t="shared" si="38"/>
        <v>807413.40799999994</v>
      </c>
      <c r="L330" s="189">
        <f t="shared" si="39"/>
        <v>3</v>
      </c>
      <c r="M330" s="204">
        <f>IF($H330="USD",IF(OR($L330="",$L330="-"),"",VLOOKUP($G330,為替!$A:$AX,$L330,FALSE))+$K$3,IF(OR($L330="",$L330="-"),"",VLOOKUP($G330,為替!$A:$AX,$L330,FALSE)))</f>
        <v>159.59</v>
      </c>
      <c r="N330" s="205">
        <f t="shared" si="40"/>
        <v>724752.45059999998</v>
      </c>
      <c r="O330" s="206">
        <f t="shared" ref="O330:O393" si="42">IF(OR(K330="",N330=""),"",K330-N330)</f>
        <v>82660.957399999956</v>
      </c>
      <c r="P330" s="207">
        <f t="shared" si="41"/>
        <v>0.10237748912884038</v>
      </c>
    </row>
    <row r="331" spans="1:16">
      <c r="A331" s="163" t="s">
        <v>344</v>
      </c>
      <c r="B331" s="163">
        <v>7991</v>
      </c>
      <c r="C331" s="200">
        <v>1383.48</v>
      </c>
      <c r="D331" s="201">
        <v>85.64</v>
      </c>
      <c r="E331" s="202" t="s">
        <v>199</v>
      </c>
      <c r="F331" s="200">
        <v>1647</v>
      </c>
      <c r="G331" s="162">
        <v>46093</v>
      </c>
      <c r="H331" s="203" t="s">
        <v>199</v>
      </c>
      <c r="I331" s="186">
        <f t="shared" ref="I331:I381" si="43">IF(H331="","",IF(H331="JPY","",IF($H331="USD",4, IF(H331="EUR",7,IF(H331="CNY",47,IF(H331="HKD",34))))))</f>
        <v>4</v>
      </c>
      <c r="J331" s="204">
        <f>IF($H331="USD",IF(OR($I331="",$I331="-"),"",VLOOKUP($G331,為替!$A:$AX,$I331,FALSE))+$J$3,IF(OR($I331="",$I331="-"),"",VLOOKUP($G331,為替!$A:$AX,$I331,FALSE)))</f>
        <v>158.59</v>
      </c>
      <c r="K331" s="205">
        <f t="shared" ref="K331:K381" si="44">IF($H331="JPY",$F331,IF($H331="","",$F331*$J331))</f>
        <v>261197.73</v>
      </c>
      <c r="L331" s="189">
        <f t="shared" ref="L331:L381" si="45">IF(H331="","",IF(H331="JPY","",IF($H331="USD",3, IF(H331="EUR",6,IF(H331="CNY",46,IF(H331="HKD",33))))))</f>
        <v>3</v>
      </c>
      <c r="M331" s="204">
        <f>IF($H331="USD",IF(OR($L331="",$L331="-"),"",VLOOKUP($G331,為替!$A:$AX,$L331,FALSE))+$K$3,IF(OR($L331="",$L331="-"),"",VLOOKUP($G331,為替!$A:$AX,$L331,FALSE)))</f>
        <v>159.59</v>
      </c>
      <c r="N331" s="205">
        <f t="shared" ref="N331:N381" si="46">IF($E331="JPY",($C331+$D331),IF($E331="","",($C331+$D331)*$M331))</f>
        <v>234456.86080000002</v>
      </c>
      <c r="O331" s="206">
        <f t="shared" si="42"/>
        <v>26740.869199999986</v>
      </c>
      <c r="P331" s="207">
        <f t="shared" ref="P331:P394" si="47">IF(OR(K331="",O331=""),"",O331/K331)</f>
        <v>0.10237787748002246</v>
      </c>
    </row>
    <row r="332" spans="1:16">
      <c r="A332" s="163" t="s">
        <v>344</v>
      </c>
      <c r="B332" s="163">
        <v>7992</v>
      </c>
      <c r="C332" s="200">
        <v>8633.35</v>
      </c>
      <c r="D332" s="201">
        <v>534.44000000000005</v>
      </c>
      <c r="E332" s="202" t="s">
        <v>199</v>
      </c>
      <c r="F332" s="200">
        <v>10277.799999999999</v>
      </c>
      <c r="G332" s="162">
        <v>46093</v>
      </c>
      <c r="H332" s="203" t="s">
        <v>199</v>
      </c>
      <c r="I332" s="186">
        <f t="shared" si="43"/>
        <v>4</v>
      </c>
      <c r="J332" s="204">
        <f>IF($H332="USD",IF(OR($I332="",$I332="-"),"",VLOOKUP($G332,為替!$A:$AX,$I332,FALSE))+$J$3,IF(OR($I332="",$I332="-"),"",VLOOKUP($G332,為替!$A:$AX,$I332,FALSE)))</f>
        <v>158.59</v>
      </c>
      <c r="K332" s="205">
        <f t="shared" si="44"/>
        <v>1629956.3019999999</v>
      </c>
      <c r="L332" s="189">
        <f t="shared" si="45"/>
        <v>3</v>
      </c>
      <c r="M332" s="204">
        <f>IF($H332="USD",IF(OR($L332="",$L332="-"),"",VLOOKUP($G332,為替!$A:$AX,$L332,FALSE))+$K$3,IF(OR($L332="",$L332="-"),"",VLOOKUP($G332,為替!$A:$AX,$L332,FALSE)))</f>
        <v>159.59</v>
      </c>
      <c r="N332" s="205">
        <f t="shared" si="46"/>
        <v>1463087.6061000002</v>
      </c>
      <c r="O332" s="206">
        <f t="shared" si="42"/>
        <v>166868.6958999997</v>
      </c>
      <c r="P332" s="207">
        <f t="shared" si="47"/>
        <v>0.10237617762834952</v>
      </c>
    </row>
    <row r="333" spans="1:16">
      <c r="A333" s="163" t="s">
        <v>344</v>
      </c>
      <c r="B333" s="163">
        <v>7993</v>
      </c>
      <c r="C333" s="200">
        <v>2056.3200000000002</v>
      </c>
      <c r="D333" s="201">
        <v>127.3</v>
      </c>
      <c r="E333" s="202" t="s">
        <v>199</v>
      </c>
      <c r="F333" s="200">
        <v>2448</v>
      </c>
      <c r="G333" s="162">
        <v>46093</v>
      </c>
      <c r="H333" s="203" t="s">
        <v>199</v>
      </c>
      <c r="I333" s="186">
        <f t="shared" si="43"/>
        <v>4</v>
      </c>
      <c r="J333" s="204">
        <f>IF($H333="USD",IF(OR($I333="",$I333="-"),"",VLOOKUP($G333,為替!$A:$AX,$I333,FALSE))+$J$3,IF(OR($I333="",$I333="-"),"",VLOOKUP($G333,為替!$A:$AX,$I333,FALSE)))</f>
        <v>158.59</v>
      </c>
      <c r="K333" s="205">
        <f t="shared" si="44"/>
        <v>388228.32</v>
      </c>
      <c r="L333" s="189">
        <f t="shared" si="45"/>
        <v>3</v>
      </c>
      <c r="M333" s="204">
        <f>IF($H333="USD",IF(OR($L333="",$L333="-"),"",VLOOKUP($G333,為替!$A:$AX,$L333,FALSE))+$K$3,IF(OR($L333="",$L333="-"),"",VLOOKUP($G333,為替!$A:$AX,$L333,FALSE)))</f>
        <v>159.59</v>
      </c>
      <c r="N333" s="205">
        <f t="shared" si="46"/>
        <v>348483.91580000008</v>
      </c>
      <c r="O333" s="206">
        <f t="shared" si="42"/>
        <v>39744.404199999932</v>
      </c>
      <c r="P333" s="207">
        <f t="shared" si="47"/>
        <v>0.1023737892176437</v>
      </c>
    </row>
    <row r="334" spans="1:16">
      <c r="A334" s="163" t="s">
        <v>343</v>
      </c>
      <c r="B334" s="163">
        <v>7975</v>
      </c>
      <c r="C334" s="200">
        <v>138.1</v>
      </c>
      <c r="D334" s="201">
        <v>0</v>
      </c>
      <c r="E334" s="202" t="s">
        <v>199</v>
      </c>
      <c r="F334" s="200">
        <v>147.69999999999999</v>
      </c>
      <c r="G334" s="162">
        <v>46089</v>
      </c>
      <c r="H334" s="203" t="s">
        <v>199</v>
      </c>
      <c r="I334" s="186">
        <f t="shared" si="43"/>
        <v>4</v>
      </c>
      <c r="J334" s="204">
        <f>IF($H334="USD",IF(OR($I334="",$I334="-"),"",VLOOKUP($G334,為替!$A:$AX,$I334,FALSE))+$J$3,IF(OR($I334="",$I334="-"),"",VLOOKUP($G334,為替!$A:$AX,$I334,FALSE)))</f>
        <v>156.94999999999999</v>
      </c>
      <c r="K334" s="205">
        <f t="shared" si="44"/>
        <v>23181.514999999996</v>
      </c>
      <c r="L334" s="189">
        <f t="shared" si="45"/>
        <v>3</v>
      </c>
      <c r="M334" s="204">
        <f>IF($H334="USD",IF(OR($L334="",$L334="-"),"",VLOOKUP($G334,為替!$A:$AX,$L334,FALSE))+$K$3,IF(OR($L334="",$L334="-"),"",VLOOKUP($G334,為替!$A:$AX,$L334,FALSE)))</f>
        <v>157.94999999999999</v>
      </c>
      <c r="N334" s="205">
        <f t="shared" si="46"/>
        <v>21812.894999999997</v>
      </c>
      <c r="O334" s="206">
        <f t="shared" si="42"/>
        <v>1368.619999999999</v>
      </c>
      <c r="P334" s="207">
        <f t="shared" si="47"/>
        <v>5.9039281945118739E-2</v>
      </c>
    </row>
    <row r="335" spans="1:16">
      <c r="A335" s="163" t="s">
        <v>343</v>
      </c>
      <c r="B335" s="163">
        <v>7976</v>
      </c>
      <c r="C335" s="200">
        <v>42</v>
      </c>
      <c r="D335" s="201">
        <v>0</v>
      </c>
      <c r="E335" s="202" t="s">
        <v>199</v>
      </c>
      <c r="F335" s="200">
        <v>45</v>
      </c>
      <c r="G335" s="162">
        <v>46089</v>
      </c>
      <c r="H335" s="203" t="s">
        <v>199</v>
      </c>
      <c r="I335" s="186">
        <f t="shared" si="43"/>
        <v>4</v>
      </c>
      <c r="J335" s="204">
        <f>IF($H335="USD",IF(OR($I335="",$I335="-"),"",VLOOKUP($G335,為替!$A:$AX,$I335,FALSE))+$J$3,IF(OR($I335="",$I335="-"),"",VLOOKUP($G335,為替!$A:$AX,$I335,FALSE)))</f>
        <v>156.94999999999999</v>
      </c>
      <c r="K335" s="205">
        <f t="shared" si="44"/>
        <v>7062.7499999999991</v>
      </c>
      <c r="L335" s="189">
        <f t="shared" si="45"/>
        <v>3</v>
      </c>
      <c r="M335" s="204">
        <f>IF($H335="USD",IF(OR($L335="",$L335="-"),"",VLOOKUP($G335,為替!$A:$AX,$L335,FALSE))+$K$3,IF(OR($L335="",$L335="-"),"",VLOOKUP($G335,為替!$A:$AX,$L335,FALSE)))</f>
        <v>157.94999999999999</v>
      </c>
      <c r="N335" s="205">
        <f t="shared" si="46"/>
        <v>6633.9</v>
      </c>
      <c r="O335" s="206">
        <f t="shared" si="42"/>
        <v>428.84999999999945</v>
      </c>
      <c r="P335" s="207">
        <f t="shared" si="47"/>
        <v>6.071997451417642E-2</v>
      </c>
    </row>
    <row r="336" spans="1:16">
      <c r="A336" s="163" t="s">
        <v>343</v>
      </c>
      <c r="B336" s="163">
        <v>7961</v>
      </c>
      <c r="C336" s="200">
        <v>36.6</v>
      </c>
      <c r="D336" s="201">
        <v>0</v>
      </c>
      <c r="E336" s="202" t="s">
        <v>199</v>
      </c>
      <c r="F336" s="200">
        <v>38.700000000000003</v>
      </c>
      <c r="G336" s="162">
        <v>46090</v>
      </c>
      <c r="H336" s="203" t="s">
        <v>199</v>
      </c>
      <c r="I336" s="186">
        <f t="shared" si="43"/>
        <v>4</v>
      </c>
      <c r="J336" s="204">
        <f>IF($H336="USD",IF(OR($I336="",$I336="-"),"",VLOOKUP($G336,為替!$A:$AX,$I336,FALSE))+$J$3,IF(OR($I336="",$I336="-"),"",VLOOKUP($G336,為替!$A:$AX,$I336,FALSE)))</f>
        <v>158.21</v>
      </c>
      <c r="K336" s="205">
        <f t="shared" si="44"/>
        <v>6122.7270000000008</v>
      </c>
      <c r="L336" s="189">
        <f t="shared" si="45"/>
        <v>3</v>
      </c>
      <c r="M336" s="204">
        <f>IF($H336="USD",IF(OR($L336="",$L336="-"),"",VLOOKUP($G336,為替!$A:$AX,$L336,FALSE))+$K$3,IF(OR($L336="",$L336="-"),"",VLOOKUP($G336,為替!$A:$AX,$L336,FALSE)))</f>
        <v>159.21</v>
      </c>
      <c r="N336" s="205">
        <f t="shared" si="46"/>
        <v>5827.0860000000002</v>
      </c>
      <c r="O336" s="206">
        <f t="shared" si="42"/>
        <v>295.64100000000053</v>
      </c>
      <c r="P336" s="207">
        <f t="shared" si="47"/>
        <v>4.8285837340126467E-2</v>
      </c>
    </row>
    <row r="337" spans="1:16">
      <c r="A337" s="163" t="s">
        <v>343</v>
      </c>
      <c r="B337" s="163">
        <v>7951</v>
      </c>
      <c r="C337" s="200">
        <v>105.8</v>
      </c>
      <c r="D337" s="201">
        <v>0</v>
      </c>
      <c r="E337" s="202" t="s">
        <v>199</v>
      </c>
      <c r="F337" s="200">
        <v>112.1</v>
      </c>
      <c r="G337" s="162">
        <v>46090</v>
      </c>
      <c r="H337" s="203" t="s">
        <v>199</v>
      </c>
      <c r="I337" s="186">
        <f t="shared" si="43"/>
        <v>4</v>
      </c>
      <c r="J337" s="204">
        <f>IF($H337="USD",IF(OR($I337="",$I337="-"),"",VLOOKUP($G337,為替!$A:$AX,$I337,FALSE))+$J$3,IF(OR($I337="",$I337="-"),"",VLOOKUP($G337,為替!$A:$AX,$I337,FALSE)))</f>
        <v>158.21</v>
      </c>
      <c r="K337" s="205">
        <f t="shared" si="44"/>
        <v>17735.341</v>
      </c>
      <c r="L337" s="189">
        <f t="shared" si="45"/>
        <v>3</v>
      </c>
      <c r="M337" s="204">
        <f>IF($H337="USD",IF(OR($L337="",$L337="-"),"",VLOOKUP($G337,為替!$A:$AX,$L337,FALSE))+$K$3,IF(OR($L337="",$L337="-"),"",VLOOKUP($G337,為替!$A:$AX,$L337,FALSE)))</f>
        <v>159.21</v>
      </c>
      <c r="N337" s="205">
        <f t="shared" si="46"/>
        <v>16844.418000000001</v>
      </c>
      <c r="O337" s="206">
        <f t="shared" si="42"/>
        <v>890.92299999999886</v>
      </c>
      <c r="P337" s="207">
        <f t="shared" si="47"/>
        <v>5.0234331553027305E-2</v>
      </c>
    </row>
    <row r="338" spans="1:16">
      <c r="A338" s="163" t="s">
        <v>343</v>
      </c>
      <c r="B338" s="163">
        <v>7977</v>
      </c>
      <c r="C338" s="200">
        <v>293.27999999999997</v>
      </c>
      <c r="D338" s="201">
        <v>0</v>
      </c>
      <c r="E338" s="202" t="s">
        <v>199</v>
      </c>
      <c r="F338" s="200">
        <v>305.79000000000002</v>
      </c>
      <c r="G338" s="162">
        <v>46090</v>
      </c>
      <c r="H338" s="203" t="s">
        <v>199</v>
      </c>
      <c r="I338" s="186">
        <f t="shared" si="43"/>
        <v>4</v>
      </c>
      <c r="J338" s="204">
        <f>IF($H338="USD",IF(OR($I338="",$I338="-"),"",VLOOKUP($G338,為替!$A:$AX,$I338,FALSE))+$J$3,IF(OR($I338="",$I338="-"),"",VLOOKUP($G338,為替!$A:$AX,$I338,FALSE)))</f>
        <v>158.21</v>
      </c>
      <c r="K338" s="205">
        <f t="shared" si="44"/>
        <v>48379.035900000003</v>
      </c>
      <c r="L338" s="189">
        <f t="shared" si="45"/>
        <v>3</v>
      </c>
      <c r="M338" s="204">
        <f>IF($H338="USD",IF(OR($L338="",$L338="-"),"",VLOOKUP($G338,為替!$A:$AX,$L338,FALSE))+$K$3,IF(OR($L338="",$L338="-"),"",VLOOKUP($G338,為替!$A:$AX,$L338,FALSE)))</f>
        <v>159.21</v>
      </c>
      <c r="N338" s="205">
        <f t="shared" si="46"/>
        <v>46693.108799999995</v>
      </c>
      <c r="O338" s="206">
        <f t="shared" si="42"/>
        <v>1685.9271000000081</v>
      </c>
      <c r="P338" s="207">
        <f t="shared" si="47"/>
        <v>3.4848298826889355E-2</v>
      </c>
    </row>
    <row r="339" spans="1:16">
      <c r="A339" s="163" t="s">
        <v>343</v>
      </c>
      <c r="B339" s="163">
        <v>7960</v>
      </c>
      <c r="C339" s="200">
        <v>34.200000000000003</v>
      </c>
      <c r="D339" s="201">
        <v>0</v>
      </c>
      <c r="E339" s="202" t="s">
        <v>199</v>
      </c>
      <c r="F339" s="200">
        <v>36.26</v>
      </c>
      <c r="G339" s="162">
        <v>46090</v>
      </c>
      <c r="H339" s="203" t="s">
        <v>199</v>
      </c>
      <c r="I339" s="186">
        <f t="shared" si="43"/>
        <v>4</v>
      </c>
      <c r="J339" s="204">
        <f>IF($H339="USD",IF(OR($I339="",$I339="-"),"",VLOOKUP($G339,為替!$A:$AX,$I339,FALSE))+$J$3,IF(OR($I339="",$I339="-"),"",VLOOKUP($G339,為替!$A:$AX,$I339,FALSE)))</f>
        <v>158.21</v>
      </c>
      <c r="K339" s="205">
        <f t="shared" si="44"/>
        <v>5736.6945999999998</v>
      </c>
      <c r="L339" s="189">
        <f t="shared" si="45"/>
        <v>3</v>
      </c>
      <c r="M339" s="204">
        <f>IF($H339="USD",IF(OR($L339="",$L339="-"),"",VLOOKUP($G339,為替!$A:$AX,$L339,FALSE))+$K$3,IF(OR($L339="",$L339="-"),"",VLOOKUP($G339,為替!$A:$AX,$L339,FALSE)))</f>
        <v>159.21</v>
      </c>
      <c r="N339" s="205">
        <f t="shared" si="46"/>
        <v>5444.9820000000009</v>
      </c>
      <c r="O339" s="206">
        <f t="shared" si="42"/>
        <v>291.71259999999893</v>
      </c>
      <c r="P339" s="207">
        <f t="shared" si="47"/>
        <v>5.0850292780096562E-2</v>
      </c>
    </row>
    <row r="340" spans="1:16">
      <c r="A340" s="163" t="s">
        <v>343</v>
      </c>
      <c r="B340" s="163">
        <v>7962</v>
      </c>
      <c r="C340" s="200">
        <v>85.4</v>
      </c>
      <c r="D340" s="201">
        <v>0</v>
      </c>
      <c r="E340" s="202" t="s">
        <v>199</v>
      </c>
      <c r="F340" s="200">
        <v>90.3</v>
      </c>
      <c r="G340" s="162">
        <v>46091</v>
      </c>
      <c r="H340" s="203" t="s">
        <v>199</v>
      </c>
      <c r="I340" s="186">
        <f t="shared" si="43"/>
        <v>4</v>
      </c>
      <c r="J340" s="204">
        <f>IF($H340="USD",IF(OR($I340="",$I340="-"),"",VLOOKUP($G340,為替!$A:$AX,$I340,FALSE))+$J$3,IF(OR($I340="",$I340="-"),"",VLOOKUP($G340,為替!$A:$AX,$I340,FALSE)))</f>
        <v>157.22999999999999</v>
      </c>
      <c r="K340" s="205">
        <f t="shared" si="44"/>
        <v>14197.868999999999</v>
      </c>
      <c r="L340" s="189">
        <f t="shared" si="45"/>
        <v>3</v>
      </c>
      <c r="M340" s="204">
        <f>IF($H340="USD",IF(OR($L340="",$L340="-"),"",VLOOKUP($G340,為替!$A:$AX,$L340,FALSE))+$K$3,IF(OR($L340="",$L340="-"),"",VLOOKUP($G340,為替!$A:$AX,$L340,FALSE)))</f>
        <v>158.22999999999999</v>
      </c>
      <c r="N340" s="205">
        <f t="shared" si="46"/>
        <v>13512.842000000001</v>
      </c>
      <c r="O340" s="206">
        <f t="shared" si="42"/>
        <v>685.02699999999822</v>
      </c>
      <c r="P340" s="207">
        <f t="shared" si="47"/>
        <v>4.8248578712763043E-2</v>
      </c>
    </row>
    <row r="341" spans="1:16">
      <c r="A341" s="163" t="s">
        <v>343</v>
      </c>
      <c r="B341" s="163">
        <v>7958</v>
      </c>
      <c r="C341" s="200">
        <v>6613.48</v>
      </c>
      <c r="D341" s="201">
        <v>0</v>
      </c>
      <c r="E341" s="202" t="s">
        <v>199</v>
      </c>
      <c r="F341" s="200">
        <v>7007.56</v>
      </c>
      <c r="G341" s="162">
        <v>46091</v>
      </c>
      <c r="H341" s="203" t="s">
        <v>199</v>
      </c>
      <c r="I341" s="186">
        <f t="shared" si="43"/>
        <v>4</v>
      </c>
      <c r="J341" s="204">
        <f>IF($H341="USD",IF(OR($I341="",$I341="-"),"",VLOOKUP($G341,為替!$A:$AX,$I341,FALSE))+$J$3,IF(OR($I341="",$I341="-"),"",VLOOKUP($G341,為替!$A:$AX,$I341,FALSE)))</f>
        <v>157.22999999999999</v>
      </c>
      <c r="K341" s="205">
        <f t="shared" si="44"/>
        <v>1101798.6588000001</v>
      </c>
      <c r="L341" s="189">
        <f t="shared" si="45"/>
        <v>3</v>
      </c>
      <c r="M341" s="204">
        <f>IF($H341="USD",IF(OR($L341="",$L341="-"),"",VLOOKUP($G341,為替!$A:$AX,$L341,FALSE))+$K$3,IF(OR($L341="",$L341="-"),"",VLOOKUP($G341,為替!$A:$AX,$L341,FALSE)))</f>
        <v>158.22999999999999</v>
      </c>
      <c r="N341" s="205">
        <f t="shared" si="46"/>
        <v>1046450.9403999998</v>
      </c>
      <c r="O341" s="206">
        <f t="shared" si="42"/>
        <v>55347.718400000245</v>
      </c>
      <c r="P341" s="207">
        <f t="shared" si="47"/>
        <v>5.0233967846975786E-2</v>
      </c>
    </row>
    <row r="342" spans="1:16">
      <c r="A342" s="163" t="s">
        <v>343</v>
      </c>
      <c r="B342" s="163">
        <v>7973</v>
      </c>
      <c r="C342" s="200">
        <v>998.75</v>
      </c>
      <c r="D342" s="201">
        <v>0</v>
      </c>
      <c r="E342" s="202" t="s">
        <v>199</v>
      </c>
      <c r="F342" s="200">
        <v>1058.22</v>
      </c>
      <c r="G342" s="162">
        <v>46092</v>
      </c>
      <c r="H342" s="203" t="s">
        <v>199</v>
      </c>
      <c r="I342" s="186">
        <f t="shared" si="43"/>
        <v>4</v>
      </c>
      <c r="J342" s="204">
        <f>IF($H342="USD",IF(OR($I342="",$I342="-"),"",VLOOKUP($G342,為替!$A:$AX,$I342,FALSE))+$J$3,IF(OR($I342="",$I342="-"),"",VLOOKUP($G342,為替!$A:$AX,$I342,FALSE)))</f>
        <v>157.72999999999999</v>
      </c>
      <c r="K342" s="205">
        <f t="shared" si="44"/>
        <v>166913.04060000001</v>
      </c>
      <c r="L342" s="189">
        <f t="shared" si="45"/>
        <v>3</v>
      </c>
      <c r="M342" s="204">
        <f>IF($H342="USD",IF(OR($L342="",$L342="-"),"",VLOOKUP($G342,為替!$A:$AX,$L342,FALSE))+$K$3,IF(OR($L342="",$L342="-"),"",VLOOKUP($G342,為替!$A:$AX,$L342,FALSE)))</f>
        <v>158.72999999999999</v>
      </c>
      <c r="N342" s="205">
        <f t="shared" si="46"/>
        <v>158531.58749999999</v>
      </c>
      <c r="O342" s="206">
        <f t="shared" si="42"/>
        <v>8381.4531000000134</v>
      </c>
      <c r="P342" s="207">
        <f t="shared" si="47"/>
        <v>5.0214489352487499E-2</v>
      </c>
    </row>
    <row r="343" spans="1:16">
      <c r="A343" s="163" t="s">
        <v>343</v>
      </c>
      <c r="B343" s="163">
        <v>7974</v>
      </c>
      <c r="C343" s="200">
        <v>312.11</v>
      </c>
      <c r="D343" s="201">
        <v>0</v>
      </c>
      <c r="E343" s="202" t="s">
        <v>199</v>
      </c>
      <c r="F343" s="200">
        <v>330.7</v>
      </c>
      <c r="G343" s="162">
        <v>46092</v>
      </c>
      <c r="H343" s="203" t="s">
        <v>199</v>
      </c>
      <c r="I343" s="186">
        <f t="shared" si="43"/>
        <v>4</v>
      </c>
      <c r="J343" s="204">
        <f>IF($H343="USD",IF(OR($I343="",$I343="-"),"",VLOOKUP($G343,為替!$A:$AX,$I343,FALSE))+$J$3,IF(OR($I343="",$I343="-"),"",VLOOKUP($G343,為替!$A:$AX,$I343,FALSE)))</f>
        <v>157.72999999999999</v>
      </c>
      <c r="K343" s="205">
        <f t="shared" si="44"/>
        <v>52161.310999999994</v>
      </c>
      <c r="L343" s="189">
        <f t="shared" si="45"/>
        <v>3</v>
      </c>
      <c r="M343" s="204">
        <f>IF($H343="USD",IF(OR($L343="",$L343="-"),"",VLOOKUP($G343,為替!$A:$AX,$L343,FALSE))+$K$3,IF(OR($L343="",$L343="-"),"",VLOOKUP($G343,為替!$A:$AX,$L343,FALSE)))</f>
        <v>158.72999999999999</v>
      </c>
      <c r="N343" s="205">
        <f t="shared" si="46"/>
        <v>49541.220300000001</v>
      </c>
      <c r="O343" s="206">
        <f t="shared" si="42"/>
        <v>2620.0906999999934</v>
      </c>
      <c r="P343" s="207">
        <f t="shared" si="47"/>
        <v>5.0230537725556662E-2</v>
      </c>
    </row>
    <row r="344" spans="1:16">
      <c r="A344" s="163" t="s">
        <v>343</v>
      </c>
      <c r="B344" s="163">
        <v>7983</v>
      </c>
      <c r="C344" s="200">
        <v>54.36</v>
      </c>
      <c r="D344" s="201">
        <v>0</v>
      </c>
      <c r="E344" s="202" t="s">
        <v>199</v>
      </c>
      <c r="F344" s="200">
        <v>59.76</v>
      </c>
      <c r="G344" s="162">
        <v>46094</v>
      </c>
      <c r="H344" s="203" t="s">
        <v>199</v>
      </c>
      <c r="I344" s="186">
        <f t="shared" si="43"/>
        <v>4</v>
      </c>
      <c r="J344" s="204">
        <f>IF($H344="USD",IF(OR($I344="",$I344="-"),"",VLOOKUP($G344,為替!$A:$AX,$I344,FALSE))+$J$3,IF(OR($I344="",$I344="-"),"",VLOOKUP($G344,為替!$A:$AX,$I344,FALSE)))</f>
        <v>158.76</v>
      </c>
      <c r="K344" s="205">
        <f t="shared" si="44"/>
        <v>9487.4975999999988</v>
      </c>
      <c r="L344" s="189">
        <f t="shared" si="45"/>
        <v>3</v>
      </c>
      <c r="M344" s="204">
        <f>IF($H344="USD",IF(OR($L344="",$L344="-"),"",VLOOKUP($G344,為替!$A:$AX,$L344,FALSE))+$K$3,IF(OR($L344="",$L344="-"),"",VLOOKUP($G344,為替!$A:$AX,$L344,FALSE)))</f>
        <v>159.76</v>
      </c>
      <c r="N344" s="205">
        <f t="shared" si="46"/>
        <v>8684.5535999999993</v>
      </c>
      <c r="O344" s="206">
        <f t="shared" si="42"/>
        <v>802.94399999999951</v>
      </c>
      <c r="P344" s="207">
        <f t="shared" si="47"/>
        <v>8.4631800064961238E-2</v>
      </c>
    </row>
    <row r="345" spans="1:16">
      <c r="A345" s="163" t="s">
        <v>343</v>
      </c>
      <c r="B345" s="163">
        <v>7984</v>
      </c>
      <c r="C345" s="200">
        <v>170.9</v>
      </c>
      <c r="D345" s="201">
        <v>0</v>
      </c>
      <c r="E345" s="202" t="s">
        <v>199</v>
      </c>
      <c r="F345" s="200">
        <v>181.25</v>
      </c>
      <c r="G345" s="162">
        <v>46094</v>
      </c>
      <c r="H345" s="203" t="s">
        <v>199</v>
      </c>
      <c r="I345" s="186">
        <f t="shared" si="43"/>
        <v>4</v>
      </c>
      <c r="J345" s="204">
        <f>IF($H345="USD",IF(OR($I345="",$I345="-"),"",VLOOKUP($G345,為替!$A:$AX,$I345,FALSE))+$J$3,IF(OR($I345="",$I345="-"),"",VLOOKUP($G345,為替!$A:$AX,$I345,FALSE)))</f>
        <v>158.76</v>
      </c>
      <c r="K345" s="205">
        <f t="shared" si="44"/>
        <v>28775.25</v>
      </c>
      <c r="L345" s="189">
        <f t="shared" si="45"/>
        <v>3</v>
      </c>
      <c r="M345" s="204">
        <f>IF($H345="USD",IF(OR($L345="",$L345="-"),"",VLOOKUP($G345,為替!$A:$AX,$L345,FALSE))+$K$3,IF(OR($L345="",$L345="-"),"",VLOOKUP($G345,為替!$A:$AX,$L345,FALSE)))</f>
        <v>159.76</v>
      </c>
      <c r="N345" s="205">
        <f t="shared" si="46"/>
        <v>27302.984</v>
      </c>
      <c r="O345" s="206">
        <f t="shared" si="42"/>
        <v>1472.2659999999996</v>
      </c>
      <c r="P345" s="207">
        <f t="shared" si="47"/>
        <v>5.1164316556763179E-2</v>
      </c>
    </row>
    <row r="346" spans="1:16">
      <c r="A346" s="163" t="s">
        <v>343</v>
      </c>
      <c r="B346" s="163">
        <v>7969</v>
      </c>
      <c r="C346" s="200">
        <v>1210.78</v>
      </c>
      <c r="D346" s="201">
        <v>0</v>
      </c>
      <c r="E346" s="202" t="s">
        <v>199</v>
      </c>
      <c r="F346" s="200">
        <v>1275.32</v>
      </c>
      <c r="G346" s="162">
        <v>46094</v>
      </c>
      <c r="H346" s="203" t="s">
        <v>199</v>
      </c>
      <c r="I346" s="186">
        <f t="shared" si="43"/>
        <v>4</v>
      </c>
      <c r="J346" s="204">
        <f>IF($H346="USD",IF(OR($I346="",$I346="-"),"",VLOOKUP($G346,為替!$A:$AX,$I346,FALSE))+$J$3,IF(OR($I346="",$I346="-"),"",VLOOKUP($G346,為替!$A:$AX,$I346,FALSE)))</f>
        <v>158.76</v>
      </c>
      <c r="K346" s="205">
        <f t="shared" si="44"/>
        <v>202469.80319999997</v>
      </c>
      <c r="L346" s="189">
        <f t="shared" si="45"/>
        <v>3</v>
      </c>
      <c r="M346" s="204">
        <f>IF($H346="USD",IF(OR($L346="",$L346="-"),"",VLOOKUP($G346,為替!$A:$AX,$L346,FALSE))+$K$3,IF(OR($L346="",$L346="-"),"",VLOOKUP($G346,為替!$A:$AX,$L346,FALSE)))</f>
        <v>159.76</v>
      </c>
      <c r="N346" s="205">
        <f t="shared" si="46"/>
        <v>193434.21279999998</v>
      </c>
      <c r="O346" s="206">
        <f t="shared" si="42"/>
        <v>9035.5903999999864</v>
      </c>
      <c r="P346" s="207">
        <f t="shared" si="47"/>
        <v>4.4626854262680433E-2</v>
      </c>
    </row>
    <row r="347" spans="1:16">
      <c r="A347" s="163" t="s">
        <v>343</v>
      </c>
      <c r="B347" s="163">
        <v>7995</v>
      </c>
      <c r="C347" s="200">
        <v>2947.84</v>
      </c>
      <c r="D347" s="201">
        <v>0</v>
      </c>
      <c r="E347" s="202" t="s">
        <v>199</v>
      </c>
      <c r="F347" s="200">
        <v>3194.35</v>
      </c>
      <c r="G347" s="162">
        <v>46093</v>
      </c>
      <c r="H347" s="203" t="s">
        <v>199</v>
      </c>
      <c r="I347" s="186">
        <f t="shared" si="43"/>
        <v>4</v>
      </c>
      <c r="J347" s="204">
        <f>IF($H347="USD",IF(OR($I347="",$I347="-"),"",VLOOKUP($G347,為替!$A:$AX,$I347,FALSE))+$J$3,IF(OR($I347="",$I347="-"),"",VLOOKUP($G347,為替!$A:$AX,$I347,FALSE)))</f>
        <v>158.59</v>
      </c>
      <c r="K347" s="205">
        <f t="shared" si="44"/>
        <v>506591.96649999998</v>
      </c>
      <c r="L347" s="189">
        <f t="shared" si="45"/>
        <v>3</v>
      </c>
      <c r="M347" s="204">
        <f>IF($H347="USD",IF(OR($L347="",$L347="-"),"",VLOOKUP($G347,為替!$A:$AX,$L347,FALSE))+$K$3,IF(OR($L347="",$L347="-"),"",VLOOKUP($G347,為替!$A:$AX,$L347,FALSE)))</f>
        <v>159.59</v>
      </c>
      <c r="N347" s="205">
        <f t="shared" si="46"/>
        <v>470445.78560000006</v>
      </c>
      <c r="O347" s="206">
        <f t="shared" si="42"/>
        <v>36146.180899999919</v>
      </c>
      <c r="P347" s="207">
        <f t="shared" si="47"/>
        <v>7.1351666213206558E-2</v>
      </c>
    </row>
    <row r="348" spans="1:16">
      <c r="A348" s="163" t="s">
        <v>343</v>
      </c>
      <c r="B348" s="163">
        <v>7997</v>
      </c>
      <c r="C348" s="200">
        <f>235.03+33.22</f>
        <v>268.25</v>
      </c>
      <c r="D348" s="201">
        <v>0</v>
      </c>
      <c r="E348" s="202" t="s">
        <v>199</v>
      </c>
      <c r="F348" s="200">
        <v>282.22000000000003</v>
      </c>
      <c r="G348" s="162">
        <v>46098</v>
      </c>
      <c r="H348" s="203" t="s">
        <v>199</v>
      </c>
      <c r="I348" s="186">
        <f t="shared" si="43"/>
        <v>4</v>
      </c>
      <c r="J348" s="204">
        <f>IF($H348="USD",IF(OR($I348="",$I348="-"),"",VLOOKUP($G348,為替!$A:$AX,$I348,FALSE))+$J$3,IF(OR($I348="",$I348="-"),"",VLOOKUP($G348,為替!$A:$AX,$I348,FALSE)))</f>
        <v>158.87</v>
      </c>
      <c r="K348" s="205">
        <f t="shared" si="44"/>
        <v>44836.291400000009</v>
      </c>
      <c r="L348" s="189">
        <f t="shared" si="45"/>
        <v>3</v>
      </c>
      <c r="M348" s="204">
        <f>IF($H348="USD",IF(OR($L348="",$L348="-"),"",VLOOKUP($G348,為替!$A:$AX,$L348,FALSE))+$K$3,IF(OR($L348="",$L348="-"),"",VLOOKUP($G348,為替!$A:$AX,$L348,FALSE)))</f>
        <v>159.87</v>
      </c>
      <c r="N348" s="205">
        <f t="shared" si="46"/>
        <v>42885.127500000002</v>
      </c>
      <c r="O348" s="206">
        <f t="shared" si="42"/>
        <v>1951.1639000000068</v>
      </c>
      <c r="P348" s="207">
        <f t="shared" si="47"/>
        <v>4.3517513136691013E-2</v>
      </c>
    </row>
    <row r="349" spans="1:16">
      <c r="A349" s="163" t="s">
        <v>343</v>
      </c>
      <c r="B349" s="163">
        <v>7999</v>
      </c>
      <c r="C349" s="200">
        <v>4248.55</v>
      </c>
      <c r="D349" s="201">
        <v>0</v>
      </c>
      <c r="E349" s="202" t="s">
        <v>199</v>
      </c>
      <c r="F349" s="200">
        <v>4501.47</v>
      </c>
      <c r="G349" s="162">
        <v>46099</v>
      </c>
      <c r="H349" s="203" t="s">
        <v>199</v>
      </c>
      <c r="I349" s="186">
        <f t="shared" si="43"/>
        <v>4</v>
      </c>
      <c r="J349" s="204">
        <f>IF($H349="USD",IF(OR($I349="",$I349="-"),"",VLOOKUP($G349,為替!$A:$AX,$I349,FALSE))+$J$3,IF(OR($I349="",$I349="-"),"",VLOOKUP($G349,為替!$A:$AX,$I349,FALSE)))</f>
        <v>158.69</v>
      </c>
      <c r="K349" s="205">
        <f t="shared" si="44"/>
        <v>714338.27430000005</v>
      </c>
      <c r="L349" s="189">
        <f t="shared" si="45"/>
        <v>3</v>
      </c>
      <c r="M349" s="204">
        <f>IF($H349="USD",IF(OR($L349="",$L349="-"),"",VLOOKUP($G349,為替!$A:$AX,$L349,FALSE))+$K$3,IF(OR($L349="",$L349="-"),"",VLOOKUP($G349,為替!$A:$AX,$L349,FALSE)))</f>
        <v>159.69</v>
      </c>
      <c r="N349" s="205">
        <f t="shared" si="46"/>
        <v>678450.94949999999</v>
      </c>
      <c r="O349" s="206">
        <f t="shared" si="42"/>
        <v>35887.32480000006</v>
      </c>
      <c r="P349" s="207">
        <f t="shared" si="47"/>
        <v>5.0238557964946015E-2</v>
      </c>
    </row>
    <row r="350" spans="1:16">
      <c r="C350" s="200"/>
      <c r="D350" s="201"/>
      <c r="E350" s="202"/>
      <c r="F350" s="200"/>
      <c r="H350" s="203"/>
      <c r="I350" s="186" t="str">
        <f t="shared" si="43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44"/>
        <v/>
      </c>
      <c r="L350" s="189" t="str">
        <f t="shared" si="45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46"/>
        <v/>
      </c>
      <c r="O350" s="206" t="str">
        <f t="shared" si="42"/>
        <v/>
      </c>
      <c r="P350" s="207" t="str">
        <f t="shared" si="47"/>
        <v/>
      </c>
    </row>
    <row r="351" spans="1:16">
      <c r="C351" s="200"/>
      <c r="D351" s="201"/>
      <c r="E351" s="202"/>
      <c r="F351" s="200"/>
      <c r="H351" s="203"/>
      <c r="I351" s="186" t="str">
        <f t="shared" si="43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44"/>
        <v/>
      </c>
      <c r="L351" s="189" t="str">
        <f t="shared" si="45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46"/>
        <v/>
      </c>
      <c r="O351" s="206" t="str">
        <f t="shared" si="42"/>
        <v/>
      </c>
      <c r="P351" s="207" t="str">
        <f t="shared" si="47"/>
        <v/>
      </c>
    </row>
    <row r="352" spans="1:16">
      <c r="C352" s="200"/>
      <c r="D352" s="201"/>
      <c r="E352" s="202"/>
      <c r="F352" s="200"/>
      <c r="H352" s="203"/>
      <c r="I352" s="186" t="str">
        <f t="shared" si="43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44"/>
        <v/>
      </c>
      <c r="L352" s="189" t="str">
        <f t="shared" si="45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46"/>
        <v/>
      </c>
      <c r="O352" s="206" t="str">
        <f t="shared" si="42"/>
        <v/>
      </c>
      <c r="P352" s="207" t="str">
        <f t="shared" si="47"/>
        <v/>
      </c>
    </row>
    <row r="353" spans="3:16">
      <c r="C353" s="200"/>
      <c r="D353" s="201"/>
      <c r="E353" s="202"/>
      <c r="F353" s="200"/>
      <c r="H353" s="203"/>
      <c r="I353" s="186" t="str">
        <f t="shared" si="43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44"/>
        <v/>
      </c>
      <c r="L353" s="189" t="str">
        <f t="shared" si="45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46"/>
        <v/>
      </c>
      <c r="O353" s="206" t="str">
        <f t="shared" si="42"/>
        <v/>
      </c>
      <c r="P353" s="207" t="str">
        <f t="shared" si="47"/>
        <v/>
      </c>
    </row>
    <row r="354" spans="3:16">
      <c r="C354" s="200"/>
      <c r="D354" s="201"/>
      <c r="E354" s="202"/>
      <c r="F354" s="200"/>
      <c r="H354" s="203"/>
      <c r="I354" s="186" t="str">
        <f t="shared" si="43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44"/>
        <v/>
      </c>
      <c r="L354" s="189" t="str">
        <f t="shared" si="45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46"/>
        <v/>
      </c>
      <c r="O354" s="206" t="str">
        <f t="shared" si="42"/>
        <v/>
      </c>
      <c r="P354" s="207" t="str">
        <f t="shared" si="47"/>
        <v/>
      </c>
    </row>
    <row r="355" spans="3:16">
      <c r="C355" s="200"/>
      <c r="D355" s="201"/>
      <c r="E355" s="202"/>
      <c r="F355" s="200"/>
      <c r="H355" s="203"/>
      <c r="I355" s="186" t="str">
        <f t="shared" si="43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44"/>
        <v/>
      </c>
      <c r="L355" s="189" t="str">
        <f t="shared" si="45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46"/>
        <v/>
      </c>
      <c r="O355" s="206" t="str">
        <f t="shared" si="42"/>
        <v/>
      </c>
      <c r="P355" s="207" t="str">
        <f t="shared" si="47"/>
        <v/>
      </c>
    </row>
    <row r="356" spans="3:16">
      <c r="C356" s="200"/>
      <c r="D356" s="201"/>
      <c r="E356" s="202"/>
      <c r="F356" s="200"/>
      <c r="H356" s="203"/>
      <c r="I356" s="186" t="str">
        <f t="shared" si="43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44"/>
        <v/>
      </c>
      <c r="L356" s="189" t="str">
        <f t="shared" si="45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46"/>
        <v/>
      </c>
      <c r="O356" s="206" t="str">
        <f t="shared" si="42"/>
        <v/>
      </c>
      <c r="P356" s="207" t="str">
        <f t="shared" si="47"/>
        <v/>
      </c>
    </row>
    <row r="357" spans="3:16">
      <c r="C357" s="200"/>
      <c r="D357" s="201"/>
      <c r="E357" s="202"/>
      <c r="F357" s="200"/>
      <c r="H357" s="203"/>
      <c r="I357" s="186" t="str">
        <f t="shared" si="43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44"/>
        <v/>
      </c>
      <c r="L357" s="189" t="str">
        <f t="shared" si="45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46"/>
        <v/>
      </c>
      <c r="O357" s="206" t="str">
        <f t="shared" si="42"/>
        <v/>
      </c>
      <c r="P357" s="207" t="str">
        <f t="shared" si="47"/>
        <v/>
      </c>
    </row>
    <row r="358" spans="3:16">
      <c r="C358" s="200"/>
      <c r="D358" s="201"/>
      <c r="E358" s="202"/>
      <c r="F358" s="200"/>
      <c r="H358" s="203"/>
      <c r="I358" s="186" t="str">
        <f t="shared" si="43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44"/>
        <v/>
      </c>
      <c r="L358" s="189" t="str">
        <f t="shared" si="45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46"/>
        <v/>
      </c>
      <c r="O358" s="206" t="str">
        <f t="shared" si="42"/>
        <v/>
      </c>
      <c r="P358" s="207" t="str">
        <f t="shared" si="47"/>
        <v/>
      </c>
    </row>
    <row r="359" spans="3:16">
      <c r="C359" s="200"/>
      <c r="D359" s="201"/>
      <c r="E359" s="202"/>
      <c r="F359" s="200"/>
      <c r="H359" s="203"/>
      <c r="I359" s="186" t="str">
        <f t="shared" si="43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44"/>
        <v/>
      </c>
      <c r="L359" s="189" t="str">
        <f t="shared" si="45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46"/>
        <v/>
      </c>
      <c r="O359" s="206" t="str">
        <f t="shared" si="42"/>
        <v/>
      </c>
      <c r="P359" s="207" t="str">
        <f t="shared" si="47"/>
        <v/>
      </c>
    </row>
    <row r="360" spans="3:16">
      <c r="C360" s="200"/>
      <c r="D360" s="201"/>
      <c r="E360" s="202"/>
      <c r="F360" s="200"/>
      <c r="H360" s="203"/>
      <c r="I360" s="186" t="str">
        <f t="shared" si="43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44"/>
        <v/>
      </c>
      <c r="L360" s="189" t="str">
        <f t="shared" si="45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46"/>
        <v/>
      </c>
      <c r="O360" s="206" t="str">
        <f t="shared" si="42"/>
        <v/>
      </c>
      <c r="P360" s="207" t="str">
        <f t="shared" si="47"/>
        <v/>
      </c>
    </row>
    <row r="361" spans="3:16">
      <c r="C361" s="200"/>
      <c r="D361" s="201"/>
      <c r="E361" s="202"/>
      <c r="F361" s="200"/>
      <c r="H361" s="203"/>
      <c r="I361" s="186" t="str">
        <f t="shared" si="43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44"/>
        <v/>
      </c>
      <c r="L361" s="189" t="str">
        <f t="shared" si="45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46"/>
        <v/>
      </c>
      <c r="O361" s="206" t="str">
        <f t="shared" si="42"/>
        <v/>
      </c>
      <c r="P361" s="207" t="str">
        <f t="shared" si="47"/>
        <v/>
      </c>
    </row>
    <row r="362" spans="3:16">
      <c r="C362" s="200"/>
      <c r="D362" s="201"/>
      <c r="E362" s="202"/>
      <c r="F362" s="200"/>
      <c r="H362" s="203"/>
      <c r="I362" s="186" t="str">
        <f t="shared" si="43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44"/>
        <v/>
      </c>
      <c r="L362" s="189" t="str">
        <f t="shared" si="45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46"/>
        <v/>
      </c>
      <c r="O362" s="206" t="str">
        <f t="shared" si="42"/>
        <v/>
      </c>
      <c r="P362" s="207" t="str">
        <f t="shared" si="47"/>
        <v/>
      </c>
    </row>
    <row r="363" spans="3:16">
      <c r="C363" s="200"/>
      <c r="D363" s="201"/>
      <c r="E363" s="202"/>
      <c r="F363" s="200"/>
      <c r="H363" s="203"/>
      <c r="I363" s="186" t="str">
        <f t="shared" si="43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44"/>
        <v/>
      </c>
      <c r="L363" s="189" t="str">
        <f t="shared" si="45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46"/>
        <v/>
      </c>
      <c r="O363" s="206" t="str">
        <f t="shared" si="42"/>
        <v/>
      </c>
      <c r="P363" s="207" t="str">
        <f t="shared" si="47"/>
        <v/>
      </c>
    </row>
    <row r="364" spans="3:16">
      <c r="C364" s="200"/>
      <c r="D364" s="201"/>
      <c r="E364" s="202"/>
      <c r="F364" s="200"/>
      <c r="H364" s="203"/>
      <c r="I364" s="186" t="str">
        <f t="shared" si="43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44"/>
        <v/>
      </c>
      <c r="L364" s="189" t="str">
        <f t="shared" si="45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46"/>
        <v/>
      </c>
      <c r="O364" s="206" t="str">
        <f t="shared" si="42"/>
        <v/>
      </c>
      <c r="P364" s="207" t="str">
        <f t="shared" si="47"/>
        <v/>
      </c>
    </row>
    <row r="365" spans="3:16">
      <c r="C365" s="200"/>
      <c r="D365" s="201"/>
      <c r="E365" s="202"/>
      <c r="F365" s="200"/>
      <c r="H365" s="203"/>
      <c r="I365" s="186" t="str">
        <f t="shared" si="43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44"/>
        <v/>
      </c>
      <c r="L365" s="189" t="str">
        <f t="shared" si="45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46"/>
        <v/>
      </c>
      <c r="O365" s="206" t="str">
        <f t="shared" si="42"/>
        <v/>
      </c>
      <c r="P365" s="207" t="str">
        <f t="shared" si="47"/>
        <v/>
      </c>
    </row>
    <row r="366" spans="3:16">
      <c r="C366" s="200"/>
      <c r="D366" s="201"/>
      <c r="E366" s="202"/>
      <c r="F366" s="200"/>
      <c r="H366" s="203"/>
      <c r="I366" s="186" t="str">
        <f t="shared" si="43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44"/>
        <v/>
      </c>
      <c r="L366" s="189" t="str">
        <f t="shared" si="45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46"/>
        <v/>
      </c>
      <c r="O366" s="206" t="str">
        <f t="shared" si="42"/>
        <v/>
      </c>
      <c r="P366" s="207" t="str">
        <f t="shared" si="47"/>
        <v/>
      </c>
    </row>
    <row r="367" spans="3:16">
      <c r="C367" s="200"/>
      <c r="D367" s="201"/>
      <c r="E367" s="202"/>
      <c r="F367" s="200"/>
      <c r="H367" s="203"/>
      <c r="I367" s="186" t="str">
        <f t="shared" si="43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44"/>
        <v/>
      </c>
      <c r="L367" s="189" t="str">
        <f t="shared" si="45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46"/>
        <v/>
      </c>
      <c r="O367" s="206" t="str">
        <f t="shared" si="42"/>
        <v/>
      </c>
      <c r="P367" s="207" t="str">
        <f t="shared" si="47"/>
        <v/>
      </c>
    </row>
    <row r="368" spans="3:16">
      <c r="C368" s="200"/>
      <c r="D368" s="201"/>
      <c r="E368" s="202"/>
      <c r="F368" s="200"/>
      <c r="H368" s="203"/>
      <c r="I368" s="186" t="str">
        <f t="shared" si="43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44"/>
        <v/>
      </c>
      <c r="L368" s="189" t="str">
        <f t="shared" si="45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46"/>
        <v/>
      </c>
      <c r="O368" s="206" t="str">
        <f t="shared" si="42"/>
        <v/>
      </c>
      <c r="P368" s="207" t="str">
        <f t="shared" si="47"/>
        <v/>
      </c>
    </row>
    <row r="369" spans="3:16">
      <c r="C369" s="200"/>
      <c r="D369" s="201"/>
      <c r="E369" s="202"/>
      <c r="F369" s="200"/>
      <c r="H369" s="203"/>
      <c r="I369" s="186" t="str">
        <f t="shared" si="43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44"/>
        <v/>
      </c>
      <c r="L369" s="189" t="str">
        <f t="shared" si="45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46"/>
        <v/>
      </c>
      <c r="O369" s="206" t="str">
        <f t="shared" si="42"/>
        <v/>
      </c>
      <c r="P369" s="207" t="str">
        <f t="shared" si="47"/>
        <v/>
      </c>
    </row>
    <row r="370" spans="3:16">
      <c r="C370" s="200"/>
      <c r="D370" s="201"/>
      <c r="E370" s="202"/>
      <c r="F370" s="200"/>
      <c r="H370" s="203"/>
      <c r="I370" s="186" t="str">
        <f t="shared" si="43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44"/>
        <v/>
      </c>
      <c r="L370" s="189" t="str">
        <f t="shared" si="45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46"/>
        <v/>
      </c>
      <c r="O370" s="206" t="str">
        <f t="shared" si="42"/>
        <v/>
      </c>
      <c r="P370" s="207" t="str">
        <f t="shared" si="47"/>
        <v/>
      </c>
    </row>
    <row r="371" spans="3:16">
      <c r="C371" s="200"/>
      <c r="D371" s="201"/>
      <c r="E371" s="202"/>
      <c r="F371" s="200"/>
      <c r="H371" s="203"/>
      <c r="I371" s="186" t="str">
        <f t="shared" si="43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44"/>
        <v/>
      </c>
      <c r="L371" s="189" t="str">
        <f t="shared" si="45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46"/>
        <v/>
      </c>
      <c r="O371" s="206" t="str">
        <f t="shared" si="42"/>
        <v/>
      </c>
      <c r="P371" s="207" t="str">
        <f t="shared" si="47"/>
        <v/>
      </c>
    </row>
    <row r="372" spans="3:16">
      <c r="C372" s="200"/>
      <c r="D372" s="201"/>
      <c r="E372" s="202"/>
      <c r="F372" s="200"/>
      <c r="H372" s="203"/>
      <c r="I372" s="186" t="str">
        <f t="shared" si="43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44"/>
        <v/>
      </c>
      <c r="L372" s="189" t="str">
        <f t="shared" si="45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46"/>
        <v/>
      </c>
      <c r="O372" s="206" t="str">
        <f t="shared" si="42"/>
        <v/>
      </c>
      <c r="P372" s="207" t="str">
        <f t="shared" si="47"/>
        <v/>
      </c>
    </row>
    <row r="373" spans="3:16">
      <c r="C373" s="200"/>
      <c r="D373" s="201"/>
      <c r="E373" s="202"/>
      <c r="F373" s="200"/>
      <c r="H373" s="203"/>
      <c r="I373" s="186" t="str">
        <f t="shared" si="43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44"/>
        <v/>
      </c>
      <c r="L373" s="189" t="str">
        <f t="shared" si="45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46"/>
        <v/>
      </c>
      <c r="O373" s="206" t="str">
        <f t="shared" si="42"/>
        <v/>
      </c>
      <c r="P373" s="207" t="str">
        <f t="shared" si="47"/>
        <v/>
      </c>
    </row>
    <row r="374" spans="3:16">
      <c r="C374" s="200"/>
      <c r="D374" s="201"/>
      <c r="E374" s="202"/>
      <c r="F374" s="200"/>
      <c r="H374" s="203"/>
      <c r="I374" s="186" t="str">
        <f t="shared" si="43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44"/>
        <v/>
      </c>
      <c r="L374" s="189" t="str">
        <f t="shared" si="45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46"/>
        <v/>
      </c>
      <c r="O374" s="206" t="str">
        <f t="shared" si="42"/>
        <v/>
      </c>
      <c r="P374" s="207" t="str">
        <f t="shared" si="47"/>
        <v/>
      </c>
    </row>
    <row r="375" spans="3:16">
      <c r="C375" s="200"/>
      <c r="D375" s="201"/>
      <c r="E375" s="202"/>
      <c r="F375" s="200"/>
      <c r="H375" s="203"/>
      <c r="I375" s="186" t="str">
        <f t="shared" si="43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44"/>
        <v/>
      </c>
      <c r="L375" s="189" t="str">
        <f t="shared" si="45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46"/>
        <v/>
      </c>
      <c r="O375" s="206" t="str">
        <f t="shared" si="42"/>
        <v/>
      </c>
      <c r="P375" s="207" t="str">
        <f t="shared" si="47"/>
        <v/>
      </c>
    </row>
    <row r="376" spans="3:16">
      <c r="C376" s="200"/>
      <c r="D376" s="201"/>
      <c r="E376" s="202"/>
      <c r="F376" s="200"/>
      <c r="H376" s="203"/>
      <c r="I376" s="186" t="str">
        <f t="shared" si="43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44"/>
        <v/>
      </c>
      <c r="L376" s="189" t="str">
        <f t="shared" si="45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46"/>
        <v/>
      </c>
      <c r="O376" s="206" t="str">
        <f t="shared" si="42"/>
        <v/>
      </c>
      <c r="P376" s="207" t="str">
        <f t="shared" si="47"/>
        <v/>
      </c>
    </row>
    <row r="377" spans="3:16">
      <c r="C377" s="200"/>
      <c r="D377" s="201"/>
      <c r="E377" s="202"/>
      <c r="F377" s="200"/>
      <c r="H377" s="203"/>
      <c r="I377" s="186" t="str">
        <f t="shared" si="43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44"/>
        <v/>
      </c>
      <c r="L377" s="189" t="str">
        <f t="shared" si="45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46"/>
        <v/>
      </c>
      <c r="O377" s="206" t="str">
        <f t="shared" si="42"/>
        <v/>
      </c>
      <c r="P377" s="207" t="str">
        <f t="shared" si="47"/>
        <v/>
      </c>
    </row>
    <row r="378" spans="3:16">
      <c r="C378" s="200"/>
      <c r="D378" s="201"/>
      <c r="E378" s="202"/>
      <c r="F378" s="200"/>
      <c r="H378" s="203"/>
      <c r="I378" s="186" t="str">
        <f t="shared" si="43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44"/>
        <v/>
      </c>
      <c r="L378" s="189" t="str">
        <f t="shared" si="45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46"/>
        <v/>
      </c>
      <c r="O378" s="206" t="str">
        <f t="shared" si="42"/>
        <v/>
      </c>
      <c r="P378" s="207" t="str">
        <f t="shared" si="47"/>
        <v/>
      </c>
    </row>
    <row r="379" spans="3:16">
      <c r="C379" s="200"/>
      <c r="D379" s="201"/>
      <c r="E379" s="202"/>
      <c r="F379" s="200"/>
      <c r="H379" s="203"/>
      <c r="I379" s="186" t="str">
        <f t="shared" si="43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44"/>
        <v/>
      </c>
      <c r="L379" s="189" t="str">
        <f t="shared" si="45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46"/>
        <v/>
      </c>
      <c r="O379" s="206" t="str">
        <f t="shared" si="42"/>
        <v/>
      </c>
      <c r="P379" s="207" t="str">
        <f t="shared" si="47"/>
        <v/>
      </c>
    </row>
    <row r="380" spans="3:16">
      <c r="C380" s="200"/>
      <c r="D380" s="201"/>
      <c r="E380" s="202"/>
      <c r="F380" s="200"/>
      <c r="H380" s="203"/>
      <c r="I380" s="186" t="str">
        <f t="shared" si="43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44"/>
        <v/>
      </c>
      <c r="L380" s="189" t="str">
        <f t="shared" si="45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46"/>
        <v/>
      </c>
      <c r="O380" s="206" t="str">
        <f t="shared" si="42"/>
        <v/>
      </c>
      <c r="P380" s="207" t="str">
        <f t="shared" si="47"/>
        <v/>
      </c>
    </row>
    <row r="381" spans="3:16">
      <c r="C381" s="200"/>
      <c r="D381" s="201"/>
      <c r="E381" s="202"/>
      <c r="F381" s="200"/>
      <c r="H381" s="203"/>
      <c r="I381" s="186" t="str">
        <f t="shared" si="43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44"/>
        <v/>
      </c>
      <c r="L381" s="189" t="str">
        <f t="shared" si="45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46"/>
        <v/>
      </c>
      <c r="O381" s="206" t="str">
        <f t="shared" si="42"/>
        <v/>
      </c>
      <c r="P381" s="207" t="str">
        <f t="shared" si="47"/>
        <v/>
      </c>
    </row>
    <row r="382" spans="3:16">
      <c r="C382" s="200"/>
      <c r="D382" s="201"/>
      <c r="E382" s="202"/>
      <c r="F382" s="200"/>
      <c r="H382" s="203"/>
      <c r="I382" s="186" t="str">
        <f t="shared" ref="I382:I396" si="48">IF(H382="","",IF(H382="JPY","",IF($H382="USD",4, IF(H382="EUR",7,IF(H382="CNY",47,IF(H382="HKD",34))))))</f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ref="K382:K396" si="49">IF($H382="JPY",$F382,IF($H382="","",$F382*$J382))</f>
        <v/>
      </c>
      <c r="L382" s="189" t="str">
        <f t="shared" ref="L382:L396" si="50">IF(H382="","",IF(H382="JPY","",IF($H382="USD",3, IF(H382="EUR",6,IF(H382="CNY",46,IF(H382="HKD",33))))))</f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ref="N382:N396" si="51">IF($E382="JPY",($C382+$D382),IF($E382="","",($C382+$D382)*$M382))</f>
        <v/>
      </c>
      <c r="O382" s="206" t="str">
        <f t="shared" si="42"/>
        <v/>
      </c>
      <c r="P382" s="207" t="str">
        <f t="shared" si="47"/>
        <v/>
      </c>
    </row>
    <row r="383" spans="3:16">
      <c r="C383" s="200"/>
      <c r="D383" s="201"/>
      <c r="E383" s="202"/>
      <c r="F383" s="200"/>
      <c r="H383" s="203"/>
      <c r="I383" s="186" t="str">
        <f t="shared" si="48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49"/>
        <v/>
      </c>
      <c r="L383" s="189" t="str">
        <f t="shared" si="50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51"/>
        <v/>
      </c>
      <c r="O383" s="206" t="str">
        <f t="shared" si="42"/>
        <v/>
      </c>
      <c r="P383" s="207" t="str">
        <f t="shared" si="47"/>
        <v/>
      </c>
    </row>
    <row r="384" spans="3:16">
      <c r="C384" s="200"/>
      <c r="D384" s="201"/>
      <c r="E384" s="202"/>
      <c r="F384" s="200"/>
      <c r="H384" s="203"/>
      <c r="I384" s="186" t="str">
        <f t="shared" si="48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49"/>
        <v/>
      </c>
      <c r="L384" s="189" t="str">
        <f t="shared" si="50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51"/>
        <v/>
      </c>
      <c r="O384" s="206" t="str">
        <f t="shared" si="42"/>
        <v/>
      </c>
      <c r="P384" s="207" t="str">
        <f t="shared" si="47"/>
        <v/>
      </c>
    </row>
    <row r="385" spans="3:16">
      <c r="C385" s="200"/>
      <c r="D385" s="201"/>
      <c r="E385" s="202"/>
      <c r="F385" s="200"/>
      <c r="H385" s="203"/>
      <c r="I385" s="186" t="str">
        <f t="shared" si="48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49"/>
        <v/>
      </c>
      <c r="L385" s="189" t="str">
        <f t="shared" si="50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51"/>
        <v/>
      </c>
      <c r="O385" s="206" t="str">
        <f t="shared" si="42"/>
        <v/>
      </c>
      <c r="P385" s="207" t="str">
        <f t="shared" si="47"/>
        <v/>
      </c>
    </row>
    <row r="386" spans="3:16">
      <c r="C386" s="200"/>
      <c r="D386" s="201"/>
      <c r="E386" s="202"/>
      <c r="F386" s="200"/>
      <c r="H386" s="203"/>
      <c r="I386" s="186" t="str">
        <f t="shared" si="48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49"/>
        <v/>
      </c>
      <c r="L386" s="189" t="str">
        <f t="shared" si="50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51"/>
        <v/>
      </c>
      <c r="O386" s="206" t="str">
        <f t="shared" si="42"/>
        <v/>
      </c>
      <c r="P386" s="207" t="str">
        <f t="shared" si="47"/>
        <v/>
      </c>
    </row>
    <row r="387" spans="3:16">
      <c r="C387" s="200"/>
      <c r="D387" s="201"/>
      <c r="E387" s="202"/>
      <c r="F387" s="200"/>
      <c r="H387" s="203"/>
      <c r="I387" s="186" t="str">
        <f t="shared" si="48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49"/>
        <v/>
      </c>
      <c r="L387" s="189" t="str">
        <f t="shared" si="50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51"/>
        <v/>
      </c>
      <c r="O387" s="206" t="str">
        <f t="shared" si="42"/>
        <v/>
      </c>
      <c r="P387" s="207" t="str">
        <f t="shared" si="47"/>
        <v/>
      </c>
    </row>
    <row r="388" spans="3:16">
      <c r="C388" s="200"/>
      <c r="D388" s="201"/>
      <c r="E388" s="202"/>
      <c r="F388" s="200"/>
      <c r="H388" s="203"/>
      <c r="I388" s="186" t="str">
        <f t="shared" si="48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49"/>
        <v/>
      </c>
      <c r="L388" s="189" t="str">
        <f t="shared" si="50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51"/>
        <v/>
      </c>
      <c r="O388" s="206" t="str">
        <f t="shared" si="42"/>
        <v/>
      </c>
      <c r="P388" s="207" t="str">
        <f t="shared" si="47"/>
        <v/>
      </c>
    </row>
    <row r="389" spans="3:16">
      <c r="C389" s="200"/>
      <c r="D389" s="201"/>
      <c r="E389" s="202"/>
      <c r="F389" s="200"/>
      <c r="H389" s="203"/>
      <c r="I389" s="186" t="str">
        <f t="shared" si="48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49"/>
        <v/>
      </c>
      <c r="L389" s="189" t="str">
        <f t="shared" si="50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51"/>
        <v/>
      </c>
      <c r="O389" s="206" t="str">
        <f t="shared" si="42"/>
        <v/>
      </c>
      <c r="P389" s="207" t="str">
        <f t="shared" si="47"/>
        <v/>
      </c>
    </row>
    <row r="390" spans="3:16">
      <c r="C390" s="200"/>
      <c r="D390" s="201"/>
      <c r="E390" s="202"/>
      <c r="F390" s="200"/>
      <c r="H390" s="203"/>
      <c r="I390" s="186" t="str">
        <f t="shared" si="48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49"/>
        <v/>
      </c>
      <c r="L390" s="189" t="str">
        <f t="shared" si="50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51"/>
        <v/>
      </c>
      <c r="O390" s="206" t="str">
        <f t="shared" si="42"/>
        <v/>
      </c>
      <c r="P390" s="207" t="str">
        <f t="shared" si="47"/>
        <v/>
      </c>
    </row>
    <row r="391" spans="3:16">
      <c r="C391" s="200"/>
      <c r="D391" s="201"/>
      <c r="E391" s="202"/>
      <c r="F391" s="200"/>
      <c r="H391" s="203"/>
      <c r="I391" s="186" t="str">
        <f t="shared" si="48"/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si="49"/>
        <v/>
      </c>
      <c r="L391" s="189" t="str">
        <f t="shared" si="50"/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si="51"/>
        <v/>
      </c>
      <c r="O391" s="206" t="str">
        <f t="shared" si="42"/>
        <v/>
      </c>
      <c r="P391" s="207" t="str">
        <f t="shared" si="47"/>
        <v/>
      </c>
    </row>
    <row r="392" spans="3:16">
      <c r="C392" s="200"/>
      <c r="D392" s="201"/>
      <c r="E392" s="202"/>
      <c r="F392" s="200"/>
      <c r="H392" s="203"/>
      <c r="I392" s="186" t="str">
        <f t="shared" si="48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49"/>
        <v/>
      </c>
      <c r="L392" s="189" t="str">
        <f t="shared" si="50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51"/>
        <v/>
      </c>
      <c r="O392" s="206" t="str">
        <f t="shared" si="42"/>
        <v/>
      </c>
      <c r="P392" s="207" t="str">
        <f t="shared" si="47"/>
        <v/>
      </c>
    </row>
    <row r="393" spans="3:16">
      <c r="C393" s="200"/>
      <c r="D393" s="201"/>
      <c r="E393" s="202"/>
      <c r="F393" s="200"/>
      <c r="H393" s="203"/>
      <c r="I393" s="186" t="str">
        <f t="shared" si="48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49"/>
        <v/>
      </c>
      <c r="L393" s="189" t="str">
        <f t="shared" si="50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51"/>
        <v/>
      </c>
      <c r="O393" s="206" t="str">
        <f t="shared" si="42"/>
        <v/>
      </c>
      <c r="P393" s="207" t="str">
        <f t="shared" si="47"/>
        <v/>
      </c>
    </row>
    <row r="394" spans="3:16">
      <c r="C394" s="200"/>
      <c r="D394" s="201"/>
      <c r="E394" s="202"/>
      <c r="F394" s="200"/>
      <c r="H394" s="203"/>
      <c r="I394" s="186" t="str">
        <f t="shared" si="48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49"/>
        <v/>
      </c>
      <c r="L394" s="189" t="str">
        <f t="shared" si="50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51"/>
        <v/>
      </c>
      <c r="O394" s="206" t="str">
        <f t="shared" ref="O394:O404" si="52">IF(OR(K394="",N394=""),"",K394-N394)</f>
        <v/>
      </c>
      <c r="P394" s="207" t="str">
        <f t="shared" si="47"/>
        <v/>
      </c>
    </row>
    <row r="395" spans="3:16">
      <c r="C395" s="200"/>
      <c r="D395" s="201"/>
      <c r="E395" s="202"/>
      <c r="F395" s="200"/>
      <c r="H395" s="203"/>
      <c r="I395" s="186" t="str">
        <f t="shared" si="48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49"/>
        <v/>
      </c>
      <c r="L395" s="189" t="str">
        <f t="shared" si="50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51"/>
        <v/>
      </c>
      <c r="O395" s="206" t="str">
        <f t="shared" si="52"/>
        <v/>
      </c>
      <c r="P395" s="207" t="str">
        <f t="shared" ref="P395:P404" si="53">IF(OR(K395="",O395=""),"",O395/K395)</f>
        <v/>
      </c>
    </row>
    <row r="396" spans="3:16">
      <c r="C396" s="200"/>
      <c r="D396" s="201"/>
      <c r="E396" s="202"/>
      <c r="F396" s="200"/>
      <c r="H396" s="203"/>
      <c r="I396" s="186" t="str">
        <f t="shared" si="48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49"/>
        <v/>
      </c>
      <c r="L396" s="189" t="str">
        <f t="shared" si="50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51"/>
        <v/>
      </c>
      <c r="O396" s="206" t="str">
        <f t="shared" si="52"/>
        <v/>
      </c>
      <c r="P396" s="207" t="str">
        <f t="shared" si="53"/>
        <v/>
      </c>
    </row>
    <row r="397" spans="3:16">
      <c r="C397" s="200"/>
      <c r="D397" s="201"/>
      <c r="E397" s="202"/>
      <c r="F397" s="200"/>
      <c r="H397" s="203"/>
      <c r="I397" s="186" t="str">
        <f t="shared" ref="I397:I404" si="54">IF(H397="","",IF(H397="JPY","",IF($H397="USD",4, IF(H397="EUR",7,IF(H397="CNY",47,IF(H397="HKD",34))))))</f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ref="K397:K404" si="55">IF($H397="JPY",$F397,IF($H397="","",$F397*$J397))</f>
        <v/>
      </c>
      <c r="L397" s="189" t="str">
        <f t="shared" ref="L397:L404" si="56">IF(H397="","",IF(H397="JPY","",IF($H397="USD",3, IF(H397="EUR",6,IF(H397="CNY",46,IF(H397="HKD",33))))))</f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ref="N397:N404" si="57">IF($E397="JPY",($C397+$D397),IF($E397="","",($C397+$D397)*$M397))</f>
        <v/>
      </c>
      <c r="O397" s="206" t="str">
        <f t="shared" si="52"/>
        <v/>
      </c>
      <c r="P397" s="207" t="str">
        <f t="shared" si="53"/>
        <v/>
      </c>
    </row>
    <row r="398" spans="3:16">
      <c r="C398" s="200"/>
      <c r="D398" s="201"/>
      <c r="E398" s="202"/>
      <c r="F398" s="200"/>
      <c r="H398" s="203"/>
      <c r="I398" s="186" t="str">
        <f t="shared" si="54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55"/>
        <v/>
      </c>
      <c r="L398" s="189" t="str">
        <f t="shared" si="56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57"/>
        <v/>
      </c>
      <c r="O398" s="206" t="str">
        <f t="shared" si="52"/>
        <v/>
      </c>
      <c r="P398" s="207" t="str">
        <f t="shared" si="53"/>
        <v/>
      </c>
    </row>
    <row r="399" spans="3:16">
      <c r="C399" s="200"/>
      <c r="D399" s="201"/>
      <c r="E399" s="202"/>
      <c r="F399" s="200"/>
      <c r="H399" s="203"/>
      <c r="I399" s="186" t="str">
        <f t="shared" si="54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55"/>
        <v/>
      </c>
      <c r="L399" s="189" t="str">
        <f t="shared" si="56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57"/>
        <v/>
      </c>
      <c r="O399" s="206" t="str">
        <f t="shared" si="52"/>
        <v/>
      </c>
      <c r="P399" s="207" t="str">
        <f t="shared" si="53"/>
        <v/>
      </c>
    </row>
    <row r="400" spans="3:16">
      <c r="C400" s="200"/>
      <c r="D400" s="201"/>
      <c r="E400" s="202"/>
      <c r="F400" s="200"/>
      <c r="H400" s="203"/>
      <c r="I400" s="186" t="str">
        <f t="shared" si="54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55"/>
        <v/>
      </c>
      <c r="L400" s="189" t="str">
        <f t="shared" si="56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57"/>
        <v/>
      </c>
      <c r="O400" s="206" t="str">
        <f t="shared" si="52"/>
        <v/>
      </c>
      <c r="P400" s="207" t="str">
        <f t="shared" si="53"/>
        <v/>
      </c>
    </row>
    <row r="401" spans="3:16">
      <c r="C401" s="200"/>
      <c r="D401" s="201"/>
      <c r="E401" s="202"/>
      <c r="F401" s="200"/>
      <c r="H401" s="203"/>
      <c r="I401" s="186" t="str">
        <f t="shared" si="54"/>
        <v/>
      </c>
      <c r="J401" s="204" t="str">
        <f>IF($H401="USD",IF(OR($I401="",$I401="-"),"",VLOOKUP($G401,為替!$A:$AX,$I401,FALSE))+$J$3,IF(OR($I401="",$I401="-"),"",VLOOKUP($G401,為替!$A:$AX,$I401,FALSE)))</f>
        <v/>
      </c>
      <c r="K401" s="205" t="str">
        <f t="shared" si="55"/>
        <v/>
      </c>
      <c r="L401" s="189" t="str">
        <f t="shared" si="56"/>
        <v/>
      </c>
      <c r="M401" s="204" t="str">
        <f>IF($H401="USD",IF(OR($L401="",$L401="-"),"",VLOOKUP($G401,為替!$A:$AX,$L401,FALSE))+$K$3,IF(OR($L401="",$L401="-"),"",VLOOKUP($G401,為替!$A:$AX,$L401,FALSE)))</f>
        <v/>
      </c>
      <c r="N401" s="205" t="str">
        <f t="shared" si="57"/>
        <v/>
      </c>
      <c r="O401" s="206" t="str">
        <f t="shared" si="52"/>
        <v/>
      </c>
      <c r="P401" s="207" t="str">
        <f t="shared" si="53"/>
        <v/>
      </c>
    </row>
    <row r="402" spans="3:16">
      <c r="C402" s="200"/>
      <c r="D402" s="201"/>
      <c r="E402" s="202"/>
      <c r="F402" s="200"/>
      <c r="H402" s="203"/>
      <c r="I402" s="186" t="str">
        <f t="shared" si="54"/>
        <v/>
      </c>
      <c r="J402" s="204" t="str">
        <f>IF($H402="USD",IF(OR($I402="",$I402="-"),"",VLOOKUP($G402,為替!$A:$AX,$I402,FALSE))+$J$3,IF(OR($I402="",$I402="-"),"",VLOOKUP($G402,為替!$A:$AX,$I402,FALSE)))</f>
        <v/>
      </c>
      <c r="K402" s="205" t="str">
        <f t="shared" si="55"/>
        <v/>
      </c>
      <c r="L402" s="189" t="str">
        <f t="shared" si="56"/>
        <v/>
      </c>
      <c r="M402" s="204" t="str">
        <f>IF($H402="USD",IF(OR($L402="",$L402="-"),"",VLOOKUP($G402,為替!$A:$AX,$L402,FALSE))+$K$3,IF(OR($L402="",$L402="-"),"",VLOOKUP($G402,為替!$A:$AX,$L402,FALSE)))</f>
        <v/>
      </c>
      <c r="N402" s="205" t="str">
        <f t="shared" si="57"/>
        <v/>
      </c>
      <c r="O402" s="206" t="str">
        <f t="shared" si="52"/>
        <v/>
      </c>
      <c r="P402" s="207" t="str">
        <f t="shared" si="53"/>
        <v/>
      </c>
    </row>
    <row r="403" spans="3:16">
      <c r="C403" s="200"/>
      <c r="D403" s="201"/>
      <c r="E403" s="202"/>
      <c r="F403" s="200"/>
      <c r="H403" s="203"/>
      <c r="I403" s="186" t="str">
        <f t="shared" si="54"/>
        <v/>
      </c>
      <c r="J403" s="204" t="str">
        <f>IF($H403="USD",IF(OR($I403="",$I403="-"),"",VLOOKUP($G403,為替!$A:$AX,$I403,FALSE))+$J$3,IF(OR($I403="",$I403="-"),"",VLOOKUP($G403,為替!$A:$AX,$I403,FALSE)))</f>
        <v/>
      </c>
      <c r="K403" s="205" t="str">
        <f t="shared" si="55"/>
        <v/>
      </c>
      <c r="L403" s="189" t="str">
        <f t="shared" si="56"/>
        <v/>
      </c>
      <c r="M403" s="204" t="str">
        <f>IF($H403="USD",IF(OR($L403="",$L403="-"),"",VLOOKUP($G403,為替!$A:$AX,$L403,FALSE))+$K$3,IF(OR($L403="",$L403="-"),"",VLOOKUP($G403,為替!$A:$AX,$L403,FALSE)))</f>
        <v/>
      </c>
      <c r="N403" s="205" t="str">
        <f t="shared" si="57"/>
        <v/>
      </c>
      <c r="O403" s="206" t="str">
        <f t="shared" si="52"/>
        <v/>
      </c>
      <c r="P403" s="207" t="str">
        <f t="shared" si="53"/>
        <v/>
      </c>
    </row>
    <row r="404" spans="3:16">
      <c r="C404" s="200"/>
      <c r="D404" s="201"/>
      <c r="E404" s="202"/>
      <c r="F404" s="200"/>
      <c r="H404" s="203"/>
      <c r="I404" s="186" t="str">
        <f t="shared" si="54"/>
        <v/>
      </c>
      <c r="J404" s="204" t="str">
        <f>IF($H404="USD",IF(OR($I404="",$I404="-"),"",VLOOKUP($G404,為替!$A:$AX,$I404,FALSE))+$J$3,IF(OR($I404="",$I404="-"),"",VLOOKUP($G404,為替!$A:$AX,$I404,FALSE)))</f>
        <v/>
      </c>
      <c r="K404" s="205" t="str">
        <f t="shared" si="55"/>
        <v/>
      </c>
      <c r="L404" s="189" t="str">
        <f t="shared" si="56"/>
        <v/>
      </c>
      <c r="M404" s="204" t="str">
        <f>IF($H404="USD",IF(OR($L404="",$L404="-"),"",VLOOKUP($G404,為替!$A:$AX,$L404,FALSE))+$K$3,IF(OR($L404="",$L404="-"),"",VLOOKUP($G404,為替!$A:$AX,$L404,FALSE)))</f>
        <v/>
      </c>
      <c r="N404" s="205" t="str">
        <f t="shared" si="57"/>
        <v/>
      </c>
      <c r="O404" s="206" t="str">
        <f t="shared" si="52"/>
        <v/>
      </c>
      <c r="P404" s="207" t="str">
        <f t="shared" si="53"/>
        <v/>
      </c>
    </row>
  </sheetData>
  <mergeCells count="1">
    <mergeCell ref="A1:E2"/>
  </mergeCells>
  <phoneticPr fontId="2"/>
  <conditionalFormatting sqref="P6:P404">
    <cfRule type="cellIs" dxfId="5" priority="1" operator="greaterThan">
      <formula>$P$3</formula>
    </cfRule>
  </conditionalFormatting>
  <dataValidations count="2">
    <dataValidation type="list" allowBlank="1" showInputMessage="1" showErrorMessage="1" sqref="A6:A404" xr:uid="{A4C4C99A-381A-4FD9-B1EC-E621B14CF10A}">
      <formula1>$M$3:$O$3</formula1>
    </dataValidation>
    <dataValidation type="list" allowBlank="1" showInputMessage="1" showErrorMessage="1" sqref="H6:H404 E6:E404" xr:uid="{562A84E5-EAD8-4F02-9337-6378D75E82A0}">
      <formula1>"JPY,USD,EUR,CNY,HKD"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28723-202B-49EE-9B6E-548B9A6ECC10}">
  <sheetPr codeName="Sheet11">
    <tabColor theme="3" tint="0.89999084444715716"/>
  </sheetPr>
  <dimension ref="A1:S59"/>
  <sheetViews>
    <sheetView showGridLines="0" zoomScale="77" zoomScaleNormal="77" workbookViewId="0">
      <selection activeCell="E31" sqref="E31:P31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46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 ht="18.75" customHeight="1">
      <c r="A7" s="463" t="s">
        <v>341</v>
      </c>
      <c r="B7" s="466" t="s">
        <v>94</v>
      </c>
      <c r="C7" s="450" t="s">
        <v>15</v>
      </c>
      <c r="D7" s="112" t="s">
        <v>13</v>
      </c>
      <c r="E7" s="113">
        <v>840</v>
      </c>
      <c r="F7" s="114">
        <v>9240</v>
      </c>
      <c r="G7" s="114">
        <v>2230</v>
      </c>
      <c r="H7" s="114">
        <v>3020</v>
      </c>
      <c r="I7" s="114">
        <v>2890</v>
      </c>
      <c r="J7" s="115">
        <v>2440</v>
      </c>
      <c r="K7" s="116">
        <v>1960</v>
      </c>
      <c r="L7" s="114">
        <v>1160</v>
      </c>
      <c r="M7" s="114">
        <v>3500</v>
      </c>
      <c r="N7" s="114">
        <v>7830</v>
      </c>
      <c r="O7" s="114">
        <v>7920</v>
      </c>
      <c r="P7" s="117">
        <v>6960</v>
      </c>
      <c r="Q7" s="118">
        <f>SUM(E7:P7)</f>
        <v>49990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3096.3091566999997</v>
      </c>
      <c r="F8" s="136">
        <f ca="1">SUMIFS(INDIRECT($B$1&amp;"INV!$K:$K"),INDIRECT($B$1&amp;"INV!$A:$A"),$A7,INDIRECT($B$1&amp;"INV!$G:$G"),"&gt;="&amp;F$6,INDIRECT($B$1&amp;"INV!$G:$G"),"&lt;"&amp;EOMONTH(F$6,0)+1)/1000</f>
        <v>1828.8960447000004</v>
      </c>
      <c r="G8" s="136">
        <f ca="1">SUMIFS(INDIRECT($B$1&amp;"INV!$K:$K"),INDIRECT($B$1&amp;"INV!$A:$A"),$A7,INDIRECT($B$1&amp;"INV!$G:$G"),"&gt;="&amp;G$6,INDIRECT($B$1&amp;"INV!$G:$G"),"&lt;"&amp;EOMONTH(G$6,0)+1)/1000</f>
        <v>1250.3207058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1667.7115162000002</v>
      </c>
      <c r="I8" s="136">
        <f t="shared" ca="1" si="0"/>
        <v>2047.7790259999997</v>
      </c>
      <c r="J8" s="139">
        <f t="shared" ca="1" si="0"/>
        <v>3284.1231213999999</v>
      </c>
      <c r="K8" s="135">
        <f t="shared" ca="1" si="0"/>
        <v>3308.6690820000003</v>
      </c>
      <c r="L8" s="136">
        <f t="shared" ca="1" si="0"/>
        <v>3901.9680588000001</v>
      </c>
      <c r="M8" s="136">
        <f t="shared" ca="1" si="0"/>
        <v>3345.9560976999996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23731.7328093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>
        <f ca="1">E8/E7</f>
        <v>3.6860823294047615</v>
      </c>
      <c r="F9" s="4">
        <f t="shared" ref="F9:Q9" ca="1" si="1">F8/F7</f>
        <v>0.19793247237012992</v>
      </c>
      <c r="G9" s="4">
        <f t="shared" ca="1" si="1"/>
        <v>0.56068193085201801</v>
      </c>
      <c r="H9" s="4">
        <f t="shared" ca="1" si="1"/>
        <v>0.55222235635761596</v>
      </c>
      <c r="I9" s="4">
        <f t="shared" ca="1" si="1"/>
        <v>0.70857405743944624</v>
      </c>
      <c r="J9" s="6">
        <f t="shared" ca="1" si="1"/>
        <v>1.3459520989344262</v>
      </c>
      <c r="K9" s="8">
        <f t="shared" ca="1" si="1"/>
        <v>1.6880964704081634</v>
      </c>
      <c r="L9" s="4">
        <f t="shared" ca="1" si="1"/>
        <v>3.3637655679310345</v>
      </c>
      <c r="M9" s="4">
        <f t="shared" ca="1" si="1"/>
        <v>0.95598745648571415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0.47472960210642129</v>
      </c>
    </row>
    <row r="10" spans="1:19">
      <c r="A10" s="464"/>
      <c r="B10" s="467"/>
      <c r="C10" s="451"/>
      <c r="D10" s="22" t="s">
        <v>18</v>
      </c>
      <c r="E10" s="12">
        <f ca="1">SUM($E8:E8)/SUM($E7:E7)</f>
        <v>3.6860823294047615</v>
      </c>
      <c r="F10" s="5">
        <f ca="1">SUM($E8:F8)/SUM($E7:F7)</f>
        <v>0.48861162712301587</v>
      </c>
      <c r="G10" s="5">
        <f ca="1">SUM($E8:G8)/SUM($E7:G7)</f>
        <v>0.50166741731925268</v>
      </c>
      <c r="H10" s="5">
        <f ca="1">SUM($E8:H8)/SUM($E7:H7)</f>
        <v>0.51162670733202864</v>
      </c>
      <c r="I10" s="5">
        <f ca="1">SUM($E8:I8)/SUM($E7:I7)</f>
        <v>0.54286588635565314</v>
      </c>
      <c r="J10" s="13">
        <f ca="1">SUM($E8:J8)/SUM($E7:J7)</f>
        <v>0.63771246712487895</v>
      </c>
      <c r="K10" s="9">
        <f ca="1">SUM($E8:K8)/SUM($E7:K7)</f>
        <v>0.72872717297966394</v>
      </c>
      <c r="L10" s="5">
        <f ca="1">SUM($E8:L8)/SUM($E7:L7)</f>
        <v>0.85726563126997479</v>
      </c>
      <c r="M10" s="5">
        <f ca="1">SUM($E8:M8)/SUM($E7:M7)</f>
        <v>0.86993155459310845</v>
      </c>
      <c r="N10" s="5">
        <f ca="1">SUM($E8:N8)/SUM($E7:N7)</f>
        <v>0.67592517258046136</v>
      </c>
      <c r="O10" s="5">
        <f ca="1">SUM($E8:O8)/SUM($E7:O7)</f>
        <v>0.55151598441320004</v>
      </c>
      <c r="P10" s="17">
        <f ca="1">SUM($E8:P8)/SUM($E7:P7)</f>
        <v>0.47472960210642129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450</v>
      </c>
      <c r="F11" s="121">
        <v>5180</v>
      </c>
      <c r="G11" s="121">
        <v>1430</v>
      </c>
      <c r="H11" s="121">
        <v>1830</v>
      </c>
      <c r="I11" s="121">
        <v>1640</v>
      </c>
      <c r="J11" s="122">
        <v>1540</v>
      </c>
      <c r="K11" s="123">
        <v>1180</v>
      </c>
      <c r="L11" s="121">
        <v>640</v>
      </c>
      <c r="M11" s="121">
        <v>1940</v>
      </c>
      <c r="N11" s="121">
        <v>4620</v>
      </c>
      <c r="O11" s="121">
        <v>5330</v>
      </c>
      <c r="P11" s="124">
        <v>4220</v>
      </c>
      <c r="Q11" s="125">
        <f>SUM(E11:P11)</f>
        <v>30000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2121.3330000000001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1064.2380000000001</v>
      </c>
      <c r="G12" s="142">
        <f t="shared" ca="1" si="2"/>
        <v>711.21100000000001</v>
      </c>
      <c r="H12" s="142">
        <f t="shared" ca="1" si="2"/>
        <v>984.89200000000005</v>
      </c>
      <c r="I12" s="142">
        <f t="shared" ca="1" si="2"/>
        <v>1138.6179999999999</v>
      </c>
      <c r="J12" s="145">
        <f t="shared" ca="1" si="2"/>
        <v>2036.654</v>
      </c>
      <c r="K12" s="147">
        <f t="shared" ca="1" si="2"/>
        <v>1915.2059999999999</v>
      </c>
      <c r="L12" s="142">
        <f t="shared" ca="1" si="2"/>
        <v>2333.6179999999999</v>
      </c>
      <c r="M12" s="142">
        <f t="shared" ca="1" si="2"/>
        <v>1957.2170000000001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14262.987000000001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390</v>
      </c>
      <c r="F13" s="121">
        <f t="shared" ref="F13:P14" si="3">F7-F11</f>
        <v>4060</v>
      </c>
      <c r="G13" s="121">
        <f t="shared" si="3"/>
        <v>800</v>
      </c>
      <c r="H13" s="121">
        <f t="shared" si="3"/>
        <v>1190</v>
      </c>
      <c r="I13" s="121">
        <f t="shared" si="3"/>
        <v>1250</v>
      </c>
      <c r="J13" s="122">
        <f t="shared" si="3"/>
        <v>900</v>
      </c>
      <c r="K13" s="123">
        <f t="shared" si="3"/>
        <v>780</v>
      </c>
      <c r="L13" s="121">
        <f t="shared" si="3"/>
        <v>520</v>
      </c>
      <c r="M13" s="121">
        <f t="shared" si="3"/>
        <v>1560</v>
      </c>
      <c r="N13" s="121">
        <f t="shared" si="3"/>
        <v>3210</v>
      </c>
      <c r="O13" s="121">
        <f t="shared" si="3"/>
        <v>2590</v>
      </c>
      <c r="P13" s="124">
        <f t="shared" si="3"/>
        <v>2740</v>
      </c>
      <c r="Q13" s="125">
        <f>SUM(E13:P13)</f>
        <v>19990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974.97615669999959</v>
      </c>
      <c r="F14" s="136">
        <f t="shared" ca="1" si="3"/>
        <v>764.65804470000035</v>
      </c>
      <c r="G14" s="136">
        <f t="shared" ca="1" si="3"/>
        <v>539.10970580000003</v>
      </c>
      <c r="H14" s="136">
        <f t="shared" ca="1" si="3"/>
        <v>682.81951620000018</v>
      </c>
      <c r="I14" s="136">
        <f t="shared" ca="1" si="3"/>
        <v>909.16102599999977</v>
      </c>
      <c r="J14" s="139">
        <f t="shared" ca="1" si="3"/>
        <v>1247.4691213999999</v>
      </c>
      <c r="K14" s="135">
        <f t="shared" ca="1" si="3"/>
        <v>1393.4630820000004</v>
      </c>
      <c r="L14" s="136">
        <f t="shared" ca="1" si="3"/>
        <v>1568.3500588000002</v>
      </c>
      <c r="M14" s="136">
        <f t="shared" ca="1" si="3"/>
        <v>1388.7390976999995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9468.7458093000005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>
        <f ca="1">E14/E13</f>
        <v>2.4999388633333322</v>
      </c>
      <c r="F15" s="4">
        <f t="shared" ref="F15:Q15" ca="1" si="4">F14/F13</f>
        <v>0.18833941987684738</v>
      </c>
      <c r="G15" s="4">
        <f t="shared" ca="1" si="4"/>
        <v>0.67388713225000008</v>
      </c>
      <c r="H15" s="4">
        <f t="shared" ca="1" si="4"/>
        <v>0.57379791277310943</v>
      </c>
      <c r="I15" s="4">
        <f t="shared" ca="1" si="4"/>
        <v>0.72732882079999983</v>
      </c>
      <c r="J15" s="6">
        <f t="shared" ca="1" si="4"/>
        <v>1.3860768015555556</v>
      </c>
      <c r="K15" s="8">
        <f t="shared" ca="1" si="4"/>
        <v>1.7864911307692313</v>
      </c>
      <c r="L15" s="4">
        <f t="shared" ca="1" si="4"/>
        <v>3.0160578053846159</v>
      </c>
      <c r="M15" s="4">
        <f t="shared" ca="1" si="4"/>
        <v>0.89021737032051251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0.47367412752876442</v>
      </c>
    </row>
    <row r="16" spans="1:19" ht="19.5" thickBot="1">
      <c r="A16" s="465"/>
      <c r="B16" s="468"/>
      <c r="C16" s="454"/>
      <c r="D16" s="23" t="s">
        <v>18</v>
      </c>
      <c r="E16" s="14">
        <f ca="1">SUM($E14:E14)/SUM($E13:E13)</f>
        <v>2.4999388633333322</v>
      </c>
      <c r="F16" s="7">
        <f ca="1">SUM($E14:F14)/SUM($E13:F13)</f>
        <v>0.39092903402247192</v>
      </c>
      <c r="G16" s="7">
        <f ca="1">SUM($E14:G14)/SUM($E13:G13)</f>
        <v>0.43404645851428564</v>
      </c>
      <c r="H16" s="7">
        <f ca="1">SUM($E14:H14)/SUM($E13:H13)</f>
        <v>0.45987009680124225</v>
      </c>
      <c r="I16" s="7">
        <f ca="1">SUM($E14:I14)/SUM($E13:I13)</f>
        <v>0.50334518197659295</v>
      </c>
      <c r="J16" s="15">
        <f ca="1">SUM($E14:J14)/SUM($E13:J13)</f>
        <v>0.59583161476135038</v>
      </c>
      <c r="K16" s="10">
        <f ca="1">SUM($E14:K14)/SUM($E13:K13)</f>
        <v>0.6949473482177162</v>
      </c>
      <c r="L16" s="7">
        <f ca="1">SUM($E14:L14)/SUM($E13:L13)</f>
        <v>0.81698753403437829</v>
      </c>
      <c r="M16" s="7">
        <f ca="1">SUM($E14:M14)/SUM($E13:M13)</f>
        <v>0.82696469950218343</v>
      </c>
      <c r="N16" s="7">
        <f ca="1">SUM($E14:N14)/SUM($E13:N13)</f>
        <v>0.64588989149386089</v>
      </c>
      <c r="O16" s="7">
        <f ca="1">SUM($E14:O14)/SUM($E13:O13)</f>
        <v>0.5489128005391305</v>
      </c>
      <c r="P16" s="18">
        <f ca="1">SUM($E14:P14)/SUM($E13:P13)</f>
        <v>0.47367412752876442</v>
      </c>
      <c r="Q16" s="28" t="s">
        <v>22</v>
      </c>
      <c r="R16" s="59"/>
      <c r="S16"/>
    </row>
    <row r="17" spans="1:19" ht="18.75" customHeight="1">
      <c r="A17" s="463" t="s">
        <v>342</v>
      </c>
      <c r="B17" s="466" t="s">
        <v>94</v>
      </c>
      <c r="C17" s="450" t="s">
        <v>15</v>
      </c>
      <c r="D17" s="112" t="s">
        <v>13</v>
      </c>
      <c r="E17" s="113">
        <v>330</v>
      </c>
      <c r="F17" s="114">
        <v>330</v>
      </c>
      <c r="G17" s="114">
        <v>330</v>
      </c>
      <c r="H17" s="114">
        <v>330</v>
      </c>
      <c r="I17" s="114">
        <v>330</v>
      </c>
      <c r="J17" s="115">
        <v>330</v>
      </c>
      <c r="K17" s="116">
        <v>330</v>
      </c>
      <c r="L17" s="114">
        <v>330</v>
      </c>
      <c r="M17" s="114">
        <v>330</v>
      </c>
      <c r="N17" s="114">
        <v>330</v>
      </c>
      <c r="O17" s="114">
        <v>330</v>
      </c>
      <c r="P17" s="117">
        <v>330</v>
      </c>
      <c r="Q17" s="118">
        <f>SUM(E17:P17)</f>
        <v>3960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0</v>
      </c>
      <c r="F18" s="136">
        <f ca="1">SUMIFS(INDIRECT($B$1&amp;"INV!$K:$K"),INDIRECT($B$1&amp;"INV!$A:$A"),$A17,INDIRECT($B$1&amp;"INV!$G:$G"),"&gt;="&amp;F$6,INDIRECT($B$1&amp;"INV!$G:$G"),"&lt;"&amp;EOMONTH(F$6,0)+1)/1000</f>
        <v>310.60357199999999</v>
      </c>
      <c r="G18" s="136">
        <f ca="1">SUMIFS(INDIRECT($B$1&amp;"INV!$K:$K"),INDIRECT($B$1&amp;"INV!$A:$A"),$A17,INDIRECT($B$1&amp;"INV!$G:$G"),"&gt;="&amp;G$6,INDIRECT($B$1&amp;"INV!$G:$G"),"&lt;"&amp;EOMONTH(G$6,0)+1)/1000</f>
        <v>0</v>
      </c>
      <c r="H18" s="136">
        <f t="shared" ref="H18:P18" ca="1" si="5">SUMIFS(INDIRECT($B$1&amp;"INV!$K:$K"),INDIRECT($B$1&amp;"INV!$A:$A"),$A17,INDIRECT($B$1&amp;"INV!$G:$G"),"&gt;="&amp;H$6,INDIRECT($B$1&amp;"INV!$G:$G"),"&lt;"&amp;EOMONTH(H$6,0)+1)/1000</f>
        <v>1045.1259689999999</v>
      </c>
      <c r="I18" s="136">
        <f t="shared" ca="1" si="5"/>
        <v>332.46319800000003</v>
      </c>
      <c r="J18" s="139">
        <f t="shared" ca="1" si="5"/>
        <v>0</v>
      </c>
      <c r="K18" s="135">
        <f t="shared" ca="1" si="5"/>
        <v>444.74728800000003</v>
      </c>
      <c r="L18" s="136">
        <f t="shared" ca="1" si="5"/>
        <v>334.82030399999996</v>
      </c>
      <c r="M18" s="136">
        <f t="shared" ca="1" si="5"/>
        <v>621.63701099999992</v>
      </c>
      <c r="N18" s="136">
        <f t="shared" ca="1" si="5"/>
        <v>0</v>
      </c>
      <c r="O18" s="136">
        <f t="shared" ca="1" si="5"/>
        <v>0</v>
      </c>
      <c r="P18" s="137">
        <f t="shared" ca="1" si="5"/>
        <v>0</v>
      </c>
      <c r="Q18" s="140">
        <f ca="1">SUM(E18:P18)</f>
        <v>3089.3973419999998</v>
      </c>
      <c r="R18" s="483"/>
      <c r="S18" s="69" t="str">
        <f ca="1">IFERROR(Q18/R17,"")</f>
        <v/>
      </c>
    </row>
    <row r="19" spans="1:19">
      <c r="A19" s="464"/>
      <c r="B19" s="467"/>
      <c r="C19" s="450"/>
      <c r="D19" s="21" t="s">
        <v>17</v>
      </c>
      <c r="E19" s="11">
        <f ca="1">E18/E17</f>
        <v>0</v>
      </c>
      <c r="F19" s="4">
        <f t="shared" ref="F19:Q19" ca="1" si="6">F18/F17</f>
        <v>0.94122294545454543</v>
      </c>
      <c r="G19" s="4">
        <f t="shared" ca="1" si="6"/>
        <v>0</v>
      </c>
      <c r="H19" s="4">
        <f t="shared" ca="1" si="6"/>
        <v>3.1670483909090907</v>
      </c>
      <c r="I19" s="4">
        <f t="shared" ca="1" si="6"/>
        <v>1.0074642363636364</v>
      </c>
      <c r="J19" s="6">
        <f t="shared" ca="1" si="6"/>
        <v>0</v>
      </c>
      <c r="K19" s="8">
        <f t="shared" ca="1" si="6"/>
        <v>1.3477190545454547</v>
      </c>
      <c r="L19" s="4">
        <f t="shared" ca="1" si="6"/>
        <v>1.0146069818181818</v>
      </c>
      <c r="M19" s="4">
        <f t="shared" ca="1" si="6"/>
        <v>1.8837485181818179</v>
      </c>
      <c r="N19" s="4">
        <f t="shared" ca="1" si="6"/>
        <v>0</v>
      </c>
      <c r="O19" s="4">
        <f t="shared" ca="1" si="6"/>
        <v>0</v>
      </c>
      <c r="P19" s="16">
        <f t="shared" ca="1" si="6"/>
        <v>0</v>
      </c>
      <c r="Q19" s="26">
        <f t="shared" ca="1" si="6"/>
        <v>0.78015084393939382</v>
      </c>
      <c r="R19" s="59"/>
      <c r="S19"/>
    </row>
    <row r="20" spans="1:19">
      <c r="A20" s="464"/>
      <c r="B20" s="467"/>
      <c r="C20" s="451"/>
      <c r="D20" s="22" t="s">
        <v>18</v>
      </c>
      <c r="E20" s="12">
        <f ca="1">SUM($E18:E18)/SUM($E17:E17)</f>
        <v>0</v>
      </c>
      <c r="F20" s="5">
        <f ca="1">SUM($E18:F18)/SUM($E17:F17)</f>
        <v>0.47061147272727272</v>
      </c>
      <c r="G20" s="5">
        <f ca="1">SUM($E18:G18)/SUM($E17:G17)</f>
        <v>0.31374098181818183</v>
      </c>
      <c r="H20" s="5">
        <f ca="1">SUM($E18:H18)/SUM($E17:H17)</f>
        <v>1.027067834090909</v>
      </c>
      <c r="I20" s="5">
        <f ca="1">SUM($E18:I18)/SUM($E17:I17)</f>
        <v>1.0231471145454545</v>
      </c>
      <c r="J20" s="13">
        <f ca="1">SUM($E18:J18)/SUM($E17:J17)</f>
        <v>0.85262259545454544</v>
      </c>
      <c r="K20" s="9">
        <f ca="1">SUM($E18:K18)/SUM($E17:K17)</f>
        <v>0.92335066103896113</v>
      </c>
      <c r="L20" s="5">
        <f ca="1">SUM($E18:L18)/SUM($E17:L17)</f>
        <v>0.93475770113636358</v>
      </c>
      <c r="M20" s="5">
        <f ca="1">SUM($E18:M18)/SUM($E17:M17)</f>
        <v>1.0402011252525252</v>
      </c>
      <c r="N20" s="5">
        <f ca="1">SUM($E18:N18)/SUM($E17:N17)</f>
        <v>0.93618101272727261</v>
      </c>
      <c r="O20" s="5">
        <f ca="1">SUM($E18:O18)/SUM($E17:O17)</f>
        <v>0.85107364793388418</v>
      </c>
      <c r="P20" s="17">
        <f ca="1">SUM($E18:P18)/SUM($E17:P17)</f>
        <v>0.78015084393939382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230</v>
      </c>
      <c r="F21" s="121">
        <v>230</v>
      </c>
      <c r="G21" s="121">
        <v>230</v>
      </c>
      <c r="H21" s="121">
        <v>230</v>
      </c>
      <c r="I21" s="121">
        <v>230</v>
      </c>
      <c r="J21" s="122">
        <v>230</v>
      </c>
      <c r="K21" s="123">
        <v>230</v>
      </c>
      <c r="L21" s="121">
        <v>230</v>
      </c>
      <c r="M21" s="121">
        <v>230</v>
      </c>
      <c r="N21" s="121">
        <v>230</v>
      </c>
      <c r="O21" s="121">
        <v>230</v>
      </c>
      <c r="P21" s="124">
        <v>230</v>
      </c>
      <c r="Q21" s="125">
        <f>SUM(E21:P21)</f>
        <v>2760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0</v>
      </c>
      <c r="F22" s="142">
        <f t="shared" ref="F22:P22" ca="1" si="7">SUMIFS(INDIRECT($B$1&amp;"INV!$N:$N"),INDIRECT($B$1&amp;"INV!$A:$A"),$A17,INDIRECT($B$1&amp;"INV!$G:$G"),"&gt;="&amp;F$6,INDIRECT($B$1&amp;"INV!$G:$G"),"&lt;"&amp;EOMONTH(F$6,0)+1)/1000</f>
        <v>151.52199999999999</v>
      </c>
      <c r="G22" s="142">
        <f t="shared" ca="1" si="7"/>
        <v>0</v>
      </c>
      <c r="H22" s="142">
        <f t="shared" ca="1" si="7"/>
        <v>572.25240000000008</v>
      </c>
      <c r="I22" s="142">
        <f t="shared" ca="1" si="7"/>
        <v>178.715</v>
      </c>
      <c r="J22" s="145">
        <f t="shared" ca="1" si="7"/>
        <v>0</v>
      </c>
      <c r="K22" s="147">
        <f t="shared" ca="1" si="7"/>
        <v>235.072</v>
      </c>
      <c r="L22" s="142">
        <f t="shared" ca="1" si="7"/>
        <v>184.88800000000001</v>
      </c>
      <c r="M22" s="142">
        <f t="shared" ca="1" si="7"/>
        <v>362.65800000000002</v>
      </c>
      <c r="N22" s="142">
        <f t="shared" ca="1" si="7"/>
        <v>0</v>
      </c>
      <c r="O22" s="142">
        <f t="shared" ca="1" si="7"/>
        <v>0</v>
      </c>
      <c r="P22" s="143">
        <f t="shared" ca="1" si="7"/>
        <v>0</v>
      </c>
      <c r="Q22" s="146">
        <f ca="1">SUM(E22:P22)</f>
        <v>1685.1073999999999</v>
      </c>
      <c r="R22" s="488"/>
      <c r="S22" s="70" t="str">
        <f ca="1"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100</v>
      </c>
      <c r="F23" s="121">
        <f t="shared" ref="F23:P24" si="8">F17-F21</f>
        <v>100</v>
      </c>
      <c r="G23" s="121">
        <f t="shared" si="8"/>
        <v>100</v>
      </c>
      <c r="H23" s="121">
        <f t="shared" si="8"/>
        <v>100</v>
      </c>
      <c r="I23" s="121">
        <f t="shared" si="8"/>
        <v>100</v>
      </c>
      <c r="J23" s="122">
        <f t="shared" si="8"/>
        <v>100</v>
      </c>
      <c r="K23" s="123">
        <f t="shared" si="8"/>
        <v>100</v>
      </c>
      <c r="L23" s="121">
        <f t="shared" si="8"/>
        <v>100</v>
      </c>
      <c r="M23" s="121">
        <f t="shared" si="8"/>
        <v>100</v>
      </c>
      <c r="N23" s="121">
        <f t="shared" si="8"/>
        <v>100</v>
      </c>
      <c r="O23" s="121">
        <f t="shared" si="8"/>
        <v>100</v>
      </c>
      <c r="P23" s="124">
        <f t="shared" si="8"/>
        <v>100</v>
      </c>
      <c r="Q23" s="125">
        <f>SUM(E23:P23)</f>
        <v>1200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>
        <f ca="1">E18-E22</f>
        <v>0</v>
      </c>
      <c r="F24" s="136">
        <f t="shared" ca="1" si="8"/>
        <v>159.08157199999999</v>
      </c>
      <c r="G24" s="136">
        <f t="shared" ca="1" si="8"/>
        <v>0</v>
      </c>
      <c r="H24" s="136">
        <f t="shared" ca="1" si="8"/>
        <v>472.87356899999986</v>
      </c>
      <c r="I24" s="136">
        <f t="shared" ca="1" si="8"/>
        <v>153.74819800000003</v>
      </c>
      <c r="J24" s="139">
        <f t="shared" ca="1" si="8"/>
        <v>0</v>
      </c>
      <c r="K24" s="135">
        <f t="shared" ca="1" si="8"/>
        <v>209.67528800000002</v>
      </c>
      <c r="L24" s="136">
        <f t="shared" ca="1" si="8"/>
        <v>149.93230399999996</v>
      </c>
      <c r="M24" s="136">
        <f t="shared" ca="1" si="8"/>
        <v>258.9790109999999</v>
      </c>
      <c r="N24" s="136">
        <f t="shared" ca="1" si="8"/>
        <v>0</v>
      </c>
      <c r="O24" s="136">
        <f t="shared" ca="1" si="8"/>
        <v>0</v>
      </c>
      <c r="P24" s="137">
        <f t="shared" ca="1" si="8"/>
        <v>0</v>
      </c>
      <c r="Q24" s="140">
        <f ca="1">SUM(E24:P24)</f>
        <v>1404.2899419999999</v>
      </c>
      <c r="R24" s="483"/>
      <c r="S24" s="69" t="str">
        <f ca="1">IFERROR(Q24/R23,"")</f>
        <v/>
      </c>
    </row>
    <row r="25" spans="1:19">
      <c r="A25" s="464"/>
      <c r="B25" s="467"/>
      <c r="C25" s="453"/>
      <c r="D25" s="21" t="s">
        <v>17</v>
      </c>
      <c r="E25" s="11">
        <f ca="1">E24/E23</f>
        <v>0</v>
      </c>
      <c r="F25" s="4">
        <f t="shared" ref="F25:Q25" ca="1" si="9">F24/F23</f>
        <v>1.5908157199999999</v>
      </c>
      <c r="G25" s="4">
        <f t="shared" ca="1" si="9"/>
        <v>0</v>
      </c>
      <c r="H25" s="4">
        <f t="shared" ca="1" si="9"/>
        <v>4.7287356899999988</v>
      </c>
      <c r="I25" s="4">
        <f t="shared" ca="1" si="9"/>
        <v>1.5374819800000004</v>
      </c>
      <c r="J25" s="6">
        <f t="shared" ca="1" si="9"/>
        <v>0</v>
      </c>
      <c r="K25" s="8">
        <f t="shared" ca="1" si="9"/>
        <v>2.0967528800000004</v>
      </c>
      <c r="L25" s="4">
        <f t="shared" ca="1" si="9"/>
        <v>1.4993230399999995</v>
      </c>
      <c r="M25" s="4">
        <f t="shared" ca="1" si="9"/>
        <v>2.5897901099999991</v>
      </c>
      <c r="N25" s="4">
        <f t="shared" ca="1" si="9"/>
        <v>0</v>
      </c>
      <c r="O25" s="4">
        <f t="shared" ca="1" si="9"/>
        <v>0</v>
      </c>
      <c r="P25" s="16">
        <f t="shared" ca="1" si="9"/>
        <v>0</v>
      </c>
      <c r="Q25" s="26">
        <f t="shared" ca="1" si="9"/>
        <v>1.1702416183333333</v>
      </c>
    </row>
    <row r="26" spans="1:19" ht="19.5" thickBot="1">
      <c r="A26" s="465"/>
      <c r="B26" s="468"/>
      <c r="C26" s="454"/>
      <c r="D26" s="23" t="s">
        <v>18</v>
      </c>
      <c r="E26" s="14">
        <f ca="1">SUM($E24:E24)/SUM($E23:E23)</f>
        <v>0</v>
      </c>
      <c r="F26" s="7">
        <f ca="1">SUM($E24:F24)/SUM($E23:F23)</f>
        <v>0.79540785999999997</v>
      </c>
      <c r="G26" s="7">
        <f ca="1">SUM($E24:G24)/SUM($E23:G23)</f>
        <v>0.53027190666666668</v>
      </c>
      <c r="H26" s="7">
        <f ca="1">SUM($E24:H24)/SUM($E23:H23)</f>
        <v>1.5798878524999997</v>
      </c>
      <c r="I26" s="7">
        <f ca="1">SUM($E24:I24)/SUM($E23:I23)</f>
        <v>1.5714066779999998</v>
      </c>
      <c r="J26" s="15">
        <f ca="1">SUM($E24:J24)/SUM($E23:J23)</f>
        <v>1.3095055649999998</v>
      </c>
      <c r="K26" s="10">
        <f ca="1">SUM($E24:K24)/SUM($E23:K23)</f>
        <v>1.4219694671428571</v>
      </c>
      <c r="L26" s="7">
        <f ca="1">SUM($E24:L24)/SUM($E23:L23)</f>
        <v>1.43163866375</v>
      </c>
      <c r="M26" s="7">
        <f ca="1">SUM($E24:M24)/SUM($E23:M23)</f>
        <v>1.5603221577777777</v>
      </c>
      <c r="N26" s="7">
        <f ca="1">SUM($E24:N24)/SUM($E23:N23)</f>
        <v>1.4042899419999999</v>
      </c>
      <c r="O26" s="7">
        <f ca="1">SUM($E24:O24)/SUM($E23:O23)</f>
        <v>1.27662722</v>
      </c>
      <c r="P26" s="18">
        <f ca="1">SUM($E24:P24)/SUM($E23:P23)</f>
        <v>1.1702416183333333</v>
      </c>
      <c r="Q26" s="28" t="s">
        <v>22</v>
      </c>
      <c r="R26" s="59"/>
      <c r="S26"/>
    </row>
    <row r="27" spans="1:19">
      <c r="A27" s="463" t="s">
        <v>164</v>
      </c>
      <c r="B27" s="467" t="s">
        <v>94</v>
      </c>
      <c r="C27" s="450" t="s">
        <v>15</v>
      </c>
      <c r="D27" s="112" t="s">
        <v>13</v>
      </c>
      <c r="E27" s="113">
        <v>420</v>
      </c>
      <c r="F27" s="114">
        <v>420</v>
      </c>
      <c r="G27" s="114">
        <v>420</v>
      </c>
      <c r="H27" s="114">
        <v>420</v>
      </c>
      <c r="I27" s="114">
        <v>420</v>
      </c>
      <c r="J27" s="115">
        <v>420</v>
      </c>
      <c r="K27" s="116">
        <v>420</v>
      </c>
      <c r="L27" s="114">
        <v>420</v>
      </c>
      <c r="M27" s="114">
        <v>420</v>
      </c>
      <c r="N27" s="114">
        <v>420</v>
      </c>
      <c r="O27" s="114">
        <v>420</v>
      </c>
      <c r="P27" s="117">
        <v>420</v>
      </c>
      <c r="Q27" s="118">
        <f>SUM(E27:P27)</f>
        <v>5040</v>
      </c>
      <c r="R27" s="482"/>
      <c r="S27" s="68" t="str">
        <f>IFERROR(Q27/R27,"")</f>
        <v/>
      </c>
    </row>
    <row r="28" spans="1:19" ht="19.5" thickBot="1">
      <c r="A28" s="464"/>
      <c r="B28" s="467"/>
      <c r="C28" s="450"/>
      <c r="D28" s="134" t="s">
        <v>14</v>
      </c>
      <c r="E28" s="135">
        <f ca="1">SUMIFS(INDIRECT($B$1&amp;"INV!$K:$K"),INDIRECT($B$1&amp;"INV!$A:$A"),$A27,INDIRECT($B$1&amp;"INV!$G:$G"),"&gt;="&amp;E$6,INDIRECT($B$1&amp;"INV!$G:$G"),"&lt;"&amp;EOMONTH(E$6,0)+1)/1000</f>
        <v>313.41909600000002</v>
      </c>
      <c r="F28" s="136">
        <f ca="1">SUMIFS(INDIRECT($B$1&amp;"INV!$K:$K"),INDIRECT($B$1&amp;"INV!$A:$A"),$A27,INDIRECT($B$1&amp;"INV!$G:$G"),"&gt;="&amp;F$6,INDIRECT($B$1&amp;"INV!$G:$G"),"&lt;"&amp;EOMONTH(F$6,0)+1)/1000</f>
        <v>129.281362</v>
      </c>
      <c r="G28" s="136">
        <f ca="1">SUMIFS(INDIRECT($B$1&amp;"INV!$K:$K"),INDIRECT($B$1&amp;"INV!$A:$A"),$A27,INDIRECT($B$1&amp;"INV!$G:$G"),"&gt;="&amp;G$6,INDIRECT($B$1&amp;"INV!$G:$G"),"&lt;"&amp;EOMONTH(G$6,0)+1)/1000</f>
        <v>127.46753</v>
      </c>
      <c r="H28" s="136">
        <f t="shared" ref="H28:P28" ca="1" si="10">SUMIFS(INDIRECT($B$1&amp;"INV!$K:$K"),INDIRECT($B$1&amp;"INV!$A:$A"),$A27,INDIRECT($B$1&amp;"INV!$G:$G"),"&gt;="&amp;H$6,INDIRECT($B$1&amp;"INV!$G:$G"),"&lt;"&amp;EOMONTH(H$6,0)+1)/1000</f>
        <v>45.296471999999994</v>
      </c>
      <c r="I28" s="136">
        <f t="shared" ca="1" si="10"/>
        <v>413.2689474</v>
      </c>
      <c r="J28" s="139">
        <f t="shared" ca="1" si="10"/>
        <v>8.2911599999999996</v>
      </c>
      <c r="K28" s="135">
        <f t="shared" ca="1" si="10"/>
        <v>535.64565600000003</v>
      </c>
      <c r="L28" s="136">
        <f t="shared" ca="1" si="10"/>
        <v>156.83304000000001</v>
      </c>
      <c r="M28" s="136">
        <f t="shared" ca="1" si="10"/>
        <v>0</v>
      </c>
      <c r="N28" s="136">
        <f t="shared" ca="1" si="10"/>
        <v>0</v>
      </c>
      <c r="O28" s="136">
        <f t="shared" ca="1" si="10"/>
        <v>0</v>
      </c>
      <c r="P28" s="137">
        <f t="shared" ca="1" si="10"/>
        <v>0</v>
      </c>
      <c r="Q28" s="140">
        <f ca="1">SUM(E28:P28)</f>
        <v>1729.5032633999999</v>
      </c>
      <c r="R28" s="483"/>
      <c r="S28" s="69" t="str">
        <f ca="1">IFERROR(Q28/R27,"")</f>
        <v/>
      </c>
    </row>
    <row r="29" spans="1:19">
      <c r="A29" s="464"/>
      <c r="B29" s="467"/>
      <c r="C29" s="450"/>
      <c r="D29" s="21" t="s">
        <v>17</v>
      </c>
      <c r="E29" s="11">
        <f ca="1">E28/E27</f>
        <v>0.7462359428571429</v>
      </c>
      <c r="F29" s="4">
        <f t="shared" ref="F29:Q29" ca="1" si="11">F28/F27</f>
        <v>0.30781276666666668</v>
      </c>
      <c r="G29" s="4">
        <f t="shared" ca="1" si="11"/>
        <v>0.30349411904761903</v>
      </c>
      <c r="H29" s="4">
        <f t="shared" ca="1" si="11"/>
        <v>0.10784874285714284</v>
      </c>
      <c r="I29" s="4">
        <f t="shared" ca="1" si="11"/>
        <v>0.9839736842857143</v>
      </c>
      <c r="J29" s="6">
        <f t="shared" ca="1" si="11"/>
        <v>1.9740857142857143E-2</v>
      </c>
      <c r="K29" s="8">
        <f t="shared" ca="1" si="11"/>
        <v>1.2753468000000001</v>
      </c>
      <c r="L29" s="4">
        <f t="shared" ca="1" si="11"/>
        <v>0.37341200000000002</v>
      </c>
      <c r="M29" s="4">
        <f t="shared" ca="1" si="11"/>
        <v>0</v>
      </c>
      <c r="N29" s="4">
        <f t="shared" ca="1" si="11"/>
        <v>0</v>
      </c>
      <c r="O29" s="4">
        <f t="shared" ca="1" si="11"/>
        <v>0</v>
      </c>
      <c r="P29" s="16">
        <f t="shared" ca="1" si="11"/>
        <v>0</v>
      </c>
      <c r="Q29" s="26">
        <f t="shared" ca="1" si="11"/>
        <v>0.34315540940476191</v>
      </c>
      <c r="R29" s="59"/>
      <c r="S29"/>
    </row>
    <row r="30" spans="1:19">
      <c r="A30" s="464"/>
      <c r="B30" s="467"/>
      <c r="C30" s="451"/>
      <c r="D30" s="22" t="s">
        <v>18</v>
      </c>
      <c r="E30" s="12">
        <f ca="1">SUM($E28:E28)/SUM($E27:E27)</f>
        <v>0.7462359428571429</v>
      </c>
      <c r="F30" s="5">
        <f ca="1">SUM($E28:F28)/SUM($E27:F27)</f>
        <v>0.52702435476190479</v>
      </c>
      <c r="G30" s="5">
        <f ca="1">SUM($E28:G28)/SUM($E27:G27)</f>
        <v>0.45251427619047624</v>
      </c>
      <c r="H30" s="5">
        <f ca="1">SUM($E28:H28)/SUM($E27:H27)</f>
        <v>0.36634789285714286</v>
      </c>
      <c r="I30" s="5">
        <f ca="1">SUM($E28:I28)/SUM($E27:I27)</f>
        <v>0.48987305114285717</v>
      </c>
      <c r="J30" s="13">
        <f ca="1">SUM($E28:J28)/SUM($E27:J27)</f>
        <v>0.4115176854761905</v>
      </c>
      <c r="K30" s="9">
        <f ca="1">SUM($E28:K28)/SUM($E27:K27)</f>
        <v>0.53492184469387749</v>
      </c>
      <c r="L30" s="5">
        <f ca="1">SUM($E28:L28)/SUM($E27:L27)</f>
        <v>0.51473311410714284</v>
      </c>
      <c r="M30" s="5">
        <f ca="1">SUM($E28:M28)/SUM($E27:M27)</f>
        <v>0.45754054587301585</v>
      </c>
      <c r="N30" s="5">
        <f ca="1">SUM($E28:N28)/SUM($E27:N27)</f>
        <v>0.41178649128571426</v>
      </c>
      <c r="O30" s="5">
        <f ca="1">SUM($E28:O28)/SUM($E27:O27)</f>
        <v>0.37435135571428568</v>
      </c>
      <c r="P30" s="17">
        <f ca="1">SUM($E28:P28)/SUM($E27:P27)</f>
        <v>0.34315540940476191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>
        <v>270</v>
      </c>
      <c r="F31" s="121">
        <v>270</v>
      </c>
      <c r="G31" s="121">
        <v>270</v>
      </c>
      <c r="H31" s="121">
        <v>270</v>
      </c>
      <c r="I31" s="121">
        <v>270</v>
      </c>
      <c r="J31" s="122">
        <v>270</v>
      </c>
      <c r="K31" s="123">
        <v>270</v>
      </c>
      <c r="L31" s="121">
        <v>270</v>
      </c>
      <c r="M31" s="121">
        <v>270</v>
      </c>
      <c r="N31" s="121">
        <v>270</v>
      </c>
      <c r="O31" s="121">
        <v>270</v>
      </c>
      <c r="P31" s="124">
        <v>270</v>
      </c>
      <c r="Q31" s="125">
        <f>SUM(E31:P31)</f>
        <v>3240</v>
      </c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>
        <f ca="1">SUMIFS(INDIRECT($B$1&amp;"INV!$N:$N"),INDIRECT($B$1&amp;"INV!$A:$A"),$A27,INDIRECT($B$1&amp;"INV!$G:$G"),"&gt;="&amp;E$6,INDIRECT($B$1&amp;"INV!$G:$G"),"&lt;"&amp;EOMONTH(E$6,0)+1)/1000</f>
        <v>122.61</v>
      </c>
      <c r="F32" s="142">
        <f t="shared" ref="F32:P32" ca="1" si="12">SUMIFS(INDIRECT($B$1&amp;"INV!$N:$N"),INDIRECT($B$1&amp;"INV!$A:$A"),$A27,INDIRECT($B$1&amp;"INV!$G:$G"),"&gt;="&amp;F$6,INDIRECT($B$1&amp;"INV!$G:$G"),"&lt;"&amp;EOMONTH(F$6,0)+1)/1000</f>
        <v>43.851999999999997</v>
      </c>
      <c r="G32" s="142">
        <f t="shared" ca="1" si="12"/>
        <v>47.68</v>
      </c>
      <c r="H32" s="142">
        <f t="shared" ca="1" si="12"/>
        <v>23.7</v>
      </c>
      <c r="I32" s="142">
        <f t="shared" ca="1" si="12"/>
        <v>539.125</v>
      </c>
      <c r="J32" s="145">
        <f t="shared" ca="1" si="12"/>
        <v>105.239</v>
      </c>
      <c r="K32" s="147">
        <f t="shared" ca="1" si="12"/>
        <v>398.75</v>
      </c>
      <c r="L32" s="142">
        <f t="shared" ca="1" si="12"/>
        <v>74.08</v>
      </c>
      <c r="M32" s="142">
        <f t="shared" ca="1" si="12"/>
        <v>300.36</v>
      </c>
      <c r="N32" s="142">
        <f t="shared" ca="1" si="12"/>
        <v>0</v>
      </c>
      <c r="O32" s="142">
        <f t="shared" ca="1" si="12"/>
        <v>0</v>
      </c>
      <c r="P32" s="143">
        <f t="shared" ca="1" si="12"/>
        <v>0</v>
      </c>
      <c r="Q32" s="146">
        <f ca="1">SUM(E32:P32)</f>
        <v>1655.3960000000002</v>
      </c>
      <c r="R32" s="488"/>
      <c r="S32" s="70" t="str">
        <f ca="1"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150</v>
      </c>
      <c r="F33" s="121">
        <f t="shared" ref="F33:P34" si="13">F27-F31</f>
        <v>150</v>
      </c>
      <c r="G33" s="121">
        <f t="shared" si="13"/>
        <v>150</v>
      </c>
      <c r="H33" s="121">
        <f t="shared" si="13"/>
        <v>150</v>
      </c>
      <c r="I33" s="121">
        <f t="shared" si="13"/>
        <v>150</v>
      </c>
      <c r="J33" s="122">
        <f t="shared" si="13"/>
        <v>150</v>
      </c>
      <c r="K33" s="123">
        <f t="shared" si="13"/>
        <v>150</v>
      </c>
      <c r="L33" s="121">
        <f t="shared" si="13"/>
        <v>150</v>
      </c>
      <c r="M33" s="121">
        <f t="shared" si="13"/>
        <v>150</v>
      </c>
      <c r="N33" s="121">
        <f t="shared" si="13"/>
        <v>150</v>
      </c>
      <c r="O33" s="121">
        <f t="shared" si="13"/>
        <v>150</v>
      </c>
      <c r="P33" s="124">
        <f>P27-P31</f>
        <v>150</v>
      </c>
      <c r="Q33" s="125">
        <f>SUM(E33:P33)</f>
        <v>1800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>
        <f ca="1">E28-E32</f>
        <v>190.80909600000001</v>
      </c>
      <c r="F34" s="136">
        <f t="shared" ca="1" si="13"/>
        <v>85.429361999999998</v>
      </c>
      <c r="G34" s="136">
        <f t="shared" ca="1" si="13"/>
        <v>79.787530000000004</v>
      </c>
      <c r="H34" s="136">
        <f t="shared" ca="1" si="13"/>
        <v>21.596471999999995</v>
      </c>
      <c r="I34" s="136">
        <f t="shared" ca="1" si="13"/>
        <v>-125.8560526</v>
      </c>
      <c r="J34" s="139">
        <f t="shared" ca="1" si="13"/>
        <v>-96.947839999999999</v>
      </c>
      <c r="K34" s="135">
        <f t="shared" ca="1" si="13"/>
        <v>136.89565600000003</v>
      </c>
      <c r="L34" s="136">
        <f t="shared" ca="1" si="13"/>
        <v>82.753040000000013</v>
      </c>
      <c r="M34" s="136">
        <f t="shared" ca="1" si="13"/>
        <v>-300.36</v>
      </c>
      <c r="N34" s="136">
        <f t="shared" ca="1" si="13"/>
        <v>0</v>
      </c>
      <c r="O34" s="136">
        <f t="shared" ca="1" si="13"/>
        <v>0</v>
      </c>
      <c r="P34" s="137">
        <f t="shared" ca="1" si="13"/>
        <v>0</v>
      </c>
      <c r="Q34" s="140">
        <f ca="1">SUM(E34:P34)</f>
        <v>74.107263400000079</v>
      </c>
      <c r="R34" s="483"/>
      <c r="S34" s="69" t="str">
        <f ca="1">IFERROR(Q34/R33,"")</f>
        <v/>
      </c>
    </row>
    <row r="35" spans="1:19">
      <c r="A35" s="464"/>
      <c r="B35" s="467"/>
      <c r="C35" s="453"/>
      <c r="D35" s="21" t="s">
        <v>17</v>
      </c>
      <c r="E35" s="11">
        <f ca="1">E34/E33</f>
        <v>1.2720606400000001</v>
      </c>
      <c r="F35" s="4">
        <f t="shared" ref="F35:Q35" ca="1" si="14">F34/F33</f>
        <v>0.56952908000000002</v>
      </c>
      <c r="G35" s="4">
        <f t="shared" ca="1" si="14"/>
        <v>0.53191686666666671</v>
      </c>
      <c r="H35" s="4">
        <f t="shared" ca="1" si="14"/>
        <v>0.14397647999999996</v>
      </c>
      <c r="I35" s="4">
        <f t="shared" ca="1" si="14"/>
        <v>-0.8390403506666666</v>
      </c>
      <c r="J35" s="6">
        <f t="shared" ca="1" si="14"/>
        <v>-0.64631893333333335</v>
      </c>
      <c r="K35" s="8">
        <f t="shared" ca="1" si="14"/>
        <v>0.91263770666666688</v>
      </c>
      <c r="L35" s="4">
        <f t="shared" ca="1" si="14"/>
        <v>0.55168693333333341</v>
      </c>
      <c r="M35" s="4">
        <f t="shared" ca="1" si="14"/>
        <v>-2.0024000000000002</v>
      </c>
      <c r="N35" s="4">
        <f t="shared" ca="1" si="14"/>
        <v>0</v>
      </c>
      <c r="O35" s="4">
        <f t="shared" ca="1" si="14"/>
        <v>0</v>
      </c>
      <c r="P35" s="16">
        <f t="shared" ca="1" si="14"/>
        <v>0</v>
      </c>
      <c r="Q35" s="26">
        <f t="shared" ca="1" si="14"/>
        <v>4.1170701888888932E-2</v>
      </c>
    </row>
    <row r="36" spans="1:19" ht="19.5" thickBot="1">
      <c r="A36" s="465"/>
      <c r="B36" s="468"/>
      <c r="C36" s="454"/>
      <c r="D36" s="23" t="s">
        <v>18</v>
      </c>
      <c r="E36" s="14">
        <f ca="1">SUM($E34:E34)/SUM($E33:E33)</f>
        <v>1.2720606400000001</v>
      </c>
      <c r="F36" s="7">
        <f ca="1">SUM($E34:F34)/SUM($E33:F33)</f>
        <v>0.9207948600000001</v>
      </c>
      <c r="G36" s="7">
        <f ca="1">SUM($E34:G34)/SUM($E33:G33)</f>
        <v>0.79116886222222227</v>
      </c>
      <c r="H36" s="7">
        <f ca="1">SUM($E34:H34)/SUM($E33:H33)</f>
        <v>0.62937076666666669</v>
      </c>
      <c r="I36" s="7">
        <f ca="1">SUM($E34:I34)/SUM($E33:I33)</f>
        <v>0.33568854320000008</v>
      </c>
      <c r="J36" s="15">
        <f ca="1">SUM($E34:J34)/SUM($E33:J33)</f>
        <v>0.17202063044444452</v>
      </c>
      <c r="K36" s="10">
        <f ca="1">SUM($E34:K34)/SUM($E33:K33)</f>
        <v>0.27782306990476202</v>
      </c>
      <c r="L36" s="7">
        <f ca="1">SUM($E34:L34)/SUM($E33:L33)</f>
        <v>0.31205605283333343</v>
      </c>
      <c r="M36" s="7">
        <f ca="1">SUM($E34:M34)/SUM($E33:M33)</f>
        <v>5.4894269185185245E-2</v>
      </c>
      <c r="N36" s="7">
        <f ca="1">SUM($E34:N34)/SUM($E33:N33)</f>
        <v>4.9404842266666721E-2</v>
      </c>
      <c r="O36" s="7">
        <f ca="1">SUM($E34:O34)/SUM($E33:O33)</f>
        <v>4.4913492969697016E-2</v>
      </c>
      <c r="P36" s="18">
        <f ca="1">SUM($E34:P34)/SUM($E33:P33)</f>
        <v>4.1170701888888932E-2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 t="shared" ref="E37:Q38" si="15">SUM(E7,E17,E27)</f>
        <v>1590</v>
      </c>
      <c r="F37" s="128">
        <f t="shared" si="15"/>
        <v>9990</v>
      </c>
      <c r="G37" s="129">
        <f t="shared" si="15"/>
        <v>2980</v>
      </c>
      <c r="H37" s="128">
        <f t="shared" si="15"/>
        <v>3770</v>
      </c>
      <c r="I37" s="128">
        <f t="shared" si="15"/>
        <v>3640</v>
      </c>
      <c r="J37" s="130">
        <f t="shared" si="15"/>
        <v>3190</v>
      </c>
      <c r="K37" s="127">
        <f t="shared" si="15"/>
        <v>2710</v>
      </c>
      <c r="L37" s="128">
        <f t="shared" si="15"/>
        <v>1910</v>
      </c>
      <c r="M37" s="129">
        <f t="shared" si="15"/>
        <v>4250</v>
      </c>
      <c r="N37" s="128">
        <f t="shared" si="15"/>
        <v>8580</v>
      </c>
      <c r="O37" s="128">
        <f t="shared" si="15"/>
        <v>8670</v>
      </c>
      <c r="P37" s="130">
        <f t="shared" si="15"/>
        <v>7710</v>
      </c>
      <c r="Q37" s="131">
        <f t="shared" si="15"/>
        <v>58990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t="shared" ca="1" si="15"/>
        <v>3409.7282526999998</v>
      </c>
      <c r="F38" s="136">
        <f t="shared" ca="1" si="15"/>
        <v>2268.7809787000006</v>
      </c>
      <c r="G38" s="139">
        <f t="shared" ca="1" si="15"/>
        <v>1377.7882357999999</v>
      </c>
      <c r="H38" s="136">
        <f t="shared" ca="1" si="15"/>
        <v>2758.1339572000002</v>
      </c>
      <c r="I38" s="136">
        <f t="shared" ca="1" si="15"/>
        <v>2793.5111713999995</v>
      </c>
      <c r="J38" s="137">
        <f t="shared" ca="1" si="15"/>
        <v>3292.4142814000002</v>
      </c>
      <c r="K38" s="135">
        <f t="shared" ca="1" si="15"/>
        <v>4289.0620260000005</v>
      </c>
      <c r="L38" s="136">
        <f t="shared" ca="1" si="15"/>
        <v>4393.6214028000004</v>
      </c>
      <c r="M38" s="139">
        <f t="shared" ca="1" si="15"/>
        <v>3967.5931086999994</v>
      </c>
      <c r="N38" s="136">
        <f t="shared" ca="1" si="15"/>
        <v>0</v>
      </c>
      <c r="O38" s="136">
        <f t="shared" ca="1" si="15"/>
        <v>0</v>
      </c>
      <c r="P38" s="137">
        <f t="shared" ca="1" si="15"/>
        <v>0</v>
      </c>
      <c r="Q38" s="149">
        <f t="shared" ca="1" si="15"/>
        <v>28550.633414700002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>
        <f ca="1">E38/E37</f>
        <v>2.1444831777987421</v>
      </c>
      <c r="F39" s="4">
        <f t="shared" ref="F39:Q39" ca="1" si="16">F38/F37</f>
        <v>0.22710520307307314</v>
      </c>
      <c r="G39" s="16">
        <f t="shared" ca="1" si="16"/>
        <v>0.46234504557046979</v>
      </c>
      <c r="H39" s="4">
        <f t="shared" ca="1" si="16"/>
        <v>0.73160051915119373</v>
      </c>
      <c r="I39" s="4">
        <f t="shared" ca="1" si="16"/>
        <v>0.76744812401098883</v>
      </c>
      <c r="J39" s="6">
        <f t="shared" ca="1" si="16"/>
        <v>1.0321047904075236</v>
      </c>
      <c r="K39" s="11">
        <f t="shared" ca="1" si="16"/>
        <v>1.5826797143911442</v>
      </c>
      <c r="L39" s="4">
        <f t="shared" ca="1" si="16"/>
        <v>2.3003253417801051</v>
      </c>
      <c r="M39" s="16">
        <f t="shared" ca="1" si="16"/>
        <v>0.93355131969411753</v>
      </c>
      <c r="N39" s="4">
        <f t="shared" ca="1" si="16"/>
        <v>0</v>
      </c>
      <c r="O39" s="4">
        <f t="shared" ca="1" si="16"/>
        <v>0</v>
      </c>
      <c r="P39" s="6">
        <f t="shared" ca="1" si="16"/>
        <v>0</v>
      </c>
      <c r="Q39" s="26">
        <f t="shared" ca="1" si="16"/>
        <v>0.48399107331242586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2.1444831777987421</v>
      </c>
      <c r="F40" s="5">
        <f ca="1">SUM($E38:F38)/SUM($E37:F37)</f>
        <v>0.49037212706390332</v>
      </c>
      <c r="G40" s="17">
        <f ca="1">SUM($E38:G38)/SUM($E37:G37)</f>
        <v>0.48463581505494507</v>
      </c>
      <c r="H40" s="5">
        <f ca="1">SUM($E38:H38)/SUM($E37:H37)</f>
        <v>0.53542997405346426</v>
      </c>
      <c r="I40" s="5">
        <f ca="1">SUM($E38:I38)/SUM($E37:I37)</f>
        <v>0.57387085096950385</v>
      </c>
      <c r="J40" s="13">
        <f ca="1">SUM($E38:J38)/SUM($E37:J37)</f>
        <v>0.63196966920508746</v>
      </c>
      <c r="K40" s="12">
        <f ca="1">SUM($E38:K38)/SUM($E37:K37)</f>
        <v>0.72441402594904913</v>
      </c>
      <c r="L40" s="5">
        <f ca="1">SUM($E38:L38)/SUM($E37:L37)</f>
        <v>0.82548825742108789</v>
      </c>
      <c r="M40" s="17">
        <f ca="1">SUM($E38:M38)/SUM($E37:M37)</f>
        <v>0.83898423199235961</v>
      </c>
      <c r="N40" s="5">
        <f ca="1">SUM($E38:N38)/SUM($E37:N37)</f>
        <v>0.67004537467026515</v>
      </c>
      <c r="O40" s="5">
        <f ca="1">SUM($E38:O38)/SUM($E37:O37)</f>
        <v>0.55675962197152884</v>
      </c>
      <c r="P40" s="13">
        <f ca="1">SUM($E38:P38)/SUM($E37:P37)</f>
        <v>0.4839910733124258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 t="shared" ref="E41:Q42" si="17">SUM(E13,E23,E33)</f>
        <v>640</v>
      </c>
      <c r="F41" s="114">
        <f t="shared" si="17"/>
        <v>4310</v>
      </c>
      <c r="G41" s="117">
        <f t="shared" si="17"/>
        <v>1050</v>
      </c>
      <c r="H41" s="114">
        <f t="shared" si="17"/>
        <v>1440</v>
      </c>
      <c r="I41" s="114">
        <f t="shared" si="17"/>
        <v>1500</v>
      </c>
      <c r="J41" s="115">
        <f t="shared" si="17"/>
        <v>1150</v>
      </c>
      <c r="K41" s="113">
        <f t="shared" si="17"/>
        <v>1030</v>
      </c>
      <c r="L41" s="114">
        <f t="shared" si="17"/>
        <v>770</v>
      </c>
      <c r="M41" s="117">
        <f t="shared" si="17"/>
        <v>1810</v>
      </c>
      <c r="N41" s="114">
        <f t="shared" si="17"/>
        <v>3460</v>
      </c>
      <c r="O41" s="114">
        <f t="shared" si="17"/>
        <v>2840</v>
      </c>
      <c r="P41" s="115">
        <f t="shared" si="17"/>
        <v>2990</v>
      </c>
      <c r="Q41" s="133">
        <f t="shared" si="17"/>
        <v>22990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t="shared" ca="1" si="17"/>
        <v>1165.7852526999995</v>
      </c>
      <c r="F42" s="136">
        <f t="shared" ca="1" si="17"/>
        <v>1009.1689787000004</v>
      </c>
      <c r="G42" s="139">
        <f t="shared" ca="1" si="17"/>
        <v>618.89723580000009</v>
      </c>
      <c r="H42" s="136">
        <f t="shared" ca="1" si="17"/>
        <v>1177.2895572</v>
      </c>
      <c r="I42" s="136">
        <f t="shared" ca="1" si="17"/>
        <v>937.05317139999977</v>
      </c>
      <c r="J42" s="137">
        <f t="shared" ca="1" si="17"/>
        <v>1150.5212813999999</v>
      </c>
      <c r="K42" s="135">
        <f t="shared" ca="1" si="17"/>
        <v>1740.0340260000007</v>
      </c>
      <c r="L42" s="136">
        <f t="shared" ca="1" si="17"/>
        <v>1801.0354028000002</v>
      </c>
      <c r="M42" s="139">
        <f t="shared" ca="1" si="17"/>
        <v>1347.3581086999993</v>
      </c>
      <c r="N42" s="136">
        <f t="shared" ca="1" si="17"/>
        <v>0</v>
      </c>
      <c r="O42" s="136">
        <f t="shared" ca="1" si="17"/>
        <v>0</v>
      </c>
      <c r="P42" s="137">
        <f t="shared" ca="1" si="17"/>
        <v>0</v>
      </c>
      <c r="Q42" s="149">
        <f t="shared" ca="1" si="17"/>
        <v>10947.143014699999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>
        <f ca="1">E42/E41</f>
        <v>1.8215394573437493</v>
      </c>
      <c r="F43" s="4">
        <f t="shared" ref="F43:Q43" ca="1" si="18">F42/F41</f>
        <v>0.23414593473317874</v>
      </c>
      <c r="G43" s="16">
        <f t="shared" ca="1" si="18"/>
        <v>0.58942593885714289</v>
      </c>
      <c r="H43" s="4">
        <f t="shared" ca="1" si="18"/>
        <v>0.81756219249999995</v>
      </c>
      <c r="I43" s="4">
        <f t="shared" ca="1" si="18"/>
        <v>0.62470211426666655</v>
      </c>
      <c r="J43" s="6">
        <f t="shared" ca="1" si="18"/>
        <v>1.000453288173913</v>
      </c>
      <c r="K43" s="11">
        <f t="shared" ca="1" si="18"/>
        <v>1.6893534233009715</v>
      </c>
      <c r="L43" s="4">
        <f t="shared" ca="1" si="18"/>
        <v>2.339007016623377</v>
      </c>
      <c r="M43" s="16">
        <f t="shared" ca="1" si="18"/>
        <v>0.74439674513812115</v>
      </c>
      <c r="N43" s="4">
        <f t="shared" ca="1" si="18"/>
        <v>0</v>
      </c>
      <c r="O43" s="4">
        <f t="shared" ca="1" si="18"/>
        <v>0</v>
      </c>
      <c r="P43" s="6">
        <f t="shared" ca="1" si="18"/>
        <v>0</v>
      </c>
      <c r="Q43" s="26">
        <f t="shared" ca="1" si="18"/>
        <v>0.47616977010439315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1.8215394573437493</v>
      </c>
      <c r="F44" s="7">
        <f ca="1">SUM($E42:F42)/SUM($E41:F41)</f>
        <v>0.4393846932121212</v>
      </c>
      <c r="G44" s="18">
        <f ca="1">SUM($E42:G42)/SUM($E41:G41)</f>
        <v>0.46564191120000004</v>
      </c>
      <c r="H44" s="7">
        <f ca="1">SUM($E42:H42)/SUM($E41:H41)</f>
        <v>0.53375551403225807</v>
      </c>
      <c r="I44" s="7">
        <f ca="1">SUM($E42:I42)/SUM($E41:I41)</f>
        <v>0.54901501071588366</v>
      </c>
      <c r="J44" s="15">
        <f ca="1">SUM($E42:J42)/SUM($E41:J41)</f>
        <v>0.60046734164519322</v>
      </c>
      <c r="K44" s="14">
        <f ca="1">SUM($E42:K42)/SUM($E41:K41)</f>
        <v>0.70132639417266196</v>
      </c>
      <c r="L44" s="7">
        <f ca="1">SUM($E42:L42)/SUM($E41:L41)</f>
        <v>0.80738308713204376</v>
      </c>
      <c r="M44" s="18">
        <f ca="1">SUM($E42:M42)/SUM($E41:M41)</f>
        <v>0.79906153391970802</v>
      </c>
      <c r="N44" s="7">
        <f ca="1">SUM($E42:N42)/SUM($E41:N41)</f>
        <v>0.63794539712703957</v>
      </c>
      <c r="O44" s="7">
        <f ca="1">SUM($E42:O42)/SUM($E41:O41)</f>
        <v>0.54735715073499991</v>
      </c>
      <c r="P44" s="15">
        <f ca="1">SUM($E42:P42)/SUM($E41:P41)</f>
        <v>0.47616977010439315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505" t="s">
        <v>31</v>
      </c>
      <c r="B46" s="50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507"/>
      <c r="B47" s="50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7"/>
      <c r="F48" s="98"/>
      <c r="G48" s="98"/>
      <c r="H48" s="98"/>
      <c r="I48" s="98"/>
      <c r="J48" s="99"/>
      <c r="K48" s="97"/>
      <c r="L48" s="74"/>
      <c r="M48" s="95"/>
      <c r="N48" s="74"/>
      <c r="O48" s="74"/>
      <c r="P48" s="74"/>
    </row>
    <row r="49" spans="1:16" ht="39" customHeight="1">
      <c r="A49" s="441"/>
      <c r="B49" s="442"/>
      <c r="C49" s="486" t="str">
        <f>A7</f>
        <v>SF AMERICA
アパレル</v>
      </c>
      <c r="D49" s="81" t="s">
        <v>34</v>
      </c>
      <c r="E49" s="82"/>
      <c r="F49" s="83"/>
      <c r="G49" s="83"/>
      <c r="H49" s="83"/>
      <c r="I49" s="83"/>
      <c r="J49" s="84"/>
      <c r="K49" s="100"/>
      <c r="L49" s="83"/>
      <c r="M49" s="101"/>
      <c r="N49" s="83"/>
      <c r="O49" s="101"/>
      <c r="P49" s="83"/>
    </row>
    <row r="50" spans="1:16" ht="39" customHeight="1">
      <c r="A50" s="441"/>
      <c r="B50" s="442"/>
      <c r="C50" s="487"/>
      <c r="D50" s="85" t="s">
        <v>32</v>
      </c>
      <c r="E50" s="86"/>
      <c r="F50" s="392"/>
      <c r="G50" s="87"/>
      <c r="H50" s="87"/>
      <c r="I50" s="87"/>
      <c r="J50" s="102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リボン・テープ等</v>
      </c>
      <c r="D51" s="89" t="s">
        <v>33</v>
      </c>
      <c r="E51" s="90"/>
      <c r="F51" s="91"/>
      <c r="G51" s="395"/>
      <c r="H51" s="91"/>
      <c r="I51" s="91"/>
      <c r="J51" s="91"/>
      <c r="K51" s="398"/>
      <c r="L51" s="91"/>
      <c r="M51" s="91"/>
      <c r="N51" s="402"/>
      <c r="O51" s="404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7"/>
      <c r="F52" s="104"/>
      <c r="G52" s="74"/>
      <c r="H52" s="74"/>
      <c r="I52" s="74"/>
      <c r="J52" s="95"/>
      <c r="K52" s="93"/>
      <c r="L52" s="74"/>
      <c r="M52" s="74"/>
      <c r="N52" s="74"/>
      <c r="O52" s="74"/>
      <c r="P52" s="74"/>
    </row>
    <row r="53" spans="1:16" ht="39" customHeight="1">
      <c r="A53" s="441"/>
      <c r="B53" s="442"/>
      <c r="C53" s="486" t="str">
        <f>A17</f>
        <v>MONIQUE
アパレル</v>
      </c>
      <c r="D53" s="81" t="s">
        <v>34</v>
      </c>
      <c r="E53" s="82"/>
      <c r="F53" s="83"/>
      <c r="G53" s="83"/>
      <c r="H53" s="83"/>
      <c r="I53" s="83"/>
      <c r="J53" s="105"/>
      <c r="K53" s="100"/>
      <c r="L53" s="83"/>
      <c r="M53" s="101"/>
      <c r="N53" s="83"/>
      <c r="O53" s="101"/>
      <c r="P53" s="83"/>
    </row>
    <row r="54" spans="1:16" ht="39" customHeight="1">
      <c r="A54" s="441"/>
      <c r="B54" s="442"/>
      <c r="C54" s="487"/>
      <c r="D54" s="85" t="s">
        <v>32</v>
      </c>
      <c r="E54" s="390"/>
      <c r="F54" s="391"/>
      <c r="G54" s="87"/>
      <c r="H54" s="87"/>
      <c r="I54" s="87"/>
      <c r="J54" s="102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リボン・テープ等</v>
      </c>
      <c r="D55" s="89" t="s">
        <v>33</v>
      </c>
      <c r="E55" s="90"/>
      <c r="F55" s="91"/>
      <c r="G55" s="395"/>
      <c r="H55" s="91"/>
      <c r="I55" s="91"/>
      <c r="J55" s="103"/>
      <c r="K55" s="90"/>
      <c r="L55" s="103"/>
      <c r="M55" s="91"/>
      <c r="N55" s="403"/>
      <c r="O55" s="404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7"/>
      <c r="F56" s="104"/>
      <c r="G56" s="74"/>
      <c r="H56" s="74"/>
      <c r="I56" s="74"/>
      <c r="J56" s="95"/>
      <c r="K56" s="93"/>
      <c r="L56" s="74"/>
      <c r="M56" s="74"/>
      <c r="N56" s="74"/>
      <c r="O56" s="74"/>
      <c r="P56" s="74"/>
    </row>
    <row r="57" spans="1:16" ht="39" customHeight="1">
      <c r="A57" s="441"/>
      <c r="B57" s="442"/>
      <c r="C57" s="486" t="str">
        <f>A27</f>
        <v>欧州
アパレル</v>
      </c>
      <c r="D57" s="81" t="s">
        <v>34</v>
      </c>
      <c r="E57" s="82"/>
      <c r="F57" s="83"/>
      <c r="G57" s="83"/>
      <c r="H57" s="83"/>
      <c r="I57" s="83"/>
      <c r="J57" s="105"/>
      <c r="K57" s="100"/>
      <c r="L57" s="83"/>
      <c r="M57" s="101"/>
      <c r="N57" s="83"/>
      <c r="O57" s="101"/>
      <c r="P57" s="83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リボン・テープ等</v>
      </c>
      <c r="D59" s="89" t="s">
        <v>33</v>
      </c>
      <c r="E59" s="90"/>
      <c r="F59" s="91"/>
      <c r="G59" s="395"/>
      <c r="H59" s="91"/>
      <c r="I59" s="91"/>
      <c r="J59" s="92"/>
      <c r="K59" s="90"/>
      <c r="L59" s="92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BAAF-25FA-42C6-8642-723B12C66334}">
  <sheetPr codeName="Sheet12">
    <tabColor theme="3" tint="0.89999084444715716"/>
  </sheetPr>
  <dimension ref="A1:R400"/>
  <sheetViews>
    <sheetView topLeftCell="A197" zoomScaleNormal="100" workbookViewId="0">
      <selection activeCell="C213" sqref="C213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千葉!A7</f>
        <v>SF AMERICA
アパレル</v>
      </c>
      <c r="N3" s="180" t="str">
        <f>千葉!A17</f>
        <v>MONIQUE
アパレル</v>
      </c>
      <c r="O3" s="180" t="str">
        <f>千葉!A27</f>
        <v>欧州
アパレル</v>
      </c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343</v>
      </c>
      <c r="B6" s="163" t="s">
        <v>311</v>
      </c>
      <c r="C6" s="200">
        <v>3372</v>
      </c>
      <c r="D6" s="201">
        <v>6291</v>
      </c>
      <c r="E6" s="202" t="s">
        <v>200</v>
      </c>
      <c r="F6" s="200">
        <v>115.2</v>
      </c>
      <c r="G6" s="162">
        <v>45811</v>
      </c>
      <c r="H6" s="203" t="s">
        <v>199</v>
      </c>
      <c r="I6" s="186">
        <f>IF(H6="","",IF(H6="JPY","",IF($H6="USD",4, IF(H6="EUR",7,IF(H6="CNY",47,IF(H6="HKD",34))))))</f>
        <v>4</v>
      </c>
      <c r="J6" s="204">
        <f>IF($H6="USD",IF(OR($I6="",$I6="-"),"",VLOOKUP($G6,為替!$A:$AX,$I6,FALSE))+$J$3,IF(OR($I6="",$I6="-"),"",VLOOKUP($G6,為替!$A:$AX,$I6,FALSE)))</f>
        <v>142.33000000000001</v>
      </c>
      <c r="K6" s="205">
        <f>IF($H6="JPY",$F6,IF($H6="","",$F6*$J6))</f>
        <v>16396.416000000001</v>
      </c>
      <c r="L6" s="189">
        <f>IF(H6="","",IF(H6="JPY","",IF($H6="USD",3, IF(H6="EUR",6,IF(H6="CNY",46,IF(H6="HKD",33))))))</f>
        <v>3</v>
      </c>
      <c r="M6" s="204">
        <f>IF($H6="USD",IF(OR($L6="",$L6="-"),"",VLOOKUP($G6,為替!$A:$AX,$L6,FALSE))+$K$3,IF(OR($L6="",$L6="-"),"",VLOOKUP($G6,為替!$A:$AX,$L6,FALSE)))</f>
        <v>143.33000000000001</v>
      </c>
      <c r="N6" s="205">
        <f>IF($E6="JPY",($C6+$D6),IF($E6="","",($C6+$D6)*$M6))</f>
        <v>9663</v>
      </c>
      <c r="O6" s="206">
        <f t="shared" ref="O6" si="0">IF(OR(K6="",N6=""),"",K6-N6)</f>
        <v>6733.4160000000011</v>
      </c>
      <c r="P6" s="207">
        <f>IF(OR(K6="",O6=""),"",O6/K6)</f>
        <v>0.41066389142602877</v>
      </c>
    </row>
    <row r="7" spans="1:18">
      <c r="A7" s="163" t="s">
        <v>343</v>
      </c>
      <c r="B7" s="163" t="s">
        <v>312</v>
      </c>
      <c r="C7" s="200">
        <v>85400</v>
      </c>
      <c r="D7" s="201">
        <v>0</v>
      </c>
      <c r="E7" s="202" t="s">
        <v>200</v>
      </c>
      <c r="F7" s="200">
        <v>1070.5</v>
      </c>
      <c r="G7" s="162">
        <v>45812</v>
      </c>
      <c r="H7" s="203" t="s">
        <v>199</v>
      </c>
      <c r="I7" s="186">
        <f t="shared" ref="I7:I70" si="1">IF(H7="","",IF(H7="JPY","",IF($H7="USD",4, IF(H7="EUR",7,IF(H7="CNY",47,IF(H7="HKD",34))))))</f>
        <v>4</v>
      </c>
      <c r="J7" s="204">
        <f>IF($H7="USD",IF(OR($I7="",$I7="-"),"",VLOOKUP($G7,為替!$A:$AX,$I7,FALSE))+$J$3,IF(OR($I7="",$I7="-"),"",VLOOKUP($G7,為替!$A:$AX,$I7,FALSE)))</f>
        <v>143.5</v>
      </c>
      <c r="K7" s="205">
        <f t="shared" ref="K7:K70" si="2">IF($H7="JPY",$F7,IF($H7="","",$F7*$J7))</f>
        <v>153616.75</v>
      </c>
      <c r="L7" s="189">
        <f t="shared" ref="L7:L17" si="3">IF(H7="","",IF(H7="JPY","",IF($H7="USD",3, IF(H7="EUR",6,IF(H7="CNY",46,IF(H7="HKD",33))))))</f>
        <v>3</v>
      </c>
      <c r="M7" s="204">
        <f>IF($H7="USD",IF(OR($L7="",$L7="-"),"",VLOOKUP($G7,為替!$A:$AX,$L7,FALSE))+$K$3,IF(OR($L7="",$L7="-"),"",VLOOKUP($G7,為替!$A:$AX,$L7,FALSE)))</f>
        <v>144.5</v>
      </c>
      <c r="N7" s="205">
        <f t="shared" ref="N7:N70" si="4">IF($E7="JPY",($C7+$D7),IF($E7="","",($C7+$D7)*$M7))</f>
        <v>85400</v>
      </c>
      <c r="O7" s="206">
        <f t="shared" ref="O7:O17" si="5">IF(OR(K7="",N7=""),"",K7-N7)</f>
        <v>68216.75</v>
      </c>
      <c r="P7" s="207">
        <f t="shared" ref="P7:P17" si="6">IF(OR(K7="",O7=""),"",O7/K7)</f>
        <v>0.44407104043016143</v>
      </c>
      <c r="R7" s="208"/>
    </row>
    <row r="8" spans="1:18">
      <c r="A8" s="163" t="s">
        <v>343</v>
      </c>
      <c r="B8" s="163" t="s">
        <v>313</v>
      </c>
      <c r="C8" s="200">
        <v>68292</v>
      </c>
      <c r="D8" s="201">
        <v>0</v>
      </c>
      <c r="E8" s="202" t="s">
        <v>200</v>
      </c>
      <c r="F8" s="200">
        <v>667.15</v>
      </c>
      <c r="G8" s="162">
        <v>45813</v>
      </c>
      <c r="H8" s="203" t="s">
        <v>199</v>
      </c>
      <c r="I8" s="186">
        <f t="shared" si="1"/>
        <v>4</v>
      </c>
      <c r="J8" s="204">
        <f>IF($H8="USD",IF(OR($I8="",$I8="-"),"",VLOOKUP($G8,為替!$A:$AX,$I8,FALSE))+$J$3,IF(OR($I8="",$I8="-"),"",VLOOKUP($G8,為替!$A:$AX,$I8,FALSE)))</f>
        <v>142.22999999999999</v>
      </c>
      <c r="K8" s="205">
        <f t="shared" si="2"/>
        <v>94888.744499999986</v>
      </c>
      <c r="L8" s="189">
        <f t="shared" si="3"/>
        <v>3</v>
      </c>
      <c r="M8" s="204">
        <f>IF($H8="USD",IF(OR($L8="",$L8="-"),"",VLOOKUP($G8,為替!$A:$AX,$L8,FALSE))+$K$3,IF(OR($L8="",$L8="-"),"",VLOOKUP($G8,為替!$A:$AX,$L8,FALSE)))</f>
        <v>143.22999999999999</v>
      </c>
      <c r="N8" s="205">
        <f t="shared" si="4"/>
        <v>68292</v>
      </c>
      <c r="O8" s="206">
        <f t="shared" si="5"/>
        <v>26596.744499999986</v>
      </c>
      <c r="P8" s="207">
        <f t="shared" si="6"/>
        <v>0.28029398681737211</v>
      </c>
    </row>
    <row r="9" spans="1:18">
      <c r="A9" s="163" t="s">
        <v>343</v>
      </c>
      <c r="B9" s="163" t="s">
        <v>314</v>
      </c>
      <c r="C9" s="200">
        <v>97260</v>
      </c>
      <c r="D9" s="201">
        <v>8176</v>
      </c>
      <c r="E9" s="202" t="s">
        <v>200</v>
      </c>
      <c r="F9" s="200">
        <v>1268.0999999999999</v>
      </c>
      <c r="G9" s="162">
        <v>45817</v>
      </c>
      <c r="H9" s="203" t="s">
        <v>199</v>
      </c>
      <c r="I9" s="186">
        <f t="shared" si="1"/>
        <v>4</v>
      </c>
      <c r="J9" s="204">
        <f>IF($H9="USD",IF(OR($I9="",$I9="-"),"",VLOOKUP($G9,為替!$A:$AX,$I9,FALSE))+$J$3,IF(OR($I9="",$I9="-"),"",VLOOKUP($G9,為替!$A:$AX,$I9,FALSE)))</f>
        <v>144.4</v>
      </c>
      <c r="K9" s="205">
        <f t="shared" si="2"/>
        <v>183113.63999999998</v>
      </c>
      <c r="L9" s="189">
        <f t="shared" si="3"/>
        <v>3</v>
      </c>
      <c r="M9" s="204">
        <f>IF($H9="USD",IF(OR($L9="",$L9="-"),"",VLOOKUP($G9,為替!$A:$AX,$L9,FALSE))+$K$3,IF(OR($L9="",$L9="-"),"",VLOOKUP($G9,為替!$A:$AX,$L9,FALSE)))</f>
        <v>145.4</v>
      </c>
      <c r="N9" s="205">
        <f t="shared" si="4"/>
        <v>105436</v>
      </c>
      <c r="O9" s="206">
        <f t="shared" si="5"/>
        <v>77677.639999999985</v>
      </c>
      <c r="P9" s="207">
        <f t="shared" si="6"/>
        <v>0.42420455406817315</v>
      </c>
    </row>
    <row r="10" spans="1:18">
      <c r="A10" s="163" t="s">
        <v>343</v>
      </c>
      <c r="B10" s="163" t="s">
        <v>315</v>
      </c>
      <c r="C10" s="200">
        <v>54130</v>
      </c>
      <c r="D10" s="201">
        <v>0</v>
      </c>
      <c r="E10" s="202" t="s">
        <v>200</v>
      </c>
      <c r="F10" s="200">
        <v>669.6</v>
      </c>
      <c r="G10" s="162">
        <v>45818</v>
      </c>
      <c r="H10" s="203" t="s">
        <v>199</v>
      </c>
      <c r="I10" s="186">
        <f t="shared" si="1"/>
        <v>4</v>
      </c>
      <c r="J10" s="204">
        <f>IF($H10="USD",IF(OR($I10="",$I10="-"),"",VLOOKUP($G10,為替!$A:$AX,$I10,FALSE))+$J$3,IF(OR($I10="",$I10="-"),"",VLOOKUP($G10,為替!$A:$AX,$I10,FALSE)))</f>
        <v>144.21</v>
      </c>
      <c r="K10" s="205">
        <f t="shared" si="2"/>
        <v>96563.016000000003</v>
      </c>
      <c r="L10" s="189">
        <f t="shared" si="3"/>
        <v>3</v>
      </c>
      <c r="M10" s="204">
        <f>IF($H10="USD",IF(OR($L10="",$L10="-"),"",VLOOKUP($G10,為替!$A:$AX,$L10,FALSE))+$K$3,IF(OR($L10="",$L10="-"),"",VLOOKUP($G10,為替!$A:$AX,$L10,FALSE)))</f>
        <v>145.21</v>
      </c>
      <c r="N10" s="205">
        <f t="shared" si="4"/>
        <v>54130</v>
      </c>
      <c r="O10" s="206">
        <f t="shared" si="5"/>
        <v>42433.016000000003</v>
      </c>
      <c r="P10" s="207">
        <f t="shared" si="6"/>
        <v>0.4394334162056413</v>
      </c>
    </row>
    <row r="11" spans="1:18">
      <c r="A11" s="163" t="s">
        <v>343</v>
      </c>
      <c r="B11" s="163" t="s">
        <v>316</v>
      </c>
      <c r="C11" s="200">
        <v>10300</v>
      </c>
      <c r="D11" s="201">
        <v>0</v>
      </c>
      <c r="E11" s="202" t="s">
        <v>200</v>
      </c>
      <c r="F11" s="200">
        <v>123</v>
      </c>
      <c r="G11" s="162">
        <v>45818</v>
      </c>
      <c r="H11" s="203" t="s">
        <v>199</v>
      </c>
      <c r="I11" s="186">
        <f t="shared" si="1"/>
        <v>4</v>
      </c>
      <c r="J11" s="204">
        <f>IF($H11="USD",IF(OR($I11="",$I11="-"),"",VLOOKUP($G11,為替!$A:$AX,$I11,FALSE))+$J$3,IF(OR($I11="",$I11="-"),"",VLOOKUP($G11,為替!$A:$AX,$I11,FALSE)))</f>
        <v>144.21</v>
      </c>
      <c r="K11" s="205">
        <f t="shared" si="2"/>
        <v>17737.830000000002</v>
      </c>
      <c r="L11" s="189">
        <f t="shared" si="3"/>
        <v>3</v>
      </c>
      <c r="M11" s="204">
        <f>IF($H11="USD",IF(OR($L11="",$L11="-"),"",VLOOKUP($G11,為替!$A:$AX,$L11,FALSE))+$K$3,IF(OR($L11="",$L11="-"),"",VLOOKUP($G11,為替!$A:$AX,$L11,FALSE)))</f>
        <v>145.21</v>
      </c>
      <c r="N11" s="205">
        <f t="shared" si="4"/>
        <v>10300</v>
      </c>
      <c r="O11" s="206">
        <f t="shared" si="5"/>
        <v>7437.8300000000017</v>
      </c>
      <c r="P11" s="207">
        <f t="shared" si="6"/>
        <v>0.41932017614330508</v>
      </c>
    </row>
    <row r="12" spans="1:18">
      <c r="A12" s="163" t="s">
        <v>343</v>
      </c>
      <c r="B12" s="163" t="s">
        <v>317</v>
      </c>
      <c r="C12" s="200">
        <v>13400</v>
      </c>
      <c r="D12" s="201">
        <v>0</v>
      </c>
      <c r="E12" s="202" t="s">
        <v>200</v>
      </c>
      <c r="F12" s="200">
        <v>153.80000000000001</v>
      </c>
      <c r="G12" s="162">
        <v>45821</v>
      </c>
      <c r="H12" s="203" t="s">
        <v>199</v>
      </c>
      <c r="I12" s="186">
        <f t="shared" si="1"/>
        <v>4</v>
      </c>
      <c r="J12" s="204">
        <f>IF($H12="USD",IF(OR($I12="",$I12="-"),"",VLOOKUP($G12,為替!$A:$AX,$I12,FALSE))+$J$3,IF(OR($I12="",$I12="-"),"",VLOOKUP($G12,為替!$A:$AX,$I12,FALSE)))</f>
        <v>142.58000000000001</v>
      </c>
      <c r="K12" s="205">
        <f t="shared" si="2"/>
        <v>21928.804000000004</v>
      </c>
      <c r="L12" s="189">
        <f t="shared" si="3"/>
        <v>3</v>
      </c>
      <c r="M12" s="204">
        <f>IF($H12="USD",IF(OR($L12="",$L12="-"),"",VLOOKUP($G12,為替!$A:$AX,$L12,FALSE))+$K$3,IF(OR($L12="",$L12="-"),"",VLOOKUP($G12,為替!$A:$AX,$L12,FALSE)))</f>
        <v>143.58000000000001</v>
      </c>
      <c r="N12" s="205">
        <f t="shared" si="4"/>
        <v>13400</v>
      </c>
      <c r="O12" s="206">
        <f t="shared" si="5"/>
        <v>8528.8040000000037</v>
      </c>
      <c r="P12" s="207">
        <f t="shared" si="6"/>
        <v>0.38893156234147575</v>
      </c>
    </row>
    <row r="13" spans="1:18">
      <c r="A13" s="163" t="s">
        <v>343</v>
      </c>
      <c r="B13" s="163" t="s">
        <v>318</v>
      </c>
      <c r="C13" s="200">
        <v>8875</v>
      </c>
      <c r="D13" s="201">
        <v>0</v>
      </c>
      <c r="E13" s="202" t="s">
        <v>200</v>
      </c>
      <c r="F13" s="200">
        <v>174.95</v>
      </c>
      <c r="G13" s="162">
        <v>45824</v>
      </c>
      <c r="H13" s="203" t="s">
        <v>199</v>
      </c>
      <c r="I13" s="186">
        <f t="shared" si="1"/>
        <v>4</v>
      </c>
      <c r="J13" s="204">
        <f>IF($H13="USD",IF(OR($I13="",$I13="-"),"",VLOOKUP($G13,為替!$A:$AX,$I13,FALSE))+$J$3,IF(OR($I13="",$I13="-"),"",VLOOKUP($G13,為替!$A:$AX,$I13,FALSE)))</f>
        <v>143.91999999999999</v>
      </c>
      <c r="K13" s="205">
        <f t="shared" si="2"/>
        <v>25178.803999999996</v>
      </c>
      <c r="L13" s="189">
        <f t="shared" si="3"/>
        <v>3</v>
      </c>
      <c r="M13" s="204">
        <f>IF($H13="USD",IF(OR($L13="",$L13="-"),"",VLOOKUP($G13,為替!$A:$AX,$L13,FALSE))+$K$3,IF(OR($L13="",$L13="-"),"",VLOOKUP($G13,為替!$A:$AX,$L13,FALSE)))</f>
        <v>144.91999999999999</v>
      </c>
      <c r="N13" s="205">
        <f t="shared" si="4"/>
        <v>8875</v>
      </c>
      <c r="O13" s="206">
        <f t="shared" si="5"/>
        <v>16303.803999999996</v>
      </c>
      <c r="P13" s="207">
        <f t="shared" si="6"/>
        <v>0.64752098630260591</v>
      </c>
    </row>
    <row r="14" spans="1:18">
      <c r="A14" s="163" t="s">
        <v>343</v>
      </c>
      <c r="B14" s="163" t="s">
        <v>319</v>
      </c>
      <c r="C14" s="200">
        <v>102077</v>
      </c>
      <c r="D14" s="201">
        <v>22372</v>
      </c>
      <c r="E14" s="202" t="s">
        <v>200</v>
      </c>
      <c r="F14" s="200">
        <v>1464.67</v>
      </c>
      <c r="G14" s="162">
        <v>45824</v>
      </c>
      <c r="H14" s="203" t="s">
        <v>199</v>
      </c>
      <c r="I14" s="186">
        <f t="shared" si="1"/>
        <v>4</v>
      </c>
      <c r="J14" s="204">
        <f>IF($H14="USD",IF(OR($I14="",$I14="-"),"",VLOOKUP($G14,為替!$A:$AX,$I14,FALSE))+$J$3,IF(OR($I14="",$I14="-"),"",VLOOKUP($G14,為替!$A:$AX,$I14,FALSE)))</f>
        <v>143.91999999999999</v>
      </c>
      <c r="K14" s="205">
        <f t="shared" si="2"/>
        <v>210795.3064</v>
      </c>
      <c r="L14" s="189">
        <f t="shared" si="3"/>
        <v>3</v>
      </c>
      <c r="M14" s="204">
        <f>IF($H14="USD",IF(OR($L14="",$L14="-"),"",VLOOKUP($G14,為替!$A:$AX,$L14,FALSE))+$K$3,IF(OR($L14="",$L14="-"),"",VLOOKUP($G14,為替!$A:$AX,$L14,FALSE)))</f>
        <v>144.91999999999999</v>
      </c>
      <c r="N14" s="205">
        <f t="shared" si="4"/>
        <v>124449</v>
      </c>
      <c r="O14" s="206">
        <f t="shared" si="5"/>
        <v>86346.306400000001</v>
      </c>
      <c r="P14" s="207">
        <f t="shared" si="6"/>
        <v>0.40962157969566632</v>
      </c>
    </row>
    <row r="15" spans="1:18">
      <c r="A15" s="163" t="s">
        <v>343</v>
      </c>
      <c r="B15" s="163" t="s">
        <v>320</v>
      </c>
      <c r="C15" s="200">
        <v>78738</v>
      </c>
      <c r="D15" s="201">
        <v>0</v>
      </c>
      <c r="E15" s="202" t="s">
        <v>200</v>
      </c>
      <c r="F15" s="200">
        <v>788.31</v>
      </c>
      <c r="G15" s="162">
        <v>45824</v>
      </c>
      <c r="H15" s="203" t="s">
        <v>199</v>
      </c>
      <c r="I15" s="186">
        <f t="shared" si="1"/>
        <v>4</v>
      </c>
      <c r="J15" s="204">
        <f>IF($H15="USD",IF(OR($I15="",$I15="-"),"",VLOOKUP($G15,為替!$A:$AX,$I15,FALSE))+$J$3,IF(OR($I15="",$I15="-"),"",VLOOKUP($G15,為替!$A:$AX,$I15,FALSE)))</f>
        <v>143.91999999999999</v>
      </c>
      <c r="K15" s="205">
        <f t="shared" si="2"/>
        <v>113453.57519999998</v>
      </c>
      <c r="L15" s="189">
        <f t="shared" si="3"/>
        <v>3</v>
      </c>
      <c r="M15" s="204">
        <f>IF($H15="USD",IF(OR($L15="",$L15="-"),"",VLOOKUP($G15,為替!$A:$AX,$L15,FALSE))+$K$3,IF(OR($L15="",$L15="-"),"",VLOOKUP($G15,為替!$A:$AX,$L15,FALSE)))</f>
        <v>144.91999999999999</v>
      </c>
      <c r="N15" s="205">
        <f t="shared" si="4"/>
        <v>78738</v>
      </c>
      <c r="O15" s="206">
        <f t="shared" si="5"/>
        <v>34715.575199999977</v>
      </c>
      <c r="P15" s="207">
        <f t="shared" si="6"/>
        <v>0.30598925718120501</v>
      </c>
    </row>
    <row r="16" spans="1:18">
      <c r="A16" s="163" t="s">
        <v>343</v>
      </c>
      <c r="B16" s="163" t="s">
        <v>321</v>
      </c>
      <c r="C16" s="200">
        <v>80620</v>
      </c>
      <c r="D16" s="201">
        <v>0</v>
      </c>
      <c r="E16" s="202" t="s">
        <v>200</v>
      </c>
      <c r="F16" s="200">
        <v>764.97</v>
      </c>
      <c r="G16" s="162">
        <v>45825</v>
      </c>
      <c r="H16" s="203" t="s">
        <v>199</v>
      </c>
      <c r="I16" s="186">
        <f t="shared" si="1"/>
        <v>4</v>
      </c>
      <c r="J16" s="204">
        <f>IF($H16="USD",IF(OR($I16="",$I16="-"),"",VLOOKUP($G16,為替!$A:$AX,$I16,FALSE))+$J$3,IF(OR($I16="",$I16="-"),"",VLOOKUP($G16,為替!$A:$AX,$I16,FALSE)))</f>
        <v>144.58000000000001</v>
      </c>
      <c r="K16" s="205">
        <f t="shared" si="2"/>
        <v>110599.36260000001</v>
      </c>
      <c r="L16" s="189">
        <f t="shared" si="3"/>
        <v>3</v>
      </c>
      <c r="M16" s="204">
        <f>IF($H16="USD",IF(OR($L16="",$L16="-"),"",VLOOKUP($G16,為替!$A:$AX,$L16,FALSE))+$K$3,IF(OR($L16="",$L16="-"),"",VLOOKUP($G16,為替!$A:$AX,$L16,FALSE)))</f>
        <v>145.58000000000001</v>
      </c>
      <c r="N16" s="205">
        <f t="shared" si="4"/>
        <v>80620</v>
      </c>
      <c r="O16" s="206">
        <f t="shared" si="5"/>
        <v>29979.362600000008</v>
      </c>
      <c r="P16" s="207">
        <f t="shared" si="6"/>
        <v>0.27106270682974087</v>
      </c>
    </row>
    <row r="17" spans="1:16">
      <c r="A17" s="163" t="s">
        <v>343</v>
      </c>
      <c r="B17" s="163" t="s">
        <v>322</v>
      </c>
      <c r="C17" s="200">
        <v>127134</v>
      </c>
      <c r="D17" s="201">
        <v>0</v>
      </c>
      <c r="E17" s="202" t="s">
        <v>200</v>
      </c>
      <c r="F17" s="200">
        <v>1204.75</v>
      </c>
      <c r="G17" s="162">
        <v>45825</v>
      </c>
      <c r="H17" s="203" t="s">
        <v>199</v>
      </c>
      <c r="I17" s="186">
        <f t="shared" si="1"/>
        <v>4</v>
      </c>
      <c r="J17" s="204">
        <f>IF($H17="USD",IF(OR($I17="",$I17="-"),"",VLOOKUP($G17,為替!$A:$AX,$I17,FALSE))+$J$3,IF(OR($I17="",$I17="-"),"",VLOOKUP($G17,為替!$A:$AX,$I17,FALSE)))</f>
        <v>144.58000000000001</v>
      </c>
      <c r="K17" s="205">
        <f t="shared" si="2"/>
        <v>174182.755</v>
      </c>
      <c r="L17" s="189">
        <f t="shared" si="3"/>
        <v>3</v>
      </c>
      <c r="M17" s="204">
        <f>IF($H17="USD",IF(OR($L17="",$L17="-"),"",VLOOKUP($G17,為替!$A:$AX,$L17,FALSE))+$K$3,IF(OR($L17="",$L17="-"),"",VLOOKUP($G17,為替!$A:$AX,$L17,FALSE)))</f>
        <v>145.58000000000001</v>
      </c>
      <c r="N17" s="205">
        <f t="shared" si="4"/>
        <v>127134</v>
      </c>
      <c r="O17" s="206">
        <f t="shared" si="5"/>
        <v>47048.755000000005</v>
      </c>
      <c r="P17" s="207">
        <f t="shared" si="6"/>
        <v>0.27011144128475867</v>
      </c>
    </row>
    <row r="18" spans="1:16">
      <c r="A18" s="163" t="s">
        <v>343</v>
      </c>
      <c r="B18" s="163" t="s">
        <v>323</v>
      </c>
      <c r="C18" s="200">
        <v>10450</v>
      </c>
      <c r="D18" s="201">
        <v>0</v>
      </c>
      <c r="E18" s="202" t="s">
        <v>200</v>
      </c>
      <c r="F18" s="200">
        <v>128.9</v>
      </c>
      <c r="G18" s="162">
        <v>45826</v>
      </c>
      <c r="H18" s="203" t="s">
        <v>199</v>
      </c>
      <c r="I18" s="186">
        <f t="shared" si="1"/>
        <v>4</v>
      </c>
      <c r="J18" s="204">
        <f>IF($H18="USD",IF(OR($I18="",$I18="-"),"",VLOOKUP($G18,為替!$A:$AX,$I18,FALSE))+$J$3,IF(OR($I18="",$I18="-"),"",VLOOKUP($G18,為替!$A:$AX,$I18,FALSE)))</f>
        <v>144.86000000000001</v>
      </c>
      <c r="K18" s="205">
        <f t="shared" si="2"/>
        <v>18672.454000000002</v>
      </c>
      <c r="L18" s="189">
        <f t="shared" ref="L18:L81" si="7">IF(H18="","",IF(H18="JPY","",IF($H18="USD",3, IF(H18="EUR",6,IF(H18="CNY",46,IF(H18="HKD",33))))))</f>
        <v>3</v>
      </c>
      <c r="M18" s="204">
        <f>IF($H18="USD",IF(OR($L18="",$L18="-"),"",VLOOKUP($G18,為替!$A:$AX,$L18,FALSE))+$K$3,IF(OR($L18="",$L18="-"),"",VLOOKUP($G18,為替!$A:$AX,$L18,FALSE)))</f>
        <v>145.86000000000001</v>
      </c>
      <c r="N18" s="205">
        <f t="shared" si="4"/>
        <v>10450</v>
      </c>
      <c r="O18" s="206">
        <f t="shared" ref="O18:O81" si="8">IF(OR(K18="",N18=""),"",K18-N18)</f>
        <v>8222.4540000000015</v>
      </c>
      <c r="P18" s="207">
        <f t="shared" ref="P18:P81" si="9">IF(OR(K18="",O18=""),"",O18/K18)</f>
        <v>0.44035208227049327</v>
      </c>
    </row>
    <row r="19" spans="1:16">
      <c r="A19" s="163" t="s">
        <v>343</v>
      </c>
      <c r="B19" s="163" t="s">
        <v>324</v>
      </c>
      <c r="C19" s="200">
        <v>63756</v>
      </c>
      <c r="D19" s="201">
        <v>0</v>
      </c>
      <c r="E19" s="202" t="s">
        <v>200</v>
      </c>
      <c r="F19" s="200">
        <v>624.16</v>
      </c>
      <c r="G19" s="162">
        <v>45827</v>
      </c>
      <c r="H19" s="203" t="s">
        <v>199</v>
      </c>
      <c r="I19" s="186">
        <f t="shared" si="1"/>
        <v>4</v>
      </c>
      <c r="J19" s="204">
        <f>IF($H19="USD",IF(OR($I19="",$I19="-"),"",VLOOKUP($G19,為替!$A:$AX,$I19,FALSE))+$J$3,IF(OR($I19="",$I19="-"),"",VLOOKUP($G19,為替!$A:$AX,$I19,FALSE)))</f>
        <v>144.41999999999999</v>
      </c>
      <c r="K19" s="205">
        <f t="shared" si="2"/>
        <v>90141.187199999986</v>
      </c>
      <c r="L19" s="189">
        <f t="shared" si="7"/>
        <v>3</v>
      </c>
      <c r="M19" s="204">
        <f>IF($H19="USD",IF(OR($L19="",$L19="-"),"",VLOOKUP($G19,為替!$A:$AX,$L19,FALSE))+$K$3,IF(OR($L19="",$L19="-"),"",VLOOKUP($G19,為替!$A:$AX,$L19,FALSE)))</f>
        <v>145.41999999999999</v>
      </c>
      <c r="N19" s="205">
        <f t="shared" si="4"/>
        <v>63756</v>
      </c>
      <c r="O19" s="206">
        <f t="shared" si="8"/>
        <v>26385.187199999986</v>
      </c>
      <c r="P19" s="207">
        <f t="shared" si="9"/>
        <v>0.29270955952086675</v>
      </c>
    </row>
    <row r="20" spans="1:16">
      <c r="A20" s="163" t="s">
        <v>343</v>
      </c>
      <c r="B20" s="163" t="s">
        <v>325</v>
      </c>
      <c r="C20" s="200">
        <v>4000</v>
      </c>
      <c r="D20" s="201">
        <v>0</v>
      </c>
      <c r="E20" s="202" t="s">
        <v>200</v>
      </c>
      <c r="F20" s="200">
        <v>72</v>
      </c>
      <c r="G20" s="162">
        <v>45828</v>
      </c>
      <c r="H20" s="203" t="s">
        <v>199</v>
      </c>
      <c r="I20" s="186">
        <f t="shared" si="1"/>
        <v>4</v>
      </c>
      <c r="J20" s="204">
        <f>IF($H20="USD",IF(OR($I20="",$I20="-"),"",VLOOKUP($G20,為替!$A:$AX,$I20,FALSE))+$J$3,IF(OR($I20="",$I20="-"),"",VLOOKUP($G20,為替!$A:$AX,$I20,FALSE)))</f>
        <v>144.85</v>
      </c>
      <c r="K20" s="205">
        <f t="shared" si="2"/>
        <v>10429.199999999999</v>
      </c>
      <c r="L20" s="189">
        <f t="shared" si="7"/>
        <v>3</v>
      </c>
      <c r="M20" s="204">
        <f>IF($H20="USD",IF(OR($L20="",$L20="-"),"",VLOOKUP($G20,為替!$A:$AX,$L20,FALSE))+$K$3,IF(OR($L20="",$L20="-"),"",VLOOKUP($G20,為替!$A:$AX,$L20,FALSE)))</f>
        <v>145.85</v>
      </c>
      <c r="N20" s="205">
        <f t="shared" si="4"/>
        <v>4000</v>
      </c>
      <c r="O20" s="206">
        <f t="shared" si="8"/>
        <v>6429.1999999999989</v>
      </c>
      <c r="P20" s="207">
        <f t="shared" si="9"/>
        <v>0.61646147355501857</v>
      </c>
    </row>
    <row r="21" spans="1:16">
      <c r="A21" s="163" t="s">
        <v>343</v>
      </c>
      <c r="B21" s="163" t="s">
        <v>326</v>
      </c>
      <c r="C21" s="200">
        <v>77927</v>
      </c>
      <c r="D21" s="201">
        <v>0</v>
      </c>
      <c r="E21" s="202" t="s">
        <v>200</v>
      </c>
      <c r="F21" s="200">
        <v>758.21</v>
      </c>
      <c r="G21" s="162">
        <v>45831</v>
      </c>
      <c r="H21" s="203" t="s">
        <v>199</v>
      </c>
      <c r="I21" s="186">
        <f t="shared" si="1"/>
        <v>4</v>
      </c>
      <c r="J21" s="204">
        <f>IF($H21="USD",IF(OR($I21="",$I21="-"),"",VLOOKUP($G21,為替!$A:$AX,$I21,FALSE))+$J$3,IF(OR($I21="",$I21="-"),"",VLOOKUP($G21,為替!$A:$AX,$I21,FALSE)))</f>
        <v>146</v>
      </c>
      <c r="K21" s="205">
        <f t="shared" si="2"/>
        <v>110698.66</v>
      </c>
      <c r="L21" s="189">
        <f t="shared" si="7"/>
        <v>3</v>
      </c>
      <c r="M21" s="204">
        <f>IF($H21="USD",IF(OR($L21="",$L21="-"),"",VLOOKUP($G21,為替!$A:$AX,$L21,FALSE))+$K$3,IF(OR($L21="",$L21="-"),"",VLOOKUP($G21,為替!$A:$AX,$L21,FALSE)))</f>
        <v>147</v>
      </c>
      <c r="N21" s="205">
        <f t="shared" si="4"/>
        <v>77927</v>
      </c>
      <c r="O21" s="206">
        <f t="shared" si="8"/>
        <v>32771.660000000003</v>
      </c>
      <c r="P21" s="207">
        <f t="shared" si="9"/>
        <v>0.29604387261778964</v>
      </c>
    </row>
    <row r="22" spans="1:16">
      <c r="A22" s="163" t="s">
        <v>343</v>
      </c>
      <c r="B22" s="163" t="s">
        <v>327</v>
      </c>
      <c r="C22" s="200">
        <v>1144936</v>
      </c>
      <c r="D22" s="201">
        <v>0</v>
      </c>
      <c r="E22" s="202" t="s">
        <v>200</v>
      </c>
      <c r="F22" s="200">
        <v>10845.4</v>
      </c>
      <c r="G22" s="162">
        <v>45834</v>
      </c>
      <c r="H22" s="203" t="s">
        <v>199</v>
      </c>
      <c r="I22" s="186">
        <f t="shared" si="1"/>
        <v>4</v>
      </c>
      <c r="J22" s="204">
        <f>IF($H22="USD",IF(OR($I22="",$I22="-"),"",VLOOKUP($G22,為替!$A:$AX,$I22,FALSE))+$J$3,IF(OR($I22="",$I22="-"),"",VLOOKUP($G22,為替!$A:$AX,$I22,FALSE)))</f>
        <v>144.30000000000001</v>
      </c>
      <c r="K22" s="205">
        <f t="shared" si="2"/>
        <v>1564991.22</v>
      </c>
      <c r="L22" s="189">
        <f t="shared" si="7"/>
        <v>3</v>
      </c>
      <c r="M22" s="204">
        <f>IF($H22="USD",IF(OR($L22="",$L22="-"),"",VLOOKUP($G22,為替!$A:$AX,$L22,FALSE))+$K$3,IF(OR($L22="",$L22="-"),"",VLOOKUP($G22,為替!$A:$AX,$L22,FALSE)))</f>
        <v>145.30000000000001</v>
      </c>
      <c r="N22" s="205">
        <f t="shared" si="4"/>
        <v>1144936</v>
      </c>
      <c r="O22" s="206">
        <f t="shared" si="8"/>
        <v>420055.22</v>
      </c>
      <c r="P22" s="207">
        <f t="shared" si="9"/>
        <v>0.26840739719932738</v>
      </c>
    </row>
    <row r="23" spans="1:16">
      <c r="A23" s="163" t="s">
        <v>343</v>
      </c>
      <c r="B23" s="163" t="s">
        <v>328</v>
      </c>
      <c r="C23" s="200">
        <v>6140</v>
      </c>
      <c r="D23" s="201">
        <v>0</v>
      </c>
      <c r="E23" s="202" t="s">
        <v>200</v>
      </c>
      <c r="F23" s="200">
        <v>72</v>
      </c>
      <c r="G23" s="162">
        <v>45835</v>
      </c>
      <c r="H23" s="203" t="s">
        <v>199</v>
      </c>
      <c r="I23" s="186">
        <f t="shared" si="1"/>
        <v>4</v>
      </c>
      <c r="J23" s="204">
        <f>IF($H23="USD",IF(OR($I23="",$I23="-"),"",VLOOKUP($G23,為替!$A:$AX,$I23,FALSE))+$J$3,IF(OR($I23="",$I23="-"),"",VLOOKUP($G23,為替!$A:$AX,$I23,FALSE)))</f>
        <v>144.08000000000001</v>
      </c>
      <c r="K23" s="205">
        <f t="shared" si="2"/>
        <v>10373.76</v>
      </c>
      <c r="L23" s="189">
        <f t="shared" si="7"/>
        <v>3</v>
      </c>
      <c r="M23" s="204">
        <f>IF($H23="USD",IF(OR($L23="",$L23="-"),"",VLOOKUP($G23,為替!$A:$AX,$L23,FALSE))+$K$3,IF(OR($L23="",$L23="-"),"",VLOOKUP($G23,為替!$A:$AX,$L23,FALSE)))</f>
        <v>145.08000000000001</v>
      </c>
      <c r="N23" s="205">
        <f t="shared" si="4"/>
        <v>6140</v>
      </c>
      <c r="O23" s="206">
        <f t="shared" si="8"/>
        <v>4233.76</v>
      </c>
      <c r="P23" s="207">
        <f t="shared" si="9"/>
        <v>0.40812203097044852</v>
      </c>
    </row>
    <row r="24" spans="1:16">
      <c r="A24" s="163" t="s">
        <v>343</v>
      </c>
      <c r="B24" s="163" t="s">
        <v>329</v>
      </c>
      <c r="C24" s="200">
        <v>2940</v>
      </c>
      <c r="D24" s="201">
        <v>0</v>
      </c>
      <c r="E24" s="202" t="s">
        <v>200</v>
      </c>
      <c r="F24" s="200">
        <v>37</v>
      </c>
      <c r="G24" s="162">
        <v>45835</v>
      </c>
      <c r="H24" s="203" t="s">
        <v>199</v>
      </c>
      <c r="I24" s="186">
        <f t="shared" si="1"/>
        <v>4</v>
      </c>
      <c r="J24" s="204">
        <f>IF($H24="USD",IF(OR($I24="",$I24="-"),"",VLOOKUP($G24,為替!$A:$AX,$I24,FALSE))+$J$3,IF(OR($I24="",$I24="-"),"",VLOOKUP($G24,為替!$A:$AX,$I24,FALSE)))</f>
        <v>144.08000000000001</v>
      </c>
      <c r="K24" s="205">
        <f t="shared" si="2"/>
        <v>5330.96</v>
      </c>
      <c r="L24" s="189">
        <f t="shared" si="7"/>
        <v>3</v>
      </c>
      <c r="M24" s="204">
        <f>IF($H24="USD",IF(OR($L24="",$L24="-"),"",VLOOKUP($G24,為替!$A:$AX,$L24,FALSE))+$K$3,IF(OR($L24="",$L24="-"),"",VLOOKUP($G24,為替!$A:$AX,$L24,FALSE)))</f>
        <v>145.08000000000001</v>
      </c>
      <c r="N24" s="205">
        <f t="shared" si="4"/>
        <v>2940</v>
      </c>
      <c r="O24" s="206">
        <f t="shared" si="8"/>
        <v>2390.96</v>
      </c>
      <c r="P24" s="207">
        <f t="shared" si="9"/>
        <v>0.44850458454012038</v>
      </c>
    </row>
    <row r="25" spans="1:16">
      <c r="A25" s="163" t="s">
        <v>343</v>
      </c>
      <c r="B25" s="163" t="s">
        <v>330</v>
      </c>
      <c r="C25" s="200">
        <v>14997</v>
      </c>
      <c r="D25" s="201">
        <v>0</v>
      </c>
      <c r="E25" s="202" t="s">
        <v>200</v>
      </c>
      <c r="F25" s="200">
        <v>187.14</v>
      </c>
      <c r="G25" s="162">
        <v>45838</v>
      </c>
      <c r="H25" s="203" t="s">
        <v>199</v>
      </c>
      <c r="I25" s="186">
        <f t="shared" si="1"/>
        <v>4</v>
      </c>
      <c r="J25" s="204">
        <f>IF($H25="USD",IF(OR($I25="",$I25="-"),"",VLOOKUP($G25,為替!$A:$AX,$I25,FALSE))+$J$3,IF(OR($I25="",$I25="-"),"",VLOOKUP($G25,為替!$A:$AX,$I25,FALSE)))</f>
        <v>144.31</v>
      </c>
      <c r="K25" s="205">
        <f t="shared" si="2"/>
        <v>27006.1734</v>
      </c>
      <c r="L25" s="189">
        <f t="shared" si="7"/>
        <v>3</v>
      </c>
      <c r="M25" s="204">
        <f>IF($H25="USD",IF(OR($L25="",$L25="-"),"",VLOOKUP($G25,為替!$A:$AX,$L25,FALSE))+$K$3,IF(OR($L25="",$L25="-"),"",VLOOKUP($G25,為替!$A:$AX,$L25,FALSE)))</f>
        <v>145.31</v>
      </c>
      <c r="N25" s="205">
        <f t="shared" si="4"/>
        <v>14997</v>
      </c>
      <c r="O25" s="206">
        <f t="shared" si="8"/>
        <v>12009.1734</v>
      </c>
      <c r="P25" s="207">
        <f t="shared" si="9"/>
        <v>0.44468252581093182</v>
      </c>
    </row>
    <row r="26" spans="1:16">
      <c r="A26" s="163" t="s">
        <v>343</v>
      </c>
      <c r="B26" s="163" t="s">
        <v>331</v>
      </c>
      <c r="C26" s="200">
        <v>29750</v>
      </c>
      <c r="D26" s="201">
        <v>0</v>
      </c>
      <c r="E26" s="202" t="s">
        <v>200</v>
      </c>
      <c r="F26" s="200">
        <v>278.64</v>
      </c>
      <c r="G26" s="162">
        <v>45838</v>
      </c>
      <c r="H26" s="203" t="s">
        <v>199</v>
      </c>
      <c r="I26" s="186">
        <f t="shared" si="1"/>
        <v>4</v>
      </c>
      <c r="J26" s="204">
        <f>IF($H26="USD",IF(OR($I26="",$I26="-"),"",VLOOKUP($G26,為替!$A:$AX,$I26,FALSE))+$J$3,IF(OR($I26="",$I26="-"),"",VLOOKUP($G26,為替!$A:$AX,$I26,FALSE)))</f>
        <v>144.31</v>
      </c>
      <c r="K26" s="205">
        <f t="shared" si="2"/>
        <v>40210.538399999998</v>
      </c>
      <c r="L26" s="189">
        <f t="shared" si="7"/>
        <v>3</v>
      </c>
      <c r="M26" s="204">
        <f>IF($H26="USD",IF(OR($L26="",$L26="-"),"",VLOOKUP($G26,為替!$A:$AX,$L26,FALSE))+$K$3,IF(OR($L26="",$L26="-"),"",VLOOKUP($G26,為替!$A:$AX,$L26,FALSE)))</f>
        <v>145.31</v>
      </c>
      <c r="N26" s="205">
        <f t="shared" si="4"/>
        <v>29750</v>
      </c>
      <c r="O26" s="206">
        <f t="shared" si="8"/>
        <v>10460.538399999998</v>
      </c>
      <c r="P26" s="207">
        <f t="shared" si="9"/>
        <v>0.2601442014016902</v>
      </c>
    </row>
    <row r="27" spans="1:16">
      <c r="A27" s="163" t="s">
        <v>332</v>
      </c>
      <c r="B27" s="163">
        <v>7214</v>
      </c>
      <c r="C27" s="200">
        <v>122610</v>
      </c>
      <c r="D27" s="201">
        <v>0</v>
      </c>
      <c r="E27" s="202" t="s">
        <v>200</v>
      </c>
      <c r="F27" s="200">
        <v>2163.6</v>
      </c>
      <c r="G27" s="162">
        <v>45826</v>
      </c>
      <c r="H27" s="203" t="s">
        <v>199</v>
      </c>
      <c r="I27" s="186">
        <f t="shared" si="1"/>
        <v>4</v>
      </c>
      <c r="J27" s="204">
        <f>IF($H27="USD",IF(OR($I27="",$I27="-"),"",VLOOKUP($G27,為替!$A:$AX,$I27,FALSE))+$J$3,IF(OR($I27="",$I27="-"),"",VLOOKUP($G27,為替!$A:$AX,$I27,FALSE)))</f>
        <v>144.86000000000001</v>
      </c>
      <c r="K27" s="205">
        <f t="shared" si="2"/>
        <v>313419.09600000002</v>
      </c>
      <c r="L27" s="189">
        <f t="shared" si="7"/>
        <v>3</v>
      </c>
      <c r="M27" s="204">
        <f>IF($H27="USD",IF(OR($L27="",$L27="-"),"",VLOOKUP($G27,為替!$A:$AX,$L27,FALSE))+$K$3,IF(OR($L27="",$L27="-"),"",VLOOKUP($G27,為替!$A:$AX,$L27,FALSE)))</f>
        <v>145.86000000000001</v>
      </c>
      <c r="N27" s="205">
        <f t="shared" si="4"/>
        <v>122610</v>
      </c>
      <c r="O27" s="206">
        <f t="shared" si="8"/>
        <v>190809.09600000002</v>
      </c>
      <c r="P27" s="207">
        <f t="shared" si="9"/>
        <v>0.60879856535608157</v>
      </c>
    </row>
    <row r="28" spans="1:16">
      <c r="A28" s="163" t="s">
        <v>343</v>
      </c>
      <c r="B28" s="163" t="s">
        <v>346</v>
      </c>
      <c r="C28" s="200">
        <v>11800</v>
      </c>
      <c r="D28" s="201">
        <v>0</v>
      </c>
      <c r="E28" s="202" t="s">
        <v>200</v>
      </c>
      <c r="F28" s="200">
        <v>156.5</v>
      </c>
      <c r="G28" s="162">
        <v>45839</v>
      </c>
      <c r="H28" s="203" t="s">
        <v>199</v>
      </c>
      <c r="I28" s="186">
        <f t="shared" si="1"/>
        <v>4</v>
      </c>
      <c r="J28" s="204">
        <f>IF($H28="USD",IF(OR($I28="",$I28="-"),"",VLOOKUP($G28,為替!$A:$AX,$I28,FALSE))+$J$3,IF(OR($I28="",$I28="-"),"",VLOOKUP($G28,為替!$A:$AX,$I28,FALSE)))</f>
        <v>143.19</v>
      </c>
      <c r="K28" s="205">
        <f t="shared" si="2"/>
        <v>22409.235000000001</v>
      </c>
      <c r="L28" s="189">
        <f t="shared" si="7"/>
        <v>3</v>
      </c>
      <c r="M28" s="204">
        <f>IF($H28="USD",IF(OR($L28="",$L28="-"),"",VLOOKUP($G28,為替!$A:$AX,$L28,FALSE))+$K$3,IF(OR($L28="",$L28="-"),"",VLOOKUP($G28,為替!$A:$AX,$L28,FALSE)))</f>
        <v>144.19</v>
      </c>
      <c r="N28" s="205">
        <f t="shared" si="4"/>
        <v>11800</v>
      </c>
      <c r="O28" s="206">
        <f t="shared" si="8"/>
        <v>10609.235000000001</v>
      </c>
      <c r="P28" s="207">
        <f t="shared" si="9"/>
        <v>0.47343137773333183</v>
      </c>
    </row>
    <row r="29" spans="1:16">
      <c r="A29" s="163" t="s">
        <v>343</v>
      </c>
      <c r="B29" s="163" t="s">
        <v>347</v>
      </c>
      <c r="C29" s="200">
        <v>20480</v>
      </c>
      <c r="D29" s="201">
        <v>12907</v>
      </c>
      <c r="E29" s="202" t="s">
        <v>200</v>
      </c>
      <c r="F29" s="200">
        <v>330.52</v>
      </c>
      <c r="G29" s="162">
        <v>45839</v>
      </c>
      <c r="H29" s="203" t="s">
        <v>199</v>
      </c>
      <c r="I29" s="186">
        <f t="shared" si="1"/>
        <v>4</v>
      </c>
      <c r="J29" s="204">
        <f>IF($H29="USD",IF(OR($I29="",$I29="-"),"",VLOOKUP($G29,為替!$A:$AX,$I29,FALSE))+$J$3,IF(OR($I29="",$I29="-"),"",VLOOKUP($G29,為替!$A:$AX,$I29,FALSE)))</f>
        <v>143.19</v>
      </c>
      <c r="K29" s="205">
        <f t="shared" si="2"/>
        <v>47327.158799999997</v>
      </c>
      <c r="L29" s="189">
        <f t="shared" si="7"/>
        <v>3</v>
      </c>
      <c r="M29" s="204">
        <f>IF($H29="USD",IF(OR($L29="",$L29="-"),"",VLOOKUP($G29,為替!$A:$AX,$L29,FALSE))+$K$3,IF(OR($L29="",$L29="-"),"",VLOOKUP($G29,為替!$A:$AX,$L29,FALSE)))</f>
        <v>144.19</v>
      </c>
      <c r="N29" s="205">
        <f t="shared" si="4"/>
        <v>33387</v>
      </c>
      <c r="O29" s="206">
        <f t="shared" si="8"/>
        <v>13940.158799999997</v>
      </c>
      <c r="P29" s="207">
        <f t="shared" si="9"/>
        <v>0.29454882045444059</v>
      </c>
    </row>
    <row r="30" spans="1:16">
      <c r="A30" s="163" t="s">
        <v>343</v>
      </c>
      <c r="B30" s="163" t="s">
        <v>348</v>
      </c>
      <c r="C30" s="200">
        <v>3900</v>
      </c>
      <c r="D30" s="201">
        <v>0</v>
      </c>
      <c r="E30" s="202" t="s">
        <v>200</v>
      </c>
      <c r="F30" s="200">
        <v>48</v>
      </c>
      <c r="G30" s="162">
        <v>45840</v>
      </c>
      <c r="H30" s="203" t="s">
        <v>199</v>
      </c>
      <c r="I30" s="186">
        <f t="shared" si="1"/>
        <v>4</v>
      </c>
      <c r="J30" s="204">
        <f>IF($H30="USD",IF(OR($I30="",$I30="-"),"",VLOOKUP($G30,為替!$A:$AX,$I30,FALSE))+$J$3,IF(OR($I30="",$I30="-"),"",VLOOKUP($G30,為替!$A:$AX,$I30,FALSE)))</f>
        <v>143.19999999999999</v>
      </c>
      <c r="K30" s="205">
        <f t="shared" si="2"/>
        <v>6873.5999999999995</v>
      </c>
      <c r="L30" s="189">
        <f t="shared" si="7"/>
        <v>3</v>
      </c>
      <c r="M30" s="204">
        <f>IF($H30="USD",IF(OR($L30="",$L30="-"),"",VLOOKUP($G30,為替!$A:$AX,$L30,FALSE))+$K$3,IF(OR($L30="",$L30="-"),"",VLOOKUP($G30,為替!$A:$AX,$L30,FALSE)))</f>
        <v>144.19999999999999</v>
      </c>
      <c r="N30" s="205">
        <f t="shared" si="4"/>
        <v>3900</v>
      </c>
      <c r="O30" s="206">
        <f t="shared" si="8"/>
        <v>2973.5999999999995</v>
      </c>
      <c r="P30" s="207">
        <f t="shared" si="9"/>
        <v>0.43261173184357538</v>
      </c>
    </row>
    <row r="31" spans="1:16">
      <c r="A31" s="163" t="s">
        <v>343</v>
      </c>
      <c r="B31" s="163" t="s">
        <v>349</v>
      </c>
      <c r="C31" s="200">
        <v>800</v>
      </c>
      <c r="D31" s="201">
        <v>0</v>
      </c>
      <c r="E31" s="202" t="s">
        <v>200</v>
      </c>
      <c r="F31" s="200">
        <v>11.37</v>
      </c>
      <c r="G31" s="162">
        <v>45840</v>
      </c>
      <c r="H31" s="203" t="s">
        <v>199</v>
      </c>
      <c r="I31" s="186">
        <f t="shared" si="1"/>
        <v>4</v>
      </c>
      <c r="J31" s="204">
        <f>IF($H31="USD",IF(OR($I31="",$I31="-"),"",VLOOKUP($G31,為替!$A:$AX,$I31,FALSE))+$J$3,IF(OR($I31="",$I31="-"),"",VLOOKUP($G31,為替!$A:$AX,$I31,FALSE)))</f>
        <v>143.19999999999999</v>
      </c>
      <c r="K31" s="205">
        <f t="shared" si="2"/>
        <v>1628.1839999999997</v>
      </c>
      <c r="L31" s="189">
        <f t="shared" si="7"/>
        <v>3</v>
      </c>
      <c r="M31" s="204">
        <f>IF($H31="USD",IF(OR($L31="",$L31="-"),"",VLOOKUP($G31,為替!$A:$AX,$L31,FALSE))+$K$3,IF(OR($L31="",$L31="-"),"",VLOOKUP($G31,為替!$A:$AX,$L31,FALSE)))</f>
        <v>144.19999999999999</v>
      </c>
      <c r="N31" s="205">
        <f t="shared" si="4"/>
        <v>800</v>
      </c>
      <c r="O31" s="206">
        <f t="shared" si="8"/>
        <v>828.18399999999974</v>
      </c>
      <c r="P31" s="207">
        <f t="shared" si="9"/>
        <v>0.50865504144494722</v>
      </c>
    </row>
    <row r="32" spans="1:16">
      <c r="A32" s="163" t="s">
        <v>343</v>
      </c>
      <c r="B32" s="163" t="s">
        <v>350</v>
      </c>
      <c r="C32" s="200">
        <v>6505</v>
      </c>
      <c r="D32" s="201">
        <v>0</v>
      </c>
      <c r="E32" s="202" t="s">
        <v>200</v>
      </c>
      <c r="F32" s="200">
        <v>77.849999999999994</v>
      </c>
      <c r="G32" s="162">
        <v>45842</v>
      </c>
      <c r="H32" s="203" t="s">
        <v>199</v>
      </c>
      <c r="I32" s="186">
        <f t="shared" si="1"/>
        <v>4</v>
      </c>
      <c r="J32" s="204">
        <f>IF($H32="USD",IF(OR($I32="",$I32="-"),"",VLOOKUP($G32,為替!$A:$AX,$I32,FALSE))+$J$3,IF(OR($I32="",$I32="-"),"",VLOOKUP($G32,為替!$A:$AX,$I32,FALSE)))</f>
        <v>144.13</v>
      </c>
      <c r="K32" s="205">
        <f t="shared" si="2"/>
        <v>11220.520499999999</v>
      </c>
      <c r="L32" s="189">
        <f t="shared" si="7"/>
        <v>3</v>
      </c>
      <c r="M32" s="204">
        <f>IF($H32="USD",IF(OR($L32="",$L32="-"),"",VLOOKUP($G32,為替!$A:$AX,$L32,FALSE))+$K$3,IF(OR($L32="",$L32="-"),"",VLOOKUP($G32,為替!$A:$AX,$L32,FALSE)))</f>
        <v>145.13</v>
      </c>
      <c r="N32" s="205">
        <f t="shared" si="4"/>
        <v>6505</v>
      </c>
      <c r="O32" s="206">
        <f t="shared" si="8"/>
        <v>4715.5204999999987</v>
      </c>
      <c r="P32" s="207">
        <f t="shared" si="9"/>
        <v>0.42025862347473092</v>
      </c>
    </row>
    <row r="33" spans="1:16">
      <c r="A33" s="163" t="s">
        <v>343</v>
      </c>
      <c r="B33" s="163" t="s">
        <v>351</v>
      </c>
      <c r="C33" s="200">
        <v>6284</v>
      </c>
      <c r="D33" s="201">
        <v>0</v>
      </c>
      <c r="E33" s="202" t="s">
        <v>200</v>
      </c>
      <c r="F33" s="200">
        <v>75.11</v>
      </c>
      <c r="G33" s="162">
        <v>45842</v>
      </c>
      <c r="H33" s="203" t="s">
        <v>199</v>
      </c>
      <c r="I33" s="186">
        <f t="shared" si="1"/>
        <v>4</v>
      </c>
      <c r="J33" s="204">
        <f>IF($H33="USD",IF(OR($I33="",$I33="-"),"",VLOOKUP($G33,為替!$A:$AX,$I33,FALSE))+$J$3,IF(OR($I33="",$I33="-"),"",VLOOKUP($G33,為替!$A:$AX,$I33,FALSE)))</f>
        <v>144.13</v>
      </c>
      <c r="K33" s="205">
        <f t="shared" si="2"/>
        <v>10825.604299999999</v>
      </c>
      <c r="L33" s="189">
        <f t="shared" si="7"/>
        <v>3</v>
      </c>
      <c r="M33" s="204">
        <f>IF($H33="USD",IF(OR($L33="",$L33="-"),"",VLOOKUP($G33,為替!$A:$AX,$L33,FALSE))+$K$3,IF(OR($L33="",$L33="-"),"",VLOOKUP($G33,為替!$A:$AX,$L33,FALSE)))</f>
        <v>145.13</v>
      </c>
      <c r="N33" s="205">
        <f t="shared" si="4"/>
        <v>6284</v>
      </c>
      <c r="O33" s="206">
        <f t="shared" si="8"/>
        <v>4541.6042999999991</v>
      </c>
      <c r="P33" s="207">
        <f t="shared" si="9"/>
        <v>0.41952432161223546</v>
      </c>
    </row>
    <row r="34" spans="1:16">
      <c r="A34" s="163" t="s">
        <v>343</v>
      </c>
      <c r="B34" s="163" t="s">
        <v>352</v>
      </c>
      <c r="C34" s="200">
        <v>48000</v>
      </c>
      <c r="D34" s="201">
        <v>10910</v>
      </c>
      <c r="E34" s="202" t="s">
        <v>200</v>
      </c>
      <c r="F34" s="200">
        <v>570</v>
      </c>
      <c r="G34" s="162">
        <v>45845</v>
      </c>
      <c r="H34" s="203" t="s">
        <v>199</v>
      </c>
      <c r="I34" s="186">
        <f t="shared" si="1"/>
        <v>4</v>
      </c>
      <c r="J34" s="204">
        <f>IF($H34="USD",IF(OR($I34="",$I34="-"),"",VLOOKUP($G34,為替!$A:$AX,$I34,FALSE))+$J$3,IF(OR($I34="",$I34="-"),"",VLOOKUP($G34,為替!$A:$AX,$I34,FALSE)))</f>
        <v>143.91</v>
      </c>
      <c r="K34" s="205">
        <f t="shared" si="2"/>
        <v>82028.7</v>
      </c>
      <c r="L34" s="189">
        <f t="shared" si="7"/>
        <v>3</v>
      </c>
      <c r="M34" s="204">
        <f>IF($H34="USD",IF(OR($L34="",$L34="-"),"",VLOOKUP($G34,為替!$A:$AX,$L34,FALSE))+$K$3,IF(OR($L34="",$L34="-"),"",VLOOKUP($G34,為替!$A:$AX,$L34,FALSE)))</f>
        <v>144.91</v>
      </c>
      <c r="N34" s="205">
        <f t="shared" si="4"/>
        <v>58910</v>
      </c>
      <c r="O34" s="206">
        <f t="shared" si="8"/>
        <v>23118.699999999997</v>
      </c>
      <c r="P34" s="207">
        <f t="shared" si="9"/>
        <v>0.2818367230006083</v>
      </c>
    </row>
    <row r="35" spans="1:16">
      <c r="A35" s="163" t="s">
        <v>343</v>
      </c>
      <c r="B35" s="163" t="s">
        <v>353</v>
      </c>
      <c r="C35" s="200">
        <v>6370</v>
      </c>
      <c r="D35" s="201">
        <v>0</v>
      </c>
      <c r="E35" s="202" t="s">
        <v>200</v>
      </c>
      <c r="F35" s="200">
        <v>76.8</v>
      </c>
      <c r="G35" s="162">
        <v>45847</v>
      </c>
      <c r="H35" s="203" t="s">
        <v>199</v>
      </c>
      <c r="I35" s="186">
        <f t="shared" si="1"/>
        <v>4</v>
      </c>
      <c r="J35" s="204">
        <f>IF($H35="USD",IF(OR($I35="",$I35="-"),"",VLOOKUP($G35,為替!$A:$AX,$I35,FALSE))+$J$3,IF(OR($I35="",$I35="-"),"",VLOOKUP($G35,為替!$A:$AX,$I35,FALSE)))</f>
        <v>146.38999999999999</v>
      </c>
      <c r="K35" s="205">
        <f t="shared" si="2"/>
        <v>11242.751999999999</v>
      </c>
      <c r="L35" s="189">
        <f t="shared" si="7"/>
        <v>3</v>
      </c>
      <c r="M35" s="204">
        <f>IF($H35="USD",IF(OR($L35="",$L35="-"),"",VLOOKUP($G35,為替!$A:$AX,$L35,FALSE))+$K$3,IF(OR($L35="",$L35="-"),"",VLOOKUP($G35,為替!$A:$AX,$L35,FALSE)))</f>
        <v>147.38999999999999</v>
      </c>
      <c r="N35" s="205">
        <f t="shared" si="4"/>
        <v>6370</v>
      </c>
      <c r="O35" s="206">
        <f t="shared" si="8"/>
        <v>4872.7519999999986</v>
      </c>
      <c r="P35" s="207">
        <f t="shared" si="9"/>
        <v>0.43341274449529787</v>
      </c>
    </row>
    <row r="36" spans="1:16">
      <c r="A36" s="163" t="s">
        <v>343</v>
      </c>
      <c r="B36" s="163" t="s">
        <v>354</v>
      </c>
      <c r="C36" s="200">
        <v>46400</v>
      </c>
      <c r="D36" s="201">
        <v>24231</v>
      </c>
      <c r="E36" s="202" t="s">
        <v>200</v>
      </c>
      <c r="F36" s="200">
        <v>947</v>
      </c>
      <c r="G36" s="162">
        <v>45847</v>
      </c>
      <c r="H36" s="203" t="s">
        <v>199</v>
      </c>
      <c r="I36" s="186">
        <f t="shared" si="1"/>
        <v>4</v>
      </c>
      <c r="J36" s="204">
        <f>IF($H36="USD",IF(OR($I36="",$I36="-"),"",VLOOKUP($G36,為替!$A:$AX,$I36,FALSE))+$J$3,IF(OR($I36="",$I36="-"),"",VLOOKUP($G36,為替!$A:$AX,$I36,FALSE)))</f>
        <v>146.38999999999999</v>
      </c>
      <c r="K36" s="205">
        <f t="shared" si="2"/>
        <v>138631.32999999999</v>
      </c>
      <c r="L36" s="189">
        <f t="shared" si="7"/>
        <v>3</v>
      </c>
      <c r="M36" s="204">
        <f>IF($H36="USD",IF(OR($L36="",$L36="-"),"",VLOOKUP($G36,為替!$A:$AX,$L36,FALSE))+$K$3,IF(OR($L36="",$L36="-"),"",VLOOKUP($G36,為替!$A:$AX,$L36,FALSE)))</f>
        <v>147.38999999999999</v>
      </c>
      <c r="N36" s="205">
        <f t="shared" si="4"/>
        <v>70631</v>
      </c>
      <c r="O36" s="206">
        <f t="shared" si="8"/>
        <v>68000.329999999987</v>
      </c>
      <c r="P36" s="207">
        <f t="shared" si="9"/>
        <v>0.49051199321250105</v>
      </c>
    </row>
    <row r="37" spans="1:16">
      <c r="A37" s="163" t="s">
        <v>343</v>
      </c>
      <c r="B37" s="163" t="s">
        <v>355</v>
      </c>
      <c r="C37" s="200">
        <v>236340</v>
      </c>
      <c r="D37" s="201">
        <v>113395</v>
      </c>
      <c r="E37" s="202" t="s">
        <v>200</v>
      </c>
      <c r="F37" s="200">
        <v>4105.4399999999996</v>
      </c>
      <c r="G37" s="162">
        <v>45848</v>
      </c>
      <c r="H37" s="203" t="s">
        <v>199</v>
      </c>
      <c r="I37" s="186">
        <f t="shared" si="1"/>
        <v>4</v>
      </c>
      <c r="J37" s="204">
        <f>IF($H37="USD",IF(OR($I37="",$I37="-"),"",VLOOKUP($G37,為替!$A:$AX,$I37,FALSE))+$J$3,IF(OR($I37="",$I37="-"),"",VLOOKUP($G37,為替!$A:$AX,$I37,FALSE)))</f>
        <v>145.38999999999999</v>
      </c>
      <c r="K37" s="205">
        <f t="shared" si="2"/>
        <v>596889.92159999989</v>
      </c>
      <c r="L37" s="189">
        <f t="shared" si="7"/>
        <v>3</v>
      </c>
      <c r="M37" s="204">
        <f>IF($H37="USD",IF(OR($L37="",$L37="-"),"",VLOOKUP($G37,為替!$A:$AX,$L37,FALSE))+$K$3,IF(OR($L37="",$L37="-"),"",VLOOKUP($G37,為替!$A:$AX,$L37,FALSE)))</f>
        <v>146.38999999999999</v>
      </c>
      <c r="N37" s="205">
        <f t="shared" si="4"/>
        <v>349735</v>
      </c>
      <c r="O37" s="206">
        <f t="shared" si="8"/>
        <v>247154.92159999989</v>
      </c>
      <c r="P37" s="207">
        <f t="shared" si="9"/>
        <v>0.41407119245284962</v>
      </c>
    </row>
    <row r="38" spans="1:16">
      <c r="A38" s="163" t="s">
        <v>343</v>
      </c>
      <c r="B38" s="163" t="s">
        <v>356</v>
      </c>
      <c r="C38" s="200">
        <v>110380</v>
      </c>
      <c r="D38" s="201">
        <v>0</v>
      </c>
      <c r="E38" s="202" t="s">
        <v>200</v>
      </c>
      <c r="F38" s="200">
        <v>1043.1199999999999</v>
      </c>
      <c r="G38" s="162">
        <v>45852</v>
      </c>
      <c r="H38" s="203" t="s">
        <v>199</v>
      </c>
      <c r="I38" s="186">
        <f t="shared" si="1"/>
        <v>4</v>
      </c>
      <c r="J38" s="204">
        <f>IF($H38="USD",IF(OR($I38="",$I38="-"),"",VLOOKUP($G38,為替!$A:$AX,$I38,FALSE))+$J$3,IF(OR($I38="",$I38="-"),"",VLOOKUP($G38,為替!$A:$AX,$I38,FALSE)))</f>
        <v>146.52000000000001</v>
      </c>
      <c r="K38" s="205">
        <f t="shared" si="2"/>
        <v>152837.9424</v>
      </c>
      <c r="L38" s="189">
        <f t="shared" si="7"/>
        <v>3</v>
      </c>
      <c r="M38" s="204">
        <f>IF($H38="USD",IF(OR($L38="",$L38="-"),"",VLOOKUP($G38,為替!$A:$AX,$L38,FALSE))+$K$3,IF(OR($L38="",$L38="-"),"",VLOOKUP($G38,為替!$A:$AX,$L38,FALSE)))</f>
        <v>147.52000000000001</v>
      </c>
      <c r="N38" s="205">
        <f t="shared" si="4"/>
        <v>110380</v>
      </c>
      <c r="O38" s="206">
        <f t="shared" si="8"/>
        <v>42457.9424</v>
      </c>
      <c r="P38" s="207">
        <f t="shared" si="9"/>
        <v>0.27779713422784208</v>
      </c>
    </row>
    <row r="39" spans="1:16">
      <c r="A39" s="163" t="s">
        <v>343</v>
      </c>
      <c r="B39" s="163" t="s">
        <v>357</v>
      </c>
      <c r="C39" s="200">
        <v>87046</v>
      </c>
      <c r="D39" s="201">
        <v>33169</v>
      </c>
      <c r="E39" s="202" t="s">
        <v>200</v>
      </c>
      <c r="F39" s="200">
        <v>1231.49</v>
      </c>
      <c r="G39" s="162">
        <v>45853</v>
      </c>
      <c r="H39" s="203" t="s">
        <v>199</v>
      </c>
      <c r="I39" s="186">
        <f t="shared" si="1"/>
        <v>4</v>
      </c>
      <c r="J39" s="204">
        <f>IF($H39="USD",IF(OR($I39="",$I39="-"),"",VLOOKUP($G39,為替!$A:$AX,$I39,FALSE))+$J$3,IF(OR($I39="",$I39="-"),"",VLOOKUP($G39,為替!$A:$AX,$I39,FALSE)))</f>
        <v>147.19</v>
      </c>
      <c r="K39" s="205">
        <f t="shared" si="2"/>
        <v>181263.01310000001</v>
      </c>
      <c r="L39" s="189">
        <f t="shared" si="7"/>
        <v>3</v>
      </c>
      <c r="M39" s="204">
        <f>IF($H39="USD",IF(OR($L39="",$L39="-"),"",VLOOKUP($G39,為替!$A:$AX,$L39,FALSE))+$K$3,IF(OR($L39="",$L39="-"),"",VLOOKUP($G39,為替!$A:$AX,$L39,FALSE)))</f>
        <v>148.19</v>
      </c>
      <c r="N39" s="205">
        <f t="shared" si="4"/>
        <v>120215</v>
      </c>
      <c r="O39" s="206">
        <f t="shared" si="8"/>
        <v>61048.013100000011</v>
      </c>
      <c r="P39" s="207">
        <f t="shared" si="9"/>
        <v>0.33679244351036336</v>
      </c>
    </row>
    <row r="40" spans="1:16">
      <c r="A40" s="163" t="s">
        <v>343</v>
      </c>
      <c r="B40" s="163" t="s">
        <v>358</v>
      </c>
      <c r="C40" s="200">
        <v>211200</v>
      </c>
      <c r="D40" s="201">
        <v>0</v>
      </c>
      <c r="E40" s="202" t="s">
        <v>200</v>
      </c>
      <c r="F40" s="200">
        <v>2838</v>
      </c>
      <c r="G40" s="162">
        <v>45854</v>
      </c>
      <c r="H40" s="203" t="s">
        <v>199</v>
      </c>
      <c r="I40" s="186">
        <f t="shared" si="1"/>
        <v>4</v>
      </c>
      <c r="J40" s="204">
        <f>IF($H40="USD",IF(OR($I40="",$I40="-"),"",VLOOKUP($G40,為替!$A:$AX,$I40,FALSE))+$J$3,IF(OR($I40="",$I40="-"),"",VLOOKUP($G40,為替!$A:$AX,$I40,FALSE)))</f>
        <v>148.55000000000001</v>
      </c>
      <c r="K40" s="205">
        <f t="shared" si="2"/>
        <v>421584.9</v>
      </c>
      <c r="L40" s="189">
        <f t="shared" si="7"/>
        <v>3</v>
      </c>
      <c r="M40" s="204">
        <f>IF($H40="USD",IF(OR($L40="",$L40="-"),"",VLOOKUP($G40,為替!$A:$AX,$L40,FALSE))+$K$3,IF(OR($L40="",$L40="-"),"",VLOOKUP($G40,為替!$A:$AX,$L40,FALSE)))</f>
        <v>149.55000000000001</v>
      </c>
      <c r="N40" s="205">
        <f t="shared" si="4"/>
        <v>211200</v>
      </c>
      <c r="O40" s="206">
        <f t="shared" si="8"/>
        <v>210384.90000000002</v>
      </c>
      <c r="P40" s="207">
        <f t="shared" si="9"/>
        <v>0.49903329080334713</v>
      </c>
    </row>
    <row r="41" spans="1:16">
      <c r="A41" s="163" t="s">
        <v>343</v>
      </c>
      <c r="B41" s="163" t="s">
        <v>359</v>
      </c>
      <c r="C41" s="200">
        <v>21906</v>
      </c>
      <c r="D41" s="201">
        <v>0</v>
      </c>
      <c r="E41" s="202" t="s">
        <v>200</v>
      </c>
      <c r="F41" s="200">
        <v>273.3</v>
      </c>
      <c r="G41" s="162">
        <v>45856</v>
      </c>
      <c r="H41" s="203" t="s">
        <v>199</v>
      </c>
      <c r="I41" s="186">
        <f t="shared" si="1"/>
        <v>4</v>
      </c>
      <c r="J41" s="204">
        <f>IF($H41="USD",IF(OR($I41="",$I41="-"),"",VLOOKUP($G41,為替!$A:$AX,$I41,FALSE))+$J$3,IF(OR($I41="",$I41="-"),"",VLOOKUP($G41,為替!$A:$AX,$I41,FALSE)))</f>
        <v>148.19</v>
      </c>
      <c r="K41" s="205">
        <f t="shared" si="2"/>
        <v>40500.326999999997</v>
      </c>
      <c r="L41" s="189">
        <f t="shared" si="7"/>
        <v>3</v>
      </c>
      <c r="M41" s="204">
        <f>IF($H41="USD",IF(OR($L41="",$L41="-"),"",VLOOKUP($G41,為替!$A:$AX,$L41,FALSE))+$K$3,IF(OR($L41="",$L41="-"),"",VLOOKUP($G41,為替!$A:$AX,$L41,FALSE)))</f>
        <v>149.19</v>
      </c>
      <c r="N41" s="205">
        <f t="shared" si="4"/>
        <v>21906</v>
      </c>
      <c r="O41" s="206">
        <f t="shared" si="8"/>
        <v>18594.326999999997</v>
      </c>
      <c r="P41" s="207">
        <f t="shared" si="9"/>
        <v>0.45911547825280519</v>
      </c>
    </row>
    <row r="42" spans="1:16">
      <c r="A42" s="163" t="s">
        <v>343</v>
      </c>
      <c r="B42" s="163" t="s">
        <v>360</v>
      </c>
      <c r="C42" s="200">
        <v>3740</v>
      </c>
      <c r="D42" s="201">
        <v>0</v>
      </c>
      <c r="E42" s="202" t="s">
        <v>200</v>
      </c>
      <c r="F42" s="200">
        <v>46.8</v>
      </c>
      <c r="G42" s="162">
        <v>45860</v>
      </c>
      <c r="H42" s="203" t="s">
        <v>199</v>
      </c>
      <c r="I42" s="186">
        <f t="shared" si="1"/>
        <v>4</v>
      </c>
      <c r="J42" s="204">
        <f>IF($H42="USD",IF(OR($I42="",$I42="-"),"",VLOOKUP($G42,為替!$A:$AX,$I42,FALSE))+$J$3,IF(OR($I42="",$I42="-"),"",VLOOKUP($G42,為替!$A:$AX,$I42,FALSE)))</f>
        <v>146.97</v>
      </c>
      <c r="K42" s="205">
        <f t="shared" si="2"/>
        <v>6878.1959999999999</v>
      </c>
      <c r="L42" s="189">
        <f t="shared" si="7"/>
        <v>3</v>
      </c>
      <c r="M42" s="204">
        <f>IF($H42="USD",IF(OR($L42="",$L42="-"),"",VLOOKUP($G42,為替!$A:$AX,$L42,FALSE))+$K$3,IF(OR($L42="",$L42="-"),"",VLOOKUP($G42,為替!$A:$AX,$L42,FALSE)))</f>
        <v>147.97</v>
      </c>
      <c r="N42" s="205">
        <f t="shared" si="4"/>
        <v>3740</v>
      </c>
      <c r="O42" s="206">
        <f t="shared" si="8"/>
        <v>3138.1959999999999</v>
      </c>
      <c r="P42" s="207">
        <f t="shared" si="9"/>
        <v>0.45625277325624336</v>
      </c>
    </row>
    <row r="43" spans="1:16">
      <c r="A43" s="163" t="s">
        <v>343</v>
      </c>
      <c r="B43" s="163" t="s">
        <v>361</v>
      </c>
      <c r="C43" s="200">
        <v>33800</v>
      </c>
      <c r="D43" s="201">
        <v>0</v>
      </c>
      <c r="E43" s="202" t="s">
        <v>200</v>
      </c>
      <c r="F43" s="200">
        <v>437</v>
      </c>
      <c r="G43" s="162">
        <v>45862</v>
      </c>
      <c r="H43" s="203" t="s">
        <v>199</v>
      </c>
      <c r="I43" s="186">
        <f t="shared" si="1"/>
        <v>4</v>
      </c>
      <c r="J43" s="204">
        <f>IF($H43="USD",IF(OR($I43="",$I43="-"),"",VLOOKUP($G43,為替!$A:$AX,$I43,FALSE))+$J$3,IF(OR($I43="",$I43="-"),"",VLOOKUP($G43,為替!$A:$AX,$I43,FALSE)))</f>
        <v>146</v>
      </c>
      <c r="K43" s="205">
        <f t="shared" si="2"/>
        <v>63802</v>
      </c>
      <c r="L43" s="189">
        <f t="shared" si="7"/>
        <v>3</v>
      </c>
      <c r="M43" s="204">
        <f>IF($H43="USD",IF(OR($L43="",$L43="-"),"",VLOOKUP($G43,為替!$A:$AX,$L43,FALSE))+$K$3,IF(OR($L43="",$L43="-"),"",VLOOKUP($G43,為替!$A:$AX,$L43,FALSE)))</f>
        <v>147</v>
      </c>
      <c r="N43" s="205">
        <f t="shared" si="4"/>
        <v>33800</v>
      </c>
      <c r="O43" s="206">
        <f t="shared" si="8"/>
        <v>30002</v>
      </c>
      <c r="P43" s="207">
        <f t="shared" si="9"/>
        <v>0.47023604275728031</v>
      </c>
    </row>
    <row r="44" spans="1:16">
      <c r="A44" s="163" t="s">
        <v>343</v>
      </c>
      <c r="B44" s="163" t="s">
        <v>362</v>
      </c>
      <c r="C44" s="200">
        <v>6590</v>
      </c>
      <c r="D44" s="201">
        <v>0</v>
      </c>
      <c r="E44" s="202" t="s">
        <v>200</v>
      </c>
      <c r="F44" s="200">
        <v>102</v>
      </c>
      <c r="G44" s="162">
        <v>45863</v>
      </c>
      <c r="H44" s="203" t="s">
        <v>199</v>
      </c>
      <c r="I44" s="186">
        <f t="shared" si="1"/>
        <v>4</v>
      </c>
      <c r="J44" s="204">
        <f>IF($H44="USD",IF(OR($I44="",$I44="-"),"",VLOOKUP($G44,為替!$A:$AX,$I44,FALSE))+$J$3,IF(OR($I44="",$I44="-"),"",VLOOKUP($G44,為替!$A:$AX,$I44,FALSE)))</f>
        <v>146.91999999999999</v>
      </c>
      <c r="K44" s="205">
        <f t="shared" si="2"/>
        <v>14985.839999999998</v>
      </c>
      <c r="L44" s="189">
        <f t="shared" si="7"/>
        <v>3</v>
      </c>
      <c r="M44" s="204">
        <f>IF($H44="USD",IF(OR($L44="",$L44="-"),"",VLOOKUP($G44,為替!$A:$AX,$L44,FALSE))+$K$3,IF(OR($L44="",$L44="-"),"",VLOOKUP($G44,為替!$A:$AX,$L44,FALSE)))</f>
        <v>147.91999999999999</v>
      </c>
      <c r="N44" s="205">
        <f t="shared" si="4"/>
        <v>6590</v>
      </c>
      <c r="O44" s="206">
        <f t="shared" si="8"/>
        <v>8395.8399999999983</v>
      </c>
      <c r="P44" s="207">
        <f t="shared" si="9"/>
        <v>0.56025154412431999</v>
      </c>
    </row>
    <row r="45" spans="1:16">
      <c r="A45" s="163" t="s">
        <v>343</v>
      </c>
      <c r="B45" s="163" t="s">
        <v>363</v>
      </c>
      <c r="C45" s="200">
        <v>7005</v>
      </c>
      <c r="D45" s="201">
        <v>0</v>
      </c>
      <c r="E45" s="202" t="s">
        <v>200</v>
      </c>
      <c r="F45" s="200">
        <v>97.2</v>
      </c>
      <c r="G45" s="162">
        <v>45863</v>
      </c>
      <c r="H45" s="203" t="s">
        <v>199</v>
      </c>
      <c r="I45" s="186">
        <f t="shared" si="1"/>
        <v>4</v>
      </c>
      <c r="J45" s="204">
        <f>IF($H45="USD",IF(OR($I45="",$I45="-"),"",VLOOKUP($G45,為替!$A:$AX,$I45,FALSE))+$J$3,IF(OR($I45="",$I45="-"),"",VLOOKUP($G45,為替!$A:$AX,$I45,FALSE)))</f>
        <v>146.91999999999999</v>
      </c>
      <c r="K45" s="205">
        <f t="shared" si="2"/>
        <v>14280.624</v>
      </c>
      <c r="L45" s="189">
        <f t="shared" si="7"/>
        <v>3</v>
      </c>
      <c r="M45" s="204">
        <f>IF($H45="USD",IF(OR($L45="",$L45="-"),"",VLOOKUP($G45,為替!$A:$AX,$L45,FALSE))+$K$3,IF(OR($L45="",$L45="-"),"",VLOOKUP($G45,為替!$A:$AX,$L45,FALSE)))</f>
        <v>147.91999999999999</v>
      </c>
      <c r="N45" s="205">
        <f t="shared" si="4"/>
        <v>7005</v>
      </c>
      <c r="O45" s="206">
        <f t="shared" si="8"/>
        <v>7275.6239999999998</v>
      </c>
      <c r="P45" s="207">
        <f t="shared" si="9"/>
        <v>0.50947521620903957</v>
      </c>
    </row>
    <row r="46" spans="1:16">
      <c r="A46" s="163" t="s">
        <v>343</v>
      </c>
      <c r="B46" s="163" t="s">
        <v>364</v>
      </c>
      <c r="C46" s="200">
        <v>1080</v>
      </c>
      <c r="D46" s="201">
        <v>0</v>
      </c>
      <c r="E46" s="202" t="s">
        <v>200</v>
      </c>
      <c r="F46" s="200">
        <v>24.9</v>
      </c>
      <c r="G46" s="162">
        <v>45867</v>
      </c>
      <c r="H46" s="203" t="s">
        <v>199</v>
      </c>
      <c r="I46" s="186">
        <f t="shared" si="1"/>
        <v>4</v>
      </c>
      <c r="J46" s="204">
        <f>IF($H46="USD",IF(OR($I46="",$I46="-"),"",VLOOKUP($G46,為替!$A:$AX,$I46,FALSE))+$J$3,IF(OR($I46="",$I46="-"),"",VLOOKUP($G46,為替!$A:$AX,$I46,FALSE)))</f>
        <v>148.04</v>
      </c>
      <c r="K46" s="205">
        <f t="shared" si="2"/>
        <v>3686.1959999999995</v>
      </c>
      <c r="L46" s="189">
        <f t="shared" si="7"/>
        <v>3</v>
      </c>
      <c r="M46" s="204">
        <f>IF($H46="USD",IF(OR($L46="",$L46="-"),"",VLOOKUP($G46,為替!$A:$AX,$L46,FALSE))+$K$3,IF(OR($L46="",$L46="-"),"",VLOOKUP($G46,為替!$A:$AX,$L46,FALSE)))</f>
        <v>149.04</v>
      </c>
      <c r="N46" s="205">
        <f t="shared" si="4"/>
        <v>1080</v>
      </c>
      <c r="O46" s="206">
        <f t="shared" si="8"/>
        <v>2606.1959999999995</v>
      </c>
      <c r="P46" s="207">
        <f t="shared" si="9"/>
        <v>0.70701503663939735</v>
      </c>
    </row>
    <row r="47" spans="1:16">
      <c r="A47" s="163" t="s">
        <v>344</v>
      </c>
      <c r="B47" s="163">
        <v>7318</v>
      </c>
      <c r="C47" s="200">
        <v>138330</v>
      </c>
      <c r="D47" s="201">
        <v>13192</v>
      </c>
      <c r="E47" s="202" t="s">
        <v>200</v>
      </c>
      <c r="F47" s="200">
        <v>2114.1</v>
      </c>
      <c r="G47" s="162">
        <v>45863</v>
      </c>
      <c r="H47" s="203" t="s">
        <v>199</v>
      </c>
      <c r="I47" s="186">
        <f t="shared" si="1"/>
        <v>4</v>
      </c>
      <c r="J47" s="204">
        <f>IF($H47="USD",IF(OR($I47="",$I47="-"),"",VLOOKUP($G47,為替!$A:$AX,$I47,FALSE))+$J$3,IF(OR($I47="",$I47="-"),"",VLOOKUP($G47,為替!$A:$AX,$I47,FALSE)))</f>
        <v>146.91999999999999</v>
      </c>
      <c r="K47" s="205">
        <f t="shared" si="2"/>
        <v>310603.57199999999</v>
      </c>
      <c r="L47" s="189">
        <f t="shared" si="7"/>
        <v>3</v>
      </c>
      <c r="M47" s="204">
        <f>IF($H47="USD",IF(OR($L47="",$L47="-"),"",VLOOKUP($G47,為替!$A:$AX,$L47,FALSE))+$K$3,IF(OR($L47="",$L47="-"),"",VLOOKUP($G47,為替!$A:$AX,$L47,FALSE)))</f>
        <v>147.91999999999999</v>
      </c>
      <c r="N47" s="205">
        <f t="shared" si="4"/>
        <v>151522</v>
      </c>
      <c r="O47" s="206">
        <f t="shared" si="8"/>
        <v>159081.57199999999</v>
      </c>
      <c r="P47" s="207">
        <f t="shared" si="9"/>
        <v>0.51216916462248541</v>
      </c>
    </row>
    <row r="48" spans="1:16">
      <c r="A48" s="163" t="s">
        <v>332</v>
      </c>
      <c r="B48" s="163">
        <v>7259</v>
      </c>
      <c r="C48" s="200">
        <v>1000</v>
      </c>
      <c r="D48" s="201">
        <v>0</v>
      </c>
      <c r="E48" s="202" t="s">
        <v>200</v>
      </c>
      <c r="F48" s="200">
        <v>60</v>
      </c>
      <c r="G48" s="162">
        <v>45841</v>
      </c>
      <c r="H48" s="203" t="s">
        <v>365</v>
      </c>
      <c r="I48" s="186">
        <f t="shared" si="1"/>
        <v>7</v>
      </c>
      <c r="J48" s="204">
        <f>IF($H48="USD",IF(OR($I48="",$I48="-"),"",VLOOKUP($G48,為替!$A:$AX,$I48,FALSE))+$J$3,IF(OR($I48="",$I48="-"),"",VLOOKUP($G48,為替!$A:$AX,$I48,FALSE)))</f>
        <v>168.07</v>
      </c>
      <c r="K48" s="205">
        <f t="shared" si="2"/>
        <v>10084.199999999999</v>
      </c>
      <c r="L48" s="189">
        <f t="shared" si="7"/>
        <v>6</v>
      </c>
      <c r="M48" s="204">
        <f>IF($H48="USD",IF(OR($L48="",$L48="-"),"",VLOOKUP($G48,為替!$A:$AX,$L48,FALSE))+$K$3,IF(OR($L48="",$L48="-"),"",VLOOKUP($G48,為替!$A:$AX,$L48,FALSE)))</f>
        <v>171.07</v>
      </c>
      <c r="N48" s="205">
        <f t="shared" si="4"/>
        <v>1000</v>
      </c>
      <c r="O48" s="206">
        <f t="shared" si="8"/>
        <v>9084.1999999999989</v>
      </c>
      <c r="P48" s="207">
        <f t="shared" si="9"/>
        <v>0.90083496955633569</v>
      </c>
    </row>
    <row r="49" spans="1:16">
      <c r="A49" s="163" t="s">
        <v>332</v>
      </c>
      <c r="B49" s="163">
        <v>7283</v>
      </c>
      <c r="C49" s="200">
        <v>3070</v>
      </c>
      <c r="D49" s="201">
        <v>0</v>
      </c>
      <c r="E49" s="202" t="s">
        <v>200</v>
      </c>
      <c r="F49" s="200">
        <v>37.96</v>
      </c>
      <c r="G49" s="162">
        <v>45852</v>
      </c>
      <c r="H49" s="203" t="s">
        <v>365</v>
      </c>
      <c r="I49" s="186">
        <f t="shared" si="1"/>
        <v>7</v>
      </c>
      <c r="J49" s="204">
        <f>IF($H49="USD",IF(OR($I49="",$I49="-"),"",VLOOKUP($G49,為替!$A:$AX,$I49,FALSE))+$J$3,IF(OR($I49="",$I49="-"),"",VLOOKUP($G49,為替!$A:$AX,$I49,FALSE)))</f>
        <v>170.35</v>
      </c>
      <c r="K49" s="205">
        <f t="shared" si="2"/>
        <v>6466.4859999999999</v>
      </c>
      <c r="L49" s="189">
        <f t="shared" si="7"/>
        <v>6</v>
      </c>
      <c r="M49" s="204">
        <f>IF($H49="USD",IF(OR($L49="",$L49="-"),"",VLOOKUP($G49,為替!$A:$AX,$L49,FALSE))+$K$3,IF(OR($L49="",$L49="-"),"",VLOOKUP($G49,為替!$A:$AX,$L49,FALSE)))</f>
        <v>173.35</v>
      </c>
      <c r="N49" s="205">
        <f t="shared" si="4"/>
        <v>3070</v>
      </c>
      <c r="O49" s="206">
        <f t="shared" si="8"/>
        <v>3396.4859999999999</v>
      </c>
      <c r="P49" s="207">
        <f t="shared" si="9"/>
        <v>0.52524446817019321</v>
      </c>
    </row>
    <row r="50" spans="1:16">
      <c r="A50" s="163" t="s">
        <v>332</v>
      </c>
      <c r="B50" s="163">
        <v>7291</v>
      </c>
      <c r="C50" s="200">
        <v>21847</v>
      </c>
      <c r="D50" s="201">
        <v>0</v>
      </c>
      <c r="E50" s="202" t="s">
        <v>200</v>
      </c>
      <c r="F50" s="200">
        <v>416.1</v>
      </c>
      <c r="G50" s="162">
        <v>45855</v>
      </c>
      <c r="H50" s="203" t="s">
        <v>199</v>
      </c>
      <c r="I50" s="186">
        <f t="shared" si="1"/>
        <v>4</v>
      </c>
      <c r="J50" s="204">
        <f>IF($H50="USD",IF(OR($I50="",$I50="-"),"",VLOOKUP($G50,為替!$A:$AX,$I50,FALSE))+$J$3,IF(OR($I50="",$I50="-"),"",VLOOKUP($G50,為替!$A:$AX,$I50,FALSE)))</f>
        <v>148.01</v>
      </c>
      <c r="K50" s="205">
        <f t="shared" si="2"/>
        <v>61586.961000000003</v>
      </c>
      <c r="L50" s="189">
        <f t="shared" si="7"/>
        <v>3</v>
      </c>
      <c r="M50" s="204">
        <f>IF($H50="USD",IF(OR($L50="",$L50="-"),"",VLOOKUP($G50,為替!$A:$AX,$L50,FALSE))+$K$3,IF(OR($L50="",$L50="-"),"",VLOOKUP($G50,為替!$A:$AX,$L50,FALSE)))</f>
        <v>149.01</v>
      </c>
      <c r="N50" s="205">
        <f t="shared" si="4"/>
        <v>21847</v>
      </c>
      <c r="O50" s="206">
        <f t="shared" si="8"/>
        <v>39739.961000000003</v>
      </c>
      <c r="P50" s="207">
        <f t="shared" si="9"/>
        <v>0.64526582177029324</v>
      </c>
    </row>
    <row r="51" spans="1:16">
      <c r="A51" s="163" t="s">
        <v>332</v>
      </c>
      <c r="B51" s="163">
        <v>7337</v>
      </c>
      <c r="C51" s="200">
        <v>17935</v>
      </c>
      <c r="D51" s="201">
        <v>0</v>
      </c>
      <c r="E51" s="202" t="s">
        <v>200</v>
      </c>
      <c r="F51" s="200">
        <v>343.5</v>
      </c>
      <c r="G51" s="162">
        <v>45869</v>
      </c>
      <c r="H51" s="203" t="s">
        <v>199</v>
      </c>
      <c r="I51" s="186">
        <f t="shared" si="1"/>
        <v>4</v>
      </c>
      <c r="J51" s="204">
        <f>IF($H51="USD",IF(OR($I51="",$I51="-"),"",VLOOKUP($G51,為替!$A:$AX,$I51,FALSE))+$J$3,IF(OR($I51="",$I51="-"),"",VLOOKUP($G51,為替!$A:$AX,$I51,FALSE)))</f>
        <v>148.88999999999999</v>
      </c>
      <c r="K51" s="205">
        <f t="shared" si="2"/>
        <v>51143.714999999997</v>
      </c>
      <c r="L51" s="189">
        <f t="shared" si="7"/>
        <v>3</v>
      </c>
      <c r="M51" s="204">
        <f>IF($H51="USD",IF(OR($L51="",$L51="-"),"",VLOOKUP($G51,為替!$A:$AX,$L51,FALSE))+$K$3,IF(OR($L51="",$L51="-"),"",VLOOKUP($G51,為替!$A:$AX,$L51,FALSE)))</f>
        <v>149.88999999999999</v>
      </c>
      <c r="N51" s="205">
        <f t="shared" si="4"/>
        <v>17935</v>
      </c>
      <c r="O51" s="206">
        <f t="shared" si="8"/>
        <v>33208.714999999997</v>
      </c>
      <c r="P51" s="207">
        <f t="shared" si="9"/>
        <v>0.64932152464872761</v>
      </c>
    </row>
    <row r="52" spans="1:16">
      <c r="A52" s="163" t="s">
        <v>343</v>
      </c>
      <c r="B52" s="163" t="s">
        <v>381</v>
      </c>
      <c r="C52" s="200">
        <v>17300</v>
      </c>
      <c r="D52" s="201">
        <v>0</v>
      </c>
      <c r="E52" s="202" t="s">
        <v>200</v>
      </c>
      <c r="F52" s="200">
        <v>224</v>
      </c>
      <c r="G52" s="162">
        <v>45870</v>
      </c>
      <c r="H52" s="203" t="s">
        <v>199</v>
      </c>
      <c r="I52" s="186">
        <f t="shared" si="1"/>
        <v>4</v>
      </c>
      <c r="J52" s="204">
        <f>IF($H52="USD",IF(OR($I52="",$I52="-"),"",VLOOKUP($G52,為替!$A:$AX,$I52,FALSE))+$J$3,IF(OR($I52="",$I52="-"),"",VLOOKUP($G52,為替!$A:$AX,$I52,FALSE)))</f>
        <v>150.29</v>
      </c>
      <c r="K52" s="205">
        <f t="shared" si="2"/>
        <v>33664.959999999999</v>
      </c>
      <c r="L52" s="189">
        <f t="shared" si="7"/>
        <v>3</v>
      </c>
      <c r="M52" s="204">
        <f>IF($H52="USD",IF(OR($L52="",$L52="-"),"",VLOOKUP($G52,為替!$A:$AX,$L52,FALSE))+$K$3,IF(OR($L52="",$L52="-"),"",VLOOKUP($G52,為替!$A:$AX,$L52,FALSE)))</f>
        <v>151.29</v>
      </c>
      <c r="N52" s="205">
        <f t="shared" si="4"/>
        <v>17300</v>
      </c>
      <c r="O52" s="206">
        <f t="shared" si="8"/>
        <v>16364.96</v>
      </c>
      <c r="P52" s="207">
        <f t="shared" si="9"/>
        <v>0.48611256332994307</v>
      </c>
    </row>
    <row r="53" spans="1:16">
      <c r="A53" s="163" t="s">
        <v>343</v>
      </c>
      <c r="B53" s="163" t="s">
        <v>382</v>
      </c>
      <c r="C53" s="200">
        <v>2860</v>
      </c>
      <c r="D53" s="201">
        <v>0</v>
      </c>
      <c r="E53" s="202" t="s">
        <v>200</v>
      </c>
      <c r="F53" s="200">
        <v>38.9</v>
      </c>
      <c r="G53" s="162">
        <v>45873</v>
      </c>
      <c r="H53" s="203" t="s">
        <v>199</v>
      </c>
      <c r="I53" s="186">
        <f t="shared" si="1"/>
        <v>4</v>
      </c>
      <c r="J53" s="204">
        <f>IF($H53="USD",IF(OR($I53="",$I53="-"),"",VLOOKUP($G53,為替!$A:$AX,$I53,FALSE))+$J$3,IF(OR($I53="",$I53="-"),"",VLOOKUP($G53,為替!$A:$AX,$I53,FALSE)))</f>
        <v>147.13999999999999</v>
      </c>
      <c r="K53" s="205">
        <f t="shared" si="2"/>
        <v>5723.7459999999992</v>
      </c>
      <c r="L53" s="189">
        <f t="shared" si="7"/>
        <v>3</v>
      </c>
      <c r="M53" s="204">
        <f>IF($H53="USD",IF(OR($L53="",$L53="-"),"",VLOOKUP($G53,為替!$A:$AX,$L53,FALSE))+$K$3,IF(OR($L53="",$L53="-"),"",VLOOKUP($G53,為替!$A:$AX,$L53,FALSE)))</f>
        <v>148.13999999999999</v>
      </c>
      <c r="N53" s="205">
        <f t="shared" si="4"/>
        <v>2860</v>
      </c>
      <c r="O53" s="206">
        <f t="shared" si="8"/>
        <v>2863.7459999999992</v>
      </c>
      <c r="P53" s="207">
        <f t="shared" si="9"/>
        <v>0.50032723324899453</v>
      </c>
    </row>
    <row r="54" spans="1:16">
      <c r="A54" s="163" t="s">
        <v>343</v>
      </c>
      <c r="B54" s="163" t="s">
        <v>383</v>
      </c>
      <c r="C54" s="200">
        <v>1180</v>
      </c>
      <c r="D54" s="201">
        <v>0</v>
      </c>
      <c r="E54" s="202" t="s">
        <v>200</v>
      </c>
      <c r="F54" s="200">
        <v>26.4</v>
      </c>
      <c r="G54" s="162">
        <v>45873</v>
      </c>
      <c r="H54" s="203" t="s">
        <v>199</v>
      </c>
      <c r="I54" s="186">
        <f t="shared" si="1"/>
        <v>4</v>
      </c>
      <c r="J54" s="204">
        <f>IF($H54="USD",IF(OR($I54="",$I54="-"),"",VLOOKUP($G54,為替!$A:$AX,$I54,FALSE))+$J$3,IF(OR($I54="",$I54="-"),"",VLOOKUP($G54,為替!$A:$AX,$I54,FALSE)))</f>
        <v>147.13999999999999</v>
      </c>
      <c r="K54" s="205">
        <f t="shared" si="2"/>
        <v>3884.4959999999996</v>
      </c>
      <c r="L54" s="189">
        <f t="shared" si="7"/>
        <v>3</v>
      </c>
      <c r="M54" s="204">
        <f>IF($H54="USD",IF(OR($L54="",$L54="-"),"",VLOOKUP($G54,為替!$A:$AX,$L54,FALSE))+$K$3,IF(OR($L54="",$L54="-"),"",VLOOKUP($G54,為替!$A:$AX,$L54,FALSE)))</f>
        <v>148.13999999999999</v>
      </c>
      <c r="N54" s="205">
        <f t="shared" si="4"/>
        <v>1180</v>
      </c>
      <c r="O54" s="206">
        <f t="shared" si="8"/>
        <v>2704.4959999999996</v>
      </c>
      <c r="P54" s="207">
        <f t="shared" si="9"/>
        <v>0.69622828804560488</v>
      </c>
    </row>
    <row r="55" spans="1:16">
      <c r="A55" s="163" t="s">
        <v>343</v>
      </c>
      <c r="B55" s="163" t="s">
        <v>384</v>
      </c>
      <c r="C55" s="200">
        <v>16650</v>
      </c>
      <c r="D55" s="201">
        <v>0</v>
      </c>
      <c r="E55" s="202" t="s">
        <v>200</v>
      </c>
      <c r="F55" s="200">
        <v>191</v>
      </c>
      <c r="G55" s="162">
        <v>45873</v>
      </c>
      <c r="H55" s="203" t="s">
        <v>199</v>
      </c>
      <c r="I55" s="186">
        <f t="shared" si="1"/>
        <v>4</v>
      </c>
      <c r="J55" s="204">
        <f>IF($H55="USD",IF(OR($I55="",$I55="-"),"",VLOOKUP($G55,為替!$A:$AX,$I55,FALSE))+$J$3,IF(OR($I55="",$I55="-"),"",VLOOKUP($G55,為替!$A:$AX,$I55,FALSE)))</f>
        <v>147.13999999999999</v>
      </c>
      <c r="K55" s="205">
        <f t="shared" si="2"/>
        <v>28103.739999999998</v>
      </c>
      <c r="L55" s="189">
        <f t="shared" si="7"/>
        <v>3</v>
      </c>
      <c r="M55" s="204">
        <f>IF($H55="USD",IF(OR($L55="",$L55="-"),"",VLOOKUP($G55,為替!$A:$AX,$L55,FALSE))+$K$3,IF(OR($L55="",$L55="-"),"",VLOOKUP($G55,為替!$A:$AX,$L55,FALSE)))</f>
        <v>148.13999999999999</v>
      </c>
      <c r="N55" s="205">
        <f t="shared" si="4"/>
        <v>16650</v>
      </c>
      <c r="O55" s="206">
        <f t="shared" si="8"/>
        <v>11453.739999999998</v>
      </c>
      <c r="P55" s="207">
        <f t="shared" si="9"/>
        <v>0.40755216209657502</v>
      </c>
    </row>
    <row r="56" spans="1:16">
      <c r="A56" s="163" t="s">
        <v>343</v>
      </c>
      <c r="B56" s="163" t="s">
        <v>385</v>
      </c>
      <c r="C56" s="200">
        <v>19200</v>
      </c>
      <c r="D56" s="201">
        <v>0</v>
      </c>
      <c r="E56" s="202" t="s">
        <v>200</v>
      </c>
      <c r="F56" s="200">
        <v>258</v>
      </c>
      <c r="G56" s="162">
        <v>45874</v>
      </c>
      <c r="H56" s="203" t="s">
        <v>199</v>
      </c>
      <c r="I56" s="186">
        <f t="shared" si="1"/>
        <v>4</v>
      </c>
      <c r="J56" s="204">
        <f>IF($H56="USD",IF(OR($I56="",$I56="-"),"",VLOOKUP($G56,為替!$A:$AX,$I56,FALSE))+$J$3,IF(OR($I56="",$I56="-"),"",VLOOKUP($G56,為替!$A:$AX,$I56,FALSE)))</f>
        <v>146.47999999999999</v>
      </c>
      <c r="K56" s="205">
        <f t="shared" si="2"/>
        <v>37791.839999999997</v>
      </c>
      <c r="L56" s="189">
        <f t="shared" si="7"/>
        <v>3</v>
      </c>
      <c r="M56" s="204">
        <f>IF($H56="USD",IF(OR($L56="",$L56="-"),"",VLOOKUP($G56,為替!$A:$AX,$L56,FALSE))+$K$3,IF(OR($L56="",$L56="-"),"",VLOOKUP($G56,為替!$A:$AX,$L56,FALSE)))</f>
        <v>147.47999999999999</v>
      </c>
      <c r="N56" s="205">
        <f t="shared" si="4"/>
        <v>19200</v>
      </c>
      <c r="O56" s="206">
        <f t="shared" si="8"/>
        <v>18591.839999999997</v>
      </c>
      <c r="P56" s="207">
        <f t="shared" si="9"/>
        <v>0.4919538186021109</v>
      </c>
    </row>
    <row r="57" spans="1:16">
      <c r="A57" s="163" t="s">
        <v>343</v>
      </c>
      <c r="B57" s="163" t="s">
        <v>386</v>
      </c>
      <c r="C57" s="200">
        <v>167484</v>
      </c>
      <c r="D57" s="201">
        <v>49401</v>
      </c>
      <c r="E57" s="202" t="s">
        <v>200</v>
      </c>
      <c r="F57" s="200">
        <v>2529.7600000000002</v>
      </c>
      <c r="G57" s="162">
        <v>45876</v>
      </c>
      <c r="H57" s="203" t="s">
        <v>199</v>
      </c>
      <c r="I57" s="186">
        <f t="shared" si="1"/>
        <v>4</v>
      </c>
      <c r="J57" s="204">
        <f>IF($H57="USD",IF(OR($I57="",$I57="-"),"",VLOOKUP($G57,為替!$A:$AX,$I57,FALSE))+$J$3,IF(OR($I57="",$I57="-"),"",VLOOKUP($G57,為替!$A:$AX,$I57,FALSE)))</f>
        <v>147.16999999999999</v>
      </c>
      <c r="K57" s="205">
        <f t="shared" si="2"/>
        <v>372304.77919999999</v>
      </c>
      <c r="L57" s="189">
        <f t="shared" si="7"/>
        <v>3</v>
      </c>
      <c r="M57" s="204">
        <f>IF($H57="USD",IF(OR($L57="",$L57="-"),"",VLOOKUP($G57,為替!$A:$AX,$L57,FALSE))+$K$3,IF(OR($L57="",$L57="-"),"",VLOOKUP($G57,為替!$A:$AX,$L57,FALSE)))</f>
        <v>148.16999999999999</v>
      </c>
      <c r="N57" s="205">
        <f t="shared" si="4"/>
        <v>216885</v>
      </c>
      <c r="O57" s="206">
        <f t="shared" si="8"/>
        <v>155419.77919999999</v>
      </c>
      <c r="P57" s="207">
        <f t="shared" si="9"/>
        <v>0.41745308651143953</v>
      </c>
    </row>
    <row r="58" spans="1:16">
      <c r="A58" s="163" t="s">
        <v>343</v>
      </c>
      <c r="B58" s="163" t="s">
        <v>387</v>
      </c>
      <c r="C58" s="200">
        <v>6750</v>
      </c>
      <c r="D58" s="201">
        <v>0</v>
      </c>
      <c r="E58" s="202" t="s">
        <v>200</v>
      </c>
      <c r="F58" s="200">
        <v>81.900000000000006</v>
      </c>
      <c r="G58" s="162">
        <v>45877</v>
      </c>
      <c r="H58" s="203" t="s">
        <v>199</v>
      </c>
      <c r="I58" s="186">
        <f t="shared" si="1"/>
        <v>4</v>
      </c>
      <c r="J58" s="204">
        <f>IF($H58="USD",IF(OR($I58="",$I58="-"),"",VLOOKUP($G58,為替!$A:$AX,$I58,FALSE))+$J$3,IF(OR($I58="",$I58="-"),"",VLOOKUP($G58,為替!$A:$AX,$I58,FALSE)))</f>
        <v>146.76</v>
      </c>
      <c r="K58" s="205">
        <f t="shared" si="2"/>
        <v>12019.644</v>
      </c>
      <c r="L58" s="189">
        <f t="shared" si="7"/>
        <v>3</v>
      </c>
      <c r="M58" s="204">
        <f>IF($H58="USD",IF(OR($L58="",$L58="-"),"",VLOOKUP($G58,為替!$A:$AX,$L58,FALSE))+$K$3,IF(OR($L58="",$L58="-"),"",VLOOKUP($G58,為替!$A:$AX,$L58,FALSE)))</f>
        <v>147.76</v>
      </c>
      <c r="N58" s="205">
        <f t="shared" si="4"/>
        <v>6750</v>
      </c>
      <c r="O58" s="206">
        <f t="shared" si="8"/>
        <v>5269.6440000000002</v>
      </c>
      <c r="P58" s="207">
        <f t="shared" si="9"/>
        <v>0.43841930759346948</v>
      </c>
    </row>
    <row r="59" spans="1:16">
      <c r="A59" s="163" t="s">
        <v>343</v>
      </c>
      <c r="B59" s="163" t="s">
        <v>388</v>
      </c>
      <c r="C59" s="200">
        <v>18180</v>
      </c>
      <c r="D59" s="201">
        <v>0</v>
      </c>
      <c r="E59" s="202" t="s">
        <v>200</v>
      </c>
      <c r="F59" s="200">
        <v>229.6</v>
      </c>
      <c r="G59" s="162">
        <v>45881</v>
      </c>
      <c r="H59" s="203" t="s">
        <v>199</v>
      </c>
      <c r="I59" s="186">
        <f t="shared" si="1"/>
        <v>4</v>
      </c>
      <c r="J59" s="204">
        <f>IF($H59="USD",IF(OR($I59="",$I59="-"),"",VLOOKUP($G59,為替!$A:$AX,$I59,FALSE))+$J$3,IF(OR($I59="",$I59="-"),"",VLOOKUP($G59,為替!$A:$AX,$I59,FALSE)))</f>
        <v>147.96</v>
      </c>
      <c r="K59" s="205">
        <f t="shared" si="2"/>
        <v>33971.616000000002</v>
      </c>
      <c r="L59" s="189">
        <f t="shared" si="7"/>
        <v>3</v>
      </c>
      <c r="M59" s="204">
        <f>IF($H59="USD",IF(OR($L59="",$L59="-"),"",VLOOKUP($G59,為替!$A:$AX,$L59,FALSE))+$K$3,IF(OR($L59="",$L59="-"),"",VLOOKUP($G59,為替!$A:$AX,$L59,FALSE)))</f>
        <v>148.96</v>
      </c>
      <c r="N59" s="205">
        <f t="shared" si="4"/>
        <v>18180</v>
      </c>
      <c r="O59" s="206">
        <f t="shared" si="8"/>
        <v>15791.616000000002</v>
      </c>
      <c r="P59" s="207">
        <f t="shared" si="9"/>
        <v>0.464847359631052</v>
      </c>
    </row>
    <row r="60" spans="1:16">
      <c r="A60" s="163" t="s">
        <v>343</v>
      </c>
      <c r="B60" s="163" t="s">
        <v>389</v>
      </c>
      <c r="C60" s="200">
        <v>3800</v>
      </c>
      <c r="D60" s="201">
        <v>0</v>
      </c>
      <c r="E60" s="202" t="s">
        <v>200</v>
      </c>
      <c r="F60" s="200">
        <v>47.52</v>
      </c>
      <c r="G60" s="162">
        <v>45890</v>
      </c>
      <c r="H60" s="203" t="s">
        <v>199</v>
      </c>
      <c r="I60" s="186">
        <f t="shared" si="1"/>
        <v>4</v>
      </c>
      <c r="J60" s="204">
        <f>IF($H60="USD",IF(OR($I60="",$I60="-"),"",VLOOKUP($G60,為替!$A:$AX,$I60,FALSE))+$J$3,IF(OR($I60="",$I60="-"),"",VLOOKUP($G60,為替!$A:$AX,$I60,FALSE)))</f>
        <v>147</v>
      </c>
      <c r="K60" s="205">
        <f t="shared" si="2"/>
        <v>6985.4400000000005</v>
      </c>
      <c r="L60" s="189">
        <f t="shared" si="7"/>
        <v>3</v>
      </c>
      <c r="M60" s="204">
        <f>IF($H60="USD",IF(OR($L60="",$L60="-"),"",VLOOKUP($G60,為替!$A:$AX,$L60,FALSE))+$K$3,IF(OR($L60="",$L60="-"),"",VLOOKUP($G60,為替!$A:$AX,$L60,FALSE)))</f>
        <v>148</v>
      </c>
      <c r="N60" s="205">
        <f t="shared" si="4"/>
        <v>3800</v>
      </c>
      <c r="O60" s="206">
        <f t="shared" si="8"/>
        <v>3185.4400000000005</v>
      </c>
      <c r="P60" s="207">
        <f t="shared" si="9"/>
        <v>0.45601136077326559</v>
      </c>
    </row>
    <row r="61" spans="1:16">
      <c r="A61" s="163" t="s">
        <v>343</v>
      </c>
      <c r="B61" s="163" t="s">
        <v>390</v>
      </c>
      <c r="C61" s="200">
        <v>10880</v>
      </c>
      <c r="D61" s="201">
        <v>3919</v>
      </c>
      <c r="E61" s="202" t="s">
        <v>200</v>
      </c>
      <c r="F61" s="200">
        <v>200.6</v>
      </c>
      <c r="G61" s="162">
        <v>45890</v>
      </c>
      <c r="H61" s="203" t="s">
        <v>199</v>
      </c>
      <c r="I61" s="186">
        <f t="shared" si="1"/>
        <v>4</v>
      </c>
      <c r="J61" s="204">
        <f>IF($H61="USD",IF(OR($I61="",$I61="-"),"",VLOOKUP($G61,為替!$A:$AX,$I61,FALSE))+$J$3,IF(OR($I61="",$I61="-"),"",VLOOKUP($G61,為替!$A:$AX,$I61,FALSE)))</f>
        <v>147</v>
      </c>
      <c r="K61" s="205">
        <f t="shared" si="2"/>
        <v>29488.2</v>
      </c>
      <c r="L61" s="189">
        <f t="shared" si="7"/>
        <v>3</v>
      </c>
      <c r="M61" s="204">
        <f>IF($H61="USD",IF(OR($L61="",$L61="-"),"",VLOOKUP($G61,為替!$A:$AX,$L61,FALSE))+$K$3,IF(OR($L61="",$L61="-"),"",VLOOKUP($G61,為替!$A:$AX,$L61,FALSE)))</f>
        <v>148</v>
      </c>
      <c r="N61" s="205">
        <f t="shared" si="4"/>
        <v>14799</v>
      </c>
      <c r="O61" s="206">
        <f t="shared" si="8"/>
        <v>14689.2</v>
      </c>
      <c r="P61" s="207">
        <f t="shared" si="9"/>
        <v>0.49813823834618592</v>
      </c>
    </row>
    <row r="62" spans="1:16">
      <c r="A62" s="163" t="s">
        <v>343</v>
      </c>
      <c r="B62" s="163" t="s">
        <v>391</v>
      </c>
      <c r="C62" s="200">
        <v>37200</v>
      </c>
      <c r="D62" s="201">
        <v>11882</v>
      </c>
      <c r="E62" s="202" t="s">
        <v>200</v>
      </c>
      <c r="F62" s="200">
        <v>577.20000000000005</v>
      </c>
      <c r="G62" s="162">
        <v>45890</v>
      </c>
      <c r="H62" s="203" t="s">
        <v>199</v>
      </c>
      <c r="I62" s="186">
        <f t="shared" si="1"/>
        <v>4</v>
      </c>
      <c r="J62" s="204">
        <f>IF($H62="USD",IF(OR($I62="",$I62="-"),"",VLOOKUP($G62,為替!$A:$AX,$I62,FALSE))+$J$3,IF(OR($I62="",$I62="-"),"",VLOOKUP($G62,為替!$A:$AX,$I62,FALSE)))</f>
        <v>147</v>
      </c>
      <c r="K62" s="205">
        <f t="shared" si="2"/>
        <v>84848.400000000009</v>
      </c>
      <c r="L62" s="189">
        <f t="shared" si="7"/>
        <v>3</v>
      </c>
      <c r="M62" s="204">
        <f>IF($H62="USD",IF(OR($L62="",$L62="-"),"",VLOOKUP($G62,為替!$A:$AX,$L62,FALSE))+$K$3,IF(OR($L62="",$L62="-"),"",VLOOKUP($G62,為替!$A:$AX,$L62,FALSE)))</f>
        <v>148</v>
      </c>
      <c r="N62" s="205">
        <f t="shared" si="4"/>
        <v>49082</v>
      </c>
      <c r="O62" s="206">
        <f t="shared" si="8"/>
        <v>35766.400000000009</v>
      </c>
      <c r="P62" s="207">
        <f t="shared" si="9"/>
        <v>0.42153299296156443</v>
      </c>
    </row>
    <row r="63" spans="1:16">
      <c r="A63" s="163" t="s">
        <v>343</v>
      </c>
      <c r="B63" s="163" t="s">
        <v>392</v>
      </c>
      <c r="C63" s="200">
        <v>41600</v>
      </c>
      <c r="D63" s="201">
        <v>0</v>
      </c>
      <c r="E63" s="202" t="s">
        <v>200</v>
      </c>
      <c r="F63" s="200">
        <v>390.3</v>
      </c>
      <c r="G63" s="162">
        <v>45891</v>
      </c>
      <c r="H63" s="203" t="s">
        <v>199</v>
      </c>
      <c r="I63" s="186">
        <f t="shared" si="1"/>
        <v>4</v>
      </c>
      <c r="J63" s="204">
        <f>IF($H63="USD",IF(OR($I63="",$I63="-"),"",VLOOKUP($G63,為替!$A:$AX,$I63,FALSE))+$J$3,IF(OR($I63="",$I63="-"),"",VLOOKUP($G63,為替!$A:$AX,$I63,FALSE)))</f>
        <v>148.03</v>
      </c>
      <c r="K63" s="205">
        <f t="shared" si="2"/>
        <v>57776.109000000004</v>
      </c>
      <c r="L63" s="189">
        <f t="shared" si="7"/>
        <v>3</v>
      </c>
      <c r="M63" s="204">
        <f>IF($H63="USD",IF(OR($L63="",$L63="-"),"",VLOOKUP($G63,為替!$A:$AX,$L63,FALSE))+$K$3,IF(OR($L63="",$L63="-"),"",VLOOKUP($G63,為替!$A:$AX,$L63,FALSE)))</f>
        <v>149.03</v>
      </c>
      <c r="N63" s="205">
        <f t="shared" si="4"/>
        <v>41600</v>
      </c>
      <c r="O63" s="206">
        <f t="shared" si="8"/>
        <v>16176.109000000004</v>
      </c>
      <c r="P63" s="207">
        <f t="shared" si="9"/>
        <v>0.27997920386089004</v>
      </c>
    </row>
    <row r="64" spans="1:16">
      <c r="A64" s="163" t="s">
        <v>343</v>
      </c>
      <c r="B64" s="163" t="s">
        <v>393</v>
      </c>
      <c r="C64" s="200">
        <v>971</v>
      </c>
      <c r="D64" s="201">
        <v>0</v>
      </c>
      <c r="E64" s="202" t="s">
        <v>200</v>
      </c>
      <c r="F64" s="200">
        <v>23.6</v>
      </c>
      <c r="G64" s="162">
        <v>45894</v>
      </c>
      <c r="H64" s="203" t="s">
        <v>199</v>
      </c>
      <c r="I64" s="186">
        <f t="shared" si="1"/>
        <v>4</v>
      </c>
      <c r="J64" s="204">
        <f>IF($H64="USD",IF(OR($I64="",$I64="-"),"",VLOOKUP($G64,為替!$A:$AX,$I64,FALSE))+$J$3,IF(OR($I64="",$I64="-"),"",VLOOKUP($G64,為替!$A:$AX,$I64,FALSE)))</f>
        <v>146.94999999999999</v>
      </c>
      <c r="K64" s="205">
        <f t="shared" si="2"/>
        <v>3468.02</v>
      </c>
      <c r="L64" s="189">
        <f t="shared" si="7"/>
        <v>3</v>
      </c>
      <c r="M64" s="204">
        <f>IF($H64="USD",IF(OR($L64="",$L64="-"),"",VLOOKUP($G64,為替!$A:$AX,$L64,FALSE))+$K$3,IF(OR($L64="",$L64="-"),"",VLOOKUP($G64,為替!$A:$AX,$L64,FALSE)))</f>
        <v>147.94999999999999</v>
      </c>
      <c r="N64" s="205">
        <f t="shared" si="4"/>
        <v>971</v>
      </c>
      <c r="O64" s="206">
        <f t="shared" si="8"/>
        <v>2497.02</v>
      </c>
      <c r="P64" s="207">
        <f t="shared" si="9"/>
        <v>0.72001314871309852</v>
      </c>
    </row>
    <row r="65" spans="1:16">
      <c r="A65" s="163" t="s">
        <v>343</v>
      </c>
      <c r="B65" s="163" t="s">
        <v>394</v>
      </c>
      <c r="C65" s="200">
        <v>28350</v>
      </c>
      <c r="D65" s="201">
        <v>11370</v>
      </c>
      <c r="E65" s="202" t="s">
        <v>200</v>
      </c>
      <c r="F65" s="200">
        <v>409</v>
      </c>
      <c r="G65" s="162">
        <v>45894</v>
      </c>
      <c r="H65" s="203" t="s">
        <v>199</v>
      </c>
      <c r="I65" s="186">
        <f t="shared" si="1"/>
        <v>4</v>
      </c>
      <c r="J65" s="204">
        <f>IF($H65="USD",IF(OR($I65="",$I65="-"),"",VLOOKUP($G65,為替!$A:$AX,$I65,FALSE))+$J$3,IF(OR($I65="",$I65="-"),"",VLOOKUP($G65,為替!$A:$AX,$I65,FALSE)))</f>
        <v>146.94999999999999</v>
      </c>
      <c r="K65" s="205">
        <f t="shared" si="2"/>
        <v>60102.549999999996</v>
      </c>
      <c r="L65" s="189">
        <f t="shared" si="7"/>
        <v>3</v>
      </c>
      <c r="M65" s="204">
        <f>IF($H65="USD",IF(OR($L65="",$L65="-"),"",VLOOKUP($G65,為替!$A:$AX,$L65,FALSE))+$K$3,IF(OR($L65="",$L65="-"),"",VLOOKUP($G65,為替!$A:$AX,$L65,FALSE)))</f>
        <v>147.94999999999999</v>
      </c>
      <c r="N65" s="205">
        <f t="shared" si="4"/>
        <v>39720</v>
      </c>
      <c r="O65" s="206">
        <f t="shared" si="8"/>
        <v>20382.549999999996</v>
      </c>
      <c r="P65" s="207">
        <f t="shared" si="9"/>
        <v>0.33912953776503657</v>
      </c>
    </row>
    <row r="66" spans="1:16">
      <c r="A66" s="163" t="s">
        <v>343</v>
      </c>
      <c r="B66" s="163" t="s">
        <v>395</v>
      </c>
      <c r="C66" s="200">
        <v>30520</v>
      </c>
      <c r="D66" s="201">
        <v>10885</v>
      </c>
      <c r="E66" s="202" t="s">
        <v>200</v>
      </c>
      <c r="F66" s="200">
        <v>485.5</v>
      </c>
      <c r="G66" s="162">
        <v>45896</v>
      </c>
      <c r="H66" s="203" t="s">
        <v>199</v>
      </c>
      <c r="I66" s="186">
        <f t="shared" si="1"/>
        <v>4</v>
      </c>
      <c r="J66" s="204">
        <f>IF($H66="USD",IF(OR($I66="",$I66="-"),"",VLOOKUP($G66,為替!$A:$AX,$I66,FALSE))+$J$3,IF(OR($I66="",$I66="-"),"",VLOOKUP($G66,為替!$A:$AX,$I66,FALSE)))</f>
        <v>147.05000000000001</v>
      </c>
      <c r="K66" s="205">
        <f t="shared" si="2"/>
        <v>71392.775000000009</v>
      </c>
      <c r="L66" s="189">
        <f t="shared" si="7"/>
        <v>3</v>
      </c>
      <c r="M66" s="204">
        <f>IF($H66="USD",IF(OR($L66="",$L66="-"),"",VLOOKUP($G66,為替!$A:$AX,$L66,FALSE))+$K$3,IF(OR($L66="",$L66="-"),"",VLOOKUP($G66,為替!$A:$AX,$L66,FALSE)))</f>
        <v>148.05000000000001</v>
      </c>
      <c r="N66" s="205">
        <f t="shared" si="4"/>
        <v>41405</v>
      </c>
      <c r="O66" s="206">
        <f t="shared" si="8"/>
        <v>29987.775000000009</v>
      </c>
      <c r="P66" s="207">
        <f t="shared" si="9"/>
        <v>0.42003935272161652</v>
      </c>
    </row>
    <row r="67" spans="1:16">
      <c r="A67" s="163" t="s">
        <v>343</v>
      </c>
      <c r="B67" s="163" t="s">
        <v>396</v>
      </c>
      <c r="C67" s="200">
        <v>105600</v>
      </c>
      <c r="D67" s="201">
        <v>0</v>
      </c>
      <c r="E67" s="202" t="s">
        <v>200</v>
      </c>
      <c r="F67" s="200">
        <v>1431</v>
      </c>
      <c r="G67" s="162">
        <v>45898</v>
      </c>
      <c r="H67" s="203" t="s">
        <v>199</v>
      </c>
      <c r="I67" s="186">
        <f t="shared" si="1"/>
        <v>4</v>
      </c>
      <c r="J67" s="204">
        <f>IF($H67="USD",IF(OR($I67="",$I67="-"),"",VLOOKUP($G67,為替!$A:$AX,$I67,FALSE))+$J$3,IF(OR($I67="",$I67="-"),"",VLOOKUP($G67,為替!$A:$AX,$I67,FALSE)))</f>
        <v>146.41999999999999</v>
      </c>
      <c r="K67" s="205">
        <f t="shared" si="2"/>
        <v>209527.02</v>
      </c>
      <c r="L67" s="189">
        <f t="shared" si="7"/>
        <v>3</v>
      </c>
      <c r="M67" s="204">
        <f>IF($H67="USD",IF(OR($L67="",$L67="-"),"",VLOOKUP($G67,為替!$A:$AX,$L67,FALSE))+$K$3,IF(OR($L67="",$L67="-"),"",VLOOKUP($G67,為替!$A:$AX,$L67,FALSE)))</f>
        <v>147.41999999999999</v>
      </c>
      <c r="N67" s="205">
        <f t="shared" si="4"/>
        <v>105600</v>
      </c>
      <c r="O67" s="206">
        <f t="shared" si="8"/>
        <v>103927.01999999999</v>
      </c>
      <c r="P67" s="207">
        <f t="shared" si="9"/>
        <v>0.49600772253621511</v>
      </c>
    </row>
    <row r="68" spans="1:16">
      <c r="A68" s="163" t="s">
        <v>343</v>
      </c>
      <c r="B68" s="163" t="s">
        <v>397</v>
      </c>
      <c r="C68" s="200">
        <v>102957</v>
      </c>
      <c r="D68" s="201">
        <v>12272</v>
      </c>
      <c r="E68" s="202" t="s">
        <v>200</v>
      </c>
      <c r="F68" s="200">
        <v>1360.93</v>
      </c>
      <c r="G68" s="162">
        <v>45898</v>
      </c>
      <c r="H68" s="203" t="s">
        <v>199</v>
      </c>
      <c r="I68" s="186">
        <f t="shared" si="1"/>
        <v>4</v>
      </c>
      <c r="J68" s="204">
        <f>IF($H68="USD",IF(OR($I68="",$I68="-"),"",VLOOKUP($G68,為替!$A:$AX,$I68,FALSE))+$J$3,IF(OR($I68="",$I68="-"),"",VLOOKUP($G68,為替!$A:$AX,$I68,FALSE)))</f>
        <v>146.41999999999999</v>
      </c>
      <c r="K68" s="205">
        <f t="shared" si="2"/>
        <v>199267.37059999999</v>
      </c>
      <c r="L68" s="189">
        <f t="shared" si="7"/>
        <v>3</v>
      </c>
      <c r="M68" s="204">
        <f>IF($H68="USD",IF(OR($L68="",$L68="-"),"",VLOOKUP($G68,為替!$A:$AX,$L68,FALSE))+$K$3,IF(OR($L68="",$L68="-"),"",VLOOKUP($G68,為替!$A:$AX,$L68,FALSE)))</f>
        <v>147.41999999999999</v>
      </c>
      <c r="N68" s="205">
        <f t="shared" si="4"/>
        <v>115229</v>
      </c>
      <c r="O68" s="206">
        <f t="shared" si="8"/>
        <v>84038.370599999995</v>
      </c>
      <c r="P68" s="207">
        <f t="shared" si="9"/>
        <v>0.42173673666169204</v>
      </c>
    </row>
    <row r="69" spans="1:16">
      <c r="A69" s="163" t="s">
        <v>332</v>
      </c>
      <c r="B69" s="163">
        <v>7356</v>
      </c>
      <c r="C69" s="200">
        <v>25320</v>
      </c>
      <c r="D69" s="201">
        <v>0</v>
      </c>
      <c r="E69" s="202" t="s">
        <v>200</v>
      </c>
      <c r="F69" s="200">
        <v>468</v>
      </c>
      <c r="G69" s="162">
        <v>45874</v>
      </c>
      <c r="H69" s="203" t="s">
        <v>199</v>
      </c>
      <c r="I69" s="186">
        <f t="shared" si="1"/>
        <v>4</v>
      </c>
      <c r="J69" s="204">
        <f>IF($H69="USD",IF(OR($I69="",$I69="-"),"",VLOOKUP($G69,為替!$A:$AX,$I69,FALSE))+$J$3,IF(OR($I69="",$I69="-"),"",VLOOKUP($G69,為替!$A:$AX,$I69,FALSE)))</f>
        <v>146.47999999999999</v>
      </c>
      <c r="K69" s="205">
        <f t="shared" si="2"/>
        <v>68552.639999999999</v>
      </c>
      <c r="L69" s="189">
        <f t="shared" si="7"/>
        <v>3</v>
      </c>
      <c r="M69" s="204">
        <f>IF($H69="USD",IF(OR($L69="",$L69="-"),"",VLOOKUP($G69,為替!$A:$AX,$L69,FALSE))+$K$3,IF(OR($L69="",$L69="-"),"",VLOOKUP($G69,為替!$A:$AX,$L69,FALSE)))</f>
        <v>147.47999999999999</v>
      </c>
      <c r="N69" s="205">
        <f t="shared" si="4"/>
        <v>25320</v>
      </c>
      <c r="O69" s="206">
        <f t="shared" si="8"/>
        <v>43232.639999999999</v>
      </c>
      <c r="P69" s="207">
        <f t="shared" si="9"/>
        <v>0.63064879777058913</v>
      </c>
    </row>
    <row r="70" spans="1:16">
      <c r="A70" s="163" t="s">
        <v>332</v>
      </c>
      <c r="B70" s="163">
        <v>7371</v>
      </c>
      <c r="C70" s="200">
        <v>19360</v>
      </c>
      <c r="D70" s="201">
        <v>0</v>
      </c>
      <c r="E70" s="202" t="s">
        <v>200</v>
      </c>
      <c r="F70" s="200">
        <v>358</v>
      </c>
      <c r="G70" s="162">
        <v>45887</v>
      </c>
      <c r="H70" s="203" t="s">
        <v>199</v>
      </c>
      <c r="I70" s="186">
        <f t="shared" si="1"/>
        <v>4</v>
      </c>
      <c r="J70" s="204">
        <f>IF($H70="USD",IF(OR($I70="",$I70="-"),"",VLOOKUP($G70,為替!$A:$AX,$I70,FALSE))+$J$3,IF(OR($I70="",$I70="-"),"",VLOOKUP($G70,為替!$A:$AX,$I70,FALSE)))</f>
        <v>147</v>
      </c>
      <c r="K70" s="205">
        <f t="shared" si="2"/>
        <v>52626</v>
      </c>
      <c r="L70" s="189">
        <f t="shared" si="7"/>
        <v>3</v>
      </c>
      <c r="M70" s="204">
        <f>IF($H70="USD",IF(OR($L70="",$L70="-"),"",VLOOKUP($G70,為替!$A:$AX,$L70,FALSE))+$K$3,IF(OR($L70="",$L70="-"),"",VLOOKUP($G70,為替!$A:$AX,$L70,FALSE)))</f>
        <v>148</v>
      </c>
      <c r="N70" s="205">
        <f t="shared" si="4"/>
        <v>19360</v>
      </c>
      <c r="O70" s="206">
        <f t="shared" si="8"/>
        <v>33266</v>
      </c>
      <c r="P70" s="207">
        <f t="shared" si="9"/>
        <v>0.63212100482651157</v>
      </c>
    </row>
    <row r="71" spans="1:16">
      <c r="A71" s="163" t="s">
        <v>332</v>
      </c>
      <c r="B71" s="163">
        <v>7412</v>
      </c>
      <c r="C71" s="200">
        <v>3000</v>
      </c>
      <c r="D71" s="201">
        <v>0</v>
      </c>
      <c r="E71" s="202" t="s">
        <v>200</v>
      </c>
      <c r="F71" s="200">
        <v>37</v>
      </c>
      <c r="G71" s="162">
        <v>45898</v>
      </c>
      <c r="H71" s="203" t="s">
        <v>365</v>
      </c>
      <c r="I71" s="186">
        <f t="shared" ref="I71:I134" si="10">IF(H71="","",IF(H71="JPY","",IF($H71="USD",4, IF(H71="EUR",7,IF(H71="CNY",47,IF(H71="HKD",34))))))</f>
        <v>7</v>
      </c>
      <c r="J71" s="204">
        <f>IF($H71="USD",IF(OR($I71="",$I71="-"),"",VLOOKUP($G71,為替!$A:$AX,$I71,FALSE))+$J$3,IF(OR($I71="",$I71="-"),"",VLOOKUP($G71,為替!$A:$AX,$I71,FALSE)))</f>
        <v>169.97</v>
      </c>
      <c r="K71" s="205">
        <f t="shared" ref="K71:K134" si="11">IF($H71="JPY",$F71,IF($H71="","",$F71*$J71))</f>
        <v>6288.89</v>
      </c>
      <c r="L71" s="189">
        <f t="shared" si="7"/>
        <v>6</v>
      </c>
      <c r="M71" s="204">
        <f>IF($H71="USD",IF(OR($L71="",$L71="-"),"",VLOOKUP($G71,為替!$A:$AX,$L71,FALSE))+$K$3,IF(OR($L71="",$L71="-"),"",VLOOKUP($G71,為替!$A:$AX,$L71,FALSE)))</f>
        <v>172.97</v>
      </c>
      <c r="N71" s="205">
        <f t="shared" ref="N71:N134" si="12">IF($E71="JPY",($C71+$D71),IF($E71="","",($C71+$D71)*$M71))</f>
        <v>3000</v>
      </c>
      <c r="O71" s="206">
        <f t="shared" si="8"/>
        <v>3288.8900000000003</v>
      </c>
      <c r="P71" s="207">
        <f t="shared" si="9"/>
        <v>0.52296828216108093</v>
      </c>
    </row>
    <row r="72" spans="1:16">
      <c r="A72" s="163" t="s">
        <v>343</v>
      </c>
      <c r="B72" s="163" t="s">
        <v>409</v>
      </c>
      <c r="C72" s="200">
        <v>241100</v>
      </c>
      <c r="D72" s="201">
        <v>0</v>
      </c>
      <c r="E72" s="202" t="s">
        <v>200</v>
      </c>
      <c r="F72" s="200">
        <v>3237</v>
      </c>
      <c r="G72" s="162">
        <v>45904</v>
      </c>
      <c r="H72" s="203" t="s">
        <v>199</v>
      </c>
      <c r="I72" s="186">
        <f t="shared" si="10"/>
        <v>4</v>
      </c>
      <c r="J72" s="204">
        <f>IF($H72="USD",IF(OR($I72="",$I72="-"),"",VLOOKUP($G72,為替!$A:$AX,$I72,FALSE))+$J$3,IF(OR($I72="",$I72="-"),"",VLOOKUP($G72,為替!$A:$AX,$I72,FALSE)))</f>
        <v>147.52000000000001</v>
      </c>
      <c r="K72" s="205">
        <f t="shared" si="11"/>
        <v>477522.24000000005</v>
      </c>
      <c r="L72" s="189">
        <f t="shared" si="7"/>
        <v>3</v>
      </c>
      <c r="M72" s="204">
        <f>IF($H72="USD",IF(OR($L72="",$L72="-"),"",VLOOKUP($G72,為替!$A:$AX,$L72,FALSE))+$K$3,IF(OR($L72="",$L72="-"),"",VLOOKUP($G72,為替!$A:$AX,$L72,FALSE)))</f>
        <v>148.52000000000001</v>
      </c>
      <c r="N72" s="205">
        <f t="shared" si="12"/>
        <v>241100</v>
      </c>
      <c r="O72" s="206">
        <f t="shared" si="8"/>
        <v>236422.24000000005</v>
      </c>
      <c r="P72" s="207">
        <f t="shared" si="9"/>
        <v>0.49510205011603237</v>
      </c>
    </row>
    <row r="73" spans="1:16">
      <c r="A73" s="163" t="s">
        <v>343</v>
      </c>
      <c r="B73" s="163" t="s">
        <v>410</v>
      </c>
      <c r="C73" s="200">
        <v>29350</v>
      </c>
      <c r="D73" s="201">
        <v>0</v>
      </c>
      <c r="E73" s="202" t="s">
        <v>200</v>
      </c>
      <c r="F73" s="200">
        <v>371.5</v>
      </c>
      <c r="G73" s="162">
        <v>45905</v>
      </c>
      <c r="H73" s="203" t="s">
        <v>199</v>
      </c>
      <c r="I73" s="186">
        <f t="shared" si="10"/>
        <v>4</v>
      </c>
      <c r="J73" s="204">
        <f>IF($H73="USD",IF(OR($I73="",$I73="-"),"",VLOOKUP($G73,為替!$A:$AX,$I73,FALSE))+$J$3,IF(OR($I73="",$I73="-"),"",VLOOKUP($G73,為替!$A:$AX,$I73,FALSE)))</f>
        <v>147.75</v>
      </c>
      <c r="K73" s="205">
        <f t="shared" si="11"/>
        <v>54889.125</v>
      </c>
      <c r="L73" s="189">
        <f t="shared" si="7"/>
        <v>3</v>
      </c>
      <c r="M73" s="204">
        <f>IF($H73="USD",IF(OR($L73="",$L73="-"),"",VLOOKUP($G73,為替!$A:$AX,$L73,FALSE))+$K$3,IF(OR($L73="",$L73="-"),"",VLOOKUP($G73,為替!$A:$AX,$L73,FALSE)))</f>
        <v>148.75</v>
      </c>
      <c r="N73" s="205">
        <f t="shared" si="12"/>
        <v>29350</v>
      </c>
      <c r="O73" s="206">
        <f t="shared" si="8"/>
        <v>25539.125</v>
      </c>
      <c r="P73" s="207">
        <f t="shared" si="9"/>
        <v>0.46528570094713662</v>
      </c>
    </row>
    <row r="74" spans="1:16">
      <c r="A74" s="163" t="s">
        <v>343</v>
      </c>
      <c r="B74" s="163" t="s">
        <v>411</v>
      </c>
      <c r="C74" s="200">
        <v>4260</v>
      </c>
      <c r="D74" s="201">
        <v>0</v>
      </c>
      <c r="E74" s="202" t="s">
        <v>200</v>
      </c>
      <c r="F74" s="200">
        <v>52.2</v>
      </c>
      <c r="G74" s="162">
        <v>45908</v>
      </c>
      <c r="H74" s="203" t="s">
        <v>199</v>
      </c>
      <c r="I74" s="186">
        <f t="shared" si="10"/>
        <v>4</v>
      </c>
      <c r="J74" s="204">
        <f>IF($H74="USD",IF(OR($I74="",$I74="-"),"",VLOOKUP($G74,為替!$A:$AX,$I74,FALSE))+$J$3,IF(OR($I74="",$I74="-"),"",VLOOKUP($G74,為替!$A:$AX,$I74,FALSE)))</f>
        <v>147.97</v>
      </c>
      <c r="K74" s="205">
        <f t="shared" si="11"/>
        <v>7724.0340000000006</v>
      </c>
      <c r="L74" s="189">
        <f t="shared" si="7"/>
        <v>3</v>
      </c>
      <c r="M74" s="204">
        <f>IF($H74="USD",IF(OR($L74="",$L74="-"),"",VLOOKUP($G74,為替!$A:$AX,$L74,FALSE))+$K$3,IF(OR($L74="",$L74="-"),"",VLOOKUP($G74,為替!$A:$AX,$L74,FALSE)))</f>
        <v>148.97</v>
      </c>
      <c r="N74" s="205">
        <f t="shared" si="12"/>
        <v>4260</v>
      </c>
      <c r="O74" s="206">
        <f t="shared" si="8"/>
        <v>3464.0340000000006</v>
      </c>
      <c r="P74" s="207">
        <f t="shared" si="9"/>
        <v>0.44847472188755261</v>
      </c>
    </row>
    <row r="75" spans="1:16">
      <c r="A75" s="163" t="s">
        <v>343</v>
      </c>
      <c r="B75" s="163" t="s">
        <v>412</v>
      </c>
      <c r="C75" s="200">
        <v>2055</v>
      </c>
      <c r="D75" s="201">
        <v>0</v>
      </c>
      <c r="E75" s="202" t="s">
        <v>200</v>
      </c>
      <c r="F75" s="200">
        <v>37.200000000000003</v>
      </c>
      <c r="G75" s="162">
        <v>45910</v>
      </c>
      <c r="H75" s="203" t="s">
        <v>199</v>
      </c>
      <c r="I75" s="186">
        <f t="shared" si="10"/>
        <v>4</v>
      </c>
      <c r="J75" s="204">
        <f>IF($H75="USD",IF(OR($I75="",$I75="-"),"",VLOOKUP($G75,為替!$A:$AX,$I75,FALSE))+$J$3,IF(OR($I75="",$I75="-"),"",VLOOKUP($G75,為替!$A:$AX,$I75,FALSE)))</f>
        <v>147.02000000000001</v>
      </c>
      <c r="K75" s="205">
        <f t="shared" si="11"/>
        <v>5469.1440000000011</v>
      </c>
      <c r="L75" s="189">
        <f t="shared" si="7"/>
        <v>3</v>
      </c>
      <c r="M75" s="204">
        <f>IF($H75="USD",IF(OR($L75="",$L75="-"),"",VLOOKUP($G75,為替!$A:$AX,$L75,FALSE))+$K$3,IF(OR($L75="",$L75="-"),"",VLOOKUP($G75,為替!$A:$AX,$L75,FALSE)))</f>
        <v>148.02000000000001</v>
      </c>
      <c r="N75" s="205">
        <f t="shared" si="12"/>
        <v>2055</v>
      </c>
      <c r="O75" s="206">
        <f t="shared" si="8"/>
        <v>3414.1440000000011</v>
      </c>
      <c r="P75" s="207">
        <f t="shared" si="9"/>
        <v>0.62425564219921814</v>
      </c>
    </row>
    <row r="76" spans="1:16">
      <c r="A76" s="163" t="s">
        <v>343</v>
      </c>
      <c r="B76" s="163" t="s">
        <v>413</v>
      </c>
      <c r="C76" s="200">
        <v>146150</v>
      </c>
      <c r="D76" s="201">
        <v>0</v>
      </c>
      <c r="E76" s="202" t="s">
        <v>200</v>
      </c>
      <c r="F76" s="200">
        <v>1380.45</v>
      </c>
      <c r="G76" s="162">
        <v>45910</v>
      </c>
      <c r="H76" s="203" t="s">
        <v>199</v>
      </c>
      <c r="I76" s="186">
        <f t="shared" si="10"/>
        <v>4</v>
      </c>
      <c r="J76" s="204">
        <f>IF($H76="USD",IF(OR($I76="",$I76="-"),"",VLOOKUP($G76,為替!$A:$AX,$I76,FALSE))+$J$3,IF(OR($I76="",$I76="-"),"",VLOOKUP($G76,為替!$A:$AX,$I76,FALSE)))</f>
        <v>147.02000000000001</v>
      </c>
      <c r="K76" s="205">
        <f t="shared" si="11"/>
        <v>202953.75900000002</v>
      </c>
      <c r="L76" s="189">
        <f t="shared" si="7"/>
        <v>3</v>
      </c>
      <c r="M76" s="204">
        <f>IF($H76="USD",IF(OR($L76="",$L76="-"),"",VLOOKUP($G76,為替!$A:$AX,$L76,FALSE))+$K$3,IF(OR($L76="",$L76="-"),"",VLOOKUP($G76,為替!$A:$AX,$L76,FALSE)))</f>
        <v>148.02000000000001</v>
      </c>
      <c r="N76" s="205">
        <f t="shared" si="12"/>
        <v>146150</v>
      </c>
      <c r="O76" s="206">
        <f t="shared" si="8"/>
        <v>56803.75900000002</v>
      </c>
      <c r="P76" s="207">
        <f t="shared" si="9"/>
        <v>0.27988522745222971</v>
      </c>
    </row>
    <row r="77" spans="1:16">
      <c r="A77" s="163" t="s">
        <v>343</v>
      </c>
      <c r="B77" s="163" t="s">
        <v>414</v>
      </c>
      <c r="C77" s="200">
        <v>75040</v>
      </c>
      <c r="D77" s="201">
        <v>12127</v>
      </c>
      <c r="E77" s="202" t="s">
        <v>200</v>
      </c>
      <c r="F77" s="200">
        <v>940</v>
      </c>
      <c r="G77" s="162">
        <v>45911</v>
      </c>
      <c r="H77" s="203" t="s">
        <v>199</v>
      </c>
      <c r="I77" s="186">
        <f t="shared" si="10"/>
        <v>4</v>
      </c>
      <c r="J77" s="204">
        <f>IF($H77="USD",IF(OR($I77="",$I77="-"),"",VLOOKUP($G77,為替!$A:$AX,$I77,FALSE))+$J$3,IF(OR($I77="",$I77="-"),"",VLOOKUP($G77,為替!$A:$AX,$I77,FALSE)))</f>
        <v>147.06</v>
      </c>
      <c r="K77" s="205">
        <f t="shared" si="11"/>
        <v>138236.4</v>
      </c>
      <c r="L77" s="189">
        <f t="shared" si="7"/>
        <v>3</v>
      </c>
      <c r="M77" s="204">
        <f>IF($H77="USD",IF(OR($L77="",$L77="-"),"",VLOOKUP($G77,為替!$A:$AX,$L77,FALSE))+$K$3,IF(OR($L77="",$L77="-"),"",VLOOKUP($G77,為替!$A:$AX,$L77,FALSE)))</f>
        <v>148.06</v>
      </c>
      <c r="N77" s="205">
        <f t="shared" si="12"/>
        <v>87167</v>
      </c>
      <c r="O77" s="206">
        <f t="shared" si="8"/>
        <v>51069.399999999994</v>
      </c>
      <c r="P77" s="207">
        <f t="shared" si="9"/>
        <v>0.36943525728389914</v>
      </c>
    </row>
    <row r="78" spans="1:16">
      <c r="A78" s="163" t="s">
        <v>343</v>
      </c>
      <c r="B78" s="163" t="s">
        <v>415</v>
      </c>
      <c r="C78" s="200">
        <v>38460</v>
      </c>
      <c r="D78" s="201">
        <v>0</v>
      </c>
      <c r="E78" s="202" t="s">
        <v>200</v>
      </c>
      <c r="F78" s="200">
        <v>361.04</v>
      </c>
      <c r="G78" s="162">
        <v>45917</v>
      </c>
      <c r="H78" s="203" t="s">
        <v>199</v>
      </c>
      <c r="I78" s="186">
        <f t="shared" si="10"/>
        <v>4</v>
      </c>
      <c r="J78" s="204">
        <f>IF($H78="USD",IF(OR($I78="",$I78="-"),"",VLOOKUP($G78,為替!$A:$AX,$I78,FALSE))+$J$3,IF(OR($I78="",$I78="-"),"",VLOOKUP($G78,為替!$A:$AX,$I78,FALSE)))</f>
        <v>146.05000000000001</v>
      </c>
      <c r="K78" s="205">
        <f t="shared" si="11"/>
        <v>52729.892000000007</v>
      </c>
      <c r="L78" s="189">
        <f t="shared" si="7"/>
        <v>3</v>
      </c>
      <c r="M78" s="204">
        <f>IF($H78="USD",IF(OR($L78="",$L78="-"),"",VLOOKUP($G78,為替!$A:$AX,$L78,FALSE))+$K$3,IF(OR($L78="",$L78="-"),"",VLOOKUP($G78,為替!$A:$AX,$L78,FALSE)))</f>
        <v>147.05000000000001</v>
      </c>
      <c r="N78" s="205">
        <f t="shared" si="12"/>
        <v>38460</v>
      </c>
      <c r="O78" s="206">
        <f t="shared" si="8"/>
        <v>14269.892000000007</v>
      </c>
      <c r="P78" s="207">
        <f t="shared" si="9"/>
        <v>0.27062243935565061</v>
      </c>
    </row>
    <row r="79" spans="1:16">
      <c r="A79" s="163" t="s">
        <v>343</v>
      </c>
      <c r="B79" s="163" t="s">
        <v>416</v>
      </c>
      <c r="C79" s="200">
        <v>93494</v>
      </c>
      <c r="D79" s="201">
        <v>25366</v>
      </c>
      <c r="E79" s="202" t="s">
        <v>200</v>
      </c>
      <c r="F79" s="200">
        <v>1391.21</v>
      </c>
      <c r="G79" s="162">
        <v>45919</v>
      </c>
      <c r="H79" s="203" t="s">
        <v>199</v>
      </c>
      <c r="I79" s="186">
        <f t="shared" si="10"/>
        <v>4</v>
      </c>
      <c r="J79" s="204">
        <f>IF($H79="USD",IF(OR($I79="",$I79="-"),"",VLOOKUP($G79,為替!$A:$AX,$I79,FALSE))+$J$3,IF(OR($I79="",$I79="-"),"",VLOOKUP($G79,為替!$A:$AX,$I79,FALSE)))</f>
        <v>147.55000000000001</v>
      </c>
      <c r="K79" s="205">
        <f t="shared" si="11"/>
        <v>205273.03550000003</v>
      </c>
      <c r="L79" s="189">
        <f t="shared" si="7"/>
        <v>3</v>
      </c>
      <c r="M79" s="204">
        <f>IF($H79="USD",IF(OR($L79="",$L79="-"),"",VLOOKUP($G79,為替!$A:$AX,$L79,FALSE))+$K$3,IF(OR($L79="",$L79="-"),"",VLOOKUP($G79,為替!$A:$AX,$L79,FALSE)))</f>
        <v>148.55000000000001</v>
      </c>
      <c r="N79" s="205">
        <f t="shared" si="12"/>
        <v>118860</v>
      </c>
      <c r="O79" s="206">
        <f t="shared" si="8"/>
        <v>86413.035500000027</v>
      </c>
      <c r="P79" s="207">
        <f t="shared" si="9"/>
        <v>0.42096632560392966</v>
      </c>
    </row>
    <row r="80" spans="1:16">
      <c r="A80" s="163" t="s">
        <v>343</v>
      </c>
      <c r="B80" s="163" t="s">
        <v>417</v>
      </c>
      <c r="C80" s="200">
        <v>10020</v>
      </c>
      <c r="D80" s="201">
        <v>0</v>
      </c>
      <c r="E80" s="202" t="s">
        <v>200</v>
      </c>
      <c r="F80" s="200">
        <v>131.6</v>
      </c>
      <c r="G80" s="162">
        <v>45924</v>
      </c>
      <c r="H80" s="203" t="s">
        <v>199</v>
      </c>
      <c r="I80" s="186">
        <f t="shared" si="10"/>
        <v>4</v>
      </c>
      <c r="J80" s="204">
        <f>IF($H80="USD",IF(OR($I80="",$I80="-"),"",VLOOKUP($G80,為替!$A:$AX,$I80,FALSE))+$J$3,IF(OR($I80="",$I80="-"),"",VLOOKUP($G80,為替!$A:$AX,$I80,FALSE)))</f>
        <v>147.35</v>
      </c>
      <c r="K80" s="205">
        <f t="shared" si="11"/>
        <v>19391.259999999998</v>
      </c>
      <c r="L80" s="189">
        <f t="shared" si="7"/>
        <v>3</v>
      </c>
      <c r="M80" s="204">
        <f>IF($H80="USD",IF(OR($L80="",$L80="-"),"",VLOOKUP($G80,為替!$A:$AX,$L80,FALSE))+$K$3,IF(OR($L80="",$L80="-"),"",VLOOKUP($G80,為替!$A:$AX,$L80,FALSE)))</f>
        <v>148.35</v>
      </c>
      <c r="N80" s="205">
        <f t="shared" si="12"/>
        <v>10020</v>
      </c>
      <c r="O80" s="206">
        <f t="shared" si="8"/>
        <v>9371.2599999999984</v>
      </c>
      <c r="P80" s="207">
        <f t="shared" si="9"/>
        <v>0.48327236084710323</v>
      </c>
    </row>
    <row r="81" spans="1:16">
      <c r="A81" s="163" t="s">
        <v>343</v>
      </c>
      <c r="B81" s="163" t="s">
        <v>418</v>
      </c>
      <c r="C81" s="200">
        <v>22950</v>
      </c>
      <c r="D81" s="201">
        <v>0</v>
      </c>
      <c r="E81" s="202" t="s">
        <v>200</v>
      </c>
      <c r="F81" s="200">
        <v>224.7</v>
      </c>
      <c r="G81" s="162">
        <v>45924</v>
      </c>
      <c r="H81" s="203" t="s">
        <v>199</v>
      </c>
      <c r="I81" s="186">
        <f t="shared" si="10"/>
        <v>4</v>
      </c>
      <c r="J81" s="204">
        <f>IF($H81="USD",IF(OR($I81="",$I81="-"),"",VLOOKUP($G81,為替!$A:$AX,$I81,FALSE))+$J$3,IF(OR($I81="",$I81="-"),"",VLOOKUP($G81,為替!$A:$AX,$I81,FALSE)))</f>
        <v>147.35</v>
      </c>
      <c r="K81" s="205">
        <f t="shared" si="11"/>
        <v>33109.544999999998</v>
      </c>
      <c r="L81" s="189">
        <f t="shared" si="7"/>
        <v>3</v>
      </c>
      <c r="M81" s="204">
        <f>IF($H81="USD",IF(OR($L81="",$L81="-"),"",VLOOKUP($G81,為替!$A:$AX,$L81,FALSE))+$K$3,IF(OR($L81="",$L81="-"),"",VLOOKUP($G81,為替!$A:$AX,$L81,FALSE)))</f>
        <v>148.35</v>
      </c>
      <c r="N81" s="205">
        <f t="shared" si="12"/>
        <v>22950</v>
      </c>
      <c r="O81" s="206">
        <f t="shared" si="8"/>
        <v>10159.544999999998</v>
      </c>
      <c r="P81" s="207">
        <f t="shared" si="9"/>
        <v>0.30684640939644442</v>
      </c>
    </row>
    <row r="82" spans="1:16">
      <c r="A82" s="163" t="s">
        <v>343</v>
      </c>
      <c r="B82" s="163" t="s">
        <v>419</v>
      </c>
      <c r="C82" s="200">
        <v>97724</v>
      </c>
      <c r="D82" s="201">
        <v>0</v>
      </c>
      <c r="E82" s="202" t="s">
        <v>200</v>
      </c>
      <c r="F82" s="200">
        <v>969.19</v>
      </c>
      <c r="G82" s="162">
        <v>45924</v>
      </c>
      <c r="H82" s="203" t="s">
        <v>199</v>
      </c>
      <c r="I82" s="186">
        <f t="shared" si="10"/>
        <v>4</v>
      </c>
      <c r="J82" s="204">
        <f>IF($H82="USD",IF(OR($I82="",$I82="-"),"",VLOOKUP($G82,為替!$A:$AX,$I82,FALSE))+$J$3,IF(OR($I82="",$I82="-"),"",VLOOKUP($G82,為替!$A:$AX,$I82,FALSE)))</f>
        <v>147.35</v>
      </c>
      <c r="K82" s="205">
        <f t="shared" si="11"/>
        <v>142810.1465</v>
      </c>
      <c r="L82" s="189">
        <f t="shared" ref="L82:L145" si="13">IF(H82="","",IF(H82="JPY","",IF($H82="USD",3, IF(H82="EUR",6,IF(H82="CNY",46,IF(H82="HKD",33))))))</f>
        <v>3</v>
      </c>
      <c r="M82" s="204">
        <f>IF($H82="USD",IF(OR($L82="",$L82="-"),"",VLOOKUP($G82,為替!$A:$AX,$L82,FALSE))+$K$3,IF(OR($L82="",$L82="-"),"",VLOOKUP($G82,為替!$A:$AX,$L82,FALSE)))</f>
        <v>148.35</v>
      </c>
      <c r="N82" s="205">
        <f t="shared" si="12"/>
        <v>97724</v>
      </c>
      <c r="O82" s="206">
        <f t="shared" ref="O82:O145" si="14">IF(OR(K82="",N82=""),"",K82-N82)</f>
        <v>45086.146500000003</v>
      </c>
      <c r="P82" s="207">
        <f t="shared" ref="P82:P145" si="15">IF(OR(K82="",O82=""),"",O82/K82)</f>
        <v>0.31570688501464428</v>
      </c>
    </row>
    <row r="83" spans="1:16">
      <c r="A83" s="163" t="s">
        <v>343</v>
      </c>
      <c r="B83" s="163" t="s">
        <v>420</v>
      </c>
      <c r="C83" s="200">
        <v>4494</v>
      </c>
      <c r="D83" s="201">
        <v>0</v>
      </c>
      <c r="E83" s="202" t="s">
        <v>200</v>
      </c>
      <c r="F83" s="200">
        <v>66</v>
      </c>
      <c r="G83" s="162">
        <v>45925</v>
      </c>
      <c r="H83" s="203" t="s">
        <v>199</v>
      </c>
      <c r="I83" s="186">
        <f t="shared" si="10"/>
        <v>4</v>
      </c>
      <c r="J83" s="204">
        <f>IF($H83="USD",IF(OR($I83="",$I83="-"),"",VLOOKUP($G83,為替!$A:$AX,$I83,FALSE))+$J$3,IF(OR($I83="",$I83="-"),"",VLOOKUP($G83,為替!$A:$AX,$I83,FALSE)))</f>
        <v>148.27000000000001</v>
      </c>
      <c r="K83" s="205">
        <f t="shared" si="11"/>
        <v>9785.8200000000015</v>
      </c>
      <c r="L83" s="189">
        <f t="shared" si="13"/>
        <v>3</v>
      </c>
      <c r="M83" s="204">
        <f>IF($H83="USD",IF(OR($L83="",$L83="-"),"",VLOOKUP($G83,為替!$A:$AX,$L83,FALSE))+$K$3,IF(OR($L83="",$L83="-"),"",VLOOKUP($G83,為替!$A:$AX,$L83,FALSE)))</f>
        <v>149.27000000000001</v>
      </c>
      <c r="N83" s="205">
        <f t="shared" si="12"/>
        <v>4494</v>
      </c>
      <c r="O83" s="206">
        <f t="shared" si="14"/>
        <v>5291.8200000000015</v>
      </c>
      <c r="P83" s="207">
        <f t="shared" si="15"/>
        <v>0.54076408517630614</v>
      </c>
    </row>
    <row r="84" spans="1:16">
      <c r="A84" s="163" t="s">
        <v>343</v>
      </c>
      <c r="B84" s="163" t="s">
        <v>421</v>
      </c>
      <c r="C84" s="200">
        <v>159900</v>
      </c>
      <c r="D84" s="201">
        <v>0</v>
      </c>
      <c r="E84" s="202" t="s">
        <v>200</v>
      </c>
      <c r="F84" s="200">
        <v>1856.4</v>
      </c>
      <c r="G84" s="162">
        <v>45926</v>
      </c>
      <c r="H84" s="203" t="s">
        <v>199</v>
      </c>
      <c r="I84" s="186">
        <f t="shared" si="10"/>
        <v>4</v>
      </c>
      <c r="J84" s="204">
        <f>IF($H84="USD",IF(OR($I84="",$I84="-"),"",VLOOKUP($G84,為替!$A:$AX,$I84,FALSE))+$J$3,IF(OR($I84="",$I84="-"),"",VLOOKUP($G84,為替!$A:$AX,$I84,FALSE)))</f>
        <v>149.29</v>
      </c>
      <c r="K84" s="205">
        <f t="shared" si="11"/>
        <v>277141.95600000001</v>
      </c>
      <c r="L84" s="189">
        <f t="shared" si="13"/>
        <v>3</v>
      </c>
      <c r="M84" s="204">
        <f>IF($H84="USD",IF(OR($L84="",$L84="-"),"",VLOOKUP($G84,為替!$A:$AX,$L84,FALSE))+$K$3,IF(OR($L84="",$L84="-"),"",VLOOKUP($G84,為替!$A:$AX,$L84,FALSE)))</f>
        <v>150.29</v>
      </c>
      <c r="N84" s="205">
        <f t="shared" si="12"/>
        <v>159900</v>
      </c>
      <c r="O84" s="206">
        <f t="shared" si="14"/>
        <v>117241.95600000001</v>
      </c>
      <c r="P84" s="207">
        <f t="shared" si="15"/>
        <v>0.42303936109911849</v>
      </c>
    </row>
    <row r="85" spans="1:16">
      <c r="A85" s="163" t="s">
        <v>343</v>
      </c>
      <c r="B85" s="163" t="s">
        <v>422</v>
      </c>
      <c r="C85" s="200">
        <v>19180</v>
      </c>
      <c r="D85" s="201">
        <v>3222</v>
      </c>
      <c r="E85" s="202" t="s">
        <v>200</v>
      </c>
      <c r="F85" s="200">
        <v>273.52</v>
      </c>
      <c r="G85" s="162">
        <v>45929</v>
      </c>
      <c r="H85" s="203" t="s">
        <v>199</v>
      </c>
      <c r="I85" s="186">
        <f t="shared" si="10"/>
        <v>4</v>
      </c>
      <c r="J85" s="204">
        <f>IF($H85="USD",IF(OR($I85="",$I85="-"),"",VLOOKUP($G85,為替!$A:$AX,$I85,FALSE))+$J$3,IF(OR($I85="",$I85="-"),"",VLOOKUP($G85,為替!$A:$AX,$I85,FALSE)))</f>
        <v>148.71</v>
      </c>
      <c r="K85" s="205">
        <f t="shared" si="11"/>
        <v>40675.159200000002</v>
      </c>
      <c r="L85" s="189">
        <f t="shared" si="13"/>
        <v>3</v>
      </c>
      <c r="M85" s="204">
        <f>IF($H85="USD",IF(OR($L85="",$L85="-"),"",VLOOKUP($G85,為替!$A:$AX,$L85,FALSE))+$K$3,IF(OR($L85="",$L85="-"),"",VLOOKUP($G85,為替!$A:$AX,$L85,FALSE)))</f>
        <v>149.71</v>
      </c>
      <c r="N85" s="205">
        <f t="shared" si="12"/>
        <v>22402</v>
      </c>
      <c r="O85" s="206">
        <f t="shared" si="14"/>
        <v>18273.159200000002</v>
      </c>
      <c r="P85" s="207">
        <f t="shared" si="15"/>
        <v>0.44924616299965214</v>
      </c>
    </row>
    <row r="86" spans="1:16">
      <c r="A86" s="163" t="s">
        <v>344</v>
      </c>
      <c r="B86" s="163">
        <v>7427</v>
      </c>
      <c r="C86" s="200">
        <v>146810</v>
      </c>
      <c r="D86" s="201">
        <v>14000.4</v>
      </c>
      <c r="E86" s="202" t="s">
        <v>200</v>
      </c>
      <c r="F86" s="200">
        <v>2243.6999999999998</v>
      </c>
      <c r="G86" s="162">
        <v>45903</v>
      </c>
      <c r="H86" s="203" t="s">
        <v>199</v>
      </c>
      <c r="I86" s="186">
        <f t="shared" si="10"/>
        <v>4</v>
      </c>
      <c r="J86" s="204">
        <f>IF($H86="USD",IF(OR($I86="",$I86="-"),"",VLOOKUP($G86,為替!$A:$AX,$I86,FALSE))+$J$3,IF(OR($I86="",$I86="-"),"",VLOOKUP($G86,為替!$A:$AX,$I86,FALSE)))</f>
        <v>148.29</v>
      </c>
      <c r="K86" s="205">
        <f t="shared" si="11"/>
        <v>332718.27299999993</v>
      </c>
      <c r="L86" s="189">
        <f t="shared" si="13"/>
        <v>3</v>
      </c>
      <c r="M86" s="204">
        <f>IF($H86="USD",IF(OR($L86="",$L86="-"),"",VLOOKUP($G86,為替!$A:$AX,$L86,FALSE))+$K$3,IF(OR($L86="",$L86="-"),"",VLOOKUP($G86,為替!$A:$AX,$L86,FALSE)))</f>
        <v>149.29</v>
      </c>
      <c r="N86" s="205">
        <f t="shared" si="12"/>
        <v>160810.4</v>
      </c>
      <c r="O86" s="206">
        <f t="shared" si="14"/>
        <v>171907.87299999993</v>
      </c>
      <c r="P86" s="207">
        <f t="shared" si="15"/>
        <v>0.51667698154949238</v>
      </c>
    </row>
    <row r="87" spans="1:16">
      <c r="A87" s="163" t="s">
        <v>344</v>
      </c>
      <c r="B87" s="163">
        <v>7482</v>
      </c>
      <c r="C87" s="200">
        <v>381460</v>
      </c>
      <c r="D87" s="201">
        <v>29982</v>
      </c>
      <c r="E87" s="202" t="s">
        <v>200</v>
      </c>
      <c r="F87" s="200">
        <v>4804.8</v>
      </c>
      <c r="G87" s="162">
        <v>45925</v>
      </c>
      <c r="H87" s="203" t="s">
        <v>199</v>
      </c>
      <c r="I87" s="186">
        <f t="shared" si="10"/>
        <v>4</v>
      </c>
      <c r="J87" s="204">
        <f>IF($H87="USD",IF(OR($I87="",$I87="-"),"",VLOOKUP($G87,為替!$A:$AX,$I87,FALSE))+$J$3,IF(OR($I87="",$I87="-"),"",VLOOKUP($G87,為替!$A:$AX,$I87,FALSE)))</f>
        <v>148.27000000000001</v>
      </c>
      <c r="K87" s="205">
        <f t="shared" si="11"/>
        <v>712407.69600000011</v>
      </c>
      <c r="L87" s="189">
        <f t="shared" si="13"/>
        <v>3</v>
      </c>
      <c r="M87" s="204">
        <f>IF($H87="USD",IF(OR($L87="",$L87="-"),"",VLOOKUP($G87,為替!$A:$AX,$L87,FALSE))+$K$3,IF(OR($L87="",$L87="-"),"",VLOOKUP($G87,為替!$A:$AX,$L87,FALSE)))</f>
        <v>149.27000000000001</v>
      </c>
      <c r="N87" s="205">
        <f t="shared" si="12"/>
        <v>411442</v>
      </c>
      <c r="O87" s="206">
        <f t="shared" si="14"/>
        <v>300965.69600000011</v>
      </c>
      <c r="P87" s="207">
        <f t="shared" si="15"/>
        <v>0.42246272420953757</v>
      </c>
    </row>
    <row r="88" spans="1:16">
      <c r="A88" s="163" t="s">
        <v>332</v>
      </c>
      <c r="B88" s="163">
        <v>7424</v>
      </c>
      <c r="C88" s="200">
        <v>5880</v>
      </c>
      <c r="D88" s="201">
        <v>0</v>
      </c>
      <c r="E88" s="202" t="s">
        <v>200</v>
      </c>
      <c r="F88" s="200">
        <v>86.4</v>
      </c>
      <c r="G88" s="162">
        <v>45904</v>
      </c>
      <c r="H88" s="203" t="s">
        <v>365</v>
      </c>
      <c r="I88" s="186">
        <f t="shared" si="10"/>
        <v>7</v>
      </c>
      <c r="J88" s="204">
        <f>IF($H88="USD",IF(OR($I88="",$I88="-"),"",VLOOKUP($G88,為替!$A:$AX,$I88,FALSE))+$J$3,IF(OR($I88="",$I88="-"),"",VLOOKUP($G88,為替!$A:$AX,$I88,FALSE)))</f>
        <v>171</v>
      </c>
      <c r="K88" s="205">
        <f t="shared" si="11"/>
        <v>14774.400000000001</v>
      </c>
      <c r="L88" s="189">
        <f t="shared" si="13"/>
        <v>6</v>
      </c>
      <c r="M88" s="204">
        <f>IF($H88="USD",IF(OR($L88="",$L88="-"),"",VLOOKUP($G88,為替!$A:$AX,$L88,FALSE))+$K$3,IF(OR($L88="",$L88="-"),"",VLOOKUP($G88,為替!$A:$AX,$L88,FALSE)))</f>
        <v>174</v>
      </c>
      <c r="N88" s="205">
        <f t="shared" si="12"/>
        <v>5880</v>
      </c>
      <c r="O88" s="206">
        <f t="shared" si="14"/>
        <v>8894.4000000000015</v>
      </c>
      <c r="P88" s="207">
        <f t="shared" si="15"/>
        <v>0.60201429499675119</v>
      </c>
    </row>
    <row r="89" spans="1:16">
      <c r="A89" s="163" t="s">
        <v>332</v>
      </c>
      <c r="B89" s="163">
        <v>7454</v>
      </c>
      <c r="C89" s="200">
        <v>7820</v>
      </c>
      <c r="D89" s="201">
        <v>0</v>
      </c>
      <c r="E89" s="202" t="s">
        <v>200</v>
      </c>
      <c r="F89" s="200">
        <v>86.8</v>
      </c>
      <c r="G89" s="162">
        <v>45918</v>
      </c>
      <c r="H89" s="203" t="s">
        <v>365</v>
      </c>
      <c r="I89" s="186">
        <f t="shared" si="10"/>
        <v>7</v>
      </c>
      <c r="J89" s="204">
        <f>IF($H89="USD",IF(OR($I89="",$I89="-"),"",VLOOKUP($G89,為替!$A:$AX,$I89,FALSE))+$J$3,IF(OR($I89="",$I89="-"),"",VLOOKUP($G89,為替!$A:$AX,$I89,FALSE)))</f>
        <v>172.29</v>
      </c>
      <c r="K89" s="205">
        <f t="shared" si="11"/>
        <v>14954.771999999999</v>
      </c>
      <c r="L89" s="189">
        <f t="shared" si="13"/>
        <v>6</v>
      </c>
      <c r="M89" s="204">
        <f>IF($H89="USD",IF(OR($L89="",$L89="-"),"",VLOOKUP($G89,為替!$A:$AX,$L89,FALSE))+$K$3,IF(OR($L89="",$L89="-"),"",VLOOKUP($G89,為替!$A:$AX,$L89,FALSE)))</f>
        <v>175.29</v>
      </c>
      <c r="N89" s="205">
        <f t="shared" si="12"/>
        <v>7820</v>
      </c>
      <c r="O89" s="206">
        <f t="shared" si="14"/>
        <v>7134.771999999999</v>
      </c>
      <c r="P89" s="207">
        <f t="shared" si="15"/>
        <v>0.47708998839968936</v>
      </c>
    </row>
    <row r="90" spans="1:16">
      <c r="A90" s="163" t="s">
        <v>332</v>
      </c>
      <c r="B90" s="163">
        <v>7495</v>
      </c>
      <c r="C90" s="200">
        <v>10000</v>
      </c>
      <c r="D90" s="201">
        <v>0</v>
      </c>
      <c r="E90" s="202" t="s">
        <v>200</v>
      </c>
      <c r="F90" s="200">
        <v>90</v>
      </c>
      <c r="G90" s="162">
        <v>45930</v>
      </c>
      <c r="H90" s="203" t="s">
        <v>365</v>
      </c>
      <c r="I90" s="186">
        <f t="shared" si="10"/>
        <v>7</v>
      </c>
      <c r="J90" s="204">
        <f>IF($H90="USD",IF(OR($I90="",$I90="-"),"",VLOOKUP($G90,為替!$A:$AX,$I90,FALSE))+$J$3,IF(OR($I90="",$I90="-"),"",VLOOKUP($G90,為替!$A:$AX,$I90,FALSE)))</f>
        <v>172.97</v>
      </c>
      <c r="K90" s="205">
        <f t="shared" si="11"/>
        <v>15567.3</v>
      </c>
      <c r="L90" s="189">
        <f t="shared" si="13"/>
        <v>6</v>
      </c>
      <c r="M90" s="204">
        <f>IF($H90="USD",IF(OR($L90="",$L90="-"),"",VLOOKUP($G90,為替!$A:$AX,$L90,FALSE))+$K$3,IF(OR($L90="",$L90="-"),"",VLOOKUP($G90,為替!$A:$AX,$L90,FALSE)))</f>
        <v>175.97</v>
      </c>
      <c r="N90" s="205">
        <f t="shared" si="12"/>
        <v>10000</v>
      </c>
      <c r="O90" s="206">
        <f t="shared" si="14"/>
        <v>5567.2999999999993</v>
      </c>
      <c r="P90" s="207">
        <f t="shared" si="15"/>
        <v>0.3576278481175284</v>
      </c>
    </row>
    <row r="91" spans="1:16">
      <c r="A91" s="163" t="s">
        <v>343</v>
      </c>
      <c r="B91" s="163" t="s">
        <v>428</v>
      </c>
      <c r="C91" s="200">
        <v>36458</v>
      </c>
      <c r="D91" s="201">
        <v>0</v>
      </c>
      <c r="E91" s="202" t="s">
        <v>200</v>
      </c>
      <c r="F91" s="200">
        <v>399.4</v>
      </c>
      <c r="G91" s="162">
        <v>45936</v>
      </c>
      <c r="H91" s="203" t="s">
        <v>199</v>
      </c>
      <c r="I91" s="186">
        <f t="shared" si="10"/>
        <v>4</v>
      </c>
      <c r="J91" s="204">
        <f>IF($H91="USD",IF(OR($I91="",$I91="-"),"",VLOOKUP($G91,為替!$A:$AX,$I91,FALSE))+$J$3,IF(OR($I91="",$I91="-"),"",VLOOKUP($G91,為替!$A:$AX,$I91,FALSE)))</f>
        <v>149.28</v>
      </c>
      <c r="K91" s="205">
        <f t="shared" si="11"/>
        <v>59622.432000000001</v>
      </c>
      <c r="L91" s="189">
        <f t="shared" si="13"/>
        <v>3</v>
      </c>
      <c r="M91" s="204">
        <f>IF($H91="USD",IF(OR($L91="",$L91="-"),"",VLOOKUP($G91,為替!$A:$AX,$L91,FALSE))+$K$3,IF(OR($L91="",$L91="-"),"",VLOOKUP($G91,為替!$A:$AX,$L91,FALSE)))</f>
        <v>150.28</v>
      </c>
      <c r="N91" s="205">
        <f t="shared" si="12"/>
        <v>36458</v>
      </c>
      <c r="O91" s="206">
        <f t="shared" si="14"/>
        <v>23164.432000000001</v>
      </c>
      <c r="P91" s="207">
        <f t="shared" si="15"/>
        <v>0.38851873737723414</v>
      </c>
    </row>
    <row r="92" spans="1:16">
      <c r="A92" s="163" t="s">
        <v>343</v>
      </c>
      <c r="B92" s="163" t="s">
        <v>429</v>
      </c>
      <c r="C92" s="200">
        <v>17700</v>
      </c>
      <c r="D92" s="201">
        <v>12274</v>
      </c>
      <c r="E92" s="202" t="s">
        <v>200</v>
      </c>
      <c r="F92" s="200">
        <v>300.7</v>
      </c>
      <c r="G92" s="162">
        <v>45936</v>
      </c>
      <c r="H92" s="203" t="s">
        <v>199</v>
      </c>
      <c r="I92" s="186">
        <f t="shared" si="10"/>
        <v>4</v>
      </c>
      <c r="J92" s="204">
        <f>IF($H92="USD",IF(OR($I92="",$I92="-"),"",VLOOKUP($G92,為替!$A:$AX,$I92,FALSE))+$J$3,IF(OR($I92="",$I92="-"),"",VLOOKUP($G92,為替!$A:$AX,$I92,FALSE)))</f>
        <v>149.28</v>
      </c>
      <c r="K92" s="205">
        <f t="shared" si="11"/>
        <v>44888.495999999999</v>
      </c>
      <c r="L92" s="189">
        <f t="shared" si="13"/>
        <v>3</v>
      </c>
      <c r="M92" s="204">
        <f>IF($H92="USD",IF(OR($L92="",$L92="-"),"",VLOOKUP($G92,為替!$A:$AX,$L92,FALSE))+$K$3,IF(OR($L92="",$L92="-"),"",VLOOKUP($G92,為替!$A:$AX,$L92,FALSE)))</f>
        <v>150.28</v>
      </c>
      <c r="N92" s="205">
        <f t="shared" si="12"/>
        <v>29974</v>
      </c>
      <c r="O92" s="206">
        <f t="shared" si="14"/>
        <v>14914.495999999999</v>
      </c>
      <c r="P92" s="207">
        <f t="shared" si="15"/>
        <v>0.33225653182944687</v>
      </c>
    </row>
    <row r="93" spans="1:16">
      <c r="A93" s="163" t="s">
        <v>343</v>
      </c>
      <c r="B93" s="163" t="s">
        <v>430</v>
      </c>
      <c r="C93" s="200">
        <v>15260</v>
      </c>
      <c r="D93" s="201">
        <v>0</v>
      </c>
      <c r="E93" s="202" t="s">
        <v>200</v>
      </c>
      <c r="F93" s="200">
        <v>166.54</v>
      </c>
      <c r="G93" s="162">
        <v>45937</v>
      </c>
      <c r="H93" s="203" t="s">
        <v>199</v>
      </c>
      <c r="I93" s="186">
        <f t="shared" si="10"/>
        <v>4</v>
      </c>
      <c r="J93" s="204">
        <f>IF($H93="USD",IF(OR($I93="",$I93="-"),"",VLOOKUP($G93,為替!$A:$AX,$I93,FALSE))+$J$3,IF(OR($I93="",$I93="-"),"",VLOOKUP($G93,為替!$A:$AX,$I93,FALSE)))</f>
        <v>149.97</v>
      </c>
      <c r="K93" s="205">
        <f t="shared" si="11"/>
        <v>24976.003799999999</v>
      </c>
      <c r="L93" s="189">
        <f t="shared" si="13"/>
        <v>3</v>
      </c>
      <c r="M93" s="204">
        <f>IF($H93="USD",IF(OR($L93="",$L93="-"),"",VLOOKUP($G93,為替!$A:$AX,$L93,FALSE))+$K$3,IF(OR($L93="",$L93="-"),"",VLOOKUP($G93,為替!$A:$AX,$L93,FALSE)))</f>
        <v>150.97</v>
      </c>
      <c r="N93" s="205">
        <f t="shared" si="12"/>
        <v>15260</v>
      </c>
      <c r="O93" s="206">
        <f t="shared" si="14"/>
        <v>9716.0037999999986</v>
      </c>
      <c r="P93" s="207">
        <f t="shared" si="15"/>
        <v>0.38901354587398002</v>
      </c>
    </row>
    <row r="94" spans="1:16">
      <c r="A94" s="163" t="s">
        <v>343</v>
      </c>
      <c r="B94" s="163" t="s">
        <v>431</v>
      </c>
      <c r="C94" s="200">
        <v>4700</v>
      </c>
      <c r="D94" s="201">
        <v>0</v>
      </c>
      <c r="E94" s="202" t="s">
        <v>200</v>
      </c>
      <c r="F94" s="200">
        <v>49.9</v>
      </c>
      <c r="G94" s="162">
        <v>45937</v>
      </c>
      <c r="H94" s="203" t="s">
        <v>199</v>
      </c>
      <c r="I94" s="186">
        <f t="shared" si="10"/>
        <v>4</v>
      </c>
      <c r="J94" s="204">
        <f>IF($H94="USD",IF(OR($I94="",$I94="-"),"",VLOOKUP($G94,為替!$A:$AX,$I94,FALSE))+$J$3,IF(OR($I94="",$I94="-"),"",VLOOKUP($G94,為替!$A:$AX,$I94,FALSE)))</f>
        <v>149.97</v>
      </c>
      <c r="K94" s="205">
        <f t="shared" si="11"/>
        <v>7483.5029999999997</v>
      </c>
      <c r="L94" s="189">
        <f t="shared" si="13"/>
        <v>3</v>
      </c>
      <c r="M94" s="204">
        <f>IF($H94="USD",IF(OR($L94="",$L94="-"),"",VLOOKUP($G94,為替!$A:$AX,$L94,FALSE))+$K$3,IF(OR($L94="",$L94="-"),"",VLOOKUP($G94,為替!$A:$AX,$L94,FALSE)))</f>
        <v>150.97</v>
      </c>
      <c r="N94" s="205">
        <f t="shared" si="12"/>
        <v>4700</v>
      </c>
      <c r="O94" s="206">
        <f t="shared" si="14"/>
        <v>2783.5029999999997</v>
      </c>
      <c r="P94" s="207">
        <f t="shared" si="15"/>
        <v>0.37195187868569035</v>
      </c>
    </row>
    <row r="95" spans="1:16">
      <c r="A95" s="163" t="s">
        <v>343</v>
      </c>
      <c r="B95" s="163" t="s">
        <v>432</v>
      </c>
      <c r="C95" s="200">
        <v>7740</v>
      </c>
      <c r="D95" s="201">
        <v>0</v>
      </c>
      <c r="E95" s="202" t="s">
        <v>200</v>
      </c>
      <c r="F95" s="200">
        <v>93.6</v>
      </c>
      <c r="G95" s="162">
        <v>45938</v>
      </c>
      <c r="H95" s="203" t="s">
        <v>199</v>
      </c>
      <c r="I95" s="186">
        <f t="shared" si="10"/>
        <v>4</v>
      </c>
      <c r="J95" s="204">
        <f>IF($H95="USD",IF(OR($I95="",$I95="-"),"",VLOOKUP($G95,為替!$A:$AX,$I95,FALSE))+$J$3,IF(OR($I95="",$I95="-"),"",VLOOKUP($G95,為替!$A:$AX,$I95,FALSE)))</f>
        <v>151.81</v>
      </c>
      <c r="K95" s="205">
        <f t="shared" si="11"/>
        <v>14209.415999999999</v>
      </c>
      <c r="L95" s="189">
        <f t="shared" si="13"/>
        <v>3</v>
      </c>
      <c r="M95" s="204">
        <f>IF($H95="USD",IF(OR($L95="",$L95="-"),"",VLOOKUP($G95,為替!$A:$AX,$L95,FALSE))+$K$3,IF(OR($L95="",$L95="-"),"",VLOOKUP($G95,為替!$A:$AX,$L95,FALSE)))</f>
        <v>152.81</v>
      </c>
      <c r="N95" s="205">
        <f t="shared" si="12"/>
        <v>7740</v>
      </c>
      <c r="O95" s="206">
        <f t="shared" si="14"/>
        <v>6469.4159999999993</v>
      </c>
      <c r="P95" s="207">
        <f t="shared" si="15"/>
        <v>0.45529077338576052</v>
      </c>
    </row>
    <row r="96" spans="1:16">
      <c r="A96" s="163" t="s">
        <v>343</v>
      </c>
      <c r="B96" s="163" t="s">
        <v>433</v>
      </c>
      <c r="C96" s="200">
        <v>5470</v>
      </c>
      <c r="D96" s="201">
        <v>0</v>
      </c>
      <c r="E96" s="202" t="s">
        <v>200</v>
      </c>
      <c r="F96" s="200">
        <v>78</v>
      </c>
      <c r="G96" s="162">
        <v>45938</v>
      </c>
      <c r="H96" s="203" t="s">
        <v>199</v>
      </c>
      <c r="I96" s="186">
        <f t="shared" si="10"/>
        <v>4</v>
      </c>
      <c r="J96" s="204">
        <f>IF($H96="USD",IF(OR($I96="",$I96="-"),"",VLOOKUP($G96,為替!$A:$AX,$I96,FALSE))+$J$3,IF(OR($I96="",$I96="-"),"",VLOOKUP($G96,為替!$A:$AX,$I96,FALSE)))</f>
        <v>151.81</v>
      </c>
      <c r="K96" s="205">
        <f t="shared" si="11"/>
        <v>11841.18</v>
      </c>
      <c r="L96" s="189">
        <f t="shared" si="13"/>
        <v>3</v>
      </c>
      <c r="M96" s="204">
        <f>IF($H96="USD",IF(OR($L96="",$L96="-"),"",VLOOKUP($G96,為替!$A:$AX,$L96,FALSE))+$K$3,IF(OR($L96="",$L96="-"),"",VLOOKUP($G96,為替!$A:$AX,$L96,FALSE)))</f>
        <v>152.81</v>
      </c>
      <c r="N96" s="205">
        <f t="shared" si="12"/>
        <v>5470</v>
      </c>
      <c r="O96" s="206">
        <f t="shared" si="14"/>
        <v>6371.18</v>
      </c>
      <c r="P96" s="207">
        <f t="shared" si="15"/>
        <v>0.53805279541397055</v>
      </c>
    </row>
    <row r="97" spans="1:16">
      <c r="A97" s="163" t="s">
        <v>343</v>
      </c>
      <c r="B97" s="163" t="s">
        <v>434</v>
      </c>
      <c r="C97" s="200">
        <v>41570</v>
      </c>
      <c r="D97" s="201">
        <v>0</v>
      </c>
      <c r="E97" s="202" t="s">
        <v>200</v>
      </c>
      <c r="F97" s="200">
        <v>512.84</v>
      </c>
      <c r="G97" s="162">
        <v>45939</v>
      </c>
      <c r="H97" s="203" t="s">
        <v>199</v>
      </c>
      <c r="I97" s="186">
        <f t="shared" si="10"/>
        <v>4</v>
      </c>
      <c r="J97" s="204">
        <f>IF($H97="USD",IF(OR($I97="",$I97="-"),"",VLOOKUP($G97,為替!$A:$AX,$I97,FALSE))+$J$3,IF(OR($I97="",$I97="-"),"",VLOOKUP($G97,為替!$A:$AX,$I97,FALSE)))</f>
        <v>152.24</v>
      </c>
      <c r="K97" s="205">
        <f t="shared" si="11"/>
        <v>78074.761600000013</v>
      </c>
      <c r="L97" s="189">
        <f t="shared" si="13"/>
        <v>3</v>
      </c>
      <c r="M97" s="204">
        <f>IF($H97="USD",IF(OR($L97="",$L97="-"),"",VLOOKUP($G97,為替!$A:$AX,$L97,FALSE))+$K$3,IF(OR($L97="",$L97="-"),"",VLOOKUP($G97,為替!$A:$AX,$L97,FALSE)))</f>
        <v>153.24</v>
      </c>
      <c r="N97" s="205">
        <f t="shared" si="12"/>
        <v>41570</v>
      </c>
      <c r="O97" s="206">
        <f t="shared" si="14"/>
        <v>36504.761600000013</v>
      </c>
      <c r="P97" s="207">
        <f t="shared" si="15"/>
        <v>0.46756161468701823</v>
      </c>
    </row>
    <row r="98" spans="1:16">
      <c r="A98" s="163" t="s">
        <v>343</v>
      </c>
      <c r="B98" s="163" t="s">
        <v>435</v>
      </c>
      <c r="C98" s="200">
        <v>48585</v>
      </c>
      <c r="D98" s="201">
        <v>11360</v>
      </c>
      <c r="E98" s="202" t="s">
        <v>200</v>
      </c>
      <c r="F98" s="200">
        <v>716.52</v>
      </c>
      <c r="G98" s="162">
        <v>45940</v>
      </c>
      <c r="H98" s="203" t="s">
        <v>199</v>
      </c>
      <c r="I98" s="186">
        <f t="shared" si="10"/>
        <v>4</v>
      </c>
      <c r="J98" s="204">
        <f>IF($H98="USD",IF(OR($I98="",$I98="-"),"",VLOOKUP($G98,為替!$A:$AX,$I98,FALSE))+$J$3,IF(OR($I98="",$I98="-"),"",VLOOKUP($G98,為替!$A:$AX,$I98,FALSE)))</f>
        <v>152.59</v>
      </c>
      <c r="K98" s="205">
        <f t="shared" si="11"/>
        <v>109333.7868</v>
      </c>
      <c r="L98" s="189">
        <f t="shared" si="13"/>
        <v>3</v>
      </c>
      <c r="M98" s="204">
        <f>IF($H98="USD",IF(OR($L98="",$L98="-"),"",VLOOKUP($G98,為替!$A:$AX,$L98,FALSE))+$K$3,IF(OR($L98="",$L98="-"),"",VLOOKUP($G98,為替!$A:$AX,$L98,FALSE)))</f>
        <v>153.59</v>
      </c>
      <c r="N98" s="205">
        <f t="shared" si="12"/>
        <v>59945</v>
      </c>
      <c r="O98" s="206">
        <f t="shared" si="14"/>
        <v>49388.786800000002</v>
      </c>
      <c r="P98" s="207">
        <f t="shared" si="15"/>
        <v>0.45172483498028809</v>
      </c>
    </row>
    <row r="99" spans="1:16">
      <c r="A99" s="163" t="s">
        <v>343</v>
      </c>
      <c r="B99" s="163" t="s">
        <v>436</v>
      </c>
      <c r="C99" s="200">
        <v>5250</v>
      </c>
      <c r="D99" s="201">
        <v>0</v>
      </c>
      <c r="E99" s="202" t="s">
        <v>200</v>
      </c>
      <c r="F99" s="200">
        <v>78</v>
      </c>
      <c r="G99" s="162">
        <v>45945</v>
      </c>
      <c r="H99" s="203" t="s">
        <v>199</v>
      </c>
      <c r="I99" s="186">
        <f t="shared" si="10"/>
        <v>4</v>
      </c>
      <c r="J99" s="204">
        <f>IF($H99="USD",IF(OR($I99="",$I99="-"),"",VLOOKUP($G99,為替!$A:$AX,$I99,FALSE))+$J$3,IF(OR($I99="",$I99="-"),"",VLOOKUP($G99,為替!$A:$AX,$I99,FALSE)))</f>
        <v>151.16999999999999</v>
      </c>
      <c r="K99" s="205">
        <f t="shared" si="11"/>
        <v>11791.259999999998</v>
      </c>
      <c r="L99" s="189">
        <f t="shared" si="13"/>
        <v>3</v>
      </c>
      <c r="M99" s="204">
        <f>IF($H99="USD",IF(OR($L99="",$L99="-"),"",VLOOKUP($G99,為替!$A:$AX,$L99,FALSE))+$K$3,IF(OR($L99="",$L99="-"),"",VLOOKUP($G99,為替!$A:$AX,$L99,FALSE)))</f>
        <v>152.16999999999999</v>
      </c>
      <c r="N99" s="205">
        <f t="shared" si="12"/>
        <v>5250</v>
      </c>
      <c r="O99" s="206">
        <f t="shared" si="14"/>
        <v>6541.2599999999984</v>
      </c>
      <c r="P99" s="207">
        <f t="shared" si="15"/>
        <v>0.55475496257397428</v>
      </c>
    </row>
    <row r="100" spans="1:16">
      <c r="A100" s="163" t="s">
        <v>343</v>
      </c>
      <c r="B100" s="163" t="s">
        <v>437</v>
      </c>
      <c r="C100" s="200">
        <v>77500</v>
      </c>
      <c r="D100" s="201">
        <v>0</v>
      </c>
      <c r="E100" s="202" t="s">
        <v>200</v>
      </c>
      <c r="F100" s="200">
        <v>948</v>
      </c>
      <c r="G100" s="162">
        <v>45946</v>
      </c>
      <c r="H100" s="203" t="s">
        <v>199</v>
      </c>
      <c r="I100" s="186">
        <f t="shared" si="10"/>
        <v>4</v>
      </c>
      <c r="J100" s="204">
        <f>IF($H100="USD",IF(OR($I100="",$I100="-"),"",VLOOKUP($G100,為替!$A:$AX,$I100,FALSE))+$J$3,IF(OR($I100="",$I100="-"),"",VLOOKUP($G100,為替!$A:$AX,$I100,FALSE)))</f>
        <v>150.22999999999999</v>
      </c>
      <c r="K100" s="205">
        <f t="shared" si="11"/>
        <v>142418.03999999998</v>
      </c>
      <c r="L100" s="189">
        <f t="shared" si="13"/>
        <v>3</v>
      </c>
      <c r="M100" s="204">
        <f>IF($H100="USD",IF(OR($L100="",$L100="-"),"",VLOOKUP($G100,為替!$A:$AX,$L100,FALSE))+$K$3,IF(OR($L100="",$L100="-"),"",VLOOKUP($G100,為替!$A:$AX,$L100,FALSE)))</f>
        <v>151.22999999999999</v>
      </c>
      <c r="N100" s="205">
        <f t="shared" si="12"/>
        <v>77500</v>
      </c>
      <c r="O100" s="206">
        <f t="shared" si="14"/>
        <v>64918.039999999979</v>
      </c>
      <c r="P100" s="207">
        <f t="shared" si="15"/>
        <v>0.45582736569047005</v>
      </c>
    </row>
    <row r="101" spans="1:16">
      <c r="A101" s="163" t="s">
        <v>343</v>
      </c>
      <c r="B101" s="163" t="s">
        <v>438</v>
      </c>
      <c r="C101" s="200">
        <v>240660</v>
      </c>
      <c r="D101" s="201">
        <v>37908</v>
      </c>
      <c r="E101" s="202" t="s">
        <v>200</v>
      </c>
      <c r="F101" s="200">
        <v>2690.54</v>
      </c>
      <c r="G101" s="162">
        <v>45951</v>
      </c>
      <c r="H101" s="203" t="s">
        <v>199</v>
      </c>
      <c r="I101" s="186">
        <f t="shared" si="10"/>
        <v>4</v>
      </c>
      <c r="J101" s="204">
        <f>IF($H101="USD",IF(OR($I101="",$I101="-"),"",VLOOKUP($G101,為替!$A:$AX,$I101,FALSE))+$J$3,IF(OR($I101="",$I101="-"),"",VLOOKUP($G101,為替!$A:$AX,$I101,FALSE)))</f>
        <v>150.06</v>
      </c>
      <c r="K101" s="205">
        <f t="shared" si="11"/>
        <v>403742.43239999999</v>
      </c>
      <c r="L101" s="189">
        <f t="shared" si="13"/>
        <v>3</v>
      </c>
      <c r="M101" s="204">
        <f>IF($H101="USD",IF(OR($L101="",$L101="-"),"",VLOOKUP($G101,為替!$A:$AX,$L101,FALSE))+$K$3,IF(OR($L101="",$L101="-"),"",VLOOKUP($G101,為替!$A:$AX,$L101,FALSE)))</f>
        <v>151.06</v>
      </c>
      <c r="N101" s="205">
        <f t="shared" si="12"/>
        <v>278568</v>
      </c>
      <c r="O101" s="206">
        <f t="shared" si="14"/>
        <v>125174.43239999999</v>
      </c>
      <c r="P101" s="207">
        <f t="shared" si="15"/>
        <v>0.3100353650120824</v>
      </c>
    </row>
    <row r="102" spans="1:16">
      <c r="A102" s="163" t="s">
        <v>343</v>
      </c>
      <c r="B102" s="163" t="s">
        <v>439</v>
      </c>
      <c r="C102" s="200">
        <v>-19180</v>
      </c>
      <c r="D102" s="201">
        <v>0</v>
      </c>
      <c r="E102" s="202" t="s">
        <v>200</v>
      </c>
      <c r="F102" s="200">
        <v>-228.52</v>
      </c>
      <c r="G102" s="162">
        <v>45951</v>
      </c>
      <c r="H102" s="203" t="s">
        <v>199</v>
      </c>
      <c r="I102" s="186">
        <f t="shared" si="10"/>
        <v>4</v>
      </c>
      <c r="J102" s="204">
        <f>IF($H102="USD",IF(OR($I102="",$I102="-"),"",VLOOKUP($G102,為替!$A:$AX,$I102,FALSE))+$J$3,IF(OR($I102="",$I102="-"),"",VLOOKUP($G102,為替!$A:$AX,$I102,FALSE)))</f>
        <v>150.06</v>
      </c>
      <c r="K102" s="205">
        <f t="shared" si="11"/>
        <v>-34291.711200000005</v>
      </c>
      <c r="L102" s="189">
        <f t="shared" si="13"/>
        <v>3</v>
      </c>
      <c r="M102" s="204">
        <f>IF($H102="USD",IF(OR($L102="",$L102="-"),"",VLOOKUP($G102,為替!$A:$AX,$L102,FALSE))+$K$3,IF(OR($L102="",$L102="-"),"",VLOOKUP($G102,為替!$A:$AX,$L102,FALSE)))</f>
        <v>151.06</v>
      </c>
      <c r="N102" s="205">
        <f t="shared" si="12"/>
        <v>-19180</v>
      </c>
      <c r="O102" s="206">
        <f t="shared" si="14"/>
        <v>-15111.711200000005</v>
      </c>
      <c r="P102" s="207">
        <f t="shared" si="15"/>
        <v>0.44068116379097472</v>
      </c>
    </row>
    <row r="103" spans="1:16">
      <c r="A103" s="163" t="s">
        <v>343</v>
      </c>
      <c r="B103" s="163" t="s">
        <v>440</v>
      </c>
      <c r="C103" s="200">
        <v>3440</v>
      </c>
      <c r="D103" s="201">
        <v>0</v>
      </c>
      <c r="E103" s="202" t="s">
        <v>200</v>
      </c>
      <c r="F103" s="200">
        <v>37.96</v>
      </c>
      <c r="G103" s="162">
        <v>45951</v>
      </c>
      <c r="H103" s="203" t="s">
        <v>199</v>
      </c>
      <c r="I103" s="186">
        <f t="shared" si="10"/>
        <v>4</v>
      </c>
      <c r="J103" s="204">
        <f>IF($H103="USD",IF(OR($I103="",$I103="-"),"",VLOOKUP($G103,為替!$A:$AX,$I103,FALSE))+$J$3,IF(OR($I103="",$I103="-"),"",VLOOKUP($G103,為替!$A:$AX,$I103,FALSE)))</f>
        <v>150.06</v>
      </c>
      <c r="K103" s="205">
        <f t="shared" si="11"/>
        <v>5696.2776000000003</v>
      </c>
      <c r="L103" s="189">
        <f t="shared" si="13"/>
        <v>3</v>
      </c>
      <c r="M103" s="204">
        <f>IF($H103="USD",IF(OR($L103="",$L103="-"),"",VLOOKUP($G103,為替!$A:$AX,$L103,FALSE))+$K$3,IF(OR($L103="",$L103="-"),"",VLOOKUP($G103,為替!$A:$AX,$L103,FALSE)))</f>
        <v>151.06</v>
      </c>
      <c r="N103" s="205">
        <f t="shared" si="12"/>
        <v>3440</v>
      </c>
      <c r="O103" s="206">
        <f t="shared" si="14"/>
        <v>2256.2776000000003</v>
      </c>
      <c r="P103" s="207">
        <f t="shared" si="15"/>
        <v>0.39609684752723429</v>
      </c>
    </row>
    <row r="104" spans="1:16">
      <c r="A104" s="163" t="s">
        <v>343</v>
      </c>
      <c r="B104" s="163" t="s">
        <v>441</v>
      </c>
      <c r="C104" s="200">
        <v>28800</v>
      </c>
      <c r="D104" s="201">
        <v>0</v>
      </c>
      <c r="E104" s="202" t="s">
        <v>200</v>
      </c>
      <c r="F104" s="200">
        <v>399</v>
      </c>
      <c r="G104" s="162">
        <v>45952</v>
      </c>
      <c r="H104" s="203" t="s">
        <v>199</v>
      </c>
      <c r="I104" s="186">
        <f t="shared" si="10"/>
        <v>4</v>
      </c>
      <c r="J104" s="204">
        <f>IF($H104="USD",IF(OR($I104="",$I104="-"),"",VLOOKUP($G104,為替!$A:$AX,$I104,FALSE))+$J$3,IF(OR($I104="",$I104="-"),"",VLOOKUP($G104,為替!$A:$AX,$I104,FALSE)))</f>
        <v>151.21</v>
      </c>
      <c r="K104" s="205">
        <f t="shared" si="11"/>
        <v>60332.79</v>
      </c>
      <c r="L104" s="189">
        <f t="shared" si="13"/>
        <v>3</v>
      </c>
      <c r="M104" s="204">
        <f>IF($H104="USD",IF(OR($L104="",$L104="-"),"",VLOOKUP($G104,為替!$A:$AX,$L104,FALSE))+$K$3,IF(OR($L104="",$L104="-"),"",VLOOKUP($G104,為替!$A:$AX,$L104,FALSE)))</f>
        <v>152.21</v>
      </c>
      <c r="N104" s="205">
        <f t="shared" si="12"/>
        <v>28800</v>
      </c>
      <c r="O104" s="206">
        <f t="shared" si="14"/>
        <v>31532.79</v>
      </c>
      <c r="P104" s="207">
        <f t="shared" si="15"/>
        <v>0.52264763489306565</v>
      </c>
    </row>
    <row r="105" spans="1:16">
      <c r="A105" s="163" t="s">
        <v>343</v>
      </c>
      <c r="B105" s="163" t="s">
        <v>442</v>
      </c>
      <c r="C105" s="200">
        <v>94500</v>
      </c>
      <c r="D105" s="201">
        <v>0</v>
      </c>
      <c r="E105" s="202" t="s">
        <v>200</v>
      </c>
      <c r="F105" s="200">
        <v>1157</v>
      </c>
      <c r="G105" s="162">
        <v>45952</v>
      </c>
      <c r="H105" s="203" t="s">
        <v>199</v>
      </c>
      <c r="I105" s="186">
        <f t="shared" si="10"/>
        <v>4</v>
      </c>
      <c r="J105" s="204">
        <f>IF($H105="USD",IF(OR($I105="",$I105="-"),"",VLOOKUP($G105,為替!$A:$AX,$I105,FALSE))+$J$3,IF(OR($I105="",$I105="-"),"",VLOOKUP($G105,為替!$A:$AX,$I105,FALSE)))</f>
        <v>151.21</v>
      </c>
      <c r="K105" s="205">
        <f t="shared" si="11"/>
        <v>174949.97</v>
      </c>
      <c r="L105" s="189">
        <f t="shared" si="13"/>
        <v>3</v>
      </c>
      <c r="M105" s="204">
        <f>IF($H105="USD",IF(OR($L105="",$L105="-"),"",VLOOKUP($G105,為替!$A:$AX,$L105,FALSE))+$K$3,IF(OR($L105="",$L105="-"),"",VLOOKUP($G105,為替!$A:$AX,$L105,FALSE)))</f>
        <v>152.21</v>
      </c>
      <c r="N105" s="205">
        <f t="shared" si="12"/>
        <v>94500</v>
      </c>
      <c r="O105" s="206">
        <f t="shared" si="14"/>
        <v>80449.97</v>
      </c>
      <c r="P105" s="207">
        <f t="shared" si="15"/>
        <v>0.45984557756711819</v>
      </c>
    </row>
    <row r="106" spans="1:16">
      <c r="A106" s="163" t="s">
        <v>343</v>
      </c>
      <c r="B106" s="163" t="s">
        <v>443</v>
      </c>
      <c r="C106" s="200">
        <v>295680</v>
      </c>
      <c r="D106" s="201">
        <v>0</v>
      </c>
      <c r="E106" s="202" t="s">
        <v>200</v>
      </c>
      <c r="F106" s="200">
        <v>3973.2</v>
      </c>
      <c r="G106" s="162">
        <v>45958</v>
      </c>
      <c r="H106" s="203" t="s">
        <v>199</v>
      </c>
      <c r="I106" s="186">
        <f t="shared" si="10"/>
        <v>4</v>
      </c>
      <c r="J106" s="204">
        <f>IF($H106="USD",IF(OR($I106="",$I106="-"),"",VLOOKUP($G106,為替!$A:$AX,$I106,FALSE))+$J$3,IF(OR($I106="",$I106="-"),"",VLOOKUP($G106,為替!$A:$AX,$I106,FALSE)))</f>
        <v>152.07</v>
      </c>
      <c r="K106" s="205">
        <f t="shared" si="11"/>
        <v>604204.52399999998</v>
      </c>
      <c r="L106" s="189">
        <f t="shared" si="13"/>
        <v>3</v>
      </c>
      <c r="M106" s="204">
        <f>IF($H106="USD",IF(OR($L106="",$L106="-"),"",VLOOKUP($G106,為替!$A:$AX,$L106,FALSE))+$K$3,IF(OR($L106="",$L106="-"),"",VLOOKUP($G106,為替!$A:$AX,$L106,FALSE)))</f>
        <v>153.07</v>
      </c>
      <c r="N106" s="205">
        <f t="shared" si="12"/>
        <v>295680</v>
      </c>
      <c r="O106" s="206">
        <f t="shared" si="14"/>
        <v>308524.52399999998</v>
      </c>
      <c r="P106" s="207">
        <f t="shared" si="15"/>
        <v>0.51062928486116399</v>
      </c>
    </row>
    <row r="107" spans="1:16">
      <c r="A107" s="163" t="s">
        <v>343</v>
      </c>
      <c r="B107" s="163" t="s">
        <v>444</v>
      </c>
      <c r="C107" s="200">
        <v>7332</v>
      </c>
      <c r="D107" s="201">
        <v>0</v>
      </c>
      <c r="E107" s="202" t="s">
        <v>200</v>
      </c>
      <c r="F107" s="200">
        <v>87.48</v>
      </c>
      <c r="G107" s="162">
        <v>45959</v>
      </c>
      <c r="H107" s="203" t="s">
        <v>199</v>
      </c>
      <c r="I107" s="186">
        <f t="shared" si="10"/>
        <v>4</v>
      </c>
      <c r="J107" s="204">
        <f>IF($H107="USD",IF(OR($I107="",$I107="-"),"",VLOOKUP($G107,為替!$A:$AX,$I107,FALSE))+$J$3,IF(OR($I107="",$I107="-"),"",VLOOKUP($G107,為替!$A:$AX,$I107,FALSE)))</f>
        <v>151.1</v>
      </c>
      <c r="K107" s="205">
        <f t="shared" si="11"/>
        <v>13218.228000000001</v>
      </c>
      <c r="L107" s="189">
        <f t="shared" si="13"/>
        <v>3</v>
      </c>
      <c r="M107" s="204">
        <f>IF($H107="USD",IF(OR($L107="",$L107="-"),"",VLOOKUP($G107,為替!$A:$AX,$L107,FALSE))+$K$3,IF(OR($L107="",$L107="-"),"",VLOOKUP($G107,為替!$A:$AX,$L107,FALSE)))</f>
        <v>152.1</v>
      </c>
      <c r="N107" s="205">
        <f t="shared" si="12"/>
        <v>7332</v>
      </c>
      <c r="O107" s="206">
        <f t="shared" si="14"/>
        <v>5886.228000000001</v>
      </c>
      <c r="P107" s="207">
        <f t="shared" si="15"/>
        <v>0.44531142903572252</v>
      </c>
    </row>
    <row r="108" spans="1:16">
      <c r="A108" s="163" t="s">
        <v>343</v>
      </c>
      <c r="B108" s="163" t="s">
        <v>445</v>
      </c>
      <c r="C108" s="200">
        <v>5837</v>
      </c>
      <c r="D108" s="201">
        <v>0</v>
      </c>
      <c r="E108" s="202" t="s">
        <v>200</v>
      </c>
      <c r="F108" s="200">
        <v>49</v>
      </c>
      <c r="G108" s="162">
        <v>45959</v>
      </c>
      <c r="H108" s="203" t="s">
        <v>199</v>
      </c>
      <c r="I108" s="186">
        <f t="shared" si="10"/>
        <v>4</v>
      </c>
      <c r="J108" s="204">
        <f>IF($H108="USD",IF(OR($I108="",$I108="-"),"",VLOOKUP($G108,為替!$A:$AX,$I108,FALSE))+$J$3,IF(OR($I108="",$I108="-"),"",VLOOKUP($G108,為替!$A:$AX,$I108,FALSE)))</f>
        <v>151.1</v>
      </c>
      <c r="K108" s="205">
        <f t="shared" si="11"/>
        <v>7403.9</v>
      </c>
      <c r="L108" s="189">
        <f t="shared" si="13"/>
        <v>3</v>
      </c>
      <c r="M108" s="204">
        <f>IF($H108="USD",IF(OR($L108="",$L108="-"),"",VLOOKUP($G108,為替!$A:$AX,$L108,FALSE))+$K$3,IF(OR($L108="",$L108="-"),"",VLOOKUP($G108,為替!$A:$AX,$L108,FALSE)))</f>
        <v>152.1</v>
      </c>
      <c r="N108" s="205">
        <f t="shared" si="12"/>
        <v>5837</v>
      </c>
      <c r="O108" s="206">
        <f t="shared" si="14"/>
        <v>1566.8999999999996</v>
      </c>
      <c r="P108" s="207">
        <f t="shared" si="15"/>
        <v>0.21163170761355499</v>
      </c>
    </row>
    <row r="109" spans="1:16">
      <c r="A109" s="163" t="s">
        <v>343</v>
      </c>
      <c r="B109" s="163" t="s">
        <v>446</v>
      </c>
      <c r="C109" s="200">
        <v>20160</v>
      </c>
      <c r="D109" s="201">
        <v>3437</v>
      </c>
      <c r="E109" s="202" t="s">
        <v>200</v>
      </c>
      <c r="F109" s="200">
        <v>294.32</v>
      </c>
      <c r="G109" s="162">
        <v>45960</v>
      </c>
      <c r="H109" s="203" t="s">
        <v>199</v>
      </c>
      <c r="I109" s="186">
        <f t="shared" si="10"/>
        <v>4</v>
      </c>
      <c r="J109" s="204">
        <f>IF($H109="USD",IF(OR($I109="",$I109="-"),"",VLOOKUP($G109,為替!$A:$AX,$I109,FALSE))+$J$3,IF(OR($I109="",$I109="-"),"",VLOOKUP($G109,為替!$A:$AX,$I109,FALSE)))</f>
        <v>152.30000000000001</v>
      </c>
      <c r="K109" s="205">
        <f t="shared" si="11"/>
        <v>44824.936000000002</v>
      </c>
      <c r="L109" s="189">
        <f t="shared" si="13"/>
        <v>3</v>
      </c>
      <c r="M109" s="204">
        <f>IF($H109="USD",IF(OR($L109="",$L109="-"),"",VLOOKUP($G109,為替!$A:$AX,$L109,FALSE))+$K$3,IF(OR($L109="",$L109="-"),"",VLOOKUP($G109,為替!$A:$AX,$L109,FALSE)))</f>
        <v>153.30000000000001</v>
      </c>
      <c r="N109" s="205">
        <f t="shared" si="12"/>
        <v>23597</v>
      </c>
      <c r="O109" s="206">
        <f t="shared" si="14"/>
        <v>21227.936000000002</v>
      </c>
      <c r="P109" s="207">
        <f t="shared" si="15"/>
        <v>0.47357426232577332</v>
      </c>
    </row>
    <row r="110" spans="1:16">
      <c r="A110" s="163" t="s">
        <v>343</v>
      </c>
      <c r="B110" s="163" t="s">
        <v>447</v>
      </c>
      <c r="C110" s="200">
        <v>82300</v>
      </c>
      <c r="D110" s="201">
        <v>0</v>
      </c>
      <c r="E110" s="202" t="s">
        <v>200</v>
      </c>
      <c r="F110" s="200">
        <v>1108</v>
      </c>
      <c r="G110" s="162">
        <v>45960</v>
      </c>
      <c r="H110" s="203" t="s">
        <v>199</v>
      </c>
      <c r="I110" s="186">
        <f t="shared" si="10"/>
        <v>4</v>
      </c>
      <c r="J110" s="204">
        <f>IF($H110="USD",IF(OR($I110="",$I110="-"),"",VLOOKUP($G110,為替!$A:$AX,$I110,FALSE))+$J$3,IF(OR($I110="",$I110="-"),"",VLOOKUP($G110,為替!$A:$AX,$I110,FALSE)))</f>
        <v>152.30000000000001</v>
      </c>
      <c r="K110" s="205">
        <f t="shared" si="11"/>
        <v>168748.40000000002</v>
      </c>
      <c r="L110" s="189">
        <f t="shared" si="13"/>
        <v>3</v>
      </c>
      <c r="M110" s="204">
        <f>IF($H110="USD",IF(OR($L110="",$L110="-"),"",VLOOKUP($G110,為替!$A:$AX,$L110,FALSE))+$K$3,IF(OR($L110="",$L110="-"),"",VLOOKUP($G110,為替!$A:$AX,$L110,FALSE)))</f>
        <v>153.30000000000001</v>
      </c>
      <c r="N110" s="205">
        <f t="shared" si="12"/>
        <v>82300</v>
      </c>
      <c r="O110" s="206">
        <f t="shared" si="14"/>
        <v>86448.400000000023</v>
      </c>
      <c r="P110" s="207">
        <f t="shared" si="15"/>
        <v>0.51229167209881699</v>
      </c>
    </row>
    <row r="111" spans="1:16">
      <c r="A111" s="163" t="s">
        <v>343</v>
      </c>
      <c r="B111" s="163" t="s">
        <v>448</v>
      </c>
      <c r="C111" s="200">
        <v>44800</v>
      </c>
      <c r="D111" s="201">
        <v>9077</v>
      </c>
      <c r="E111" s="202" t="s">
        <v>200</v>
      </c>
      <c r="F111" s="200">
        <v>614</v>
      </c>
      <c r="G111" s="162">
        <v>45961</v>
      </c>
      <c r="H111" s="203" t="s">
        <v>199</v>
      </c>
      <c r="I111" s="186">
        <f t="shared" si="10"/>
        <v>4</v>
      </c>
      <c r="J111" s="204">
        <f>IF($H111="USD",IF(OR($I111="",$I111="-"),"",VLOOKUP($G111,為替!$A:$AX,$I111,FALSE))+$J$3,IF(OR($I111="",$I111="-"),"",VLOOKUP($G111,為替!$A:$AX,$I111,FALSE)))</f>
        <v>153.6</v>
      </c>
      <c r="K111" s="205">
        <f t="shared" si="11"/>
        <v>94310.399999999994</v>
      </c>
      <c r="L111" s="189">
        <f t="shared" si="13"/>
        <v>3</v>
      </c>
      <c r="M111" s="204">
        <f>IF($H111="USD",IF(OR($L111="",$L111="-"),"",VLOOKUP($G111,為替!$A:$AX,$L111,FALSE))+$K$3,IF(OR($L111="",$L111="-"),"",VLOOKUP($G111,為替!$A:$AX,$L111,FALSE)))</f>
        <v>154.6</v>
      </c>
      <c r="N111" s="205">
        <f t="shared" si="12"/>
        <v>53877</v>
      </c>
      <c r="O111" s="206">
        <f t="shared" si="14"/>
        <v>40433.399999999994</v>
      </c>
      <c r="P111" s="207">
        <f t="shared" si="15"/>
        <v>0.42872684242671005</v>
      </c>
    </row>
    <row r="112" spans="1:16">
      <c r="A112" s="163" t="s">
        <v>344</v>
      </c>
      <c r="B112" s="163">
        <v>7491</v>
      </c>
      <c r="C112" s="200">
        <v>18900</v>
      </c>
      <c r="D112" s="201">
        <v>4249</v>
      </c>
      <c r="E112" s="202" t="s">
        <v>200</v>
      </c>
      <c r="F112" s="200">
        <v>316.2</v>
      </c>
      <c r="G112" s="162">
        <v>45931</v>
      </c>
      <c r="H112" s="203" t="s">
        <v>199</v>
      </c>
      <c r="I112" s="186">
        <f t="shared" si="10"/>
        <v>4</v>
      </c>
      <c r="J112" s="204">
        <f>IF($H112="USD",IF(OR($I112="",$I112="-"),"",VLOOKUP($G112,為替!$A:$AX,$I112,FALSE))+$J$3,IF(OR($I112="",$I112="-"),"",VLOOKUP($G112,為替!$A:$AX,$I112,FALSE)))</f>
        <v>147.66999999999999</v>
      </c>
      <c r="K112" s="205">
        <f t="shared" si="11"/>
        <v>46693.253999999994</v>
      </c>
      <c r="L112" s="189">
        <f t="shared" si="13"/>
        <v>3</v>
      </c>
      <c r="M112" s="204">
        <f>IF($H112="USD",IF(OR($L112="",$L112="-"),"",VLOOKUP($G112,為替!$A:$AX,$L112,FALSE))+$K$3,IF(OR($L112="",$L112="-"),"",VLOOKUP($G112,為替!$A:$AX,$L112,FALSE)))</f>
        <v>148.66999999999999</v>
      </c>
      <c r="N112" s="205">
        <f t="shared" si="12"/>
        <v>23149</v>
      </c>
      <c r="O112" s="206">
        <f t="shared" si="14"/>
        <v>23544.253999999994</v>
      </c>
      <c r="P112" s="207">
        <f t="shared" si="15"/>
        <v>0.50423245293634911</v>
      </c>
    </row>
    <row r="113" spans="1:16">
      <c r="A113" s="163" t="s">
        <v>344</v>
      </c>
      <c r="B113" s="163">
        <v>7573</v>
      </c>
      <c r="C113" s="200">
        <v>143840</v>
      </c>
      <c r="D113" s="201">
        <v>11726</v>
      </c>
      <c r="E113" s="202" t="s">
        <v>200</v>
      </c>
      <c r="F113" s="200">
        <v>1879.2</v>
      </c>
      <c r="G113" s="162">
        <v>45958</v>
      </c>
      <c r="H113" s="203" t="s">
        <v>199</v>
      </c>
      <c r="I113" s="186">
        <f t="shared" si="10"/>
        <v>4</v>
      </c>
      <c r="J113" s="204">
        <f>IF($H113="USD",IF(OR($I113="",$I113="-"),"",VLOOKUP($G113,為替!$A:$AX,$I113,FALSE))+$J$3,IF(OR($I113="",$I113="-"),"",VLOOKUP($G113,為替!$A:$AX,$I113,FALSE)))</f>
        <v>152.07</v>
      </c>
      <c r="K113" s="205">
        <f t="shared" si="11"/>
        <v>285769.94400000002</v>
      </c>
      <c r="L113" s="189">
        <f t="shared" si="13"/>
        <v>3</v>
      </c>
      <c r="M113" s="204">
        <f>IF($H113="USD",IF(OR($L113="",$L113="-"),"",VLOOKUP($G113,為替!$A:$AX,$L113,FALSE))+$K$3,IF(OR($L113="",$L113="-"),"",VLOOKUP($G113,為替!$A:$AX,$L113,FALSE)))</f>
        <v>153.07</v>
      </c>
      <c r="N113" s="205">
        <f t="shared" si="12"/>
        <v>155566</v>
      </c>
      <c r="O113" s="206">
        <f t="shared" si="14"/>
        <v>130203.94400000002</v>
      </c>
      <c r="P113" s="207">
        <f t="shared" si="15"/>
        <v>0.45562504641845752</v>
      </c>
    </row>
    <row r="114" spans="1:16">
      <c r="A114" s="163" t="s">
        <v>332</v>
      </c>
      <c r="B114" s="163">
        <v>7463</v>
      </c>
      <c r="C114" s="200">
        <v>29735</v>
      </c>
      <c r="D114" s="201">
        <v>0</v>
      </c>
      <c r="E114" s="202" t="s">
        <v>200</v>
      </c>
      <c r="F114" s="200">
        <v>510</v>
      </c>
      <c r="G114" s="162">
        <v>45939</v>
      </c>
      <c r="H114" s="203" t="s">
        <v>199</v>
      </c>
      <c r="I114" s="186">
        <f t="shared" si="10"/>
        <v>4</v>
      </c>
      <c r="J114" s="204">
        <f>IF($H114="USD",IF(OR($I114="",$I114="-"),"",VLOOKUP($G114,為替!$A:$AX,$I114,FALSE))+$J$3,IF(OR($I114="",$I114="-"),"",VLOOKUP($G114,為替!$A:$AX,$I114,FALSE)))</f>
        <v>152.24</v>
      </c>
      <c r="K114" s="205">
        <f t="shared" si="11"/>
        <v>77642.400000000009</v>
      </c>
      <c r="L114" s="189">
        <f t="shared" si="13"/>
        <v>3</v>
      </c>
      <c r="M114" s="204">
        <f>IF($H114="USD",IF(OR($L114="",$L114="-"),"",VLOOKUP($G114,為替!$A:$AX,$L114,FALSE))+$K$3,IF(OR($L114="",$L114="-"),"",VLOOKUP($G114,為替!$A:$AX,$L114,FALSE)))</f>
        <v>153.24</v>
      </c>
      <c r="N114" s="205">
        <f t="shared" si="12"/>
        <v>29735</v>
      </c>
      <c r="O114" s="206">
        <f t="shared" si="14"/>
        <v>47907.400000000009</v>
      </c>
      <c r="P114" s="207">
        <f t="shared" si="15"/>
        <v>0.61702626400008243</v>
      </c>
    </row>
    <row r="115" spans="1:16">
      <c r="A115" s="163" t="s">
        <v>332</v>
      </c>
      <c r="B115" s="163">
        <v>7505</v>
      </c>
      <c r="C115" s="200">
        <v>40376</v>
      </c>
      <c r="D115" s="201">
        <v>0</v>
      </c>
      <c r="E115" s="202" t="s">
        <v>200</v>
      </c>
      <c r="F115" s="200">
        <v>443.52</v>
      </c>
      <c r="G115" s="162">
        <v>45938</v>
      </c>
      <c r="H115" s="203" t="s">
        <v>365</v>
      </c>
      <c r="I115" s="186">
        <f t="shared" si="10"/>
        <v>7</v>
      </c>
      <c r="J115" s="204">
        <f>IF($H115="USD",IF(OR($I115="",$I115="-"),"",VLOOKUP($G115,為替!$A:$AX,$I115,FALSE))+$J$3,IF(OR($I115="",$I115="-"),"",VLOOKUP($G115,為替!$A:$AX,$I115,FALSE)))</f>
        <v>0</v>
      </c>
      <c r="K115" s="205">
        <f t="shared" si="11"/>
        <v>0</v>
      </c>
      <c r="L115" s="189">
        <f t="shared" si="13"/>
        <v>6</v>
      </c>
      <c r="M115" s="204">
        <f>IF($H115="USD",IF(OR($L115="",$L115="-"),"",VLOOKUP($G115,為替!$A:$AX,$L115,FALSE))+$K$3,IF(OR($L115="",$L115="-"),"",VLOOKUP($G115,為替!$A:$AX,$L115,FALSE)))</f>
        <v>0</v>
      </c>
      <c r="N115" s="205">
        <f t="shared" si="12"/>
        <v>40376</v>
      </c>
      <c r="O115" s="206">
        <f t="shared" si="14"/>
        <v>-40376</v>
      </c>
      <c r="P115" s="207" t="e">
        <f t="shared" si="15"/>
        <v>#DIV/0!</v>
      </c>
    </row>
    <row r="116" spans="1:16">
      <c r="A116" s="163" t="s">
        <v>332</v>
      </c>
      <c r="B116" s="163">
        <v>7527</v>
      </c>
      <c r="C116" s="200">
        <v>3746</v>
      </c>
      <c r="D116" s="201">
        <v>0</v>
      </c>
      <c r="E116" s="202" t="s">
        <v>200</v>
      </c>
      <c r="F116" s="200">
        <v>104.4</v>
      </c>
      <c r="G116" s="162">
        <v>45944</v>
      </c>
      <c r="H116" s="203" t="s">
        <v>199</v>
      </c>
      <c r="I116" s="186">
        <f t="shared" si="10"/>
        <v>4</v>
      </c>
      <c r="J116" s="204">
        <f>IF($H116="USD",IF(OR($I116="",$I116="-"),"",VLOOKUP($G116,為替!$A:$AX,$I116,FALSE))+$J$3,IF(OR($I116="",$I116="-"),"",VLOOKUP($G116,為替!$A:$AX,$I116,FALSE)))</f>
        <v>151.99</v>
      </c>
      <c r="K116" s="205">
        <f t="shared" si="11"/>
        <v>15867.756000000001</v>
      </c>
      <c r="L116" s="189">
        <f t="shared" si="13"/>
        <v>3</v>
      </c>
      <c r="M116" s="204">
        <f>IF($H116="USD",IF(OR($L116="",$L116="-"),"",VLOOKUP($G116,為替!$A:$AX,$L116,FALSE))+$K$3,IF(OR($L116="",$L116="-"),"",VLOOKUP($G116,為替!$A:$AX,$L116,FALSE)))</f>
        <v>152.99</v>
      </c>
      <c r="N116" s="205">
        <f t="shared" si="12"/>
        <v>3746</v>
      </c>
      <c r="O116" s="206">
        <f t="shared" si="14"/>
        <v>12121.756000000001</v>
      </c>
      <c r="P116" s="207">
        <f t="shared" si="15"/>
        <v>0.76392377094782649</v>
      </c>
    </row>
    <row r="117" spans="1:16">
      <c r="A117" s="163" t="s">
        <v>332</v>
      </c>
      <c r="B117" s="163">
        <v>7531</v>
      </c>
      <c r="C117" s="200">
        <v>9631</v>
      </c>
      <c r="D117" s="201">
        <v>0</v>
      </c>
      <c r="E117" s="202" t="s">
        <v>200</v>
      </c>
      <c r="F117" s="200">
        <v>118.04</v>
      </c>
      <c r="G117" s="162">
        <v>45945</v>
      </c>
      <c r="H117" s="203" t="s">
        <v>365</v>
      </c>
      <c r="I117" s="186">
        <f t="shared" si="10"/>
        <v>7</v>
      </c>
      <c r="J117" s="204">
        <f>IF($H117="USD",IF(OR($I117="",$I117="-"),"",VLOOKUP($G117,為替!$A:$AX,$I117,FALSE))+$J$3,IF(OR($I117="",$I117="-"),"",VLOOKUP($G117,為替!$A:$AX,$I117,FALSE)))</f>
        <v>0</v>
      </c>
      <c r="K117" s="205">
        <f t="shared" si="11"/>
        <v>0</v>
      </c>
      <c r="L117" s="189">
        <f t="shared" si="13"/>
        <v>6</v>
      </c>
      <c r="M117" s="204">
        <f>IF($H117="USD",IF(OR($L117="",$L117="-"),"",VLOOKUP($G117,為替!$A:$AX,$L117,FALSE))+$K$3,IF(OR($L117="",$L117="-"),"",VLOOKUP($G117,為替!$A:$AX,$L117,FALSE)))</f>
        <v>0</v>
      </c>
      <c r="N117" s="205">
        <f t="shared" si="12"/>
        <v>9631</v>
      </c>
      <c r="O117" s="206">
        <f t="shared" si="14"/>
        <v>-9631</v>
      </c>
      <c r="P117" s="207" t="e">
        <f t="shared" si="15"/>
        <v>#DIV/0!</v>
      </c>
    </row>
    <row r="118" spans="1:16">
      <c r="A118" s="163" t="s">
        <v>332</v>
      </c>
      <c r="B118" s="163">
        <v>7556</v>
      </c>
      <c r="C118" s="200">
        <v>2175</v>
      </c>
      <c r="D118" s="201">
        <v>0</v>
      </c>
      <c r="E118" s="202" t="s">
        <v>200</v>
      </c>
      <c r="F118" s="200">
        <v>38</v>
      </c>
      <c r="G118" s="162">
        <v>45950</v>
      </c>
      <c r="H118" s="203" t="s">
        <v>365</v>
      </c>
      <c r="I118" s="186">
        <f t="shared" si="10"/>
        <v>7</v>
      </c>
      <c r="J118" s="204">
        <f>IF($H118="USD",IF(OR($I118="",$I118="-"),"",VLOOKUP($G118,為替!$A:$AX,$I118,FALSE))+$J$3,IF(OR($I118="",$I118="-"),"",VLOOKUP($G118,為替!$A:$AX,$I118,FALSE)))</f>
        <v>0</v>
      </c>
      <c r="K118" s="205">
        <f t="shared" si="11"/>
        <v>0</v>
      </c>
      <c r="L118" s="189">
        <f t="shared" si="13"/>
        <v>6</v>
      </c>
      <c r="M118" s="204">
        <f>IF($H118="USD",IF(OR($L118="",$L118="-"),"",VLOOKUP($G118,為替!$A:$AX,$L118,FALSE))+$K$3,IF(OR($L118="",$L118="-"),"",VLOOKUP($G118,為替!$A:$AX,$L118,FALSE)))</f>
        <v>0</v>
      </c>
      <c r="N118" s="205">
        <f t="shared" si="12"/>
        <v>2175</v>
      </c>
      <c r="O118" s="206">
        <f t="shared" si="14"/>
        <v>-2175</v>
      </c>
      <c r="P118" s="207" t="e">
        <f t="shared" si="15"/>
        <v>#DIV/0!</v>
      </c>
    </row>
    <row r="119" spans="1:16">
      <c r="A119" s="163" t="s">
        <v>332</v>
      </c>
      <c r="B119" s="163">
        <v>7555</v>
      </c>
      <c r="C119" s="200">
        <v>99148</v>
      </c>
      <c r="D119" s="201">
        <v>0</v>
      </c>
      <c r="E119" s="202" t="s">
        <v>200</v>
      </c>
      <c r="F119" s="200">
        <v>1668.19</v>
      </c>
      <c r="G119" s="162">
        <v>45951</v>
      </c>
      <c r="H119" s="203" t="s">
        <v>199</v>
      </c>
      <c r="I119" s="186">
        <f t="shared" si="10"/>
        <v>4</v>
      </c>
      <c r="J119" s="204">
        <f>IF($H119="USD",IF(OR($I119="",$I119="-"),"",VLOOKUP($G119,為替!$A:$AX,$I119,FALSE))+$J$3,IF(OR($I119="",$I119="-"),"",VLOOKUP($G119,為替!$A:$AX,$I119,FALSE)))</f>
        <v>150.06</v>
      </c>
      <c r="K119" s="205">
        <f t="shared" si="11"/>
        <v>250328.5914</v>
      </c>
      <c r="L119" s="189">
        <f t="shared" si="13"/>
        <v>3</v>
      </c>
      <c r="M119" s="204">
        <f>IF($H119="USD",IF(OR($L119="",$L119="-"),"",VLOOKUP($G119,為替!$A:$AX,$L119,FALSE))+$K$3,IF(OR($L119="",$L119="-"),"",VLOOKUP($G119,為替!$A:$AX,$L119,FALSE)))</f>
        <v>151.06</v>
      </c>
      <c r="N119" s="205">
        <f t="shared" si="12"/>
        <v>99148</v>
      </c>
      <c r="O119" s="206">
        <f t="shared" si="14"/>
        <v>151180.5914</v>
      </c>
      <c r="P119" s="207">
        <f t="shared" si="15"/>
        <v>0.60392858264611315</v>
      </c>
    </row>
    <row r="120" spans="1:16">
      <c r="A120" s="163" t="s">
        <v>332</v>
      </c>
      <c r="B120" s="163">
        <v>7562</v>
      </c>
      <c r="C120" s="200">
        <v>31380</v>
      </c>
      <c r="D120" s="201">
        <v>0</v>
      </c>
      <c r="E120" s="202" t="s">
        <v>200</v>
      </c>
      <c r="F120" s="200">
        <v>366.3</v>
      </c>
      <c r="G120" s="162">
        <v>45951</v>
      </c>
      <c r="H120" s="203" t="s">
        <v>365</v>
      </c>
      <c r="I120" s="186">
        <f t="shared" si="10"/>
        <v>7</v>
      </c>
      <c r="J120" s="204">
        <f>IF($H120="USD",IF(OR($I120="",$I120="-"),"",VLOOKUP($G120,為替!$A:$AX,$I120,FALSE))+$J$3,IF(OR($I120="",$I120="-"),"",VLOOKUP($G120,為替!$A:$AX,$I120,FALSE)))</f>
        <v>0</v>
      </c>
      <c r="K120" s="205">
        <f t="shared" si="11"/>
        <v>0</v>
      </c>
      <c r="L120" s="189">
        <f t="shared" si="13"/>
        <v>6</v>
      </c>
      <c r="M120" s="204">
        <f>IF($H120="USD",IF(OR($L120="",$L120="-"),"",VLOOKUP($G120,為替!$A:$AX,$L120,FALSE))+$K$3,IF(OR($L120="",$L120="-"),"",VLOOKUP($G120,為替!$A:$AX,$L120,FALSE)))</f>
        <v>0</v>
      </c>
      <c r="N120" s="205">
        <f t="shared" si="12"/>
        <v>31380</v>
      </c>
      <c r="O120" s="206">
        <f t="shared" si="14"/>
        <v>-31380</v>
      </c>
      <c r="P120" s="207" t="e">
        <f t="shared" si="15"/>
        <v>#DIV/0!</v>
      </c>
    </row>
    <row r="121" spans="1:16">
      <c r="A121" s="163" t="s">
        <v>332</v>
      </c>
      <c r="B121" s="163">
        <v>7564</v>
      </c>
      <c r="C121" s="200">
        <v>25742</v>
      </c>
      <c r="D121" s="201">
        <v>0</v>
      </c>
      <c r="E121" s="202" t="s">
        <v>200</v>
      </c>
      <c r="F121" s="200">
        <v>457.5</v>
      </c>
      <c r="G121" s="162">
        <v>45953</v>
      </c>
      <c r="H121" s="203" t="s">
        <v>199</v>
      </c>
      <c r="I121" s="186">
        <f t="shared" si="10"/>
        <v>4</v>
      </c>
      <c r="J121" s="204">
        <f>IF($H121="USD",IF(OR($I121="",$I121="-"),"",VLOOKUP($G121,為替!$A:$AX,$I121,FALSE))+$J$3,IF(OR($I121="",$I121="-"),"",VLOOKUP($G121,為替!$A:$AX,$I121,FALSE)))</f>
        <v>151.76</v>
      </c>
      <c r="K121" s="205">
        <f t="shared" si="11"/>
        <v>69430.2</v>
      </c>
      <c r="L121" s="189">
        <f t="shared" si="13"/>
        <v>3</v>
      </c>
      <c r="M121" s="204">
        <f>IF($H121="USD",IF(OR($L121="",$L121="-"),"",VLOOKUP($G121,為替!$A:$AX,$L121,FALSE))+$K$3,IF(OR($L121="",$L121="-"),"",VLOOKUP($G121,為替!$A:$AX,$L121,FALSE)))</f>
        <v>152.76</v>
      </c>
      <c r="N121" s="205">
        <f t="shared" si="12"/>
        <v>25742</v>
      </c>
      <c r="O121" s="206">
        <f t="shared" si="14"/>
        <v>43688.2</v>
      </c>
      <c r="P121" s="207">
        <f t="shared" si="15"/>
        <v>0.62923914953435245</v>
      </c>
    </row>
    <row r="122" spans="1:16">
      <c r="A122" s="163" t="s">
        <v>332</v>
      </c>
      <c r="B122" s="163">
        <v>7542</v>
      </c>
      <c r="C122" s="200">
        <v>205680</v>
      </c>
      <c r="D122" s="201">
        <v>0</v>
      </c>
      <c r="E122" s="202" t="s">
        <v>200</v>
      </c>
      <c r="F122" s="200">
        <v>3186.26</v>
      </c>
      <c r="G122" s="162">
        <v>45957</v>
      </c>
      <c r="H122" s="203" t="s">
        <v>365</v>
      </c>
      <c r="I122" s="186">
        <f t="shared" si="10"/>
        <v>7</v>
      </c>
      <c r="J122" s="204">
        <f>IF($H122="USD",IF(OR($I122="",$I122="-"),"",VLOOKUP($G122,為替!$A:$AX,$I122,FALSE))+$J$3,IF(OR($I122="",$I122="-"),"",VLOOKUP($G122,為替!$A:$AX,$I122,FALSE)))</f>
        <v>0</v>
      </c>
      <c r="K122" s="205">
        <f t="shared" si="11"/>
        <v>0</v>
      </c>
      <c r="L122" s="189">
        <f t="shared" si="13"/>
        <v>6</v>
      </c>
      <c r="M122" s="204">
        <f>IF($H122="USD",IF(OR($L122="",$L122="-"),"",VLOOKUP($G122,為替!$A:$AX,$L122,FALSE))+$K$3,IF(OR($L122="",$L122="-"),"",VLOOKUP($G122,為替!$A:$AX,$L122,FALSE)))</f>
        <v>0</v>
      </c>
      <c r="N122" s="205">
        <f t="shared" si="12"/>
        <v>205680</v>
      </c>
      <c r="O122" s="206">
        <f t="shared" si="14"/>
        <v>-205680</v>
      </c>
      <c r="P122" s="207" t="e">
        <f t="shared" si="15"/>
        <v>#DIV/0!</v>
      </c>
    </row>
    <row r="123" spans="1:16">
      <c r="A123" s="163" t="s">
        <v>332</v>
      </c>
      <c r="B123" s="163">
        <v>7569</v>
      </c>
      <c r="C123" s="200">
        <v>87612</v>
      </c>
      <c r="D123" s="201">
        <v>0</v>
      </c>
      <c r="E123" s="202" t="s">
        <v>200</v>
      </c>
      <c r="F123" s="200">
        <v>834.55</v>
      </c>
      <c r="G123" s="162">
        <v>45957</v>
      </c>
      <c r="H123" s="203" t="s">
        <v>365</v>
      </c>
      <c r="I123" s="186">
        <f t="shared" si="10"/>
        <v>7</v>
      </c>
      <c r="J123" s="204">
        <f>IF($H123="USD",IF(OR($I123="",$I123="-"),"",VLOOKUP($G123,為替!$A:$AX,$I123,FALSE))+$J$3,IF(OR($I123="",$I123="-"),"",VLOOKUP($G123,為替!$A:$AX,$I123,FALSE)))</f>
        <v>0</v>
      </c>
      <c r="K123" s="205">
        <f t="shared" si="11"/>
        <v>0</v>
      </c>
      <c r="L123" s="189">
        <f t="shared" si="13"/>
        <v>6</v>
      </c>
      <c r="M123" s="204">
        <f>IF($H123="USD",IF(OR($L123="",$L123="-"),"",VLOOKUP($G123,為替!$A:$AX,$L123,FALSE))+$K$3,IF(OR($L123="",$L123="-"),"",VLOOKUP($G123,為替!$A:$AX,$L123,FALSE)))</f>
        <v>0</v>
      </c>
      <c r="N123" s="205">
        <f t="shared" si="12"/>
        <v>87612</v>
      </c>
      <c r="O123" s="206">
        <f t="shared" si="14"/>
        <v>-87612</v>
      </c>
      <c r="P123" s="207" t="e">
        <f t="shared" si="15"/>
        <v>#DIV/0!</v>
      </c>
    </row>
    <row r="124" spans="1:16">
      <c r="A124" s="163" t="s">
        <v>332</v>
      </c>
      <c r="B124" s="163">
        <v>7586</v>
      </c>
      <c r="C124" s="200">
        <v>3900</v>
      </c>
      <c r="D124" s="201">
        <v>0</v>
      </c>
      <c r="E124" s="202" t="s">
        <v>200</v>
      </c>
      <c r="F124" s="200">
        <v>30.1</v>
      </c>
      <c r="G124" s="162">
        <v>45960</v>
      </c>
      <c r="H124" s="203" t="s">
        <v>365</v>
      </c>
      <c r="I124" s="186">
        <f t="shared" si="10"/>
        <v>7</v>
      </c>
      <c r="J124" s="204">
        <f>IF($H124="USD",IF(OR($I124="",$I124="-"),"",VLOOKUP($G124,為替!$A:$AX,$I124,FALSE))+$J$3,IF(OR($I124="",$I124="-"),"",VLOOKUP($G124,為替!$A:$AX,$I124,FALSE)))</f>
        <v>0</v>
      </c>
      <c r="K124" s="205">
        <f t="shared" si="11"/>
        <v>0</v>
      </c>
      <c r="L124" s="189">
        <f t="shared" si="13"/>
        <v>6</v>
      </c>
      <c r="M124" s="204">
        <f>IF($H124="USD",IF(OR($L124="",$L124="-"),"",VLOOKUP($G124,為替!$A:$AX,$L124,FALSE))+$K$3,IF(OR($L124="",$L124="-"),"",VLOOKUP($G124,為替!$A:$AX,$L124,FALSE)))</f>
        <v>0</v>
      </c>
      <c r="N124" s="205">
        <f t="shared" si="12"/>
        <v>3900</v>
      </c>
      <c r="O124" s="206">
        <f t="shared" si="14"/>
        <v>-3900</v>
      </c>
      <c r="P124" s="207" t="e">
        <f t="shared" si="15"/>
        <v>#DIV/0!</v>
      </c>
    </row>
    <row r="125" spans="1:16">
      <c r="A125" s="163" t="s">
        <v>343</v>
      </c>
      <c r="B125" s="163" t="s">
        <v>464</v>
      </c>
      <c r="C125" s="200">
        <v>160318</v>
      </c>
      <c r="D125" s="201">
        <v>0</v>
      </c>
      <c r="E125" s="202" t="s">
        <v>200</v>
      </c>
      <c r="F125" s="200">
        <v>1914.41</v>
      </c>
      <c r="G125" s="162">
        <v>45966</v>
      </c>
      <c r="H125" s="203" t="s">
        <v>199</v>
      </c>
      <c r="I125" s="186">
        <f t="shared" si="10"/>
        <v>4</v>
      </c>
      <c r="J125" s="204">
        <f>IF($H125="USD",IF(OR($I125="",$I125="-"),"",VLOOKUP($G125,為替!$A:$AX,$I125,FALSE))+$J$3,IF(OR($I125="",$I125="-"),"",VLOOKUP($G125,為替!$A:$AX,$I125,FALSE)))</f>
        <v>152.99</v>
      </c>
      <c r="K125" s="205">
        <f t="shared" si="11"/>
        <v>292885.58590000001</v>
      </c>
      <c r="L125" s="189">
        <f t="shared" si="13"/>
        <v>3</v>
      </c>
      <c r="M125" s="204">
        <f>IF($H125="USD",IF(OR($L125="",$L125="-"),"",VLOOKUP($G125,為替!$A:$AX,$L125,FALSE))+$K$3,IF(OR($L125="",$L125="-"),"",VLOOKUP($G125,為替!$A:$AX,$L125,FALSE)))</f>
        <v>153.99</v>
      </c>
      <c r="N125" s="205">
        <f t="shared" si="12"/>
        <v>160318</v>
      </c>
      <c r="O125" s="206">
        <f t="shared" si="14"/>
        <v>132567.58590000001</v>
      </c>
      <c r="P125" s="207">
        <f t="shared" si="15"/>
        <v>0.45262584531989425</v>
      </c>
    </row>
    <row r="126" spans="1:16">
      <c r="A126" s="163" t="s">
        <v>343</v>
      </c>
      <c r="B126" s="163" t="s">
        <v>465</v>
      </c>
      <c r="C126" s="200">
        <v>24998</v>
      </c>
      <c r="D126" s="201">
        <v>0</v>
      </c>
      <c r="E126" s="202" t="s">
        <v>200</v>
      </c>
      <c r="F126" s="200">
        <v>265.93</v>
      </c>
      <c r="G126" s="162">
        <v>45966</v>
      </c>
      <c r="H126" s="203" t="s">
        <v>199</v>
      </c>
      <c r="I126" s="186">
        <f t="shared" si="10"/>
        <v>4</v>
      </c>
      <c r="J126" s="204">
        <f>IF($H126="USD",IF(OR($I126="",$I126="-"),"",VLOOKUP($G126,為替!$A:$AX,$I126,FALSE))+$J$3,IF(OR($I126="",$I126="-"),"",VLOOKUP($G126,為替!$A:$AX,$I126,FALSE)))</f>
        <v>152.99</v>
      </c>
      <c r="K126" s="205">
        <f t="shared" si="11"/>
        <v>40684.630700000002</v>
      </c>
      <c r="L126" s="189">
        <f t="shared" si="13"/>
        <v>3</v>
      </c>
      <c r="M126" s="204">
        <f>IF($H126="USD",IF(OR($L126="",$L126="-"),"",VLOOKUP($G126,為替!$A:$AX,$L126,FALSE))+$K$3,IF(OR($L126="",$L126="-"),"",VLOOKUP($G126,為替!$A:$AX,$L126,FALSE)))</f>
        <v>153.99</v>
      </c>
      <c r="N126" s="205">
        <f t="shared" si="12"/>
        <v>24998</v>
      </c>
      <c r="O126" s="206">
        <f t="shared" si="14"/>
        <v>15686.630700000002</v>
      </c>
      <c r="P126" s="207">
        <f t="shared" si="15"/>
        <v>0.38556650091455791</v>
      </c>
    </row>
    <row r="127" spans="1:16">
      <c r="A127" s="163" t="s">
        <v>343</v>
      </c>
      <c r="B127" s="163" t="s">
        <v>466</v>
      </c>
      <c r="C127" s="200">
        <v>9800</v>
      </c>
      <c r="D127" s="201">
        <v>18017</v>
      </c>
      <c r="E127" s="202" t="s">
        <v>200</v>
      </c>
      <c r="F127" s="200">
        <v>279.2</v>
      </c>
      <c r="G127" s="162">
        <v>45967</v>
      </c>
      <c r="H127" s="203" t="s">
        <v>199</v>
      </c>
      <c r="I127" s="186">
        <f t="shared" si="10"/>
        <v>4</v>
      </c>
      <c r="J127" s="204">
        <f>IF($H127="USD",IF(OR($I127="",$I127="-"),"",VLOOKUP($G127,為替!$A:$AX,$I127,FALSE))+$J$3,IF(OR($I127="",$I127="-"),"",VLOOKUP($G127,為替!$A:$AX,$I127,FALSE)))</f>
        <v>153.54</v>
      </c>
      <c r="K127" s="205">
        <f t="shared" si="11"/>
        <v>42868.367999999995</v>
      </c>
      <c r="L127" s="189">
        <f t="shared" si="13"/>
        <v>3</v>
      </c>
      <c r="M127" s="204">
        <f>IF($H127="USD",IF(OR($L127="",$L127="-"),"",VLOOKUP($G127,為替!$A:$AX,$L127,FALSE))+$K$3,IF(OR($L127="",$L127="-"),"",VLOOKUP($G127,為替!$A:$AX,$L127,FALSE)))</f>
        <v>154.54</v>
      </c>
      <c r="N127" s="205">
        <f t="shared" si="12"/>
        <v>27817</v>
      </c>
      <c r="O127" s="206">
        <f t="shared" si="14"/>
        <v>15051.367999999995</v>
      </c>
      <c r="P127" s="207">
        <f t="shared" si="15"/>
        <v>0.3511066248194939</v>
      </c>
    </row>
    <row r="128" spans="1:16">
      <c r="A128" s="163" t="s">
        <v>343</v>
      </c>
      <c r="B128" s="163" t="s">
        <v>467</v>
      </c>
      <c r="C128" s="200">
        <v>19570</v>
      </c>
      <c r="D128" s="201">
        <v>0</v>
      </c>
      <c r="E128" s="202" t="s">
        <v>200</v>
      </c>
      <c r="F128" s="200">
        <v>246.3</v>
      </c>
      <c r="G128" s="162">
        <v>45967</v>
      </c>
      <c r="H128" s="203" t="s">
        <v>199</v>
      </c>
      <c r="I128" s="186">
        <f t="shared" si="10"/>
        <v>4</v>
      </c>
      <c r="J128" s="204">
        <f>IF($H128="USD",IF(OR($I128="",$I128="-"),"",VLOOKUP($G128,為替!$A:$AX,$I128,FALSE))+$J$3,IF(OR($I128="",$I128="-"),"",VLOOKUP($G128,為替!$A:$AX,$I128,FALSE)))</f>
        <v>153.54</v>
      </c>
      <c r="K128" s="205">
        <f t="shared" si="11"/>
        <v>37816.902000000002</v>
      </c>
      <c r="L128" s="189">
        <f t="shared" si="13"/>
        <v>3</v>
      </c>
      <c r="M128" s="204">
        <f>IF($H128="USD",IF(OR($L128="",$L128="-"),"",VLOOKUP($G128,為替!$A:$AX,$L128,FALSE))+$K$3,IF(OR($L128="",$L128="-"),"",VLOOKUP($G128,為替!$A:$AX,$L128,FALSE)))</f>
        <v>154.54</v>
      </c>
      <c r="N128" s="205">
        <f t="shared" si="12"/>
        <v>19570</v>
      </c>
      <c r="O128" s="206">
        <f t="shared" si="14"/>
        <v>18246.902000000002</v>
      </c>
      <c r="P128" s="207">
        <f t="shared" si="15"/>
        <v>0.48250652578574527</v>
      </c>
    </row>
    <row r="129" spans="1:16">
      <c r="A129" s="163" t="s">
        <v>343</v>
      </c>
      <c r="B129" s="163" t="s">
        <v>468</v>
      </c>
      <c r="C129" s="200">
        <v>4400</v>
      </c>
      <c r="D129" s="201">
        <v>0</v>
      </c>
      <c r="E129" s="202" t="s">
        <v>200</v>
      </c>
      <c r="F129" s="200">
        <v>65.8</v>
      </c>
      <c r="G129" s="162">
        <v>45968</v>
      </c>
      <c r="H129" s="203" t="s">
        <v>199</v>
      </c>
      <c r="I129" s="186">
        <f t="shared" si="10"/>
        <v>4</v>
      </c>
      <c r="J129" s="204">
        <f>IF($H129="USD",IF(OR($I129="",$I129="-"),"",VLOOKUP($G129,為替!$A:$AX,$I129,FALSE))+$J$3,IF(OR($I129="",$I129="-"),"",VLOOKUP($G129,為替!$A:$AX,$I129,FALSE)))</f>
        <v>152.74</v>
      </c>
      <c r="K129" s="205">
        <f t="shared" si="11"/>
        <v>10050.291999999999</v>
      </c>
      <c r="L129" s="189">
        <f t="shared" si="13"/>
        <v>3</v>
      </c>
      <c r="M129" s="204">
        <f>IF($H129="USD",IF(OR($L129="",$L129="-"),"",VLOOKUP($G129,為替!$A:$AX,$L129,FALSE))+$K$3,IF(OR($L129="",$L129="-"),"",VLOOKUP($G129,為替!$A:$AX,$L129,FALSE)))</f>
        <v>153.74</v>
      </c>
      <c r="N129" s="205">
        <f t="shared" si="12"/>
        <v>4400</v>
      </c>
      <c r="O129" s="206">
        <f t="shared" si="14"/>
        <v>5650.2919999999995</v>
      </c>
      <c r="P129" s="207">
        <f t="shared" si="15"/>
        <v>0.5622017748340048</v>
      </c>
    </row>
    <row r="130" spans="1:16">
      <c r="A130" s="163" t="s">
        <v>343</v>
      </c>
      <c r="B130" s="163" t="s">
        <v>469</v>
      </c>
      <c r="C130" s="200">
        <v>888540</v>
      </c>
      <c r="D130" s="201">
        <v>0</v>
      </c>
      <c r="E130" s="202" t="s">
        <v>200</v>
      </c>
      <c r="F130" s="200">
        <v>8649.3799999999992</v>
      </c>
      <c r="G130" s="162">
        <v>45968</v>
      </c>
      <c r="H130" s="203" t="s">
        <v>199</v>
      </c>
      <c r="I130" s="186">
        <f t="shared" si="10"/>
        <v>4</v>
      </c>
      <c r="J130" s="204">
        <f>IF($H130="USD",IF(OR($I130="",$I130="-"),"",VLOOKUP($G130,為替!$A:$AX,$I130,FALSE))+$J$3,IF(OR($I130="",$I130="-"),"",VLOOKUP($G130,為替!$A:$AX,$I130,FALSE)))</f>
        <v>152.74</v>
      </c>
      <c r="K130" s="205">
        <f t="shared" si="11"/>
        <v>1321106.3011999999</v>
      </c>
      <c r="L130" s="189">
        <f t="shared" si="13"/>
        <v>3</v>
      </c>
      <c r="M130" s="204">
        <f>IF($H130="USD",IF(OR($L130="",$L130="-"),"",VLOOKUP($G130,為替!$A:$AX,$L130,FALSE))+$K$3,IF(OR($L130="",$L130="-"),"",VLOOKUP($G130,為替!$A:$AX,$L130,FALSE)))</f>
        <v>153.74</v>
      </c>
      <c r="N130" s="205">
        <f t="shared" si="12"/>
        <v>888540</v>
      </c>
      <c r="O130" s="206">
        <f t="shared" si="14"/>
        <v>432566.30119999987</v>
      </c>
      <c r="P130" s="207">
        <f t="shared" si="15"/>
        <v>0.32742732421084292</v>
      </c>
    </row>
    <row r="131" spans="1:16">
      <c r="A131" s="163" t="s">
        <v>343</v>
      </c>
      <c r="B131" s="163" t="s">
        <v>470</v>
      </c>
      <c r="C131" s="200">
        <v>8540</v>
      </c>
      <c r="D131" s="201">
        <v>3455</v>
      </c>
      <c r="E131" s="202" t="s">
        <v>200</v>
      </c>
      <c r="F131" s="200">
        <v>138.44</v>
      </c>
      <c r="G131" s="162">
        <v>45968</v>
      </c>
      <c r="H131" s="203" t="s">
        <v>199</v>
      </c>
      <c r="I131" s="186">
        <f t="shared" si="10"/>
        <v>4</v>
      </c>
      <c r="J131" s="204">
        <f>IF($H131="USD",IF(OR($I131="",$I131="-"),"",VLOOKUP($G131,為替!$A:$AX,$I131,FALSE))+$J$3,IF(OR($I131="",$I131="-"),"",VLOOKUP($G131,為替!$A:$AX,$I131,FALSE)))</f>
        <v>152.74</v>
      </c>
      <c r="K131" s="205">
        <f t="shared" si="11"/>
        <v>21145.3256</v>
      </c>
      <c r="L131" s="189">
        <f t="shared" si="13"/>
        <v>3</v>
      </c>
      <c r="M131" s="204">
        <f>IF($H131="USD",IF(OR($L131="",$L131="-"),"",VLOOKUP($G131,為替!$A:$AX,$L131,FALSE))+$K$3,IF(OR($L131="",$L131="-"),"",VLOOKUP($G131,為替!$A:$AX,$L131,FALSE)))</f>
        <v>153.74</v>
      </c>
      <c r="N131" s="205">
        <f t="shared" si="12"/>
        <v>11995</v>
      </c>
      <c r="O131" s="206">
        <f t="shared" si="14"/>
        <v>9150.3256000000001</v>
      </c>
      <c r="P131" s="207">
        <f t="shared" si="15"/>
        <v>0.43273514785698075</v>
      </c>
    </row>
    <row r="132" spans="1:16">
      <c r="A132" s="163" t="s">
        <v>343</v>
      </c>
      <c r="B132" s="163" t="s">
        <v>471</v>
      </c>
      <c r="C132" s="200">
        <v>4850</v>
      </c>
      <c r="D132" s="201">
        <v>0</v>
      </c>
      <c r="E132" s="202" t="s">
        <v>200</v>
      </c>
      <c r="F132" s="200">
        <v>46.92</v>
      </c>
      <c r="G132" s="162">
        <v>45971</v>
      </c>
      <c r="H132" s="203" t="s">
        <v>199</v>
      </c>
      <c r="I132" s="186">
        <f t="shared" si="10"/>
        <v>4</v>
      </c>
      <c r="J132" s="204">
        <f>IF($H132="USD",IF(OR($I132="",$I132="-"),"",VLOOKUP($G132,為替!$A:$AX,$I132,FALSE))+$J$3,IF(OR($I132="",$I132="-"),"",VLOOKUP($G132,為替!$A:$AX,$I132,FALSE)))</f>
        <v>153.43</v>
      </c>
      <c r="K132" s="205">
        <f t="shared" si="11"/>
        <v>7198.9356000000007</v>
      </c>
      <c r="L132" s="189">
        <f t="shared" si="13"/>
        <v>3</v>
      </c>
      <c r="M132" s="204">
        <f>IF($H132="USD",IF(OR($L132="",$L132="-"),"",VLOOKUP($G132,為替!$A:$AX,$L132,FALSE))+$K$3,IF(OR($L132="",$L132="-"),"",VLOOKUP($G132,為替!$A:$AX,$L132,FALSE)))</f>
        <v>154.43</v>
      </c>
      <c r="N132" s="205">
        <f t="shared" si="12"/>
        <v>4850</v>
      </c>
      <c r="O132" s="206">
        <f t="shared" si="14"/>
        <v>2348.9356000000007</v>
      </c>
      <c r="P132" s="207">
        <f t="shared" si="15"/>
        <v>0.32628929198922135</v>
      </c>
    </row>
    <row r="133" spans="1:16">
      <c r="A133" s="163" t="s">
        <v>343</v>
      </c>
      <c r="B133" s="163" t="s">
        <v>472</v>
      </c>
      <c r="C133" s="200">
        <v>40220</v>
      </c>
      <c r="D133" s="201">
        <v>6278</v>
      </c>
      <c r="E133" s="202" t="s">
        <v>200</v>
      </c>
      <c r="F133" s="200">
        <v>1005</v>
      </c>
      <c r="G133" s="162">
        <v>45971</v>
      </c>
      <c r="H133" s="203" t="s">
        <v>199</v>
      </c>
      <c r="I133" s="186">
        <f t="shared" si="10"/>
        <v>4</v>
      </c>
      <c r="J133" s="204">
        <f>IF($H133="USD",IF(OR($I133="",$I133="-"),"",VLOOKUP($G133,為替!$A:$AX,$I133,FALSE))+$J$3,IF(OR($I133="",$I133="-"),"",VLOOKUP($G133,為替!$A:$AX,$I133,FALSE)))</f>
        <v>153.43</v>
      </c>
      <c r="K133" s="205">
        <f t="shared" si="11"/>
        <v>154197.15</v>
      </c>
      <c r="L133" s="189">
        <f t="shared" si="13"/>
        <v>3</v>
      </c>
      <c r="M133" s="204">
        <f>IF($H133="USD",IF(OR($L133="",$L133="-"),"",VLOOKUP($G133,為替!$A:$AX,$L133,FALSE))+$K$3,IF(OR($L133="",$L133="-"),"",VLOOKUP($G133,為替!$A:$AX,$L133,FALSE)))</f>
        <v>154.43</v>
      </c>
      <c r="N133" s="205">
        <f t="shared" si="12"/>
        <v>46498</v>
      </c>
      <c r="O133" s="206">
        <f t="shared" si="14"/>
        <v>107699.15</v>
      </c>
      <c r="P133" s="207">
        <f t="shared" si="15"/>
        <v>0.69845097655825672</v>
      </c>
    </row>
    <row r="134" spans="1:16">
      <c r="A134" s="163" t="s">
        <v>343</v>
      </c>
      <c r="B134" s="163" t="s">
        <v>473</v>
      </c>
      <c r="C134" s="200">
        <v>2580</v>
      </c>
      <c r="D134" s="201">
        <v>0</v>
      </c>
      <c r="E134" s="202" t="s">
        <v>200</v>
      </c>
      <c r="F134" s="200">
        <v>30.78</v>
      </c>
      <c r="G134" s="162">
        <v>45971</v>
      </c>
      <c r="H134" s="203" t="s">
        <v>199</v>
      </c>
      <c r="I134" s="186">
        <f t="shared" si="10"/>
        <v>4</v>
      </c>
      <c r="J134" s="204">
        <f>IF($H134="USD",IF(OR($I134="",$I134="-"),"",VLOOKUP($G134,為替!$A:$AX,$I134,FALSE))+$J$3,IF(OR($I134="",$I134="-"),"",VLOOKUP($G134,為替!$A:$AX,$I134,FALSE)))</f>
        <v>153.43</v>
      </c>
      <c r="K134" s="205">
        <f t="shared" si="11"/>
        <v>4722.5754000000006</v>
      </c>
      <c r="L134" s="189">
        <f t="shared" si="13"/>
        <v>3</v>
      </c>
      <c r="M134" s="204">
        <f>IF($H134="USD",IF(OR($L134="",$L134="-"),"",VLOOKUP($G134,為替!$A:$AX,$L134,FALSE))+$K$3,IF(OR($L134="",$L134="-"),"",VLOOKUP($G134,為替!$A:$AX,$L134,FALSE)))</f>
        <v>154.43</v>
      </c>
      <c r="N134" s="205">
        <f t="shared" si="12"/>
        <v>2580</v>
      </c>
      <c r="O134" s="206">
        <f t="shared" si="14"/>
        <v>2142.5754000000006</v>
      </c>
      <c r="P134" s="207">
        <f t="shared" si="15"/>
        <v>0.45368791782551537</v>
      </c>
    </row>
    <row r="135" spans="1:16">
      <c r="A135" s="163" t="s">
        <v>343</v>
      </c>
      <c r="B135" s="163" t="s">
        <v>474</v>
      </c>
      <c r="C135" s="200">
        <v>3440</v>
      </c>
      <c r="D135" s="201">
        <v>0</v>
      </c>
      <c r="E135" s="202" t="s">
        <v>200</v>
      </c>
      <c r="F135" s="200">
        <v>37.96</v>
      </c>
      <c r="G135" s="162">
        <v>45971</v>
      </c>
      <c r="H135" s="203" t="s">
        <v>199</v>
      </c>
      <c r="I135" s="186">
        <f t="shared" ref="I135:I198" si="16">IF(H135="","",IF(H135="JPY","",IF($H135="USD",4, IF(H135="EUR",7,IF(H135="CNY",47,IF(H135="HKD",34))))))</f>
        <v>4</v>
      </c>
      <c r="J135" s="204">
        <f>IF($H135="USD",IF(OR($I135="",$I135="-"),"",VLOOKUP($G135,為替!$A:$AX,$I135,FALSE))+$J$3,IF(OR($I135="",$I135="-"),"",VLOOKUP($G135,為替!$A:$AX,$I135,FALSE)))</f>
        <v>153.43</v>
      </c>
      <c r="K135" s="205">
        <f t="shared" ref="K135:K198" si="17">IF($H135="JPY",$F135,IF($H135="","",$F135*$J135))</f>
        <v>5824.2028</v>
      </c>
      <c r="L135" s="189">
        <f t="shared" si="13"/>
        <v>3</v>
      </c>
      <c r="M135" s="204">
        <f>IF($H135="USD",IF(OR($L135="",$L135="-"),"",VLOOKUP($G135,為替!$A:$AX,$L135,FALSE))+$K$3,IF(OR($L135="",$L135="-"),"",VLOOKUP($G135,為替!$A:$AX,$L135,FALSE)))</f>
        <v>154.43</v>
      </c>
      <c r="N135" s="205">
        <f t="shared" ref="N135:N198" si="18">IF($E135="JPY",($C135+$D135),IF($E135="","",($C135+$D135)*$M135))</f>
        <v>3440</v>
      </c>
      <c r="O135" s="206">
        <f t="shared" si="14"/>
        <v>2384.2028</v>
      </c>
      <c r="P135" s="207">
        <f t="shared" si="15"/>
        <v>0.40936122622653182</v>
      </c>
    </row>
    <row r="136" spans="1:16">
      <c r="A136" s="163" t="s">
        <v>343</v>
      </c>
      <c r="B136" s="163" t="s">
        <v>475</v>
      </c>
      <c r="C136" s="200">
        <v>86066</v>
      </c>
      <c r="D136" s="201">
        <v>33243</v>
      </c>
      <c r="E136" s="202" t="s">
        <v>200</v>
      </c>
      <c r="F136" s="200">
        <v>1337.2</v>
      </c>
      <c r="G136" s="162">
        <v>45972</v>
      </c>
      <c r="H136" s="203" t="s">
        <v>199</v>
      </c>
      <c r="I136" s="186">
        <f t="shared" si="16"/>
        <v>4</v>
      </c>
      <c r="J136" s="204">
        <f>IF($H136="USD",IF(OR($I136="",$I136="-"),"",VLOOKUP($G136,為替!$A:$AX,$I136,FALSE))+$J$3,IF(OR($I136="",$I136="-"),"",VLOOKUP($G136,為替!$A:$AX,$I136,FALSE)))</f>
        <v>153.86000000000001</v>
      </c>
      <c r="K136" s="205">
        <f t="shared" si="17"/>
        <v>205741.59200000003</v>
      </c>
      <c r="L136" s="189">
        <f t="shared" si="13"/>
        <v>3</v>
      </c>
      <c r="M136" s="204">
        <f>IF($H136="USD",IF(OR($L136="",$L136="-"),"",VLOOKUP($G136,為替!$A:$AX,$L136,FALSE))+$K$3,IF(OR($L136="",$L136="-"),"",VLOOKUP($G136,為替!$A:$AX,$L136,FALSE)))</f>
        <v>154.86000000000001</v>
      </c>
      <c r="N136" s="205">
        <f t="shared" si="18"/>
        <v>119309</v>
      </c>
      <c r="O136" s="206">
        <f t="shared" si="14"/>
        <v>86432.592000000033</v>
      </c>
      <c r="P136" s="207">
        <f t="shared" si="15"/>
        <v>0.42010266937178176</v>
      </c>
    </row>
    <row r="137" spans="1:16">
      <c r="A137" s="163" t="s">
        <v>343</v>
      </c>
      <c r="B137" s="163" t="s">
        <v>476</v>
      </c>
      <c r="C137" s="200">
        <v>174660</v>
      </c>
      <c r="D137" s="201">
        <v>42974</v>
      </c>
      <c r="E137" s="202" t="s">
        <v>200</v>
      </c>
      <c r="F137" s="200">
        <v>2084.35</v>
      </c>
      <c r="G137" s="162">
        <v>45972</v>
      </c>
      <c r="H137" s="203" t="s">
        <v>199</v>
      </c>
      <c r="I137" s="186">
        <f t="shared" si="16"/>
        <v>4</v>
      </c>
      <c r="J137" s="204">
        <f>IF($H137="USD",IF(OR($I137="",$I137="-"),"",VLOOKUP($G137,為替!$A:$AX,$I137,FALSE))+$J$3,IF(OR($I137="",$I137="-"),"",VLOOKUP($G137,為替!$A:$AX,$I137,FALSE)))</f>
        <v>153.86000000000001</v>
      </c>
      <c r="K137" s="205">
        <f t="shared" si="17"/>
        <v>320698.09100000001</v>
      </c>
      <c r="L137" s="189">
        <f t="shared" si="13"/>
        <v>3</v>
      </c>
      <c r="M137" s="204">
        <f>IF($H137="USD",IF(OR($L137="",$L137="-"),"",VLOOKUP($G137,為替!$A:$AX,$L137,FALSE))+$K$3,IF(OR($L137="",$L137="-"),"",VLOOKUP($G137,為替!$A:$AX,$L137,FALSE)))</f>
        <v>154.86000000000001</v>
      </c>
      <c r="N137" s="205">
        <f t="shared" si="18"/>
        <v>217634</v>
      </c>
      <c r="O137" s="206">
        <f t="shared" si="14"/>
        <v>103064.09100000001</v>
      </c>
      <c r="P137" s="207">
        <f t="shared" si="15"/>
        <v>0.32137419552023466</v>
      </c>
    </row>
    <row r="138" spans="1:16">
      <c r="A138" s="163" t="s">
        <v>343</v>
      </c>
      <c r="B138" s="163" t="s">
        <v>477</v>
      </c>
      <c r="C138" s="200">
        <v>12330</v>
      </c>
      <c r="D138" s="201">
        <v>0</v>
      </c>
      <c r="E138" s="202" t="s">
        <v>200</v>
      </c>
      <c r="F138" s="200">
        <v>151.19</v>
      </c>
      <c r="G138" s="162">
        <v>45972</v>
      </c>
      <c r="H138" s="203" t="s">
        <v>199</v>
      </c>
      <c r="I138" s="186">
        <f t="shared" si="16"/>
        <v>4</v>
      </c>
      <c r="J138" s="204">
        <f>IF($H138="USD",IF(OR($I138="",$I138="-"),"",VLOOKUP($G138,為替!$A:$AX,$I138,FALSE))+$J$3,IF(OR($I138="",$I138="-"),"",VLOOKUP($G138,為替!$A:$AX,$I138,FALSE)))</f>
        <v>153.86000000000001</v>
      </c>
      <c r="K138" s="205">
        <f t="shared" si="17"/>
        <v>23262.093400000002</v>
      </c>
      <c r="L138" s="189">
        <f t="shared" si="13"/>
        <v>3</v>
      </c>
      <c r="M138" s="204">
        <f>IF($H138="USD",IF(OR($L138="",$L138="-"),"",VLOOKUP($G138,為替!$A:$AX,$L138,FALSE))+$K$3,IF(OR($L138="",$L138="-"),"",VLOOKUP($G138,為替!$A:$AX,$L138,FALSE)))</f>
        <v>154.86000000000001</v>
      </c>
      <c r="N138" s="205">
        <f t="shared" si="18"/>
        <v>12330</v>
      </c>
      <c r="O138" s="206">
        <f t="shared" si="14"/>
        <v>10932.093400000002</v>
      </c>
      <c r="P138" s="207">
        <f t="shared" si="15"/>
        <v>0.46995312124402361</v>
      </c>
    </row>
    <row r="139" spans="1:16">
      <c r="A139" s="163" t="s">
        <v>343</v>
      </c>
      <c r="B139" s="163" t="s">
        <v>478</v>
      </c>
      <c r="C139" s="200">
        <v>15590</v>
      </c>
      <c r="D139" s="201">
        <v>0</v>
      </c>
      <c r="E139" s="202" t="s">
        <v>200</v>
      </c>
      <c r="F139" s="200">
        <v>191.95</v>
      </c>
      <c r="G139" s="162">
        <v>45972</v>
      </c>
      <c r="H139" s="203" t="s">
        <v>199</v>
      </c>
      <c r="I139" s="186">
        <f t="shared" si="16"/>
        <v>4</v>
      </c>
      <c r="J139" s="204">
        <f>IF($H139="USD",IF(OR($I139="",$I139="-"),"",VLOOKUP($G139,為替!$A:$AX,$I139,FALSE))+$J$3,IF(OR($I139="",$I139="-"),"",VLOOKUP($G139,為替!$A:$AX,$I139,FALSE)))</f>
        <v>153.86000000000001</v>
      </c>
      <c r="K139" s="205">
        <f t="shared" si="17"/>
        <v>29533.427</v>
      </c>
      <c r="L139" s="189">
        <f t="shared" si="13"/>
        <v>3</v>
      </c>
      <c r="M139" s="204">
        <f>IF($H139="USD",IF(OR($L139="",$L139="-"),"",VLOOKUP($G139,為替!$A:$AX,$L139,FALSE))+$K$3,IF(OR($L139="",$L139="-"),"",VLOOKUP($G139,為替!$A:$AX,$L139,FALSE)))</f>
        <v>154.86000000000001</v>
      </c>
      <c r="N139" s="205">
        <f t="shared" si="18"/>
        <v>15590</v>
      </c>
      <c r="O139" s="206">
        <f t="shared" si="14"/>
        <v>13943.427</v>
      </c>
      <c r="P139" s="207">
        <f t="shared" si="15"/>
        <v>0.4721235703530105</v>
      </c>
    </row>
    <row r="140" spans="1:16">
      <c r="A140" s="163" t="s">
        <v>343</v>
      </c>
      <c r="B140" s="163" t="s">
        <v>479</v>
      </c>
      <c r="C140" s="200">
        <v>1860</v>
      </c>
      <c r="D140" s="201">
        <v>0</v>
      </c>
      <c r="E140" s="202" t="s">
        <v>200</v>
      </c>
      <c r="F140" s="200">
        <v>23.7</v>
      </c>
      <c r="G140" s="162">
        <v>45973</v>
      </c>
      <c r="H140" s="203" t="s">
        <v>199</v>
      </c>
      <c r="I140" s="186">
        <f t="shared" si="16"/>
        <v>4</v>
      </c>
      <c r="J140" s="204">
        <f>IF($H140="USD",IF(OR($I140="",$I140="-"),"",VLOOKUP($G140,為替!$A:$AX,$I140,FALSE))+$J$3,IF(OR($I140="",$I140="-"),"",VLOOKUP($G140,為替!$A:$AX,$I140,FALSE)))</f>
        <v>153.78</v>
      </c>
      <c r="K140" s="205">
        <f t="shared" si="17"/>
        <v>3644.5859999999998</v>
      </c>
      <c r="L140" s="189">
        <f t="shared" si="13"/>
        <v>3</v>
      </c>
      <c r="M140" s="204">
        <f>IF($H140="USD",IF(OR($L140="",$L140="-"),"",VLOOKUP($G140,為替!$A:$AX,$L140,FALSE))+$K$3,IF(OR($L140="",$L140="-"),"",VLOOKUP($G140,為替!$A:$AX,$L140,FALSE)))</f>
        <v>154.78</v>
      </c>
      <c r="N140" s="205">
        <f t="shared" si="18"/>
        <v>1860</v>
      </c>
      <c r="O140" s="206">
        <f t="shared" si="14"/>
        <v>1784.5859999999998</v>
      </c>
      <c r="P140" s="207">
        <f t="shared" si="15"/>
        <v>0.48965396892815805</v>
      </c>
    </row>
    <row r="141" spans="1:16">
      <c r="A141" s="163" t="s">
        <v>343</v>
      </c>
      <c r="B141" s="163" t="s">
        <v>480</v>
      </c>
      <c r="C141" s="200">
        <v>55180</v>
      </c>
      <c r="D141" s="201">
        <v>25350</v>
      </c>
      <c r="E141" s="202" t="s">
        <v>200</v>
      </c>
      <c r="F141" s="200">
        <v>793.46</v>
      </c>
      <c r="G141" s="162">
        <v>45973</v>
      </c>
      <c r="H141" s="203" t="s">
        <v>199</v>
      </c>
      <c r="I141" s="186">
        <f t="shared" si="16"/>
        <v>4</v>
      </c>
      <c r="J141" s="204">
        <f>IF($H141="USD",IF(OR($I141="",$I141="-"),"",VLOOKUP($G141,為替!$A:$AX,$I141,FALSE))+$J$3,IF(OR($I141="",$I141="-"),"",VLOOKUP($G141,為替!$A:$AX,$I141,FALSE)))</f>
        <v>153.78</v>
      </c>
      <c r="K141" s="205">
        <f t="shared" si="17"/>
        <v>122018.2788</v>
      </c>
      <c r="L141" s="189">
        <f t="shared" si="13"/>
        <v>3</v>
      </c>
      <c r="M141" s="204">
        <f>IF($H141="USD",IF(OR($L141="",$L141="-"),"",VLOOKUP($G141,為替!$A:$AX,$L141,FALSE))+$K$3,IF(OR($L141="",$L141="-"),"",VLOOKUP($G141,為替!$A:$AX,$L141,FALSE)))</f>
        <v>154.78</v>
      </c>
      <c r="N141" s="205">
        <f t="shared" si="18"/>
        <v>80530</v>
      </c>
      <c r="O141" s="206">
        <f t="shared" si="14"/>
        <v>41488.2788</v>
      </c>
      <c r="P141" s="207">
        <f t="shared" si="15"/>
        <v>0.34001691556396546</v>
      </c>
    </row>
    <row r="142" spans="1:16">
      <c r="A142" s="163" t="s">
        <v>343</v>
      </c>
      <c r="B142" s="163" t="s">
        <v>481</v>
      </c>
      <c r="C142" s="200">
        <v>680</v>
      </c>
      <c r="D142" s="201">
        <v>0</v>
      </c>
      <c r="E142" s="202" t="s">
        <v>200</v>
      </c>
      <c r="F142" s="200">
        <v>20.36</v>
      </c>
      <c r="G142" s="162">
        <v>45973</v>
      </c>
      <c r="H142" s="203" t="s">
        <v>199</v>
      </c>
      <c r="I142" s="186">
        <f t="shared" si="16"/>
        <v>4</v>
      </c>
      <c r="J142" s="204">
        <f>IF($H142="USD",IF(OR($I142="",$I142="-"),"",VLOOKUP($G142,為替!$A:$AX,$I142,FALSE))+$J$3,IF(OR($I142="",$I142="-"),"",VLOOKUP($G142,為替!$A:$AX,$I142,FALSE)))</f>
        <v>153.78</v>
      </c>
      <c r="K142" s="205">
        <f t="shared" si="17"/>
        <v>3130.9607999999998</v>
      </c>
      <c r="L142" s="189">
        <f t="shared" si="13"/>
        <v>3</v>
      </c>
      <c r="M142" s="204">
        <f>IF($H142="USD",IF(OR($L142="",$L142="-"),"",VLOOKUP($G142,為替!$A:$AX,$L142,FALSE))+$K$3,IF(OR($L142="",$L142="-"),"",VLOOKUP($G142,為替!$A:$AX,$L142,FALSE)))</f>
        <v>154.78</v>
      </c>
      <c r="N142" s="205">
        <f t="shared" si="18"/>
        <v>680</v>
      </c>
      <c r="O142" s="206">
        <f t="shared" si="14"/>
        <v>2450.9607999999998</v>
      </c>
      <c r="P142" s="207">
        <f t="shared" si="15"/>
        <v>0.78281427221956912</v>
      </c>
    </row>
    <row r="143" spans="1:16">
      <c r="A143" s="163" t="s">
        <v>343</v>
      </c>
      <c r="B143" s="163" t="s">
        <v>482</v>
      </c>
      <c r="C143" s="200">
        <v>2580</v>
      </c>
      <c r="D143" s="201">
        <v>0</v>
      </c>
      <c r="E143" s="202" t="s">
        <v>200</v>
      </c>
      <c r="F143" s="200">
        <v>32.1</v>
      </c>
      <c r="G143" s="162">
        <v>45975</v>
      </c>
      <c r="H143" s="203" t="s">
        <v>199</v>
      </c>
      <c r="I143" s="186">
        <f t="shared" si="16"/>
        <v>4</v>
      </c>
      <c r="J143" s="204">
        <f>IF($H143="USD",IF(OR($I143="",$I143="-"),"",VLOOKUP($G143,為替!$A:$AX,$I143,FALSE))+$J$3,IF(OR($I143="",$I143="-"),"",VLOOKUP($G143,為替!$A:$AX,$I143,FALSE)))</f>
        <v>154.24</v>
      </c>
      <c r="K143" s="205">
        <f t="shared" si="17"/>
        <v>4951.1040000000003</v>
      </c>
      <c r="L143" s="189">
        <f t="shared" si="13"/>
        <v>3</v>
      </c>
      <c r="M143" s="204">
        <f>IF($H143="USD",IF(OR($L143="",$L143="-"),"",VLOOKUP($G143,為替!$A:$AX,$L143,FALSE))+$K$3,IF(OR($L143="",$L143="-"),"",VLOOKUP($G143,為替!$A:$AX,$L143,FALSE)))</f>
        <v>155.24</v>
      </c>
      <c r="N143" s="205">
        <f t="shared" si="18"/>
        <v>2580</v>
      </c>
      <c r="O143" s="206">
        <f t="shared" si="14"/>
        <v>2371.1040000000003</v>
      </c>
      <c r="P143" s="207">
        <f t="shared" si="15"/>
        <v>0.47890409896459457</v>
      </c>
    </row>
    <row r="144" spans="1:16">
      <c r="A144" s="163" t="s">
        <v>343</v>
      </c>
      <c r="B144" s="163" t="s">
        <v>483</v>
      </c>
      <c r="C144" s="200">
        <v>92500</v>
      </c>
      <c r="D144" s="201">
        <v>41081</v>
      </c>
      <c r="E144" s="202" t="s">
        <v>200</v>
      </c>
      <c r="F144" s="200">
        <v>1327.5</v>
      </c>
      <c r="G144" s="162">
        <v>45975</v>
      </c>
      <c r="H144" s="203" t="s">
        <v>199</v>
      </c>
      <c r="I144" s="186">
        <f t="shared" si="16"/>
        <v>4</v>
      </c>
      <c r="J144" s="204">
        <f>IF($H144="USD",IF(OR($I144="",$I144="-"),"",VLOOKUP($G144,為替!$A:$AX,$I144,FALSE))+$J$3,IF(OR($I144="",$I144="-"),"",VLOOKUP($G144,為替!$A:$AX,$I144,FALSE)))</f>
        <v>154.24</v>
      </c>
      <c r="K144" s="205">
        <f t="shared" si="17"/>
        <v>204753.6</v>
      </c>
      <c r="L144" s="189">
        <f t="shared" si="13"/>
        <v>3</v>
      </c>
      <c r="M144" s="204">
        <f>IF($H144="USD",IF(OR($L144="",$L144="-"),"",VLOOKUP($G144,為替!$A:$AX,$L144,FALSE))+$K$3,IF(OR($L144="",$L144="-"),"",VLOOKUP($G144,為替!$A:$AX,$L144,FALSE)))</f>
        <v>155.24</v>
      </c>
      <c r="N144" s="205">
        <f t="shared" si="18"/>
        <v>133581</v>
      </c>
      <c r="O144" s="206">
        <f t="shared" si="14"/>
        <v>71172.600000000006</v>
      </c>
      <c r="P144" s="207">
        <f t="shared" si="15"/>
        <v>0.34760121433762337</v>
      </c>
    </row>
    <row r="145" spans="1:16">
      <c r="A145" s="163" t="s">
        <v>343</v>
      </c>
      <c r="B145" s="163" t="s">
        <v>484</v>
      </c>
      <c r="C145" s="200">
        <v>67280</v>
      </c>
      <c r="D145" s="201">
        <v>0</v>
      </c>
      <c r="E145" s="202" t="s">
        <v>200</v>
      </c>
      <c r="F145" s="200">
        <v>802.95</v>
      </c>
      <c r="G145" s="162">
        <v>45975</v>
      </c>
      <c r="H145" s="203" t="s">
        <v>199</v>
      </c>
      <c r="I145" s="186">
        <f t="shared" si="16"/>
        <v>4</v>
      </c>
      <c r="J145" s="204">
        <f>IF($H145="USD",IF(OR($I145="",$I145="-"),"",VLOOKUP($G145,為替!$A:$AX,$I145,FALSE))+$J$3,IF(OR($I145="",$I145="-"),"",VLOOKUP($G145,為替!$A:$AX,$I145,FALSE)))</f>
        <v>154.24</v>
      </c>
      <c r="K145" s="205">
        <f t="shared" si="17"/>
        <v>123847.00800000002</v>
      </c>
      <c r="L145" s="189">
        <f t="shared" si="13"/>
        <v>3</v>
      </c>
      <c r="M145" s="204">
        <f>IF($H145="USD",IF(OR($L145="",$L145="-"),"",VLOOKUP($G145,為替!$A:$AX,$L145,FALSE))+$K$3,IF(OR($L145="",$L145="-"),"",VLOOKUP($G145,為替!$A:$AX,$L145,FALSE)))</f>
        <v>155.24</v>
      </c>
      <c r="N145" s="205">
        <f t="shared" si="18"/>
        <v>67280</v>
      </c>
      <c r="O145" s="206">
        <f t="shared" si="14"/>
        <v>56567.008000000016</v>
      </c>
      <c r="P145" s="207">
        <f t="shared" si="15"/>
        <v>0.45674908835908257</v>
      </c>
    </row>
    <row r="146" spans="1:16">
      <c r="A146" s="163" t="s">
        <v>343</v>
      </c>
      <c r="B146" s="163" t="s">
        <v>485</v>
      </c>
      <c r="C146" s="200">
        <v>5000</v>
      </c>
      <c r="D146" s="201">
        <v>0</v>
      </c>
      <c r="E146" s="202" t="s">
        <v>200</v>
      </c>
      <c r="F146" s="200">
        <v>59.6</v>
      </c>
      <c r="G146" s="162">
        <v>45975</v>
      </c>
      <c r="H146" s="203" t="s">
        <v>199</v>
      </c>
      <c r="I146" s="186">
        <f t="shared" si="16"/>
        <v>4</v>
      </c>
      <c r="J146" s="204">
        <f>IF($H146="USD",IF(OR($I146="",$I146="-"),"",VLOOKUP($G146,為替!$A:$AX,$I146,FALSE))+$J$3,IF(OR($I146="",$I146="-"),"",VLOOKUP($G146,為替!$A:$AX,$I146,FALSE)))</f>
        <v>154.24</v>
      </c>
      <c r="K146" s="205">
        <f t="shared" si="17"/>
        <v>9192.7040000000015</v>
      </c>
      <c r="L146" s="189">
        <f t="shared" ref="L146:L209" si="19">IF(H146="","",IF(H146="JPY","",IF($H146="USD",3, IF(H146="EUR",6,IF(H146="CNY",46,IF(H146="HKD",33))))))</f>
        <v>3</v>
      </c>
      <c r="M146" s="204">
        <f>IF($H146="USD",IF(OR($L146="",$L146="-"),"",VLOOKUP($G146,為替!$A:$AX,$L146,FALSE))+$K$3,IF(OR($L146="",$L146="-"),"",VLOOKUP($G146,為替!$A:$AX,$L146,FALSE)))</f>
        <v>155.24</v>
      </c>
      <c r="N146" s="205">
        <f t="shared" si="18"/>
        <v>5000</v>
      </c>
      <c r="O146" s="206">
        <f t="shared" ref="O146:O209" si="20">IF(OR(K146="",N146=""),"",K146-N146)</f>
        <v>4192.7040000000015</v>
      </c>
      <c r="P146" s="207">
        <f t="shared" ref="P146:P209" si="21">IF(OR(K146="",O146=""),"",O146/K146)</f>
        <v>0.45609039516555749</v>
      </c>
    </row>
    <row r="147" spans="1:16">
      <c r="A147" s="163" t="s">
        <v>343</v>
      </c>
      <c r="B147" s="163" t="s">
        <v>486</v>
      </c>
      <c r="C147" s="200">
        <v>1018</v>
      </c>
      <c r="D147" s="201">
        <v>0</v>
      </c>
      <c r="E147" s="202" t="s">
        <v>200</v>
      </c>
      <c r="F147" s="200">
        <v>20.100000000000001</v>
      </c>
      <c r="G147" s="162">
        <v>45979</v>
      </c>
      <c r="H147" s="203" t="s">
        <v>199</v>
      </c>
      <c r="I147" s="186">
        <f t="shared" si="16"/>
        <v>4</v>
      </c>
      <c r="J147" s="204">
        <f>IF($H147="USD",IF(OR($I147="",$I147="-"),"",VLOOKUP($G147,為替!$A:$AX,$I147,FALSE))+$J$3,IF(OR($I147="",$I147="-"),"",VLOOKUP($G147,為替!$A:$AX,$I147,FALSE)))</f>
        <v>154.84</v>
      </c>
      <c r="K147" s="205">
        <f t="shared" si="17"/>
        <v>3112.2840000000001</v>
      </c>
      <c r="L147" s="189">
        <f t="shared" si="19"/>
        <v>3</v>
      </c>
      <c r="M147" s="204">
        <f>IF($H147="USD",IF(OR($L147="",$L147="-"),"",VLOOKUP($G147,為替!$A:$AX,$L147,FALSE))+$K$3,IF(OR($L147="",$L147="-"),"",VLOOKUP($G147,為替!$A:$AX,$L147,FALSE)))</f>
        <v>155.84</v>
      </c>
      <c r="N147" s="205">
        <f t="shared" si="18"/>
        <v>1018</v>
      </c>
      <c r="O147" s="206">
        <f t="shared" si="20"/>
        <v>2094.2840000000001</v>
      </c>
      <c r="P147" s="207">
        <f t="shared" si="21"/>
        <v>0.67290902758231574</v>
      </c>
    </row>
    <row r="148" spans="1:16">
      <c r="A148" s="163" t="s">
        <v>343</v>
      </c>
      <c r="B148" s="163" t="s">
        <v>487</v>
      </c>
      <c r="C148" s="200">
        <v>4340</v>
      </c>
      <c r="D148" s="201">
        <v>0</v>
      </c>
      <c r="E148" s="202" t="s">
        <v>200</v>
      </c>
      <c r="F148" s="200">
        <v>64.3</v>
      </c>
      <c r="G148" s="162">
        <v>45986</v>
      </c>
      <c r="H148" s="203" t="s">
        <v>199</v>
      </c>
      <c r="I148" s="186">
        <f t="shared" si="16"/>
        <v>4</v>
      </c>
      <c r="J148" s="204">
        <f>IF($H148="USD",IF(OR($I148="",$I148="-"),"",VLOOKUP($G148,為替!$A:$AX,$I148,FALSE))+$J$3,IF(OR($I148="",$I148="-"),"",VLOOKUP($G148,為替!$A:$AX,$I148,FALSE)))</f>
        <v>156.37</v>
      </c>
      <c r="K148" s="205">
        <f t="shared" si="17"/>
        <v>10054.591</v>
      </c>
      <c r="L148" s="189">
        <f t="shared" si="19"/>
        <v>3</v>
      </c>
      <c r="M148" s="204">
        <f>IF($H148="USD",IF(OR($L148="",$L148="-"),"",VLOOKUP($G148,為替!$A:$AX,$L148,FALSE))+$K$3,IF(OR($L148="",$L148="-"),"",VLOOKUP($G148,為替!$A:$AX,$L148,FALSE)))</f>
        <v>157.37</v>
      </c>
      <c r="N148" s="205">
        <f t="shared" si="18"/>
        <v>4340</v>
      </c>
      <c r="O148" s="206">
        <f t="shared" si="20"/>
        <v>5714.5910000000003</v>
      </c>
      <c r="P148" s="207">
        <f t="shared" si="21"/>
        <v>0.56835638565507041</v>
      </c>
    </row>
    <row r="149" spans="1:16">
      <c r="A149" s="163" t="s">
        <v>343</v>
      </c>
      <c r="B149" s="163" t="s">
        <v>488</v>
      </c>
      <c r="C149" s="200">
        <v>42772</v>
      </c>
      <c r="D149" s="201">
        <v>0</v>
      </c>
      <c r="E149" s="202" t="s">
        <v>200</v>
      </c>
      <c r="F149" s="200">
        <v>405.18</v>
      </c>
      <c r="G149" s="162">
        <v>45987</v>
      </c>
      <c r="H149" s="203" t="s">
        <v>199</v>
      </c>
      <c r="I149" s="186">
        <f t="shared" si="16"/>
        <v>4</v>
      </c>
      <c r="J149" s="204">
        <f>IF($H149="USD",IF(OR($I149="",$I149="-"),"",VLOOKUP($G149,為替!$A:$AX,$I149,FALSE))+$J$3,IF(OR($I149="",$I149="-"),"",VLOOKUP($G149,為替!$A:$AX,$I149,FALSE)))</f>
        <v>155.88</v>
      </c>
      <c r="K149" s="205">
        <f t="shared" si="17"/>
        <v>63159.458399999996</v>
      </c>
      <c r="L149" s="189">
        <f t="shared" si="19"/>
        <v>3</v>
      </c>
      <c r="M149" s="204">
        <f>IF($H149="USD",IF(OR($L149="",$L149="-"),"",VLOOKUP($G149,為替!$A:$AX,$L149,FALSE))+$K$3,IF(OR($L149="",$L149="-"),"",VLOOKUP($G149,為替!$A:$AX,$L149,FALSE)))</f>
        <v>156.88</v>
      </c>
      <c r="N149" s="205">
        <f t="shared" si="18"/>
        <v>42772</v>
      </c>
      <c r="O149" s="206">
        <f t="shared" si="20"/>
        <v>20387.458399999996</v>
      </c>
      <c r="P149" s="207">
        <f t="shared" si="21"/>
        <v>0.3227934329468537</v>
      </c>
    </row>
    <row r="150" spans="1:16">
      <c r="A150" s="163" t="s">
        <v>343</v>
      </c>
      <c r="B150" s="163" t="s">
        <v>489</v>
      </c>
      <c r="C150" s="200">
        <v>18720</v>
      </c>
      <c r="D150" s="201">
        <v>0</v>
      </c>
      <c r="E150" s="202" t="s">
        <v>200</v>
      </c>
      <c r="F150" s="200">
        <v>272.7</v>
      </c>
      <c r="G150" s="162">
        <v>45988</v>
      </c>
      <c r="H150" s="203" t="s">
        <v>199</v>
      </c>
      <c r="I150" s="186">
        <f t="shared" si="16"/>
        <v>4</v>
      </c>
      <c r="J150" s="204">
        <f>IF($H150="USD",IF(OR($I150="",$I150="-"),"",VLOOKUP($G150,為替!$A:$AX,$I150,FALSE))+$J$3,IF(OR($I150="",$I150="-"),"",VLOOKUP($G150,為替!$A:$AX,$I150,FALSE)))</f>
        <v>155.41</v>
      </c>
      <c r="K150" s="205">
        <f t="shared" si="17"/>
        <v>42380.307000000001</v>
      </c>
      <c r="L150" s="189">
        <f t="shared" si="19"/>
        <v>3</v>
      </c>
      <c r="M150" s="204">
        <f>IF($H150="USD",IF(OR($L150="",$L150="-"),"",VLOOKUP($G150,為替!$A:$AX,$L150,FALSE))+$K$3,IF(OR($L150="",$L150="-"),"",VLOOKUP($G150,為替!$A:$AX,$L150,FALSE)))</f>
        <v>156.41</v>
      </c>
      <c r="N150" s="205">
        <f t="shared" si="18"/>
        <v>18720</v>
      </c>
      <c r="O150" s="206">
        <f t="shared" si="20"/>
        <v>23660.307000000001</v>
      </c>
      <c r="P150" s="207">
        <f t="shared" si="21"/>
        <v>0.5582854083619545</v>
      </c>
    </row>
    <row r="151" spans="1:16">
      <c r="A151" s="163" t="s">
        <v>343</v>
      </c>
      <c r="B151" s="163" t="s">
        <v>490</v>
      </c>
      <c r="C151" s="200">
        <v>108520</v>
      </c>
      <c r="D151" s="201">
        <v>0</v>
      </c>
      <c r="E151" s="202" t="s">
        <v>200</v>
      </c>
      <c r="F151" s="200">
        <v>1025.48</v>
      </c>
      <c r="G151" s="162">
        <v>45988</v>
      </c>
      <c r="H151" s="203" t="s">
        <v>199</v>
      </c>
      <c r="I151" s="186">
        <f t="shared" si="16"/>
        <v>4</v>
      </c>
      <c r="J151" s="204">
        <f>IF($H151="USD",IF(OR($I151="",$I151="-"),"",VLOOKUP($G151,為替!$A:$AX,$I151,FALSE))+$J$3,IF(OR($I151="",$I151="-"),"",VLOOKUP($G151,為替!$A:$AX,$I151,FALSE)))</f>
        <v>155.41</v>
      </c>
      <c r="K151" s="205">
        <f t="shared" si="17"/>
        <v>159369.8468</v>
      </c>
      <c r="L151" s="189">
        <f t="shared" si="19"/>
        <v>3</v>
      </c>
      <c r="M151" s="204">
        <f>IF($H151="USD",IF(OR($L151="",$L151="-"),"",VLOOKUP($G151,為替!$A:$AX,$L151,FALSE))+$K$3,IF(OR($L151="",$L151="-"),"",VLOOKUP($G151,為替!$A:$AX,$L151,FALSE)))</f>
        <v>156.41</v>
      </c>
      <c r="N151" s="205">
        <f t="shared" si="18"/>
        <v>108520</v>
      </c>
      <c r="O151" s="206">
        <f t="shared" si="20"/>
        <v>50849.846799999999</v>
      </c>
      <c r="P151" s="207">
        <f t="shared" si="21"/>
        <v>0.31906817896244599</v>
      </c>
    </row>
    <row r="152" spans="1:16">
      <c r="A152" s="163" t="s">
        <v>343</v>
      </c>
      <c r="B152" s="163" t="s">
        <v>491</v>
      </c>
      <c r="C152" s="200">
        <v>5900</v>
      </c>
      <c r="D152" s="201">
        <v>4004</v>
      </c>
      <c r="E152" s="202" t="s">
        <v>200</v>
      </c>
      <c r="F152" s="200">
        <v>109</v>
      </c>
      <c r="G152" s="162">
        <v>45965</v>
      </c>
      <c r="H152" s="203" t="s">
        <v>199</v>
      </c>
      <c r="I152" s="186">
        <f t="shared" si="16"/>
        <v>4</v>
      </c>
      <c r="J152" s="204">
        <f>IF($H152="USD",IF(OR($I152="",$I152="-"),"",VLOOKUP($G152,為替!$A:$AX,$I152,FALSE))+$J$3,IF(OR($I152="",$I152="-"),"",VLOOKUP($G152,為替!$A:$AX,$I152,FALSE)))</f>
        <v>153.88</v>
      </c>
      <c r="K152" s="205">
        <f t="shared" si="17"/>
        <v>16772.919999999998</v>
      </c>
      <c r="L152" s="189">
        <f t="shared" si="19"/>
        <v>3</v>
      </c>
      <c r="M152" s="204">
        <f>IF($H152="USD",IF(OR($L152="",$L152="-"),"",VLOOKUP($G152,為替!$A:$AX,$L152,FALSE))+$K$3,IF(OR($L152="",$L152="-"),"",VLOOKUP($G152,為替!$A:$AX,$L152,FALSE)))</f>
        <v>154.88</v>
      </c>
      <c r="N152" s="205">
        <f t="shared" si="18"/>
        <v>9904</v>
      </c>
      <c r="O152" s="206">
        <f t="shared" si="20"/>
        <v>6868.9199999999983</v>
      </c>
      <c r="P152" s="207">
        <f t="shared" si="21"/>
        <v>0.40952440004483409</v>
      </c>
    </row>
    <row r="153" spans="1:16">
      <c r="A153" s="163" t="s">
        <v>332</v>
      </c>
      <c r="B153" s="163">
        <v>7609</v>
      </c>
      <c r="C153" s="200">
        <v>1055</v>
      </c>
      <c r="D153" s="201">
        <v>0</v>
      </c>
      <c r="E153" s="202" t="s">
        <v>200</v>
      </c>
      <c r="F153" s="200">
        <v>54</v>
      </c>
      <c r="G153" s="162">
        <v>45967</v>
      </c>
      <c r="H153" s="203" t="s">
        <v>199</v>
      </c>
      <c r="I153" s="186">
        <f t="shared" si="16"/>
        <v>4</v>
      </c>
      <c r="J153" s="204">
        <f>IF($H153="USD",IF(OR($I153="",$I153="-"),"",VLOOKUP($G153,為替!$A:$AX,$I153,FALSE))+$J$3,IF(OR($I153="",$I153="-"),"",VLOOKUP($G153,為替!$A:$AX,$I153,FALSE)))</f>
        <v>153.54</v>
      </c>
      <c r="K153" s="205">
        <f t="shared" si="17"/>
        <v>8291.16</v>
      </c>
      <c r="L153" s="189">
        <f t="shared" si="19"/>
        <v>3</v>
      </c>
      <c r="M153" s="204">
        <f>IF($H153="USD",IF(OR($L153="",$L153="-"),"",VLOOKUP($G153,為替!$A:$AX,$L153,FALSE))+$K$3,IF(OR($L153="",$L153="-"),"",VLOOKUP($G153,為替!$A:$AX,$L153,FALSE)))</f>
        <v>154.54</v>
      </c>
      <c r="N153" s="205">
        <f t="shared" si="18"/>
        <v>1055</v>
      </c>
      <c r="O153" s="206">
        <f t="shared" si="20"/>
        <v>7236.16</v>
      </c>
      <c r="P153" s="207">
        <f t="shared" si="21"/>
        <v>0.87275604378639415</v>
      </c>
    </row>
    <row r="154" spans="1:16">
      <c r="A154" s="163" t="s">
        <v>332</v>
      </c>
      <c r="B154" s="163" t="s">
        <v>492</v>
      </c>
      <c r="C154" s="200">
        <v>90238</v>
      </c>
      <c r="D154" s="201">
        <v>0</v>
      </c>
      <c r="E154" s="202" t="s">
        <v>200</v>
      </c>
      <c r="F154" s="200">
        <v>1352.49</v>
      </c>
      <c r="G154" s="162">
        <v>45987</v>
      </c>
      <c r="H154" s="203" t="s">
        <v>365</v>
      </c>
      <c r="I154" s="186">
        <f t="shared" si="16"/>
        <v>7</v>
      </c>
      <c r="J154" s="204">
        <f>IF($H154="USD",IF(OR($I154="",$I154="-"),"",VLOOKUP($G154,為替!$A:$AX,$I154,FALSE))+$J$3,IF(OR($I154="",$I154="-"),"",VLOOKUP($G154,為替!$A:$AX,$I154,FALSE)))</f>
        <v>0</v>
      </c>
      <c r="K154" s="205">
        <f t="shared" si="17"/>
        <v>0</v>
      </c>
      <c r="L154" s="189">
        <f t="shared" si="19"/>
        <v>6</v>
      </c>
      <c r="M154" s="204">
        <f>IF($H154="USD",IF(OR($L154="",$L154="-"),"",VLOOKUP($G154,為替!$A:$AX,$L154,FALSE))+$K$3,IF(OR($L154="",$L154="-"),"",VLOOKUP($G154,為替!$A:$AX,$L154,FALSE)))</f>
        <v>0</v>
      </c>
      <c r="N154" s="205">
        <f t="shared" si="18"/>
        <v>90238</v>
      </c>
      <c r="O154" s="206">
        <f t="shared" si="20"/>
        <v>-90238</v>
      </c>
      <c r="P154" s="207" t="e">
        <f t="shared" si="21"/>
        <v>#DIV/0!</v>
      </c>
    </row>
    <row r="155" spans="1:16">
      <c r="A155" s="163" t="s">
        <v>332</v>
      </c>
      <c r="B155" s="163">
        <v>7672</v>
      </c>
      <c r="C155" s="200">
        <v>13946</v>
      </c>
      <c r="D155" s="201">
        <v>0</v>
      </c>
      <c r="E155" s="202" t="s">
        <v>200</v>
      </c>
      <c r="F155" s="200">
        <v>171.06</v>
      </c>
      <c r="G155" s="162">
        <v>45988</v>
      </c>
      <c r="H155" s="203" t="s">
        <v>365</v>
      </c>
      <c r="I155" s="186">
        <f t="shared" si="16"/>
        <v>7</v>
      </c>
      <c r="J155" s="204">
        <f>IF($H155="USD",IF(OR($I155="",$I155="-"),"",VLOOKUP($G155,為替!$A:$AX,$I155,FALSE))+$J$3,IF(OR($I155="",$I155="-"),"",VLOOKUP($G155,為替!$A:$AX,$I155,FALSE)))</f>
        <v>0</v>
      </c>
      <c r="K155" s="205">
        <f t="shared" si="17"/>
        <v>0</v>
      </c>
      <c r="L155" s="189">
        <f t="shared" si="19"/>
        <v>6</v>
      </c>
      <c r="M155" s="204">
        <f>IF($H155="USD",IF(OR($L155="",$L155="-"),"",VLOOKUP($G155,為替!$A:$AX,$L155,FALSE))+$K$3,IF(OR($L155="",$L155="-"),"",VLOOKUP($G155,為替!$A:$AX,$L155,FALSE)))</f>
        <v>0</v>
      </c>
      <c r="N155" s="205">
        <f t="shared" si="18"/>
        <v>13946</v>
      </c>
      <c r="O155" s="206">
        <f t="shared" si="20"/>
        <v>-13946</v>
      </c>
      <c r="P155" s="207" t="e">
        <f t="shared" si="21"/>
        <v>#DIV/0!</v>
      </c>
    </row>
    <row r="156" spans="1:16">
      <c r="A156" s="163" t="s">
        <v>343</v>
      </c>
      <c r="B156" s="163" t="s">
        <v>497</v>
      </c>
      <c r="C156" s="200">
        <v>42500</v>
      </c>
      <c r="D156" s="201">
        <v>26901</v>
      </c>
      <c r="E156" s="202" t="s">
        <v>200</v>
      </c>
      <c r="F156" s="200">
        <v>856</v>
      </c>
      <c r="G156" s="162">
        <v>45992</v>
      </c>
      <c r="H156" s="203" t="s">
        <v>199</v>
      </c>
      <c r="I156" s="186">
        <f t="shared" si="16"/>
        <v>4</v>
      </c>
      <c r="J156" s="204">
        <f>IF($H156="USD",IF(OR($I156="",$I156="-"),"",VLOOKUP($G156,為替!$A:$AX,$I156,FALSE))+$J$3,IF(OR($I156="",$I156="-"),"",VLOOKUP($G156,為替!$A:$AX,$I156,FALSE)))</f>
        <v>155.37</v>
      </c>
      <c r="K156" s="205">
        <f t="shared" si="17"/>
        <v>132996.72</v>
      </c>
      <c r="L156" s="189">
        <f t="shared" si="19"/>
        <v>3</v>
      </c>
      <c r="M156" s="204">
        <f>IF($H156="USD",IF(OR($L156="",$L156="-"),"",VLOOKUP($G156,為替!$A:$AX,$L156,FALSE))+$K$3,IF(OR($L156="",$L156="-"),"",VLOOKUP($G156,為替!$A:$AX,$L156,FALSE)))</f>
        <v>156.37</v>
      </c>
      <c r="N156" s="205">
        <f t="shared" si="18"/>
        <v>69401</v>
      </c>
      <c r="O156" s="206">
        <f t="shared" si="20"/>
        <v>63595.72</v>
      </c>
      <c r="P156" s="207">
        <f t="shared" si="21"/>
        <v>0.47817510085963022</v>
      </c>
    </row>
    <row r="157" spans="1:16">
      <c r="A157" s="163" t="s">
        <v>343</v>
      </c>
      <c r="B157" s="163" t="s">
        <v>498</v>
      </c>
      <c r="C157" s="200">
        <v>56330</v>
      </c>
      <c r="D157" s="201">
        <v>0</v>
      </c>
      <c r="E157" s="202" t="s">
        <v>200</v>
      </c>
      <c r="F157" s="200">
        <v>672.8</v>
      </c>
      <c r="G157" s="162">
        <v>45994</v>
      </c>
      <c r="H157" s="203" t="s">
        <v>199</v>
      </c>
      <c r="I157" s="186">
        <f t="shared" si="16"/>
        <v>4</v>
      </c>
      <c r="J157" s="204">
        <f>IF($H157="USD",IF(OR($I157="",$I157="-"),"",VLOOKUP($G157,為替!$A:$AX,$I157,FALSE))+$J$3,IF(OR($I157="",$I157="-"),"",VLOOKUP($G157,為替!$A:$AX,$I157,FALSE)))</f>
        <v>155.34</v>
      </c>
      <c r="K157" s="205">
        <f t="shared" si="17"/>
        <v>104512.75199999999</v>
      </c>
      <c r="L157" s="189">
        <f t="shared" si="19"/>
        <v>3</v>
      </c>
      <c r="M157" s="204">
        <f>IF($H157="USD",IF(OR($L157="",$L157="-"),"",VLOOKUP($G157,為替!$A:$AX,$L157,FALSE))+$K$3,IF(OR($L157="",$L157="-"),"",VLOOKUP($G157,為替!$A:$AX,$L157,FALSE)))</f>
        <v>156.34</v>
      </c>
      <c r="N157" s="205">
        <f t="shared" si="18"/>
        <v>56330</v>
      </c>
      <c r="O157" s="206">
        <f t="shared" si="20"/>
        <v>48182.751999999993</v>
      </c>
      <c r="P157" s="207">
        <f t="shared" si="21"/>
        <v>0.46102270850163812</v>
      </c>
    </row>
    <row r="158" spans="1:16">
      <c r="A158" s="163" t="s">
        <v>343</v>
      </c>
      <c r="B158" s="163" t="s">
        <v>499</v>
      </c>
      <c r="C158" s="200">
        <v>31450</v>
      </c>
      <c r="D158" s="201">
        <v>0</v>
      </c>
      <c r="E158" s="202" t="s">
        <v>200</v>
      </c>
      <c r="F158" s="200">
        <v>373.6</v>
      </c>
      <c r="G158" s="162">
        <v>45999</v>
      </c>
      <c r="H158" s="203" t="s">
        <v>199</v>
      </c>
      <c r="I158" s="186">
        <f t="shared" si="16"/>
        <v>4</v>
      </c>
      <c r="J158" s="204">
        <f>IF($H158="USD",IF(OR($I158="",$I158="-"),"",VLOOKUP($G158,為替!$A:$AX,$I158,FALSE))+$J$3,IF(OR($I158="",$I158="-"),"",VLOOKUP($G158,為替!$A:$AX,$I158,FALSE)))</f>
        <v>154.74</v>
      </c>
      <c r="K158" s="205">
        <f t="shared" si="17"/>
        <v>57810.864000000009</v>
      </c>
      <c r="L158" s="189">
        <f t="shared" si="19"/>
        <v>3</v>
      </c>
      <c r="M158" s="204">
        <f>IF($H158="USD",IF(OR($L158="",$L158="-"),"",VLOOKUP($G158,為替!$A:$AX,$L158,FALSE))+$K$3,IF(OR($L158="",$L158="-"),"",VLOOKUP($G158,為替!$A:$AX,$L158,FALSE)))</f>
        <v>155.74</v>
      </c>
      <c r="N158" s="205">
        <f t="shared" si="18"/>
        <v>31450</v>
      </c>
      <c r="O158" s="206">
        <f t="shared" si="20"/>
        <v>26360.864000000009</v>
      </c>
      <c r="P158" s="207">
        <f t="shared" si="21"/>
        <v>0.45598460524651568</v>
      </c>
    </row>
    <row r="159" spans="1:16">
      <c r="A159" s="163" t="s">
        <v>343</v>
      </c>
      <c r="B159" s="163" t="s">
        <v>500</v>
      </c>
      <c r="C159" s="200">
        <v>17115</v>
      </c>
      <c r="D159" s="201">
        <v>0</v>
      </c>
      <c r="E159" s="202" t="s">
        <v>200</v>
      </c>
      <c r="F159" s="200">
        <v>204.5</v>
      </c>
      <c r="G159" s="162">
        <v>45999</v>
      </c>
      <c r="H159" s="203" t="s">
        <v>199</v>
      </c>
      <c r="I159" s="186">
        <f t="shared" si="16"/>
        <v>4</v>
      </c>
      <c r="J159" s="204">
        <f>IF($H159="USD",IF(OR($I159="",$I159="-"),"",VLOOKUP($G159,為替!$A:$AX,$I159,FALSE))+$J$3,IF(OR($I159="",$I159="-"),"",VLOOKUP($G159,為替!$A:$AX,$I159,FALSE)))</f>
        <v>154.74</v>
      </c>
      <c r="K159" s="205">
        <f t="shared" si="17"/>
        <v>31644.33</v>
      </c>
      <c r="L159" s="189">
        <f t="shared" si="19"/>
        <v>3</v>
      </c>
      <c r="M159" s="204">
        <f>IF($H159="USD",IF(OR($L159="",$L159="-"),"",VLOOKUP($G159,為替!$A:$AX,$L159,FALSE))+$K$3,IF(OR($L159="",$L159="-"),"",VLOOKUP($G159,為替!$A:$AX,$L159,FALSE)))</f>
        <v>155.74</v>
      </c>
      <c r="N159" s="205">
        <f t="shared" si="18"/>
        <v>17115</v>
      </c>
      <c r="O159" s="206">
        <f t="shared" si="20"/>
        <v>14529.330000000002</v>
      </c>
      <c r="P159" s="207">
        <f t="shared" si="21"/>
        <v>0.45914481362063919</v>
      </c>
    </row>
    <row r="160" spans="1:16">
      <c r="A160" s="163" t="s">
        <v>343</v>
      </c>
      <c r="B160" s="163" t="s">
        <v>501</v>
      </c>
      <c r="C160" s="200">
        <v>13055</v>
      </c>
      <c r="D160" s="201">
        <v>0</v>
      </c>
      <c r="E160" s="202" t="s">
        <v>200</v>
      </c>
      <c r="F160" s="200">
        <v>168</v>
      </c>
      <c r="G160" s="162">
        <v>46000</v>
      </c>
      <c r="H160" s="203" t="s">
        <v>199</v>
      </c>
      <c r="I160" s="186">
        <f t="shared" si="16"/>
        <v>4</v>
      </c>
      <c r="J160" s="204">
        <f>IF($H160="USD",IF(OR($I160="",$I160="-"),"",VLOOKUP($G160,為替!$A:$AX,$I160,FALSE))+$J$3,IF(OR($I160="",$I160="-"),"",VLOOKUP($G160,為替!$A:$AX,$I160,FALSE)))</f>
        <v>155.53</v>
      </c>
      <c r="K160" s="205">
        <f t="shared" si="17"/>
        <v>26129.040000000001</v>
      </c>
      <c r="L160" s="189">
        <f t="shared" si="19"/>
        <v>3</v>
      </c>
      <c r="M160" s="204">
        <f>IF($H160="USD",IF(OR($L160="",$L160="-"),"",VLOOKUP($G160,為替!$A:$AX,$L160,FALSE))+$K$3,IF(OR($L160="",$L160="-"),"",VLOOKUP($G160,為替!$A:$AX,$L160,FALSE)))</f>
        <v>156.53</v>
      </c>
      <c r="N160" s="205">
        <f t="shared" si="18"/>
        <v>13055</v>
      </c>
      <c r="O160" s="206">
        <f t="shared" si="20"/>
        <v>13074.04</v>
      </c>
      <c r="P160" s="207">
        <f t="shared" si="21"/>
        <v>0.50036434557105813</v>
      </c>
    </row>
    <row r="161" spans="1:16">
      <c r="A161" s="163" t="s">
        <v>343</v>
      </c>
      <c r="B161" s="163" t="s">
        <v>502</v>
      </c>
      <c r="C161" s="200">
        <v>4290</v>
      </c>
      <c r="D161" s="201">
        <v>0</v>
      </c>
      <c r="E161" s="202" t="s">
        <v>200</v>
      </c>
      <c r="F161" s="200">
        <v>59.88</v>
      </c>
      <c r="G161" s="162">
        <v>46001</v>
      </c>
      <c r="H161" s="203" t="s">
        <v>199</v>
      </c>
      <c r="I161" s="186">
        <f t="shared" si="16"/>
        <v>4</v>
      </c>
      <c r="J161" s="204">
        <f>IF($H161="USD",IF(OR($I161="",$I161="-"),"",VLOOKUP($G161,為替!$A:$AX,$I161,FALSE))+$J$3,IF(OR($I161="",$I161="-"),"",VLOOKUP($G161,為替!$A:$AX,$I161,FALSE)))</f>
        <v>156.38</v>
      </c>
      <c r="K161" s="205">
        <f t="shared" si="17"/>
        <v>9364.0344000000005</v>
      </c>
      <c r="L161" s="189">
        <f t="shared" si="19"/>
        <v>3</v>
      </c>
      <c r="M161" s="204">
        <f>IF($H161="USD",IF(OR($L161="",$L161="-"),"",VLOOKUP($G161,為替!$A:$AX,$L161,FALSE))+$K$3,IF(OR($L161="",$L161="-"),"",VLOOKUP($G161,為替!$A:$AX,$L161,FALSE)))</f>
        <v>157.38</v>
      </c>
      <c r="N161" s="205">
        <f t="shared" si="18"/>
        <v>4290</v>
      </c>
      <c r="O161" s="206">
        <f t="shared" si="20"/>
        <v>5074.0344000000005</v>
      </c>
      <c r="P161" s="207">
        <f t="shared" si="21"/>
        <v>0.54186413497156738</v>
      </c>
    </row>
    <row r="162" spans="1:16">
      <c r="A162" s="163" t="s">
        <v>343</v>
      </c>
      <c r="B162" s="163" t="s">
        <v>503</v>
      </c>
      <c r="C162" s="200">
        <v>6800</v>
      </c>
      <c r="D162" s="201">
        <v>0</v>
      </c>
      <c r="E162" s="202" t="s">
        <v>200</v>
      </c>
      <c r="F162" s="200">
        <v>54.8</v>
      </c>
      <c r="G162" s="162">
        <v>46001</v>
      </c>
      <c r="H162" s="203" t="s">
        <v>199</v>
      </c>
      <c r="I162" s="186">
        <f t="shared" si="16"/>
        <v>4</v>
      </c>
      <c r="J162" s="204">
        <f>IF($H162="USD",IF(OR($I162="",$I162="-"),"",VLOOKUP($G162,為替!$A:$AX,$I162,FALSE))+$J$3,IF(OR($I162="",$I162="-"),"",VLOOKUP($G162,為替!$A:$AX,$I162,FALSE)))</f>
        <v>156.38</v>
      </c>
      <c r="K162" s="205">
        <f t="shared" si="17"/>
        <v>8569.6239999999998</v>
      </c>
      <c r="L162" s="189">
        <f t="shared" si="19"/>
        <v>3</v>
      </c>
      <c r="M162" s="204">
        <f>IF($H162="USD",IF(OR($L162="",$L162="-"),"",VLOOKUP($G162,為替!$A:$AX,$L162,FALSE))+$K$3,IF(OR($L162="",$L162="-"),"",VLOOKUP($G162,為替!$A:$AX,$L162,FALSE)))</f>
        <v>157.38</v>
      </c>
      <c r="N162" s="205">
        <f t="shared" si="18"/>
        <v>6800</v>
      </c>
      <c r="O162" s="206">
        <f t="shared" si="20"/>
        <v>1769.6239999999998</v>
      </c>
      <c r="P162" s="207">
        <f t="shared" si="21"/>
        <v>0.20649960838421846</v>
      </c>
    </row>
    <row r="163" spans="1:16">
      <c r="A163" s="163" t="s">
        <v>343</v>
      </c>
      <c r="B163" s="163" t="s">
        <v>504</v>
      </c>
      <c r="C163" s="200">
        <v>6800</v>
      </c>
      <c r="D163" s="201">
        <v>0</v>
      </c>
      <c r="E163" s="202" t="s">
        <v>200</v>
      </c>
      <c r="F163" s="200">
        <v>69.8</v>
      </c>
      <c r="G163" s="162">
        <v>46001</v>
      </c>
      <c r="H163" s="203" t="s">
        <v>199</v>
      </c>
      <c r="I163" s="186">
        <f t="shared" si="16"/>
        <v>4</v>
      </c>
      <c r="J163" s="204">
        <f>IF($H163="USD",IF(OR($I163="",$I163="-"),"",VLOOKUP($G163,為替!$A:$AX,$I163,FALSE))+$J$3,IF(OR($I163="",$I163="-"),"",VLOOKUP($G163,為替!$A:$AX,$I163,FALSE)))</f>
        <v>156.38</v>
      </c>
      <c r="K163" s="205">
        <f t="shared" si="17"/>
        <v>10915.323999999999</v>
      </c>
      <c r="L163" s="189">
        <f t="shared" si="19"/>
        <v>3</v>
      </c>
      <c r="M163" s="204">
        <f>IF($H163="USD",IF(OR($L163="",$L163="-"),"",VLOOKUP($G163,為替!$A:$AX,$L163,FALSE))+$K$3,IF(OR($L163="",$L163="-"),"",VLOOKUP($G163,為替!$A:$AX,$L163,FALSE)))</f>
        <v>157.38</v>
      </c>
      <c r="N163" s="205">
        <f t="shared" si="18"/>
        <v>6800</v>
      </c>
      <c r="O163" s="206">
        <f t="shared" si="20"/>
        <v>4115.3239999999987</v>
      </c>
      <c r="P163" s="207">
        <f t="shared" si="21"/>
        <v>0.37702261517844082</v>
      </c>
    </row>
    <row r="164" spans="1:16">
      <c r="A164" s="163" t="s">
        <v>343</v>
      </c>
      <c r="B164" s="163" t="s">
        <v>505</v>
      </c>
      <c r="C164" s="200">
        <v>21000</v>
      </c>
      <c r="D164" s="201">
        <v>0</v>
      </c>
      <c r="E164" s="202" t="s">
        <v>200</v>
      </c>
      <c r="F164" s="200">
        <v>242</v>
      </c>
      <c r="G164" s="162">
        <v>46008</v>
      </c>
      <c r="H164" s="203" t="s">
        <v>199</v>
      </c>
      <c r="I164" s="186">
        <f t="shared" si="16"/>
        <v>4</v>
      </c>
      <c r="J164" s="204">
        <f>IF($H164="USD",IF(OR($I164="",$I164="-"),"",VLOOKUP($G164,為替!$A:$AX,$I164,FALSE))+$J$3,IF(OR($I164="",$I164="-"),"",VLOOKUP($G164,為替!$A:$AX,$I164,FALSE)))</f>
        <v>154.19</v>
      </c>
      <c r="K164" s="205">
        <f t="shared" si="17"/>
        <v>37313.979999999996</v>
      </c>
      <c r="L164" s="189">
        <f t="shared" si="19"/>
        <v>3</v>
      </c>
      <c r="M164" s="204">
        <f>IF($H164="USD",IF(OR($L164="",$L164="-"),"",VLOOKUP($G164,為替!$A:$AX,$L164,FALSE))+$K$3,IF(OR($L164="",$L164="-"),"",VLOOKUP($G164,為替!$A:$AX,$L164,FALSE)))</f>
        <v>155.19</v>
      </c>
      <c r="N164" s="205">
        <f t="shared" si="18"/>
        <v>21000</v>
      </c>
      <c r="O164" s="206">
        <f t="shared" si="20"/>
        <v>16313.979999999996</v>
      </c>
      <c r="P164" s="207">
        <f t="shared" si="21"/>
        <v>0.43720825277818121</v>
      </c>
    </row>
    <row r="165" spans="1:16">
      <c r="A165" s="163" t="s">
        <v>343</v>
      </c>
      <c r="B165" s="163" t="s">
        <v>506</v>
      </c>
      <c r="C165" s="200">
        <v>177215</v>
      </c>
      <c r="D165" s="201">
        <v>2938</v>
      </c>
      <c r="E165" s="202" t="s">
        <v>200</v>
      </c>
      <c r="F165" s="200">
        <v>2201.6</v>
      </c>
      <c r="G165" s="162">
        <v>46008</v>
      </c>
      <c r="H165" s="203" t="s">
        <v>199</v>
      </c>
      <c r="I165" s="186">
        <f t="shared" si="16"/>
        <v>4</v>
      </c>
      <c r="J165" s="204">
        <f>IF($H165="USD",IF(OR($I165="",$I165="-"),"",VLOOKUP($G165,為替!$A:$AX,$I165,FALSE))+$J$3,IF(OR($I165="",$I165="-"),"",VLOOKUP($G165,為替!$A:$AX,$I165,FALSE)))</f>
        <v>154.19</v>
      </c>
      <c r="K165" s="205">
        <f t="shared" si="17"/>
        <v>339464.70399999997</v>
      </c>
      <c r="L165" s="189">
        <f t="shared" si="19"/>
        <v>3</v>
      </c>
      <c r="M165" s="204">
        <f>IF($H165="USD",IF(OR($L165="",$L165="-"),"",VLOOKUP($G165,為替!$A:$AX,$L165,FALSE))+$K$3,IF(OR($L165="",$L165="-"),"",VLOOKUP($G165,為替!$A:$AX,$L165,FALSE)))</f>
        <v>155.19</v>
      </c>
      <c r="N165" s="205">
        <f t="shared" si="18"/>
        <v>180153</v>
      </c>
      <c r="O165" s="206">
        <f t="shared" si="20"/>
        <v>159311.70399999997</v>
      </c>
      <c r="P165" s="207">
        <f t="shared" si="21"/>
        <v>0.46930270547361524</v>
      </c>
    </row>
    <row r="166" spans="1:16">
      <c r="A166" s="163" t="s">
        <v>343</v>
      </c>
      <c r="B166" s="163" t="s">
        <v>507</v>
      </c>
      <c r="C166" s="200">
        <v>83812</v>
      </c>
      <c r="D166" s="201">
        <v>0</v>
      </c>
      <c r="E166" s="202" t="s">
        <v>200</v>
      </c>
      <c r="F166" s="200">
        <v>1028.0999999999999</v>
      </c>
      <c r="G166" s="162">
        <v>46010</v>
      </c>
      <c r="H166" s="203" t="s">
        <v>199</v>
      </c>
      <c r="I166" s="186">
        <f t="shared" si="16"/>
        <v>4</v>
      </c>
      <c r="J166" s="204">
        <f>IF($H166="USD",IF(OR($I166="",$I166="-"),"",VLOOKUP($G166,為替!$A:$AX,$I166,FALSE))+$J$3,IF(OR($I166="",$I166="-"),"",VLOOKUP($G166,為替!$A:$AX,$I166,FALSE)))</f>
        <v>155.35</v>
      </c>
      <c r="K166" s="205">
        <f t="shared" si="17"/>
        <v>159715.33499999999</v>
      </c>
      <c r="L166" s="189">
        <f t="shared" si="19"/>
        <v>3</v>
      </c>
      <c r="M166" s="204">
        <f>IF($H166="USD",IF(OR($L166="",$L166="-"),"",VLOOKUP($G166,為替!$A:$AX,$L166,FALSE))+$K$3,IF(OR($L166="",$L166="-"),"",VLOOKUP($G166,為替!$A:$AX,$L166,FALSE)))</f>
        <v>156.35</v>
      </c>
      <c r="N166" s="205">
        <f t="shared" si="18"/>
        <v>83812</v>
      </c>
      <c r="O166" s="206">
        <f t="shared" si="20"/>
        <v>75903.334999999992</v>
      </c>
      <c r="P166" s="207">
        <f t="shared" si="21"/>
        <v>0.4752413724079782</v>
      </c>
    </row>
    <row r="167" spans="1:16">
      <c r="A167" s="163" t="s">
        <v>343</v>
      </c>
      <c r="B167" s="163" t="s">
        <v>508</v>
      </c>
      <c r="C167" s="200">
        <v>4820</v>
      </c>
      <c r="D167" s="201">
        <v>8582</v>
      </c>
      <c r="E167" s="202" t="s">
        <v>200</v>
      </c>
      <c r="F167" s="200">
        <v>142.4</v>
      </c>
      <c r="G167" s="162">
        <v>46013</v>
      </c>
      <c r="H167" s="203" t="s">
        <v>199</v>
      </c>
      <c r="I167" s="186">
        <f t="shared" si="16"/>
        <v>4</v>
      </c>
      <c r="J167" s="204">
        <f>IF($H167="USD",IF(OR($I167="",$I167="-"),"",VLOOKUP($G167,為替!$A:$AX,$I167,FALSE))+$J$3,IF(OR($I167="",$I167="-"),"",VLOOKUP($G167,為替!$A:$AX,$I167,FALSE)))</f>
        <v>157.12</v>
      </c>
      <c r="K167" s="205">
        <f t="shared" si="17"/>
        <v>22373.888000000003</v>
      </c>
      <c r="L167" s="189">
        <f t="shared" si="19"/>
        <v>3</v>
      </c>
      <c r="M167" s="204">
        <f>IF($H167="USD",IF(OR($L167="",$L167="-"),"",VLOOKUP($G167,為替!$A:$AX,$L167,FALSE))+$K$3,IF(OR($L167="",$L167="-"),"",VLOOKUP($G167,為替!$A:$AX,$L167,FALSE)))</f>
        <v>158.12</v>
      </c>
      <c r="N167" s="205">
        <f t="shared" si="18"/>
        <v>13402</v>
      </c>
      <c r="O167" s="206">
        <f t="shared" si="20"/>
        <v>8971.8880000000026</v>
      </c>
      <c r="P167" s="207">
        <f t="shared" si="21"/>
        <v>0.40099816357353724</v>
      </c>
    </row>
    <row r="168" spans="1:16">
      <c r="A168" s="163" t="s">
        <v>343</v>
      </c>
      <c r="B168" s="163" t="s">
        <v>509</v>
      </c>
      <c r="C168" s="200">
        <v>162920</v>
      </c>
      <c r="D168" s="201">
        <v>0</v>
      </c>
      <c r="E168" s="202" t="s">
        <v>200</v>
      </c>
      <c r="F168" s="200">
        <v>1870.4</v>
      </c>
      <c r="G168" s="162">
        <v>46009</v>
      </c>
      <c r="H168" s="203" t="s">
        <v>199</v>
      </c>
      <c r="I168" s="186">
        <f t="shared" si="16"/>
        <v>4</v>
      </c>
      <c r="J168" s="204">
        <f>IF($H168="USD",IF(OR($I168="",$I168="-"),"",VLOOKUP($G168,為替!$A:$AX,$I168,FALSE))+$J$3,IF(OR($I168="",$I168="-"),"",VLOOKUP($G168,為替!$A:$AX,$I168,FALSE)))</f>
        <v>155.11000000000001</v>
      </c>
      <c r="K168" s="205">
        <f t="shared" si="17"/>
        <v>290117.74400000006</v>
      </c>
      <c r="L168" s="189">
        <f t="shared" si="19"/>
        <v>3</v>
      </c>
      <c r="M168" s="204">
        <f>IF($H168="USD",IF(OR($L168="",$L168="-"),"",VLOOKUP($G168,為替!$A:$AX,$L168,FALSE))+$K$3,IF(OR($L168="",$L168="-"),"",VLOOKUP($G168,為替!$A:$AX,$L168,FALSE)))</f>
        <v>156.11000000000001</v>
      </c>
      <c r="N168" s="205">
        <f t="shared" si="18"/>
        <v>162920</v>
      </c>
      <c r="O168" s="206">
        <f t="shared" si="20"/>
        <v>127197.74400000006</v>
      </c>
      <c r="P168" s="207">
        <f t="shared" si="21"/>
        <v>0.43843489972816013</v>
      </c>
    </row>
    <row r="169" spans="1:16">
      <c r="A169" s="163" t="s">
        <v>343</v>
      </c>
      <c r="B169" s="163" t="s">
        <v>510</v>
      </c>
      <c r="C169" s="200">
        <v>625600</v>
      </c>
      <c r="D169" s="201">
        <v>6858</v>
      </c>
      <c r="E169" s="202" t="s">
        <v>200</v>
      </c>
      <c r="F169" s="200">
        <v>6598</v>
      </c>
      <c r="G169" s="162">
        <v>46014</v>
      </c>
      <c r="H169" s="203" t="s">
        <v>199</v>
      </c>
      <c r="I169" s="186">
        <f t="shared" si="16"/>
        <v>4</v>
      </c>
      <c r="J169" s="204">
        <f>IF($H169="USD",IF(OR($I169="",$I169="-"),"",VLOOKUP($G169,為替!$A:$AX,$I169,FALSE))+$J$3,IF(OR($I169="",$I169="-"),"",VLOOKUP($G169,為替!$A:$AX,$I169,FALSE)))</f>
        <v>156.25</v>
      </c>
      <c r="K169" s="205">
        <f t="shared" si="17"/>
        <v>1030937.5</v>
      </c>
      <c r="L169" s="189">
        <f t="shared" si="19"/>
        <v>3</v>
      </c>
      <c r="M169" s="204">
        <f>IF($H169="USD",IF(OR($L169="",$L169="-"),"",VLOOKUP($G169,為替!$A:$AX,$L169,FALSE))+$K$3,IF(OR($L169="",$L169="-"),"",VLOOKUP($G169,為替!$A:$AX,$L169,FALSE)))</f>
        <v>157.25</v>
      </c>
      <c r="N169" s="205">
        <f t="shared" si="18"/>
        <v>632458</v>
      </c>
      <c r="O169" s="206">
        <f t="shared" si="20"/>
        <v>398479.5</v>
      </c>
      <c r="P169" s="207">
        <f t="shared" si="21"/>
        <v>0.38652149136101849</v>
      </c>
    </row>
    <row r="170" spans="1:16">
      <c r="A170" s="163" t="s">
        <v>343</v>
      </c>
      <c r="B170" s="163" t="s">
        <v>511</v>
      </c>
      <c r="C170" s="200">
        <v>7710</v>
      </c>
      <c r="D170" s="201">
        <v>0</v>
      </c>
      <c r="E170" s="202" t="s">
        <v>200</v>
      </c>
      <c r="F170" s="200">
        <v>102.6</v>
      </c>
      <c r="G170" s="162">
        <v>46014</v>
      </c>
      <c r="H170" s="203" t="s">
        <v>199</v>
      </c>
      <c r="I170" s="186">
        <f t="shared" si="16"/>
        <v>4</v>
      </c>
      <c r="J170" s="204">
        <f>IF($H170="USD",IF(OR($I170="",$I170="-"),"",VLOOKUP($G170,為替!$A:$AX,$I170,FALSE))+$J$3,IF(OR($I170="",$I170="-"),"",VLOOKUP($G170,為替!$A:$AX,$I170,FALSE)))</f>
        <v>156.25</v>
      </c>
      <c r="K170" s="205">
        <f t="shared" si="17"/>
        <v>16031.25</v>
      </c>
      <c r="L170" s="189">
        <f t="shared" si="19"/>
        <v>3</v>
      </c>
      <c r="M170" s="204">
        <f>IF($H170="USD",IF(OR($L170="",$L170="-"),"",VLOOKUP($G170,為替!$A:$AX,$L170,FALSE))+$K$3,IF(OR($L170="",$L170="-"),"",VLOOKUP($G170,為替!$A:$AX,$L170,FALSE)))</f>
        <v>157.25</v>
      </c>
      <c r="N170" s="205">
        <f t="shared" si="18"/>
        <v>7710</v>
      </c>
      <c r="O170" s="206">
        <f t="shared" si="20"/>
        <v>8321.25</v>
      </c>
      <c r="P170" s="207">
        <f t="shared" si="21"/>
        <v>0.51906432748538012</v>
      </c>
    </row>
    <row r="171" spans="1:16">
      <c r="A171" s="163" t="s">
        <v>343</v>
      </c>
      <c r="B171" s="163" t="s">
        <v>512</v>
      </c>
      <c r="C171" s="200">
        <v>17020</v>
      </c>
      <c r="D171" s="201">
        <v>0</v>
      </c>
      <c r="E171" s="202" t="s">
        <v>200</v>
      </c>
      <c r="F171" s="200">
        <v>168.18</v>
      </c>
      <c r="G171" s="162">
        <v>46014</v>
      </c>
      <c r="H171" s="203" t="s">
        <v>199</v>
      </c>
      <c r="I171" s="186">
        <f t="shared" si="16"/>
        <v>4</v>
      </c>
      <c r="J171" s="204">
        <f>IF($H171="USD",IF(OR($I171="",$I171="-"),"",VLOOKUP($G171,為替!$A:$AX,$I171,FALSE))+$J$3,IF(OR($I171="",$I171="-"),"",VLOOKUP($G171,為替!$A:$AX,$I171,FALSE)))</f>
        <v>156.25</v>
      </c>
      <c r="K171" s="205">
        <f t="shared" si="17"/>
        <v>26278.125</v>
      </c>
      <c r="L171" s="189">
        <f t="shared" si="19"/>
        <v>3</v>
      </c>
      <c r="M171" s="204">
        <f>IF($H171="USD",IF(OR($L171="",$L171="-"),"",VLOOKUP($G171,為替!$A:$AX,$L171,FALSE))+$K$3,IF(OR($L171="",$L171="-"),"",VLOOKUP($G171,為替!$A:$AX,$L171,FALSE)))</f>
        <v>157.25</v>
      </c>
      <c r="N171" s="205">
        <f t="shared" si="18"/>
        <v>17020</v>
      </c>
      <c r="O171" s="206">
        <f t="shared" si="20"/>
        <v>9258.125</v>
      </c>
      <c r="P171" s="207">
        <f t="shared" si="21"/>
        <v>0.35231299797835652</v>
      </c>
    </row>
    <row r="172" spans="1:16">
      <c r="A172" s="163" t="s">
        <v>343</v>
      </c>
      <c r="B172" s="163" t="s">
        <v>513</v>
      </c>
      <c r="C172" s="200">
        <v>8500</v>
      </c>
      <c r="D172" s="201">
        <v>0</v>
      </c>
      <c r="E172" s="202" t="s">
        <v>200</v>
      </c>
      <c r="F172" s="200">
        <v>98.4</v>
      </c>
      <c r="G172" s="162">
        <v>46015</v>
      </c>
      <c r="H172" s="203" t="s">
        <v>199</v>
      </c>
      <c r="I172" s="186">
        <f t="shared" si="16"/>
        <v>4</v>
      </c>
      <c r="J172" s="204">
        <f>IF($H172="USD",IF(OR($I172="",$I172="-"),"",VLOOKUP($G172,為替!$A:$AX,$I172,FALSE))+$J$3,IF(OR($I172="",$I172="-"),"",VLOOKUP($G172,為替!$A:$AX,$I172,FALSE)))</f>
        <v>155.72</v>
      </c>
      <c r="K172" s="205">
        <f t="shared" si="17"/>
        <v>15322.848</v>
      </c>
      <c r="L172" s="189">
        <f t="shared" si="19"/>
        <v>3</v>
      </c>
      <c r="M172" s="204">
        <f>IF($H172="USD",IF(OR($L172="",$L172="-"),"",VLOOKUP($G172,為替!$A:$AX,$L172,FALSE))+$K$3,IF(OR($L172="",$L172="-"),"",VLOOKUP($G172,為替!$A:$AX,$L172,FALSE)))</f>
        <v>156.72</v>
      </c>
      <c r="N172" s="205">
        <f t="shared" si="18"/>
        <v>8500</v>
      </c>
      <c r="O172" s="206">
        <f t="shared" si="20"/>
        <v>6822.848</v>
      </c>
      <c r="P172" s="207">
        <f t="shared" si="21"/>
        <v>0.44527283700784603</v>
      </c>
    </row>
    <row r="173" spans="1:16">
      <c r="A173" s="163" t="s">
        <v>343</v>
      </c>
      <c r="B173" s="163" t="s">
        <v>514</v>
      </c>
      <c r="C173" s="200">
        <v>185101</v>
      </c>
      <c r="D173" s="201">
        <v>60193</v>
      </c>
      <c r="E173" s="202" t="s">
        <v>200</v>
      </c>
      <c r="F173" s="200">
        <v>2714.88</v>
      </c>
      <c r="G173" s="162">
        <v>46015</v>
      </c>
      <c r="H173" s="203" t="s">
        <v>199</v>
      </c>
      <c r="I173" s="186">
        <f t="shared" si="16"/>
        <v>4</v>
      </c>
      <c r="J173" s="204">
        <f>IF($H173="USD",IF(OR($I173="",$I173="-"),"",VLOOKUP($G173,為替!$A:$AX,$I173,FALSE))+$J$3,IF(OR($I173="",$I173="-"),"",VLOOKUP($G173,為替!$A:$AX,$I173,FALSE)))</f>
        <v>155.72</v>
      </c>
      <c r="K173" s="205">
        <f t="shared" si="17"/>
        <v>422761.11360000004</v>
      </c>
      <c r="L173" s="189">
        <f t="shared" si="19"/>
        <v>3</v>
      </c>
      <c r="M173" s="204">
        <f>IF($H173="USD",IF(OR($L173="",$L173="-"),"",VLOOKUP($G173,為替!$A:$AX,$L173,FALSE))+$K$3,IF(OR($L173="",$L173="-"),"",VLOOKUP($G173,為替!$A:$AX,$L173,FALSE)))</f>
        <v>156.72</v>
      </c>
      <c r="N173" s="205">
        <f t="shared" si="18"/>
        <v>245294</v>
      </c>
      <c r="O173" s="206">
        <f t="shared" si="20"/>
        <v>177467.11360000004</v>
      </c>
      <c r="P173" s="207">
        <f t="shared" si="21"/>
        <v>0.41978107231478357</v>
      </c>
    </row>
    <row r="174" spans="1:16">
      <c r="A174" s="163" t="s">
        <v>343</v>
      </c>
      <c r="B174" s="163" t="s">
        <v>515</v>
      </c>
      <c r="C174" s="200">
        <v>212500</v>
      </c>
      <c r="D174" s="201">
        <v>80096</v>
      </c>
      <c r="E174" s="202" t="s">
        <v>200</v>
      </c>
      <c r="F174" s="200">
        <v>3145</v>
      </c>
      <c r="G174" s="162">
        <v>46017</v>
      </c>
      <c r="H174" s="203" t="s">
        <v>199</v>
      </c>
      <c r="I174" s="186">
        <f t="shared" si="16"/>
        <v>4</v>
      </c>
      <c r="J174" s="204">
        <f>IF($H174="USD",IF(OR($I174="",$I174="-"),"",VLOOKUP($G174,為替!$A:$AX,$I174,FALSE))+$J$3,IF(OR($I174="",$I174="-"),"",VLOOKUP($G174,為替!$A:$AX,$I174,FALSE)))</f>
        <v>156.01</v>
      </c>
      <c r="K174" s="205">
        <f t="shared" si="17"/>
        <v>490651.44999999995</v>
      </c>
      <c r="L174" s="189">
        <f t="shared" si="19"/>
        <v>3</v>
      </c>
      <c r="M174" s="204">
        <f>IF($H174="USD",IF(OR($L174="",$L174="-"),"",VLOOKUP($G174,為替!$A:$AX,$L174,FALSE))+$K$3,IF(OR($L174="",$L174="-"),"",VLOOKUP($G174,為替!$A:$AX,$L174,FALSE)))</f>
        <v>157.01</v>
      </c>
      <c r="N174" s="205">
        <f t="shared" si="18"/>
        <v>292596</v>
      </c>
      <c r="O174" s="206">
        <f t="shared" si="20"/>
        <v>198055.44999999995</v>
      </c>
      <c r="P174" s="207">
        <f t="shared" si="21"/>
        <v>0.40365813654479155</v>
      </c>
    </row>
    <row r="175" spans="1:16">
      <c r="A175" s="163" t="s">
        <v>343</v>
      </c>
      <c r="B175" s="163" t="s">
        <v>516</v>
      </c>
      <c r="C175" s="200">
        <v>45100</v>
      </c>
      <c r="D175" s="201">
        <v>0</v>
      </c>
      <c r="E175" s="202" t="s">
        <v>200</v>
      </c>
      <c r="F175" s="200">
        <v>485.6</v>
      </c>
      <c r="G175" s="162">
        <v>46017</v>
      </c>
      <c r="H175" s="203" t="s">
        <v>199</v>
      </c>
      <c r="I175" s="186">
        <f t="shared" si="16"/>
        <v>4</v>
      </c>
      <c r="J175" s="204">
        <f>IF($H175="USD",IF(OR($I175="",$I175="-"),"",VLOOKUP($G175,為替!$A:$AX,$I175,FALSE))+$J$3,IF(OR($I175="",$I175="-"),"",VLOOKUP($G175,為替!$A:$AX,$I175,FALSE)))</f>
        <v>156.01</v>
      </c>
      <c r="K175" s="205">
        <f t="shared" si="17"/>
        <v>75758.456000000006</v>
      </c>
      <c r="L175" s="189">
        <f t="shared" si="19"/>
        <v>3</v>
      </c>
      <c r="M175" s="204">
        <f>IF($H175="USD",IF(OR($L175="",$L175="-"),"",VLOOKUP($G175,為替!$A:$AX,$L175,FALSE))+$K$3,IF(OR($L175="",$L175="-"),"",VLOOKUP($G175,為替!$A:$AX,$L175,FALSE)))</f>
        <v>157.01</v>
      </c>
      <c r="N175" s="205">
        <f t="shared" si="18"/>
        <v>45100</v>
      </c>
      <c r="O175" s="206">
        <f t="shared" si="20"/>
        <v>30658.456000000006</v>
      </c>
      <c r="P175" s="207">
        <f t="shared" si="21"/>
        <v>0.40468691706177334</v>
      </c>
    </row>
    <row r="176" spans="1:16">
      <c r="A176" s="163" t="s">
        <v>344</v>
      </c>
      <c r="B176" s="163">
        <v>7723</v>
      </c>
      <c r="C176" s="200">
        <v>211349</v>
      </c>
      <c r="D176" s="201">
        <v>17364</v>
      </c>
      <c r="E176" s="202" t="s">
        <v>200</v>
      </c>
      <c r="F176" s="200">
        <v>2782.8</v>
      </c>
      <c r="G176" s="162">
        <v>46007</v>
      </c>
      <c r="H176" s="203" t="s">
        <v>199</v>
      </c>
      <c r="I176" s="186">
        <f t="shared" si="16"/>
        <v>4</v>
      </c>
      <c r="J176" s="204">
        <f>IF($H176="USD",IF(OR($I176="",$I176="-"),"",VLOOKUP($G176,為替!$A:$AX,$I176,FALSE))+$J$3,IF(OR($I176="",$I176="-"),"",VLOOKUP($G176,為替!$A:$AX,$I176,FALSE)))</f>
        <v>154.62</v>
      </c>
      <c r="K176" s="205">
        <f t="shared" si="17"/>
        <v>430276.53600000002</v>
      </c>
      <c r="L176" s="189">
        <f t="shared" si="19"/>
        <v>3</v>
      </c>
      <c r="M176" s="204">
        <f>IF($H176="USD",IF(OR($L176="",$L176="-"),"",VLOOKUP($G176,為替!$A:$AX,$L176,FALSE))+$K$3,IF(OR($L176="",$L176="-"),"",VLOOKUP($G176,為替!$A:$AX,$L176,FALSE)))</f>
        <v>155.62</v>
      </c>
      <c r="N176" s="205">
        <f t="shared" si="18"/>
        <v>228713</v>
      </c>
      <c r="O176" s="206">
        <f t="shared" si="20"/>
        <v>201563.53600000002</v>
      </c>
      <c r="P176" s="207">
        <f t="shared" si="21"/>
        <v>0.46845114510264629</v>
      </c>
    </row>
    <row r="177" spans="1:16">
      <c r="A177" s="163" t="s">
        <v>344</v>
      </c>
      <c r="B177" s="163">
        <v>7736</v>
      </c>
      <c r="C177" s="200">
        <v>5121</v>
      </c>
      <c r="D177" s="201">
        <v>1238</v>
      </c>
      <c r="E177" s="202" t="s">
        <v>200</v>
      </c>
      <c r="F177" s="200">
        <v>92.1</v>
      </c>
      <c r="G177" s="162">
        <v>46013</v>
      </c>
      <c r="H177" s="203" t="s">
        <v>199</v>
      </c>
      <c r="I177" s="186">
        <f t="shared" si="16"/>
        <v>4</v>
      </c>
      <c r="J177" s="204">
        <f>IF($H177="USD",IF(OR($I177="",$I177="-"),"",VLOOKUP($G177,為替!$A:$AX,$I177,FALSE))+$J$3,IF(OR($I177="",$I177="-"),"",VLOOKUP($G177,為替!$A:$AX,$I177,FALSE)))</f>
        <v>157.12</v>
      </c>
      <c r="K177" s="205">
        <f t="shared" si="17"/>
        <v>14470.752</v>
      </c>
      <c r="L177" s="189">
        <f t="shared" si="19"/>
        <v>3</v>
      </c>
      <c r="M177" s="204">
        <f>IF($H177="USD",IF(OR($L177="",$L177="-"),"",VLOOKUP($G177,為替!$A:$AX,$L177,FALSE))+$K$3,IF(OR($L177="",$L177="-"),"",VLOOKUP($G177,為替!$A:$AX,$L177,FALSE)))</f>
        <v>158.12</v>
      </c>
      <c r="N177" s="205">
        <f t="shared" si="18"/>
        <v>6359</v>
      </c>
      <c r="O177" s="206">
        <f t="shared" si="20"/>
        <v>8111.7520000000004</v>
      </c>
      <c r="P177" s="207">
        <f t="shared" si="21"/>
        <v>0.56056188372242166</v>
      </c>
    </row>
    <row r="178" spans="1:16">
      <c r="A178" s="163" t="s">
        <v>332</v>
      </c>
      <c r="B178" s="163">
        <v>7722</v>
      </c>
      <c r="C178" s="200">
        <v>2580</v>
      </c>
      <c r="D178" s="201">
        <v>0</v>
      </c>
      <c r="E178" s="202" t="s">
        <v>200</v>
      </c>
      <c r="F178" s="200">
        <v>29.96</v>
      </c>
      <c r="G178" s="162">
        <v>46007</v>
      </c>
      <c r="H178" s="203" t="s">
        <v>365</v>
      </c>
      <c r="I178" s="186">
        <f t="shared" si="16"/>
        <v>7</v>
      </c>
      <c r="J178" s="204">
        <f>IF($H178="USD",IF(OR($I178="",$I178="-"),"",VLOOKUP($G178,為替!$A:$AX,$I178,FALSE))+$J$3,IF(OR($I178="",$I178="-"),"",VLOOKUP($G178,為替!$A:$AX,$I178,FALSE)))</f>
        <v>0</v>
      </c>
      <c r="K178" s="205">
        <f t="shared" si="17"/>
        <v>0</v>
      </c>
      <c r="L178" s="189">
        <f t="shared" si="19"/>
        <v>6</v>
      </c>
      <c r="M178" s="204">
        <f>IF($H178="USD",IF(OR($L178="",$L178="-"),"",VLOOKUP($G178,為替!$A:$AX,$L178,FALSE))+$K$3,IF(OR($L178="",$L178="-"),"",VLOOKUP($G178,為替!$A:$AX,$L178,FALSE)))</f>
        <v>0</v>
      </c>
      <c r="N178" s="205">
        <f t="shared" si="18"/>
        <v>2580</v>
      </c>
      <c r="O178" s="206">
        <f t="shared" si="20"/>
        <v>-2580</v>
      </c>
      <c r="P178" s="207" t="e">
        <f t="shared" si="21"/>
        <v>#DIV/0!</v>
      </c>
    </row>
    <row r="179" spans="1:16">
      <c r="A179" s="163" t="s">
        <v>332</v>
      </c>
      <c r="B179" s="163">
        <v>7700</v>
      </c>
      <c r="C179" s="200">
        <v>190800</v>
      </c>
      <c r="D179" s="201">
        <v>0</v>
      </c>
      <c r="E179" s="202" t="s">
        <v>200</v>
      </c>
      <c r="F179" s="200">
        <v>2277.5</v>
      </c>
      <c r="G179" s="162">
        <v>46008</v>
      </c>
      <c r="H179" s="203" t="s">
        <v>365</v>
      </c>
      <c r="I179" s="186">
        <f t="shared" si="16"/>
        <v>7</v>
      </c>
      <c r="J179" s="204">
        <f>IF($H179="USD",IF(OR($I179="",$I179="-"),"",VLOOKUP($G179,為替!$A:$AX,$I179,FALSE))+$J$3,IF(OR($I179="",$I179="-"),"",VLOOKUP($G179,為替!$A:$AX,$I179,FALSE)))</f>
        <v>0</v>
      </c>
      <c r="K179" s="205">
        <f t="shared" si="17"/>
        <v>0</v>
      </c>
      <c r="L179" s="189">
        <f t="shared" si="19"/>
        <v>6</v>
      </c>
      <c r="M179" s="204">
        <f>IF($H179="USD",IF(OR($L179="",$L179="-"),"",VLOOKUP($G179,為替!$A:$AX,$L179,FALSE))+$K$3,IF(OR($L179="",$L179="-"),"",VLOOKUP($G179,為替!$A:$AX,$L179,FALSE)))</f>
        <v>0</v>
      </c>
      <c r="N179" s="205">
        <f t="shared" si="18"/>
        <v>190800</v>
      </c>
      <c r="O179" s="206">
        <f t="shared" si="20"/>
        <v>-190800</v>
      </c>
      <c r="P179" s="207" t="e">
        <f t="shared" si="21"/>
        <v>#DIV/0!</v>
      </c>
    </row>
    <row r="180" spans="1:16">
      <c r="A180" s="163" t="s">
        <v>332</v>
      </c>
      <c r="B180" s="163">
        <v>7725</v>
      </c>
      <c r="C180" s="200">
        <v>205370</v>
      </c>
      <c r="D180" s="201">
        <v>0</v>
      </c>
      <c r="E180" s="202" t="s">
        <v>200</v>
      </c>
      <c r="F180" s="200">
        <v>3439.8</v>
      </c>
      <c r="G180" s="162">
        <v>46015</v>
      </c>
      <c r="H180" s="203" t="s">
        <v>199</v>
      </c>
      <c r="I180" s="186">
        <f t="shared" si="16"/>
        <v>4</v>
      </c>
      <c r="J180" s="204">
        <f>IF($H180="USD",IF(OR($I180="",$I180="-"),"",VLOOKUP($G180,為替!$A:$AX,$I180,FALSE))+$J$3,IF(OR($I180="",$I180="-"),"",VLOOKUP($G180,為替!$A:$AX,$I180,FALSE)))</f>
        <v>155.72</v>
      </c>
      <c r="K180" s="205">
        <f t="shared" si="17"/>
        <v>535645.65600000008</v>
      </c>
      <c r="L180" s="189">
        <f t="shared" si="19"/>
        <v>3</v>
      </c>
      <c r="M180" s="204">
        <f>IF($H180="USD",IF(OR($L180="",$L180="-"),"",VLOOKUP($G180,為替!$A:$AX,$L180,FALSE))+$K$3,IF(OR($L180="",$L180="-"),"",VLOOKUP($G180,為替!$A:$AX,$L180,FALSE)))</f>
        <v>156.72</v>
      </c>
      <c r="N180" s="205">
        <f t="shared" si="18"/>
        <v>205370</v>
      </c>
      <c r="O180" s="206">
        <f t="shared" si="20"/>
        <v>330275.65600000008</v>
      </c>
      <c r="P180" s="207">
        <f t="shared" si="21"/>
        <v>0.61659354892630747</v>
      </c>
    </row>
    <row r="181" spans="1:16">
      <c r="A181" s="163" t="s">
        <v>343</v>
      </c>
      <c r="B181" s="163" t="s">
        <v>527</v>
      </c>
      <c r="C181" s="200">
        <v>92400</v>
      </c>
      <c r="D181" s="201">
        <v>0</v>
      </c>
      <c r="E181" s="202" t="s">
        <v>200</v>
      </c>
      <c r="F181" s="200">
        <v>872.6</v>
      </c>
      <c r="G181" s="162">
        <v>46027</v>
      </c>
      <c r="H181" s="203" t="s">
        <v>199</v>
      </c>
      <c r="I181" s="186">
        <f t="shared" si="16"/>
        <v>4</v>
      </c>
      <c r="J181" s="204">
        <f>IF($H181="USD",IF(OR($I181="",$I181="-"),"",VLOOKUP($G181,為替!$A:$AX,$I181,FALSE))+$J$3,IF(OR($I181="",$I181="-"),"",VLOOKUP($G181,為替!$A:$AX,$I181,FALSE)))</f>
        <v>156.79</v>
      </c>
      <c r="K181" s="205">
        <f t="shared" si="17"/>
        <v>136814.954</v>
      </c>
      <c r="L181" s="189">
        <f t="shared" si="19"/>
        <v>3</v>
      </c>
      <c r="M181" s="204">
        <f>IF($H181="USD",IF(OR($L181="",$L181="-"),"",VLOOKUP($G181,為替!$A:$AX,$L181,FALSE))+$K$3,IF(OR($L181="",$L181="-"),"",VLOOKUP($G181,為替!$A:$AX,$L181,FALSE)))</f>
        <v>157.79</v>
      </c>
      <c r="N181" s="205">
        <f t="shared" si="18"/>
        <v>92400</v>
      </c>
      <c r="O181" s="206">
        <f t="shared" si="20"/>
        <v>44414.953999999998</v>
      </c>
      <c r="P181" s="207">
        <f t="shared" si="21"/>
        <v>0.32463522956708374</v>
      </c>
    </row>
    <row r="182" spans="1:16">
      <c r="A182" s="163" t="s">
        <v>343</v>
      </c>
      <c r="B182" s="163" t="s">
        <v>528</v>
      </c>
      <c r="C182" s="200">
        <v>121420</v>
      </c>
      <c r="D182" s="201">
        <v>0</v>
      </c>
      <c r="E182" s="202" t="s">
        <v>200</v>
      </c>
      <c r="F182" s="200">
        <v>1168.48</v>
      </c>
      <c r="G182" s="162">
        <v>46030</v>
      </c>
      <c r="H182" s="203" t="s">
        <v>199</v>
      </c>
      <c r="I182" s="186">
        <f t="shared" si="16"/>
        <v>4</v>
      </c>
      <c r="J182" s="204">
        <f>IF($H182="USD",IF(OR($I182="",$I182="-"),"",VLOOKUP($G182,為替!$A:$AX,$I182,FALSE))+$J$3,IF(OR($I182="",$I182="-"),"",VLOOKUP($G182,為替!$A:$AX,$I182,FALSE)))</f>
        <v>156.35</v>
      </c>
      <c r="K182" s="205">
        <f t="shared" si="17"/>
        <v>182691.848</v>
      </c>
      <c r="L182" s="189">
        <f t="shared" si="19"/>
        <v>3</v>
      </c>
      <c r="M182" s="204">
        <f>IF($H182="USD",IF(OR($L182="",$L182="-"),"",VLOOKUP($G182,為替!$A:$AX,$L182,FALSE))+$K$3,IF(OR($L182="",$L182="-"),"",VLOOKUP($G182,為替!$A:$AX,$L182,FALSE)))</f>
        <v>157.35</v>
      </c>
      <c r="N182" s="205">
        <f t="shared" si="18"/>
        <v>121420</v>
      </c>
      <c r="O182" s="206">
        <f t="shared" si="20"/>
        <v>61271.847999999998</v>
      </c>
      <c r="P182" s="207">
        <f t="shared" si="21"/>
        <v>0.33538359084309005</v>
      </c>
    </row>
    <row r="183" spans="1:16">
      <c r="A183" s="163" t="s">
        <v>343</v>
      </c>
      <c r="B183" s="163" t="s">
        <v>529</v>
      </c>
      <c r="C183" s="200">
        <v>130915</v>
      </c>
      <c r="D183" s="201">
        <v>0</v>
      </c>
      <c r="E183" s="202" t="s">
        <v>200</v>
      </c>
      <c r="F183" s="200">
        <v>1728.6</v>
      </c>
      <c r="G183" s="162">
        <v>46031</v>
      </c>
      <c r="H183" s="203" t="s">
        <v>199</v>
      </c>
      <c r="I183" s="186">
        <f t="shared" si="16"/>
        <v>4</v>
      </c>
      <c r="J183" s="204">
        <f>IF($H183="USD",IF(OR($I183="",$I183="-"),"",VLOOKUP($G183,為替!$A:$AX,$I183,FALSE))+$J$3,IF(OR($I183="",$I183="-"),"",VLOOKUP($G183,為替!$A:$AX,$I183,FALSE)))</f>
        <v>156.63999999999999</v>
      </c>
      <c r="K183" s="205">
        <f t="shared" si="17"/>
        <v>270767.90399999998</v>
      </c>
      <c r="L183" s="189">
        <f t="shared" si="19"/>
        <v>3</v>
      </c>
      <c r="M183" s="204">
        <f>IF($H183="USD",IF(OR($L183="",$L183="-"),"",VLOOKUP($G183,為替!$A:$AX,$L183,FALSE))+$K$3,IF(OR($L183="",$L183="-"),"",VLOOKUP($G183,為替!$A:$AX,$L183,FALSE)))</f>
        <v>157.63999999999999</v>
      </c>
      <c r="N183" s="205">
        <f t="shared" si="18"/>
        <v>130915</v>
      </c>
      <c r="O183" s="206">
        <f t="shared" si="20"/>
        <v>139852.90399999998</v>
      </c>
      <c r="P183" s="207">
        <f t="shared" si="21"/>
        <v>0.5165047331459196</v>
      </c>
    </row>
    <row r="184" spans="1:16">
      <c r="A184" s="163" t="s">
        <v>343</v>
      </c>
      <c r="B184" s="163" t="s">
        <v>530</v>
      </c>
      <c r="C184" s="200">
        <v>6100</v>
      </c>
      <c r="D184" s="201">
        <v>0</v>
      </c>
      <c r="E184" s="202" t="s">
        <v>200</v>
      </c>
      <c r="F184" s="200">
        <v>63.8</v>
      </c>
      <c r="G184" s="162">
        <v>46031</v>
      </c>
      <c r="H184" s="203" t="s">
        <v>199</v>
      </c>
      <c r="I184" s="186">
        <f t="shared" si="16"/>
        <v>4</v>
      </c>
      <c r="J184" s="204">
        <f>IF($H184="USD",IF(OR($I184="",$I184="-"),"",VLOOKUP($G184,為替!$A:$AX,$I184,FALSE))+$J$3,IF(OR($I184="",$I184="-"),"",VLOOKUP($G184,為替!$A:$AX,$I184,FALSE)))</f>
        <v>156.63999999999999</v>
      </c>
      <c r="K184" s="205">
        <f t="shared" si="17"/>
        <v>9993.6319999999978</v>
      </c>
      <c r="L184" s="189">
        <f t="shared" si="19"/>
        <v>3</v>
      </c>
      <c r="M184" s="204">
        <f>IF($H184="USD",IF(OR($L184="",$L184="-"),"",VLOOKUP($G184,為替!$A:$AX,$L184,FALSE))+$K$3,IF(OR($L184="",$L184="-"),"",VLOOKUP($G184,為替!$A:$AX,$L184,FALSE)))</f>
        <v>157.63999999999999</v>
      </c>
      <c r="N184" s="205">
        <f t="shared" si="18"/>
        <v>6100</v>
      </c>
      <c r="O184" s="206">
        <f t="shared" si="20"/>
        <v>3893.6319999999978</v>
      </c>
      <c r="P184" s="207">
        <f t="shared" si="21"/>
        <v>0.38961130447869191</v>
      </c>
    </row>
    <row r="185" spans="1:16">
      <c r="A185" s="163" t="s">
        <v>343</v>
      </c>
      <c r="B185" s="163" t="s">
        <v>531</v>
      </c>
      <c r="C185" s="200">
        <v>2980</v>
      </c>
      <c r="D185" s="201">
        <v>0</v>
      </c>
      <c r="E185" s="202" t="s">
        <v>200</v>
      </c>
      <c r="F185" s="200">
        <v>36.799999999999997</v>
      </c>
      <c r="G185" s="162">
        <v>46035</v>
      </c>
      <c r="H185" s="203" t="s">
        <v>199</v>
      </c>
      <c r="I185" s="186">
        <f t="shared" si="16"/>
        <v>4</v>
      </c>
      <c r="J185" s="204">
        <f>IF($H185="USD",IF(OR($I185="",$I185="-"),"",VLOOKUP($G185,為替!$A:$AX,$I185,FALSE))+$J$3,IF(OR($I185="",$I185="-"),"",VLOOKUP($G185,為替!$A:$AX,$I185,FALSE)))</f>
        <v>157.78</v>
      </c>
      <c r="K185" s="205">
        <f t="shared" si="17"/>
        <v>5806.3039999999992</v>
      </c>
      <c r="L185" s="189">
        <f t="shared" si="19"/>
        <v>3</v>
      </c>
      <c r="M185" s="204">
        <f>IF($H185="USD",IF(OR($L185="",$L185="-"),"",VLOOKUP($G185,為替!$A:$AX,$L185,FALSE))+$K$3,IF(OR($L185="",$L185="-"),"",VLOOKUP($G185,為替!$A:$AX,$L185,FALSE)))</f>
        <v>158.78</v>
      </c>
      <c r="N185" s="205">
        <f t="shared" si="18"/>
        <v>2980</v>
      </c>
      <c r="O185" s="206">
        <f t="shared" si="20"/>
        <v>2826.3039999999992</v>
      </c>
      <c r="P185" s="207">
        <f t="shared" si="21"/>
        <v>0.48676473019669647</v>
      </c>
    </row>
    <row r="186" spans="1:16">
      <c r="A186" s="163" t="s">
        <v>343</v>
      </c>
      <c r="B186" s="163" t="s">
        <v>532</v>
      </c>
      <c r="C186" s="200">
        <v>48000</v>
      </c>
      <c r="D186" s="201">
        <v>13218</v>
      </c>
      <c r="E186" s="202" t="s">
        <v>200</v>
      </c>
      <c r="F186" s="200">
        <v>591</v>
      </c>
      <c r="G186" s="162">
        <v>46036</v>
      </c>
      <c r="H186" s="203" t="s">
        <v>199</v>
      </c>
      <c r="I186" s="186">
        <f t="shared" si="16"/>
        <v>4</v>
      </c>
      <c r="J186" s="204">
        <f>IF($H186="USD",IF(OR($I186="",$I186="-"),"",VLOOKUP($G186,為替!$A:$AX,$I186,FALSE))+$J$3,IF(OR($I186="",$I186="-"),"",VLOOKUP($G186,為替!$A:$AX,$I186,FALSE)))</f>
        <v>158.76</v>
      </c>
      <c r="K186" s="205">
        <f t="shared" si="17"/>
        <v>93827.159999999989</v>
      </c>
      <c r="L186" s="189">
        <f t="shared" si="19"/>
        <v>3</v>
      </c>
      <c r="M186" s="204">
        <f>IF($H186="USD",IF(OR($L186="",$L186="-"),"",VLOOKUP($G186,為替!$A:$AX,$L186,FALSE))+$K$3,IF(OR($L186="",$L186="-"),"",VLOOKUP($G186,為替!$A:$AX,$L186,FALSE)))</f>
        <v>159.76</v>
      </c>
      <c r="N186" s="205">
        <f t="shared" si="18"/>
        <v>61218</v>
      </c>
      <c r="O186" s="206">
        <f t="shared" si="20"/>
        <v>32609.159999999989</v>
      </c>
      <c r="P186" s="207">
        <f t="shared" si="21"/>
        <v>0.34754499656602622</v>
      </c>
    </row>
    <row r="187" spans="1:16">
      <c r="A187" s="163" t="s">
        <v>343</v>
      </c>
      <c r="B187" s="163" t="s">
        <v>533</v>
      </c>
      <c r="C187" s="200">
        <v>6430</v>
      </c>
      <c r="D187" s="201">
        <v>3471</v>
      </c>
      <c r="E187" s="202" t="s">
        <v>200</v>
      </c>
      <c r="F187" s="200">
        <v>125.2</v>
      </c>
      <c r="G187" s="162">
        <v>46038</v>
      </c>
      <c r="H187" s="203" t="s">
        <v>199</v>
      </c>
      <c r="I187" s="186">
        <f t="shared" si="16"/>
        <v>4</v>
      </c>
      <c r="J187" s="204">
        <f>IF($H187="USD",IF(OR($I187="",$I187="-"),"",VLOOKUP($G187,為替!$A:$AX,$I187,FALSE))+$J$3,IF(OR($I187="",$I187="-"),"",VLOOKUP($G187,為替!$A:$AX,$I187,FALSE)))</f>
        <v>158.27000000000001</v>
      </c>
      <c r="K187" s="205">
        <f t="shared" si="17"/>
        <v>19815.404000000002</v>
      </c>
      <c r="L187" s="189">
        <f t="shared" si="19"/>
        <v>3</v>
      </c>
      <c r="M187" s="204">
        <f>IF($H187="USD",IF(OR($L187="",$L187="-"),"",VLOOKUP($G187,為替!$A:$AX,$L187,FALSE))+$K$3,IF(OR($L187="",$L187="-"),"",VLOOKUP($G187,為替!$A:$AX,$L187,FALSE)))</f>
        <v>159.27000000000001</v>
      </c>
      <c r="N187" s="205">
        <f t="shared" si="18"/>
        <v>9901</v>
      </c>
      <c r="O187" s="206">
        <f t="shared" si="20"/>
        <v>9914.4040000000023</v>
      </c>
      <c r="P187" s="207">
        <f t="shared" si="21"/>
        <v>0.50033822171882048</v>
      </c>
    </row>
    <row r="188" spans="1:16">
      <c r="A188" s="163" t="s">
        <v>343</v>
      </c>
      <c r="B188" s="163" t="s">
        <v>534</v>
      </c>
      <c r="C188" s="200">
        <v>20080</v>
      </c>
      <c r="D188" s="201">
        <v>0</v>
      </c>
      <c r="E188" s="202" t="s">
        <v>200</v>
      </c>
      <c r="F188" s="200">
        <v>247.09</v>
      </c>
      <c r="G188" s="162">
        <v>46038</v>
      </c>
      <c r="H188" s="203" t="s">
        <v>199</v>
      </c>
      <c r="I188" s="186">
        <f t="shared" si="16"/>
        <v>4</v>
      </c>
      <c r="J188" s="204">
        <f>IF($H188="USD",IF(OR($I188="",$I188="-"),"",VLOOKUP($G188,為替!$A:$AX,$I188,FALSE))+$J$3,IF(OR($I188="",$I188="-"),"",VLOOKUP($G188,為替!$A:$AX,$I188,FALSE)))</f>
        <v>158.27000000000001</v>
      </c>
      <c r="K188" s="205">
        <f t="shared" si="17"/>
        <v>39106.934300000001</v>
      </c>
      <c r="L188" s="189">
        <f t="shared" si="19"/>
        <v>3</v>
      </c>
      <c r="M188" s="204">
        <f>IF($H188="USD",IF(OR($L188="",$L188="-"),"",VLOOKUP($G188,為替!$A:$AX,$L188,FALSE))+$K$3,IF(OR($L188="",$L188="-"),"",VLOOKUP($G188,為替!$A:$AX,$L188,FALSE)))</f>
        <v>159.27000000000001</v>
      </c>
      <c r="N188" s="205">
        <f t="shared" si="18"/>
        <v>20080</v>
      </c>
      <c r="O188" s="206">
        <f t="shared" si="20"/>
        <v>19026.934300000001</v>
      </c>
      <c r="P188" s="207">
        <f t="shared" si="21"/>
        <v>0.48653607449868552</v>
      </c>
    </row>
    <row r="189" spans="1:16">
      <c r="A189" s="163" t="s">
        <v>343</v>
      </c>
      <c r="B189" s="163" t="s">
        <v>535</v>
      </c>
      <c r="C189" s="200">
        <v>59340</v>
      </c>
      <c r="D189" s="201">
        <v>0</v>
      </c>
      <c r="E189" s="202" t="s">
        <v>200</v>
      </c>
      <c r="F189" s="200">
        <v>721.5</v>
      </c>
      <c r="G189" s="162">
        <v>46042</v>
      </c>
      <c r="H189" s="203" t="s">
        <v>199</v>
      </c>
      <c r="I189" s="186">
        <f t="shared" si="16"/>
        <v>4</v>
      </c>
      <c r="J189" s="204">
        <f>IF($H189="USD",IF(OR($I189="",$I189="-"),"",VLOOKUP($G189,為替!$A:$AX,$I189,FALSE))+$J$3,IF(OR($I189="",$I189="-"),"",VLOOKUP($G189,為替!$A:$AX,$I189,FALSE)))</f>
        <v>157.69</v>
      </c>
      <c r="K189" s="205">
        <f t="shared" si="17"/>
        <v>113773.33499999999</v>
      </c>
      <c r="L189" s="189">
        <f t="shared" si="19"/>
        <v>3</v>
      </c>
      <c r="M189" s="204">
        <f>IF($H189="USD",IF(OR($L189="",$L189="-"),"",VLOOKUP($G189,為替!$A:$AX,$L189,FALSE))+$K$3,IF(OR($L189="",$L189="-"),"",VLOOKUP($G189,為替!$A:$AX,$L189,FALSE)))</f>
        <v>158.69</v>
      </c>
      <c r="N189" s="205">
        <f t="shared" si="18"/>
        <v>59340</v>
      </c>
      <c r="O189" s="206">
        <f t="shared" si="20"/>
        <v>54433.334999999992</v>
      </c>
      <c r="P189" s="207">
        <f t="shared" si="21"/>
        <v>0.47843666532232704</v>
      </c>
    </row>
    <row r="190" spans="1:16">
      <c r="A190" s="163" t="s">
        <v>343</v>
      </c>
      <c r="B190" s="163" t="s">
        <v>536</v>
      </c>
      <c r="C190" s="200">
        <v>569850</v>
      </c>
      <c r="D190" s="201">
        <v>0</v>
      </c>
      <c r="E190" s="202" t="s">
        <v>200</v>
      </c>
      <c r="F190" s="200">
        <v>5280.9</v>
      </c>
      <c r="G190" s="162">
        <v>46043</v>
      </c>
      <c r="H190" s="203" t="s">
        <v>199</v>
      </c>
      <c r="I190" s="186">
        <f t="shared" si="16"/>
        <v>4</v>
      </c>
      <c r="J190" s="204">
        <f>IF($H190="USD",IF(OR($I190="",$I190="-"),"",VLOOKUP($G190,為替!$A:$AX,$I190,FALSE))+$J$3,IF(OR($I190="",$I190="-"),"",VLOOKUP($G190,為替!$A:$AX,$I190,FALSE)))</f>
        <v>157.75</v>
      </c>
      <c r="K190" s="205">
        <f t="shared" si="17"/>
        <v>833061.97499999998</v>
      </c>
      <c r="L190" s="189">
        <f t="shared" si="19"/>
        <v>3</v>
      </c>
      <c r="M190" s="204">
        <f>IF($H190="USD",IF(OR($L190="",$L190="-"),"",VLOOKUP($G190,為替!$A:$AX,$L190,FALSE))+$K$3,IF(OR($L190="",$L190="-"),"",VLOOKUP($G190,為替!$A:$AX,$L190,FALSE)))</f>
        <v>158.75</v>
      </c>
      <c r="N190" s="205">
        <f t="shared" si="18"/>
        <v>569850</v>
      </c>
      <c r="O190" s="206">
        <f t="shared" si="20"/>
        <v>263211.97499999998</v>
      </c>
      <c r="P190" s="207">
        <f t="shared" si="21"/>
        <v>0.31595725516099804</v>
      </c>
    </row>
    <row r="191" spans="1:16">
      <c r="A191" s="163" t="s">
        <v>343</v>
      </c>
      <c r="B191" s="163" t="s">
        <v>537</v>
      </c>
      <c r="C191" s="435">
        <v>200500</v>
      </c>
      <c r="D191" s="436">
        <v>130452</v>
      </c>
      <c r="E191" s="437" t="s">
        <v>200</v>
      </c>
      <c r="F191" s="435">
        <v>3180.5</v>
      </c>
      <c r="G191" s="162">
        <v>46044</v>
      </c>
      <c r="H191" s="203" t="s">
        <v>199</v>
      </c>
      <c r="I191" s="186">
        <f t="shared" si="16"/>
        <v>4</v>
      </c>
      <c r="J191" s="204">
        <f>IF($H191="USD",IF(OR($I191="",$I191="-"),"",VLOOKUP($G191,為替!$A:$AX,$I191,FALSE))+$J$3,IF(OR($I191="",$I191="-"),"",VLOOKUP($G191,為替!$A:$AX,$I191,FALSE)))</f>
        <v>157.77000000000001</v>
      </c>
      <c r="K191" s="205">
        <f t="shared" si="17"/>
        <v>501787.48500000004</v>
      </c>
      <c r="L191" s="189">
        <f t="shared" si="19"/>
        <v>3</v>
      </c>
      <c r="M191" s="204">
        <f>IF($H191="USD",IF(OR($L191="",$L191="-"),"",VLOOKUP($G191,為替!$A:$AX,$L191,FALSE))+$K$3,IF(OR($L191="",$L191="-"),"",VLOOKUP($G191,為替!$A:$AX,$L191,FALSE)))</f>
        <v>158.77000000000001</v>
      </c>
      <c r="N191" s="205">
        <f t="shared" si="18"/>
        <v>330952</v>
      </c>
      <c r="O191" s="206">
        <f t="shared" si="20"/>
        <v>170835.48500000004</v>
      </c>
      <c r="P191" s="207">
        <f t="shared" si="21"/>
        <v>0.3404538576724368</v>
      </c>
    </row>
    <row r="192" spans="1:16">
      <c r="A192" s="163" t="s">
        <v>343</v>
      </c>
      <c r="B192" s="163" t="s">
        <v>538</v>
      </c>
      <c r="C192" s="200">
        <v>121000</v>
      </c>
      <c r="D192" s="201">
        <v>30185</v>
      </c>
      <c r="E192" s="202" t="s">
        <v>200</v>
      </c>
      <c r="F192" s="200">
        <v>2536</v>
      </c>
      <c r="G192" s="162">
        <v>46044</v>
      </c>
      <c r="H192" s="203" t="s">
        <v>199</v>
      </c>
      <c r="I192" s="186">
        <f t="shared" si="16"/>
        <v>4</v>
      </c>
      <c r="J192" s="204">
        <f>IF($H192="USD",IF(OR($I192="",$I192="-"),"",VLOOKUP($G192,為替!$A:$AX,$I192,FALSE))+$J$3,IF(OR($I192="",$I192="-"),"",VLOOKUP($G192,為替!$A:$AX,$I192,FALSE)))</f>
        <v>157.77000000000001</v>
      </c>
      <c r="K192" s="205">
        <f t="shared" si="17"/>
        <v>400104.72000000003</v>
      </c>
      <c r="L192" s="189">
        <f t="shared" si="19"/>
        <v>3</v>
      </c>
      <c r="M192" s="204">
        <f>IF($H192="USD",IF(OR($L192="",$L192="-"),"",VLOOKUP($G192,為替!$A:$AX,$L192,FALSE))+$K$3,IF(OR($L192="",$L192="-"),"",VLOOKUP($G192,為替!$A:$AX,$L192,FALSE)))</f>
        <v>158.77000000000001</v>
      </c>
      <c r="N192" s="205">
        <f t="shared" si="18"/>
        <v>151185</v>
      </c>
      <c r="O192" s="206">
        <f t="shared" si="20"/>
        <v>248919.72000000003</v>
      </c>
      <c r="P192" s="207">
        <f t="shared" si="21"/>
        <v>0.62213642468401775</v>
      </c>
    </row>
    <row r="193" spans="1:16">
      <c r="A193" s="163" t="s">
        <v>343</v>
      </c>
      <c r="B193" s="163" t="s">
        <v>539</v>
      </c>
      <c r="C193" s="200">
        <v>5850</v>
      </c>
      <c r="D193" s="201">
        <v>0</v>
      </c>
      <c r="E193" s="202" t="s">
        <v>200</v>
      </c>
      <c r="F193" s="200">
        <v>91.5</v>
      </c>
      <c r="G193" s="162">
        <v>46045</v>
      </c>
      <c r="H193" s="203" t="s">
        <v>199</v>
      </c>
      <c r="I193" s="186">
        <f t="shared" si="16"/>
        <v>4</v>
      </c>
      <c r="J193" s="204">
        <f>IF($H193="USD",IF(OR($I193="",$I193="-"),"",VLOOKUP($G193,為替!$A:$AX,$I193,FALSE))+$J$3,IF(OR($I193="",$I193="-"),"",VLOOKUP($G193,為替!$A:$AX,$I193,FALSE)))</f>
        <v>158.12</v>
      </c>
      <c r="K193" s="205">
        <f t="shared" si="17"/>
        <v>14467.98</v>
      </c>
      <c r="L193" s="189">
        <f t="shared" si="19"/>
        <v>3</v>
      </c>
      <c r="M193" s="204">
        <f>IF($H193="USD",IF(OR($L193="",$L193="-"),"",VLOOKUP($G193,為替!$A:$AX,$L193,FALSE))+$K$3,IF(OR($L193="",$L193="-"),"",VLOOKUP($G193,為替!$A:$AX,$L193,FALSE)))</f>
        <v>159.12</v>
      </c>
      <c r="N193" s="205">
        <f t="shared" si="18"/>
        <v>5850</v>
      </c>
      <c r="O193" s="206">
        <f t="shared" si="20"/>
        <v>8617.98</v>
      </c>
      <c r="P193" s="207">
        <f t="shared" si="21"/>
        <v>0.59565882728618647</v>
      </c>
    </row>
    <row r="194" spans="1:16">
      <c r="A194" s="163" t="s">
        <v>343</v>
      </c>
      <c r="B194" s="163" t="s">
        <v>540</v>
      </c>
      <c r="C194" s="200">
        <v>275116</v>
      </c>
      <c r="D194" s="201">
        <v>0</v>
      </c>
      <c r="E194" s="202" t="s">
        <v>200</v>
      </c>
      <c r="F194" s="200">
        <v>2603.5</v>
      </c>
      <c r="G194" s="162">
        <v>46045</v>
      </c>
      <c r="H194" s="203" t="s">
        <v>199</v>
      </c>
      <c r="I194" s="186">
        <f t="shared" si="16"/>
        <v>4</v>
      </c>
      <c r="J194" s="204">
        <f>IF($H194="USD",IF(OR($I194="",$I194="-"),"",VLOOKUP($G194,為替!$A:$AX,$I194,FALSE))+$J$3,IF(OR($I194="",$I194="-"),"",VLOOKUP($G194,為替!$A:$AX,$I194,FALSE)))</f>
        <v>158.12</v>
      </c>
      <c r="K194" s="205">
        <f t="shared" si="17"/>
        <v>411665.42</v>
      </c>
      <c r="L194" s="189">
        <f t="shared" si="19"/>
        <v>3</v>
      </c>
      <c r="M194" s="204">
        <f>IF($H194="USD",IF(OR($L194="",$L194="-"),"",VLOOKUP($G194,為替!$A:$AX,$L194,FALSE))+$K$3,IF(OR($L194="",$L194="-"),"",VLOOKUP($G194,為替!$A:$AX,$L194,FALSE)))</f>
        <v>159.12</v>
      </c>
      <c r="N194" s="205">
        <f t="shared" si="18"/>
        <v>275116</v>
      </c>
      <c r="O194" s="206">
        <f t="shared" si="20"/>
        <v>136549.41999999998</v>
      </c>
      <c r="P194" s="207">
        <f t="shared" si="21"/>
        <v>0.33170000045182318</v>
      </c>
    </row>
    <row r="195" spans="1:16">
      <c r="A195" s="163" t="s">
        <v>343</v>
      </c>
      <c r="B195" s="163" t="s">
        <v>541</v>
      </c>
      <c r="C195" s="200">
        <v>32835</v>
      </c>
      <c r="D195" s="201">
        <v>0</v>
      </c>
      <c r="E195" s="202" t="s">
        <v>200</v>
      </c>
      <c r="F195" s="200">
        <v>401.59</v>
      </c>
      <c r="G195" s="162">
        <v>46049</v>
      </c>
      <c r="H195" s="203" t="s">
        <v>199</v>
      </c>
      <c r="I195" s="186">
        <f t="shared" si="16"/>
        <v>4</v>
      </c>
      <c r="J195" s="204">
        <f>IF($H195="USD",IF(OR($I195="",$I195="-"),"",VLOOKUP($G195,為替!$A:$AX,$I195,FALSE))+$J$3,IF(OR($I195="",$I195="-"),"",VLOOKUP($G195,為替!$A:$AX,$I195,FALSE)))</f>
        <v>153.83000000000001</v>
      </c>
      <c r="K195" s="205">
        <f t="shared" si="17"/>
        <v>61776.589700000004</v>
      </c>
      <c r="L195" s="189">
        <f t="shared" si="19"/>
        <v>3</v>
      </c>
      <c r="M195" s="204">
        <f>IF($H195="USD",IF(OR($L195="",$L195="-"),"",VLOOKUP($G195,為替!$A:$AX,$L195,FALSE))+$K$3,IF(OR($L195="",$L195="-"),"",VLOOKUP($G195,為替!$A:$AX,$L195,FALSE)))</f>
        <v>154.83000000000001</v>
      </c>
      <c r="N195" s="205">
        <f t="shared" si="18"/>
        <v>32835</v>
      </c>
      <c r="O195" s="206">
        <f t="shared" si="20"/>
        <v>28941.589700000004</v>
      </c>
      <c r="P195" s="207">
        <f t="shared" si="21"/>
        <v>0.46848797967881356</v>
      </c>
    </row>
    <row r="196" spans="1:16">
      <c r="A196" s="163" t="s">
        <v>343</v>
      </c>
      <c r="B196" s="163" t="s">
        <v>542</v>
      </c>
      <c r="C196" s="200">
        <v>315000</v>
      </c>
      <c r="D196" s="201">
        <v>0</v>
      </c>
      <c r="E196" s="202" t="s">
        <v>200</v>
      </c>
      <c r="F196" s="200">
        <v>3630</v>
      </c>
      <c r="G196" s="162">
        <v>46051</v>
      </c>
      <c r="H196" s="203" t="s">
        <v>199</v>
      </c>
      <c r="I196" s="186">
        <f t="shared" si="16"/>
        <v>4</v>
      </c>
      <c r="J196" s="204">
        <f>IF($H196="USD",IF(OR($I196="",$I196="-"),"",VLOOKUP($G196,為替!$A:$AX,$I196,FALSE))+$J$3,IF(OR($I196="",$I196="-"),"",VLOOKUP($G196,為替!$A:$AX,$I196,FALSE)))</f>
        <v>152.65</v>
      </c>
      <c r="K196" s="205">
        <f t="shared" si="17"/>
        <v>554119.5</v>
      </c>
      <c r="L196" s="189">
        <f t="shared" si="19"/>
        <v>3</v>
      </c>
      <c r="M196" s="204">
        <f>IF($H196="USD",IF(OR($L196="",$L196="-"),"",VLOOKUP($G196,為替!$A:$AX,$L196,FALSE))+$K$3,IF(OR($L196="",$L196="-"),"",VLOOKUP($G196,為替!$A:$AX,$L196,FALSE)))</f>
        <v>153.65</v>
      </c>
      <c r="N196" s="205">
        <f t="shared" si="18"/>
        <v>315000</v>
      </c>
      <c r="O196" s="206">
        <f t="shared" si="20"/>
        <v>239119.5</v>
      </c>
      <c r="P196" s="207">
        <f t="shared" si="21"/>
        <v>0.43153056335321172</v>
      </c>
    </row>
    <row r="197" spans="1:16">
      <c r="A197" s="163" t="s">
        <v>343</v>
      </c>
      <c r="B197" s="163" t="s">
        <v>543</v>
      </c>
      <c r="C197" s="200">
        <v>87331</v>
      </c>
      <c r="D197" s="201">
        <v>43145</v>
      </c>
      <c r="E197" s="202" t="s">
        <v>200</v>
      </c>
      <c r="F197" s="200">
        <v>1476.08</v>
      </c>
      <c r="G197" s="162">
        <v>46052</v>
      </c>
      <c r="H197" s="203" t="s">
        <v>199</v>
      </c>
      <c r="I197" s="186">
        <f t="shared" si="16"/>
        <v>4</v>
      </c>
      <c r="J197" s="204">
        <f>IF($H197="USD",IF(OR($I197="",$I197="-"),"",VLOOKUP($G197,為替!$A:$AX,$I197,FALSE))+$J$3,IF(OR($I197="",$I197="-"),"",VLOOKUP($G197,為替!$A:$AX,$I197,FALSE)))</f>
        <v>153.16</v>
      </c>
      <c r="K197" s="205">
        <f t="shared" si="17"/>
        <v>226076.41279999999</v>
      </c>
      <c r="L197" s="189">
        <f t="shared" si="19"/>
        <v>3</v>
      </c>
      <c r="M197" s="204">
        <f>IF($H197="USD",IF(OR($L197="",$L197="-"),"",VLOOKUP($G197,為替!$A:$AX,$L197,FALSE))+$K$3,IF(OR($L197="",$L197="-"),"",VLOOKUP($G197,為替!$A:$AX,$L197,FALSE)))</f>
        <v>154.16</v>
      </c>
      <c r="N197" s="205">
        <f t="shared" si="18"/>
        <v>130476</v>
      </c>
      <c r="O197" s="206">
        <f t="shared" si="20"/>
        <v>95600.412799999991</v>
      </c>
      <c r="P197" s="207">
        <f t="shared" si="21"/>
        <v>0.42286770042027133</v>
      </c>
    </row>
    <row r="198" spans="1:16">
      <c r="A198" s="163" t="s">
        <v>343</v>
      </c>
      <c r="B198" s="163" t="s">
        <v>544</v>
      </c>
      <c r="C198" s="200">
        <v>18000</v>
      </c>
      <c r="D198" s="201">
        <v>0</v>
      </c>
      <c r="E198" s="202" t="s">
        <v>200</v>
      </c>
      <c r="F198" s="200">
        <v>170.46</v>
      </c>
      <c r="G198" s="162">
        <v>46048</v>
      </c>
      <c r="H198" s="203" t="s">
        <v>199</v>
      </c>
      <c r="I198" s="186">
        <f t="shared" si="16"/>
        <v>4</v>
      </c>
      <c r="J198" s="204">
        <f>IF($H198="USD",IF(OR($I198="",$I198="-"),"",VLOOKUP($G198,為替!$A:$AX,$I198,FALSE))+$J$3,IF(OR($I198="",$I198="-"),"",VLOOKUP($G198,為替!$A:$AX,$I198,FALSE)))</f>
        <v>154.35</v>
      </c>
      <c r="K198" s="205">
        <f t="shared" si="17"/>
        <v>26310.501</v>
      </c>
      <c r="L198" s="189">
        <f t="shared" si="19"/>
        <v>3</v>
      </c>
      <c r="M198" s="204">
        <f>IF($H198="USD",IF(OR($L198="",$L198="-"),"",VLOOKUP($G198,為替!$A:$AX,$L198,FALSE))+$K$3,IF(OR($L198="",$L198="-"),"",VLOOKUP($G198,為替!$A:$AX,$L198,FALSE)))</f>
        <v>155.35</v>
      </c>
      <c r="N198" s="205">
        <f t="shared" si="18"/>
        <v>18000</v>
      </c>
      <c r="O198" s="206">
        <f t="shared" si="20"/>
        <v>8310.5010000000002</v>
      </c>
      <c r="P198" s="207">
        <f t="shared" si="21"/>
        <v>0.31586251436261137</v>
      </c>
    </row>
    <row r="199" spans="1:16">
      <c r="A199" s="163" t="s">
        <v>344</v>
      </c>
      <c r="B199" s="163">
        <v>7817</v>
      </c>
      <c r="C199" s="200">
        <v>171140</v>
      </c>
      <c r="D199" s="201">
        <v>13748</v>
      </c>
      <c r="E199" s="202" t="s">
        <v>200</v>
      </c>
      <c r="F199" s="200">
        <v>2203.1999999999998</v>
      </c>
      <c r="G199" s="162">
        <v>46050</v>
      </c>
      <c r="H199" s="203" t="s">
        <v>199</v>
      </c>
      <c r="I199" s="186">
        <f t="shared" ref="I199:I262" si="22">IF(H199="","",IF(H199="JPY","",IF($H199="USD",4, IF(H199="EUR",7,IF(H199="CNY",47,IF(H199="HKD",34))))))</f>
        <v>4</v>
      </c>
      <c r="J199" s="204">
        <f>IF($H199="USD",IF(OR($I199="",$I199="-"),"",VLOOKUP($G199,為替!$A:$AX,$I199,FALSE))+$J$3,IF(OR($I199="",$I199="-"),"",VLOOKUP($G199,為替!$A:$AX,$I199,FALSE)))</f>
        <v>151.97</v>
      </c>
      <c r="K199" s="205">
        <f t="shared" ref="K199:K262" si="23">IF($H199="JPY",$F199,IF($H199="","",$F199*$J199))</f>
        <v>334820.30399999995</v>
      </c>
      <c r="L199" s="189">
        <f t="shared" si="19"/>
        <v>3</v>
      </c>
      <c r="M199" s="204">
        <f>IF($H199="USD",IF(OR($L199="",$L199="-"),"",VLOOKUP($G199,為替!$A:$AX,$L199,FALSE))+$K$3,IF(OR($L199="",$L199="-"),"",VLOOKUP($G199,為替!$A:$AX,$L199,FALSE)))</f>
        <v>152.97</v>
      </c>
      <c r="N199" s="205">
        <f t="shared" ref="N199:N262" si="24">IF($E199="JPY",($C199+$D199),IF($E199="","",($C199+$D199)*$M199))</f>
        <v>184888</v>
      </c>
      <c r="O199" s="206">
        <f t="shared" si="20"/>
        <v>149932.30399999995</v>
      </c>
      <c r="P199" s="207">
        <f t="shared" si="21"/>
        <v>0.44779931864586076</v>
      </c>
    </row>
    <row r="200" spans="1:16">
      <c r="A200" s="163" t="s">
        <v>332</v>
      </c>
      <c r="B200" s="163">
        <v>7745</v>
      </c>
      <c r="C200" s="200">
        <v>9200</v>
      </c>
      <c r="D200" s="201">
        <v>0</v>
      </c>
      <c r="E200" s="202" t="s">
        <v>200</v>
      </c>
      <c r="F200" s="200">
        <v>144</v>
      </c>
      <c r="G200" s="162">
        <v>46038</v>
      </c>
      <c r="H200" s="203" t="s">
        <v>365</v>
      </c>
      <c r="I200" s="186">
        <f t="shared" si="22"/>
        <v>7</v>
      </c>
      <c r="J200" s="204">
        <f>IF($H200="USD",IF(OR($I200="",$I200="-"),"",VLOOKUP($G200,為替!$A:$AX,$I200,FALSE))+$J$3,IF(OR($I200="",$I200="-"),"",VLOOKUP($G200,為替!$A:$AX,$I200,FALSE)))</f>
        <v>0</v>
      </c>
      <c r="K200" s="205">
        <f t="shared" si="23"/>
        <v>0</v>
      </c>
      <c r="L200" s="189">
        <f t="shared" si="19"/>
        <v>6</v>
      </c>
      <c r="M200" s="204">
        <f>IF($H200="USD",IF(OR($L200="",$L200="-"),"",VLOOKUP($G200,為替!$A:$AX,$L200,FALSE))+$K$3,IF(OR($L200="",$L200="-"),"",VLOOKUP($G200,為替!$A:$AX,$L200,FALSE)))</f>
        <v>0</v>
      </c>
      <c r="N200" s="205">
        <f t="shared" si="24"/>
        <v>9200</v>
      </c>
      <c r="O200" s="206">
        <f t="shared" si="20"/>
        <v>-9200</v>
      </c>
      <c r="P200" s="207" t="e">
        <f t="shared" si="21"/>
        <v>#DIV/0!</v>
      </c>
    </row>
    <row r="201" spans="1:16">
      <c r="A201" s="163" t="s">
        <v>332</v>
      </c>
      <c r="B201" s="163">
        <v>7821</v>
      </c>
      <c r="C201" s="200">
        <v>64880</v>
      </c>
      <c r="D201" s="201">
        <v>0</v>
      </c>
      <c r="E201" s="202" t="s">
        <v>200</v>
      </c>
      <c r="F201" s="200">
        <v>1032</v>
      </c>
      <c r="G201" s="162">
        <v>46050</v>
      </c>
      <c r="H201" s="203" t="s">
        <v>199</v>
      </c>
      <c r="I201" s="186">
        <f t="shared" si="22"/>
        <v>4</v>
      </c>
      <c r="J201" s="204">
        <f>IF($H201="USD",IF(OR($I201="",$I201="-"),"",VLOOKUP($G201,為替!$A:$AX,$I201,FALSE))+$J$3,IF(OR($I201="",$I201="-"),"",VLOOKUP($G201,為替!$A:$AX,$I201,FALSE)))</f>
        <v>151.97</v>
      </c>
      <c r="K201" s="205">
        <f t="shared" si="23"/>
        <v>156833.04</v>
      </c>
      <c r="L201" s="189">
        <f t="shared" si="19"/>
        <v>3</v>
      </c>
      <c r="M201" s="204">
        <f>IF($H201="USD",IF(OR($L201="",$L201="-"),"",VLOOKUP($G201,為替!$A:$AX,$L201,FALSE))+$K$3,IF(OR($L201="",$L201="-"),"",VLOOKUP($G201,為替!$A:$AX,$L201,FALSE)))</f>
        <v>152.97</v>
      </c>
      <c r="N201" s="205">
        <f t="shared" si="24"/>
        <v>64880</v>
      </c>
      <c r="O201" s="206">
        <f t="shared" si="20"/>
        <v>91953.040000000008</v>
      </c>
      <c r="P201" s="207">
        <f t="shared" si="21"/>
        <v>0.58631165983902378</v>
      </c>
    </row>
    <row r="202" spans="1:16">
      <c r="A202" s="163" t="s">
        <v>343</v>
      </c>
      <c r="B202" s="163" t="s">
        <v>547</v>
      </c>
      <c r="C202" s="200">
        <v>14340</v>
      </c>
      <c r="D202" s="201">
        <v>0</v>
      </c>
      <c r="E202" s="202" t="s">
        <v>200</v>
      </c>
      <c r="F202" s="200">
        <v>176.64</v>
      </c>
      <c r="G202" s="162">
        <v>46055</v>
      </c>
      <c r="H202" s="203" t="s">
        <v>199</v>
      </c>
      <c r="I202" s="186">
        <f t="shared" si="22"/>
        <v>4</v>
      </c>
      <c r="J202" s="204">
        <f>IF($H202="USD",IF(OR($I202="",$I202="-"),"",VLOOKUP($G202,為替!$A:$AX,$I202,FALSE))+$J$3,IF(OR($I202="",$I202="-"),"",VLOOKUP($G202,為替!$A:$AX,$I202,FALSE)))</f>
        <v>154.79</v>
      </c>
      <c r="K202" s="205">
        <f t="shared" si="23"/>
        <v>27342.105599999995</v>
      </c>
      <c r="L202" s="189">
        <f t="shared" si="19"/>
        <v>3</v>
      </c>
      <c r="M202" s="204">
        <f>IF($H202="USD",IF(OR($L202="",$L202="-"),"",VLOOKUP($G202,為替!$A:$AX,$L202,FALSE))+$K$3,IF(OR($L202="",$L202="-"),"",VLOOKUP($G202,為替!$A:$AX,$L202,FALSE)))</f>
        <v>155.79</v>
      </c>
      <c r="N202" s="205">
        <f t="shared" si="24"/>
        <v>14340</v>
      </c>
      <c r="O202" s="206">
        <f t="shared" si="20"/>
        <v>13002.105599999995</v>
      </c>
      <c r="P202" s="207">
        <f t="shared" si="21"/>
        <v>0.4755341739298965</v>
      </c>
    </row>
    <row r="203" spans="1:16">
      <c r="A203" s="163" t="s">
        <v>343</v>
      </c>
      <c r="B203" s="163" t="s">
        <v>548</v>
      </c>
      <c r="C203" s="200">
        <v>2045</v>
      </c>
      <c r="D203" s="201">
        <v>0</v>
      </c>
      <c r="E203" s="202" t="s">
        <v>200</v>
      </c>
      <c r="F203" s="200">
        <v>31.5</v>
      </c>
      <c r="G203" s="162">
        <v>46057</v>
      </c>
      <c r="H203" s="203" t="s">
        <v>199</v>
      </c>
      <c r="I203" s="186">
        <f t="shared" si="22"/>
        <v>4</v>
      </c>
      <c r="J203" s="204">
        <f>IF($H203="USD",IF(OR($I203="",$I203="-"),"",VLOOKUP($G203,為替!$A:$AX,$I203,FALSE))+$J$3,IF(OR($I203="",$I203="-"),"",VLOOKUP($G203,為替!$A:$AX,$I203,FALSE)))</f>
        <v>155.57</v>
      </c>
      <c r="K203" s="205">
        <f t="shared" si="23"/>
        <v>4900.4549999999999</v>
      </c>
      <c r="L203" s="189">
        <f t="shared" si="19"/>
        <v>3</v>
      </c>
      <c r="M203" s="204">
        <f>IF($H203="USD",IF(OR($L203="",$L203="-"),"",VLOOKUP($G203,為替!$A:$AX,$L203,FALSE))+$K$3,IF(OR($L203="",$L203="-"),"",VLOOKUP($G203,為替!$A:$AX,$L203,FALSE)))</f>
        <v>156.57</v>
      </c>
      <c r="N203" s="205">
        <f t="shared" si="24"/>
        <v>2045</v>
      </c>
      <c r="O203" s="206">
        <f t="shared" si="20"/>
        <v>2855.4549999999999</v>
      </c>
      <c r="P203" s="207">
        <f t="shared" si="21"/>
        <v>0.58269181127058611</v>
      </c>
    </row>
    <row r="204" spans="1:16">
      <c r="A204" s="163" t="s">
        <v>343</v>
      </c>
      <c r="B204" s="163" t="s">
        <v>549</v>
      </c>
      <c r="C204" s="200">
        <v>57935</v>
      </c>
      <c r="D204" s="201">
        <v>0</v>
      </c>
      <c r="E204" s="202" t="s">
        <v>200</v>
      </c>
      <c r="F204" s="200">
        <v>652.59</v>
      </c>
      <c r="G204" s="162">
        <v>46057</v>
      </c>
      <c r="H204" s="203" t="s">
        <v>199</v>
      </c>
      <c r="I204" s="186">
        <f t="shared" si="22"/>
        <v>4</v>
      </c>
      <c r="J204" s="204">
        <f>IF($H204="USD",IF(OR($I204="",$I204="-"),"",VLOOKUP($G204,為替!$A:$AX,$I204,FALSE))+$J$3,IF(OR($I204="",$I204="-"),"",VLOOKUP($G204,為替!$A:$AX,$I204,FALSE)))</f>
        <v>155.57</v>
      </c>
      <c r="K204" s="205">
        <f t="shared" si="23"/>
        <v>101523.42630000001</v>
      </c>
      <c r="L204" s="189">
        <f t="shared" si="19"/>
        <v>3</v>
      </c>
      <c r="M204" s="204">
        <f>IF($H204="USD",IF(OR($L204="",$L204="-"),"",VLOOKUP($G204,為替!$A:$AX,$L204,FALSE))+$K$3,IF(OR($L204="",$L204="-"),"",VLOOKUP($G204,為替!$A:$AX,$L204,FALSE)))</f>
        <v>156.57</v>
      </c>
      <c r="N204" s="205">
        <f t="shared" si="24"/>
        <v>57935</v>
      </c>
      <c r="O204" s="206">
        <f t="shared" si="20"/>
        <v>43588.426300000006</v>
      </c>
      <c r="P204" s="207">
        <f t="shared" si="21"/>
        <v>0.42934353073542797</v>
      </c>
    </row>
    <row r="205" spans="1:16">
      <c r="A205" s="163" t="s">
        <v>343</v>
      </c>
      <c r="B205" s="163" t="s">
        <v>550</v>
      </c>
      <c r="C205" s="200">
        <v>191700</v>
      </c>
      <c r="D205" s="201">
        <v>18316</v>
      </c>
      <c r="E205" s="202" t="s">
        <v>200</v>
      </c>
      <c r="F205" s="200">
        <v>2464.4</v>
      </c>
      <c r="G205" s="162">
        <v>46057</v>
      </c>
      <c r="H205" s="203" t="s">
        <v>199</v>
      </c>
      <c r="I205" s="186">
        <f t="shared" si="22"/>
        <v>4</v>
      </c>
      <c r="J205" s="204">
        <f>IF($H205="USD",IF(OR($I205="",$I205="-"),"",VLOOKUP($G205,為替!$A:$AX,$I205,FALSE))+$J$3,IF(OR($I205="",$I205="-"),"",VLOOKUP($G205,為替!$A:$AX,$I205,FALSE)))</f>
        <v>155.57</v>
      </c>
      <c r="K205" s="205">
        <f t="shared" si="23"/>
        <v>383386.70799999998</v>
      </c>
      <c r="L205" s="189">
        <f t="shared" si="19"/>
        <v>3</v>
      </c>
      <c r="M205" s="204">
        <f>IF($H205="USD",IF(OR($L205="",$L205="-"),"",VLOOKUP($G205,為替!$A:$AX,$L205,FALSE))+$K$3,IF(OR($L205="",$L205="-"),"",VLOOKUP($G205,為替!$A:$AX,$L205,FALSE)))</f>
        <v>156.57</v>
      </c>
      <c r="N205" s="205">
        <f t="shared" si="24"/>
        <v>210016</v>
      </c>
      <c r="O205" s="206">
        <f t="shared" si="20"/>
        <v>173370.70799999998</v>
      </c>
      <c r="P205" s="207">
        <f t="shared" si="21"/>
        <v>0.4522084474561387</v>
      </c>
    </row>
    <row r="206" spans="1:16">
      <c r="A206" s="163" t="s">
        <v>343</v>
      </c>
      <c r="B206" s="163" t="s">
        <v>551</v>
      </c>
      <c r="C206" s="200">
        <v>5280</v>
      </c>
      <c r="D206" s="201">
        <v>0</v>
      </c>
      <c r="E206" s="202" t="s">
        <v>200</v>
      </c>
      <c r="F206" s="200">
        <v>75</v>
      </c>
      <c r="G206" s="162">
        <v>46059</v>
      </c>
      <c r="H206" s="203" t="s">
        <v>199</v>
      </c>
      <c r="I206" s="186">
        <f t="shared" si="22"/>
        <v>4</v>
      </c>
      <c r="J206" s="204">
        <f>IF($H206="USD",IF(OR($I206="",$I206="-"),"",VLOOKUP($G206,為替!$A:$AX,$I206,FALSE))+$J$3,IF(OR($I206="",$I206="-"),"",VLOOKUP($G206,為替!$A:$AX,$I206,FALSE)))</f>
        <v>156.32</v>
      </c>
      <c r="K206" s="205">
        <f t="shared" si="23"/>
        <v>11724</v>
      </c>
      <c r="L206" s="189">
        <f t="shared" si="19"/>
        <v>3</v>
      </c>
      <c r="M206" s="204">
        <f>IF($H206="USD",IF(OR($L206="",$L206="-"),"",VLOOKUP($G206,為替!$A:$AX,$L206,FALSE))+$K$3,IF(OR($L206="",$L206="-"),"",VLOOKUP($G206,為替!$A:$AX,$L206,FALSE)))</f>
        <v>157.32</v>
      </c>
      <c r="N206" s="205">
        <f t="shared" si="24"/>
        <v>5280</v>
      </c>
      <c r="O206" s="206">
        <f t="shared" si="20"/>
        <v>6444</v>
      </c>
      <c r="P206" s="207">
        <f t="shared" si="21"/>
        <v>0.54964176049129987</v>
      </c>
    </row>
    <row r="207" spans="1:16">
      <c r="A207" s="163" t="s">
        <v>343</v>
      </c>
      <c r="B207" s="163" t="s">
        <v>552</v>
      </c>
      <c r="C207" s="200">
        <v>36400</v>
      </c>
      <c r="D207" s="201">
        <v>11486</v>
      </c>
      <c r="E207" s="202" t="s">
        <v>200</v>
      </c>
      <c r="F207" s="200">
        <v>459.8</v>
      </c>
      <c r="G207" s="162">
        <v>46059</v>
      </c>
      <c r="H207" s="203" t="s">
        <v>199</v>
      </c>
      <c r="I207" s="186">
        <f t="shared" si="22"/>
        <v>4</v>
      </c>
      <c r="J207" s="204">
        <f>IF($H207="USD",IF(OR($I207="",$I207="-"),"",VLOOKUP($G207,為替!$A:$AX,$I207,FALSE))+$J$3,IF(OR($I207="",$I207="-"),"",VLOOKUP($G207,為替!$A:$AX,$I207,FALSE)))</f>
        <v>156.32</v>
      </c>
      <c r="K207" s="205">
        <f t="shared" si="23"/>
        <v>71875.936000000002</v>
      </c>
      <c r="L207" s="189">
        <f t="shared" si="19"/>
        <v>3</v>
      </c>
      <c r="M207" s="204">
        <f>IF($H207="USD",IF(OR($L207="",$L207="-"),"",VLOOKUP($G207,為替!$A:$AX,$L207,FALSE))+$K$3,IF(OR($L207="",$L207="-"),"",VLOOKUP($G207,為替!$A:$AX,$L207,FALSE)))</f>
        <v>157.32</v>
      </c>
      <c r="N207" s="205">
        <f t="shared" si="24"/>
        <v>47886</v>
      </c>
      <c r="O207" s="206">
        <f t="shared" si="20"/>
        <v>23989.936000000002</v>
      </c>
      <c r="P207" s="207">
        <f t="shared" si="21"/>
        <v>0.33376867606983235</v>
      </c>
    </row>
    <row r="208" spans="1:16">
      <c r="A208" s="163" t="s">
        <v>343</v>
      </c>
      <c r="B208" s="163" t="s">
        <v>553</v>
      </c>
      <c r="C208" s="200">
        <v>11760</v>
      </c>
      <c r="D208" s="201">
        <v>0</v>
      </c>
      <c r="E208" s="202" t="s">
        <v>200</v>
      </c>
      <c r="F208" s="200">
        <v>172.4</v>
      </c>
      <c r="G208" s="162">
        <v>46065</v>
      </c>
      <c r="H208" s="203" t="s">
        <v>199</v>
      </c>
      <c r="I208" s="186">
        <f t="shared" si="22"/>
        <v>4</v>
      </c>
      <c r="J208" s="204">
        <f>IF($H208="USD",IF(OR($I208="",$I208="-"),"",VLOOKUP($G208,為替!$A:$AX,$I208,FALSE))+$J$3,IF(OR($I208="",$I208="-"),"",VLOOKUP($G208,為替!$A:$AX,$I208,FALSE)))</f>
        <v>152.83000000000001</v>
      </c>
      <c r="K208" s="205">
        <f t="shared" si="23"/>
        <v>26347.892000000003</v>
      </c>
      <c r="L208" s="189">
        <f t="shared" si="19"/>
        <v>3</v>
      </c>
      <c r="M208" s="204">
        <f>IF($H208="USD",IF(OR($L208="",$L208="-"),"",VLOOKUP($G208,為替!$A:$AX,$L208,FALSE))+$K$3,IF(OR($L208="",$L208="-"),"",VLOOKUP($G208,為替!$A:$AX,$L208,FALSE)))</f>
        <v>153.83000000000001</v>
      </c>
      <c r="N208" s="205">
        <f t="shared" si="24"/>
        <v>11760</v>
      </c>
      <c r="O208" s="206">
        <f t="shared" si="20"/>
        <v>14587.892000000003</v>
      </c>
      <c r="P208" s="207">
        <f t="shared" si="21"/>
        <v>0.55366448291195369</v>
      </c>
    </row>
    <row r="209" spans="1:16">
      <c r="A209" s="163" t="s">
        <v>343</v>
      </c>
      <c r="B209" s="163" t="s">
        <v>554</v>
      </c>
      <c r="C209" s="200">
        <v>297180</v>
      </c>
      <c r="D209" s="201">
        <v>0</v>
      </c>
      <c r="E209" s="202" t="s">
        <v>200</v>
      </c>
      <c r="F209" s="200">
        <v>3646.17</v>
      </c>
      <c r="G209" s="162">
        <v>46065</v>
      </c>
      <c r="H209" s="203" t="s">
        <v>199</v>
      </c>
      <c r="I209" s="186">
        <f t="shared" si="22"/>
        <v>4</v>
      </c>
      <c r="J209" s="204">
        <f>IF($H209="USD",IF(OR($I209="",$I209="-"),"",VLOOKUP($G209,為替!$A:$AX,$I209,FALSE))+$J$3,IF(OR($I209="",$I209="-"),"",VLOOKUP($G209,為替!$A:$AX,$I209,FALSE)))</f>
        <v>152.83000000000001</v>
      </c>
      <c r="K209" s="205">
        <f t="shared" si="23"/>
        <v>557244.16110000003</v>
      </c>
      <c r="L209" s="189">
        <f t="shared" si="19"/>
        <v>3</v>
      </c>
      <c r="M209" s="204">
        <f>IF($H209="USD",IF(OR($L209="",$L209="-"),"",VLOOKUP($G209,為替!$A:$AX,$L209,FALSE))+$K$3,IF(OR($L209="",$L209="-"),"",VLOOKUP($G209,為替!$A:$AX,$L209,FALSE)))</f>
        <v>153.83000000000001</v>
      </c>
      <c r="N209" s="205">
        <f t="shared" si="24"/>
        <v>297180</v>
      </c>
      <c r="O209" s="206">
        <f t="shared" si="20"/>
        <v>260064.16110000003</v>
      </c>
      <c r="P209" s="207">
        <f t="shared" si="21"/>
        <v>0.46669696921836445</v>
      </c>
    </row>
    <row r="210" spans="1:16">
      <c r="A210" s="163" t="s">
        <v>343</v>
      </c>
      <c r="B210" s="163" t="s">
        <v>555</v>
      </c>
      <c r="C210" s="200">
        <v>172830</v>
      </c>
      <c r="D210" s="201">
        <v>0</v>
      </c>
      <c r="E210" s="202" t="s">
        <v>200</v>
      </c>
      <c r="F210" s="200">
        <v>2213.87</v>
      </c>
      <c r="G210" s="162">
        <v>46065</v>
      </c>
      <c r="H210" s="203" t="s">
        <v>199</v>
      </c>
      <c r="I210" s="186">
        <f t="shared" si="22"/>
        <v>4</v>
      </c>
      <c r="J210" s="204">
        <f>IF($H210="USD",IF(OR($I210="",$I210="-"),"",VLOOKUP($G210,為替!$A:$AX,$I210,FALSE))+$J$3,IF(OR($I210="",$I210="-"),"",VLOOKUP($G210,為替!$A:$AX,$I210,FALSE)))</f>
        <v>152.83000000000001</v>
      </c>
      <c r="K210" s="205">
        <f t="shared" si="23"/>
        <v>338345.75209999998</v>
      </c>
      <c r="L210" s="189">
        <f t="shared" ref="L210:L273" si="25">IF(H210="","",IF(H210="JPY","",IF($H210="USD",3, IF(H210="EUR",6,IF(H210="CNY",46,IF(H210="HKD",33))))))</f>
        <v>3</v>
      </c>
      <c r="M210" s="204">
        <f>IF($H210="USD",IF(OR($L210="",$L210="-"),"",VLOOKUP($G210,為替!$A:$AX,$L210,FALSE))+$K$3,IF(OR($L210="",$L210="-"),"",VLOOKUP($G210,為替!$A:$AX,$L210,FALSE)))</f>
        <v>153.83000000000001</v>
      </c>
      <c r="N210" s="205">
        <f t="shared" si="24"/>
        <v>172830</v>
      </c>
      <c r="O210" s="206">
        <f t="shared" ref="O210:O273" si="26">IF(OR(K210="",N210=""),"",K210-N210)</f>
        <v>165515.75209999998</v>
      </c>
      <c r="P210" s="207">
        <f t="shared" ref="P210:P273" si="27">IF(OR(K210="",O210=""),"",O210/K210)</f>
        <v>0.48919116339631441</v>
      </c>
    </row>
    <row r="211" spans="1:16">
      <c r="A211" s="163" t="s">
        <v>343</v>
      </c>
      <c r="B211" s="163" t="s">
        <v>556</v>
      </c>
      <c r="C211" s="200">
        <v>18000</v>
      </c>
      <c r="D211" s="201">
        <v>0</v>
      </c>
      <c r="E211" s="202" t="s">
        <v>200</v>
      </c>
      <c r="F211" s="200">
        <v>255</v>
      </c>
      <c r="G211" s="162">
        <v>46066</v>
      </c>
      <c r="H211" s="203" t="s">
        <v>199</v>
      </c>
      <c r="I211" s="186">
        <f t="shared" si="22"/>
        <v>4</v>
      </c>
      <c r="J211" s="204">
        <f>IF($H211="USD",IF(OR($I211="",$I211="-"),"",VLOOKUP($G211,為替!$A:$AX,$I211,FALSE))+$J$3,IF(OR($I211="",$I211="-"),"",VLOOKUP($G211,為替!$A:$AX,$I211,FALSE)))</f>
        <v>152.44999999999999</v>
      </c>
      <c r="K211" s="205">
        <f t="shared" si="23"/>
        <v>38874.75</v>
      </c>
      <c r="L211" s="189">
        <f t="shared" si="25"/>
        <v>3</v>
      </c>
      <c r="M211" s="204">
        <f>IF($H211="USD",IF(OR($L211="",$L211="-"),"",VLOOKUP($G211,為替!$A:$AX,$L211,FALSE))+$K$3,IF(OR($L211="",$L211="-"),"",VLOOKUP($G211,為替!$A:$AX,$L211,FALSE)))</f>
        <v>153.44999999999999</v>
      </c>
      <c r="N211" s="205">
        <f t="shared" si="24"/>
        <v>18000</v>
      </c>
      <c r="O211" s="206">
        <f t="shared" si="26"/>
        <v>20874.75</v>
      </c>
      <c r="P211" s="207">
        <f t="shared" si="27"/>
        <v>0.5369745143055582</v>
      </c>
    </row>
    <row r="212" spans="1:16">
      <c r="A212" s="163" t="s">
        <v>343</v>
      </c>
      <c r="B212" s="163" t="s">
        <v>557</v>
      </c>
      <c r="C212" s="200">
        <v>686170</v>
      </c>
      <c r="D212" s="201">
        <v>0</v>
      </c>
      <c r="E212" s="202" t="s">
        <v>200</v>
      </c>
      <c r="F212" s="200">
        <v>6663.99</v>
      </c>
      <c r="G212" s="162">
        <v>46069</v>
      </c>
      <c r="H212" s="203" t="s">
        <v>199</v>
      </c>
      <c r="I212" s="186">
        <f t="shared" si="22"/>
        <v>4</v>
      </c>
      <c r="J212" s="204">
        <f>IF($H212="USD",IF(OR($I212="",$I212="-"),"",VLOOKUP($G212,為替!$A:$AX,$I212,FALSE))+$J$3,IF(OR($I212="",$I212="-"),"",VLOOKUP($G212,為替!$A:$AX,$I212,FALSE)))</f>
        <v>152.59</v>
      </c>
      <c r="K212" s="205">
        <f t="shared" si="23"/>
        <v>1016858.2341</v>
      </c>
      <c r="L212" s="189">
        <f t="shared" si="25"/>
        <v>3</v>
      </c>
      <c r="M212" s="204">
        <f>IF($H212="USD",IF(OR($L212="",$L212="-"),"",VLOOKUP($G212,為替!$A:$AX,$L212,FALSE))+$K$3,IF(OR($L212="",$L212="-"),"",VLOOKUP($G212,為替!$A:$AX,$L212,FALSE)))</f>
        <v>153.59</v>
      </c>
      <c r="N212" s="205">
        <f t="shared" si="24"/>
        <v>686170</v>
      </c>
      <c r="O212" s="206">
        <f t="shared" si="26"/>
        <v>330688.2341</v>
      </c>
      <c r="P212" s="207">
        <f t="shared" si="27"/>
        <v>0.32520583795309999</v>
      </c>
    </row>
    <row r="213" spans="1:16">
      <c r="A213" s="163" t="s">
        <v>343</v>
      </c>
      <c r="B213" s="163" t="s">
        <v>558</v>
      </c>
      <c r="C213" s="200">
        <v>294000</v>
      </c>
      <c r="D213" s="201">
        <v>0</v>
      </c>
      <c r="E213" s="202" t="s">
        <v>200</v>
      </c>
      <c r="F213" s="200">
        <v>3388</v>
      </c>
      <c r="G213" s="162">
        <v>46069</v>
      </c>
      <c r="H213" s="203" t="s">
        <v>199</v>
      </c>
      <c r="I213" s="186">
        <f t="shared" si="22"/>
        <v>4</v>
      </c>
      <c r="J213" s="204">
        <f>IF($H213="USD",IF(OR($I213="",$I213="-"),"",VLOOKUP($G213,為替!$A:$AX,$I213,FALSE))+$J$3,IF(OR($I213="",$I213="-"),"",VLOOKUP($G213,為替!$A:$AX,$I213,FALSE)))</f>
        <v>152.59</v>
      </c>
      <c r="K213" s="205">
        <f t="shared" si="23"/>
        <v>516974.92</v>
      </c>
      <c r="L213" s="189">
        <f t="shared" si="25"/>
        <v>3</v>
      </c>
      <c r="M213" s="204">
        <f>IF($H213="USD",IF(OR($L213="",$L213="-"),"",VLOOKUP($G213,為替!$A:$AX,$L213,FALSE))+$K$3,IF(OR($L213="",$L213="-"),"",VLOOKUP($G213,為替!$A:$AX,$L213,FALSE)))</f>
        <v>153.59</v>
      </c>
      <c r="N213" s="205">
        <f t="shared" si="24"/>
        <v>294000</v>
      </c>
      <c r="O213" s="206">
        <f t="shared" si="26"/>
        <v>222974.91999999998</v>
      </c>
      <c r="P213" s="207">
        <f t="shared" si="27"/>
        <v>0.43130703516526486</v>
      </c>
    </row>
    <row r="214" spans="1:16">
      <c r="A214" s="163" t="s">
        <v>343</v>
      </c>
      <c r="B214" s="163" t="s">
        <v>559</v>
      </c>
      <c r="C214" s="200">
        <v>64826</v>
      </c>
      <c r="D214" s="201">
        <v>0</v>
      </c>
      <c r="E214" s="202" t="s">
        <v>200</v>
      </c>
      <c r="F214" s="200">
        <v>786.1</v>
      </c>
      <c r="G214" s="162">
        <v>46072</v>
      </c>
      <c r="H214" s="203" t="s">
        <v>199</v>
      </c>
      <c r="I214" s="186">
        <f t="shared" si="22"/>
        <v>4</v>
      </c>
      <c r="J214" s="204">
        <f>IF($H214="USD",IF(OR($I214="",$I214="-"),"",VLOOKUP($G214,為替!$A:$AX,$I214,FALSE))+$J$3,IF(OR($I214="",$I214="-"),"",VLOOKUP($G214,為替!$A:$AX,$I214,FALSE)))</f>
        <v>154.29</v>
      </c>
      <c r="K214" s="205">
        <f t="shared" si="23"/>
        <v>121287.36899999999</v>
      </c>
      <c r="L214" s="189">
        <f t="shared" si="25"/>
        <v>3</v>
      </c>
      <c r="M214" s="204">
        <f>IF($H214="USD",IF(OR($L214="",$L214="-"),"",VLOOKUP($G214,為替!$A:$AX,$L214,FALSE))+$K$3,IF(OR($L214="",$L214="-"),"",VLOOKUP($G214,為替!$A:$AX,$L214,FALSE)))</f>
        <v>155.29</v>
      </c>
      <c r="N214" s="205">
        <f t="shared" si="24"/>
        <v>64826</v>
      </c>
      <c r="O214" s="206">
        <f t="shared" si="26"/>
        <v>56461.368999999992</v>
      </c>
      <c r="P214" s="207">
        <f t="shared" si="27"/>
        <v>0.46551730378453504</v>
      </c>
    </row>
    <row r="215" spans="1:16">
      <c r="A215" s="163" t="s">
        <v>343</v>
      </c>
      <c r="B215" s="163" t="s">
        <v>560</v>
      </c>
      <c r="C215" s="200">
        <v>34744</v>
      </c>
      <c r="D215" s="201">
        <v>9765</v>
      </c>
      <c r="E215" s="202" t="s">
        <v>200</v>
      </c>
      <c r="F215" s="200">
        <v>526.21</v>
      </c>
      <c r="G215" s="162">
        <v>46073</v>
      </c>
      <c r="H215" s="203" t="s">
        <v>199</v>
      </c>
      <c r="I215" s="186">
        <f t="shared" si="22"/>
        <v>4</v>
      </c>
      <c r="J215" s="204">
        <f>IF($H215="USD",IF(OR($I215="",$I215="-"),"",VLOOKUP($G215,為替!$A:$AX,$I215,FALSE))+$J$3,IF(OR($I215="",$I215="-"),"",VLOOKUP($G215,為替!$A:$AX,$I215,FALSE)))</f>
        <v>154.65</v>
      </c>
      <c r="K215" s="205">
        <f t="shared" si="23"/>
        <v>81378.376500000013</v>
      </c>
      <c r="L215" s="189">
        <f t="shared" si="25"/>
        <v>3</v>
      </c>
      <c r="M215" s="204">
        <f>IF($H215="USD",IF(OR($L215="",$L215="-"),"",VLOOKUP($G215,為替!$A:$AX,$L215,FALSE))+$K$3,IF(OR($L215="",$L215="-"),"",VLOOKUP($G215,為替!$A:$AX,$L215,FALSE)))</f>
        <v>155.65</v>
      </c>
      <c r="N215" s="205">
        <f t="shared" si="24"/>
        <v>44509</v>
      </c>
      <c r="O215" s="206">
        <f t="shared" si="26"/>
        <v>36869.376500000013</v>
      </c>
      <c r="P215" s="207">
        <f t="shared" si="27"/>
        <v>0.45306109664156308</v>
      </c>
    </row>
    <row r="216" spans="1:16">
      <c r="A216" s="163" t="s">
        <v>343</v>
      </c>
      <c r="B216" s="163" t="s">
        <v>561</v>
      </c>
      <c r="C216" s="200">
        <v>14040</v>
      </c>
      <c r="D216" s="201">
        <v>0</v>
      </c>
      <c r="E216" s="202" t="s">
        <v>200</v>
      </c>
      <c r="F216" s="200">
        <v>171.6</v>
      </c>
      <c r="G216" s="162">
        <v>46077</v>
      </c>
      <c r="H216" s="203" t="s">
        <v>199</v>
      </c>
      <c r="I216" s="186">
        <f t="shared" si="22"/>
        <v>4</v>
      </c>
      <c r="J216" s="204">
        <f>IF($H216="USD",IF(OR($I216="",$I216="-"),"",VLOOKUP($G216,為替!$A:$AX,$I216,FALSE))+$J$3,IF(OR($I216="",$I216="-"),"",VLOOKUP($G216,為替!$A:$AX,$I216,FALSE)))</f>
        <v>154.65</v>
      </c>
      <c r="K216" s="205">
        <f t="shared" si="23"/>
        <v>26537.94</v>
      </c>
      <c r="L216" s="189">
        <f t="shared" si="25"/>
        <v>3</v>
      </c>
      <c r="M216" s="204">
        <f>IF($H216="USD",IF(OR($L216="",$L216="-"),"",VLOOKUP($G216,為替!$A:$AX,$L216,FALSE))+$K$3,IF(OR($L216="",$L216="-"),"",VLOOKUP($G216,為替!$A:$AX,$L216,FALSE)))</f>
        <v>155.65</v>
      </c>
      <c r="N216" s="205">
        <f t="shared" si="24"/>
        <v>14040</v>
      </c>
      <c r="O216" s="206">
        <f t="shared" si="26"/>
        <v>12497.939999999999</v>
      </c>
      <c r="P216" s="207">
        <f t="shared" si="27"/>
        <v>0.47094612468036323</v>
      </c>
    </row>
    <row r="217" spans="1:16">
      <c r="A217" s="163" t="s">
        <v>343</v>
      </c>
      <c r="B217" s="163" t="s">
        <v>562</v>
      </c>
      <c r="C217" s="200">
        <v>16400</v>
      </c>
      <c r="D217" s="201">
        <v>0</v>
      </c>
      <c r="E217" s="202" t="s">
        <v>200</v>
      </c>
      <c r="F217" s="200">
        <v>138.08000000000001</v>
      </c>
      <c r="G217" s="162">
        <v>46077</v>
      </c>
      <c r="H217" s="203" t="s">
        <v>199</v>
      </c>
      <c r="I217" s="186">
        <f t="shared" si="22"/>
        <v>4</v>
      </c>
      <c r="J217" s="204">
        <f>IF($H217="USD",IF(OR($I217="",$I217="-"),"",VLOOKUP($G217,為替!$A:$AX,$I217,FALSE))+$J$3,IF(OR($I217="",$I217="-"),"",VLOOKUP($G217,為替!$A:$AX,$I217,FALSE)))</f>
        <v>154.65</v>
      </c>
      <c r="K217" s="205">
        <f t="shared" si="23"/>
        <v>21354.072000000004</v>
      </c>
      <c r="L217" s="189">
        <f t="shared" si="25"/>
        <v>3</v>
      </c>
      <c r="M217" s="204">
        <f>IF($H217="USD",IF(OR($L217="",$L217="-"),"",VLOOKUP($G217,為替!$A:$AX,$L217,FALSE))+$K$3,IF(OR($L217="",$L217="-"),"",VLOOKUP($G217,為替!$A:$AX,$L217,FALSE)))</f>
        <v>155.65</v>
      </c>
      <c r="N217" s="205">
        <f t="shared" si="24"/>
        <v>16400</v>
      </c>
      <c r="O217" s="206">
        <f t="shared" si="26"/>
        <v>4954.0720000000038</v>
      </c>
      <c r="P217" s="207">
        <f t="shared" si="27"/>
        <v>0.23199659530978461</v>
      </c>
    </row>
    <row r="218" spans="1:16">
      <c r="A218" s="163" t="s">
        <v>344</v>
      </c>
      <c r="B218" s="163">
        <v>7858</v>
      </c>
      <c r="C218" s="200">
        <v>337740</v>
      </c>
      <c r="D218" s="201">
        <v>24918</v>
      </c>
      <c r="E218" s="202" t="s">
        <v>200</v>
      </c>
      <c r="F218" s="200">
        <v>3993.3</v>
      </c>
      <c r="G218" s="162">
        <v>46063</v>
      </c>
      <c r="H218" s="203" t="s">
        <v>199</v>
      </c>
      <c r="I218" s="186">
        <f t="shared" si="22"/>
        <v>4</v>
      </c>
      <c r="J218" s="204">
        <f>IF($H218="USD",IF(OR($I218="",$I218="-"),"",VLOOKUP($G218,為替!$A:$AX,$I218,FALSE))+$J$3,IF(OR($I218="",$I218="-"),"",VLOOKUP($G218,為替!$A:$AX,$I218,FALSE)))</f>
        <v>155.66999999999999</v>
      </c>
      <c r="K218" s="205">
        <f t="shared" si="23"/>
        <v>621637.01099999994</v>
      </c>
      <c r="L218" s="189">
        <f t="shared" si="25"/>
        <v>3</v>
      </c>
      <c r="M218" s="204">
        <f>IF($H218="USD",IF(OR($L218="",$L218="-"),"",VLOOKUP($G218,為替!$A:$AX,$L218,FALSE))+$K$3,IF(OR($L218="",$L218="-"),"",VLOOKUP($G218,為替!$A:$AX,$L218,FALSE)))</f>
        <v>156.66999999999999</v>
      </c>
      <c r="N218" s="205">
        <f t="shared" si="24"/>
        <v>362658</v>
      </c>
      <c r="O218" s="206">
        <f t="shared" si="26"/>
        <v>258979.01099999994</v>
      </c>
      <c r="P218" s="207">
        <f t="shared" si="27"/>
        <v>0.41660809510584301</v>
      </c>
    </row>
    <row r="219" spans="1:16">
      <c r="A219" s="163" t="s">
        <v>332</v>
      </c>
      <c r="B219" s="163">
        <v>7832</v>
      </c>
      <c r="C219" s="200">
        <v>279760</v>
      </c>
      <c r="D219" s="201">
        <v>0</v>
      </c>
      <c r="E219" s="202" t="s">
        <v>200</v>
      </c>
      <c r="F219" s="200">
        <v>3351.85</v>
      </c>
      <c r="G219" s="162">
        <v>46059</v>
      </c>
      <c r="H219" s="203" t="s">
        <v>365</v>
      </c>
      <c r="I219" s="186">
        <f t="shared" si="22"/>
        <v>7</v>
      </c>
      <c r="J219" s="204">
        <f>IF($H219="USD",IF(OR($I219="",$I219="-"),"",VLOOKUP($G219,為替!$A:$AX,$I219,FALSE))+$J$3,IF(OR($I219="",$I219="-"),"",VLOOKUP($G219,為替!$A:$AX,$I219,FALSE)))</f>
        <v>0</v>
      </c>
      <c r="K219" s="205">
        <f t="shared" si="23"/>
        <v>0</v>
      </c>
      <c r="L219" s="189">
        <f t="shared" si="25"/>
        <v>6</v>
      </c>
      <c r="M219" s="204">
        <f>IF($H219="USD",IF(OR($L219="",$L219="-"),"",VLOOKUP($G219,為替!$A:$AX,$L219,FALSE))+$K$3,IF(OR($L219="",$L219="-"),"",VLOOKUP($G219,為替!$A:$AX,$L219,FALSE)))</f>
        <v>0</v>
      </c>
      <c r="N219" s="205">
        <f t="shared" si="24"/>
        <v>279760</v>
      </c>
      <c r="O219" s="206">
        <f t="shared" si="26"/>
        <v>-279760</v>
      </c>
      <c r="P219" s="207" t="e">
        <f t="shared" si="27"/>
        <v>#DIV/0!</v>
      </c>
    </row>
    <row r="220" spans="1:16">
      <c r="A220" s="163" t="s">
        <v>332</v>
      </c>
      <c r="B220" s="163">
        <v>7889</v>
      </c>
      <c r="C220" s="200">
        <v>20600</v>
      </c>
      <c r="D220" s="201">
        <v>0</v>
      </c>
      <c r="E220" s="202" t="s">
        <v>200</v>
      </c>
      <c r="F220" s="200">
        <v>261</v>
      </c>
      <c r="G220" s="162">
        <v>46070</v>
      </c>
      <c r="H220" s="203" t="s">
        <v>365</v>
      </c>
      <c r="I220" s="186">
        <f t="shared" si="22"/>
        <v>7</v>
      </c>
      <c r="J220" s="204">
        <f>IF($H220="USD",IF(OR($I220="",$I220="-"),"",VLOOKUP($G220,為替!$A:$AX,$I220,FALSE))+$J$3,IF(OR($I220="",$I220="-"),"",VLOOKUP($G220,為替!$A:$AX,$I220,FALSE)))</f>
        <v>0</v>
      </c>
      <c r="K220" s="205">
        <f t="shared" si="23"/>
        <v>0</v>
      </c>
      <c r="L220" s="189">
        <f t="shared" si="25"/>
        <v>6</v>
      </c>
      <c r="M220" s="204">
        <f>IF($H220="USD",IF(OR($L220="",$L220="-"),"",VLOOKUP($G220,為替!$A:$AX,$L220,FALSE))+$K$3,IF(OR($L220="",$L220="-"),"",VLOOKUP($G220,為替!$A:$AX,$L220,FALSE)))</f>
        <v>0</v>
      </c>
      <c r="N220" s="205">
        <f t="shared" si="24"/>
        <v>20600</v>
      </c>
      <c r="O220" s="206">
        <f t="shared" si="26"/>
        <v>-20600</v>
      </c>
      <c r="P220" s="207" t="e">
        <f t="shared" si="27"/>
        <v>#DIV/0!</v>
      </c>
    </row>
    <row r="221" spans="1:16">
      <c r="C221" s="200"/>
      <c r="D221" s="201"/>
      <c r="E221" s="202"/>
      <c r="F221" s="200"/>
      <c r="H221" s="203"/>
      <c r="I221" s="186" t="str">
        <f t="shared" si="22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3"/>
        <v/>
      </c>
      <c r="L221" s="189" t="str">
        <f t="shared" si="25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4"/>
        <v/>
      </c>
      <c r="O221" s="206" t="str">
        <f t="shared" si="26"/>
        <v/>
      </c>
      <c r="P221" s="207" t="str">
        <f t="shared" si="27"/>
        <v/>
      </c>
    </row>
    <row r="222" spans="1:16">
      <c r="C222" s="200"/>
      <c r="D222" s="201"/>
      <c r="E222" s="202"/>
      <c r="F222" s="200"/>
      <c r="H222" s="203"/>
      <c r="I222" s="186" t="str">
        <f t="shared" si="22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3"/>
        <v/>
      </c>
      <c r="L222" s="189" t="str">
        <f t="shared" si="25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4"/>
        <v/>
      </c>
      <c r="O222" s="206" t="str">
        <f t="shared" si="26"/>
        <v/>
      </c>
      <c r="P222" s="207" t="str">
        <f t="shared" si="27"/>
        <v/>
      </c>
    </row>
    <row r="223" spans="1:16">
      <c r="C223" s="200"/>
      <c r="D223" s="201"/>
      <c r="E223" s="202"/>
      <c r="F223" s="200"/>
      <c r="H223" s="203"/>
      <c r="I223" s="186" t="str">
        <f t="shared" si="22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3"/>
        <v/>
      </c>
      <c r="L223" s="189" t="str">
        <f t="shared" si="25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4"/>
        <v/>
      </c>
      <c r="O223" s="206" t="str">
        <f t="shared" si="26"/>
        <v/>
      </c>
      <c r="P223" s="207" t="str">
        <f t="shared" si="27"/>
        <v/>
      </c>
    </row>
    <row r="224" spans="1:16">
      <c r="C224" s="200"/>
      <c r="D224" s="201"/>
      <c r="E224" s="202"/>
      <c r="F224" s="200"/>
      <c r="H224" s="203"/>
      <c r="I224" s="186" t="str">
        <f t="shared" si="22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3"/>
        <v/>
      </c>
      <c r="L224" s="189" t="str">
        <f t="shared" si="25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4"/>
        <v/>
      </c>
      <c r="O224" s="206" t="str">
        <f t="shared" si="26"/>
        <v/>
      </c>
      <c r="P224" s="207" t="str">
        <f t="shared" si="27"/>
        <v/>
      </c>
    </row>
    <row r="225" spans="3:16">
      <c r="C225" s="200"/>
      <c r="D225" s="201"/>
      <c r="E225" s="202"/>
      <c r="F225" s="200"/>
      <c r="H225" s="203"/>
      <c r="I225" s="186" t="str">
        <f t="shared" si="22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3"/>
        <v/>
      </c>
      <c r="L225" s="189" t="str">
        <f t="shared" si="25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4"/>
        <v/>
      </c>
      <c r="O225" s="206" t="str">
        <f t="shared" si="26"/>
        <v/>
      </c>
      <c r="P225" s="207" t="str">
        <f t="shared" si="27"/>
        <v/>
      </c>
    </row>
    <row r="226" spans="3:16">
      <c r="C226" s="200"/>
      <c r="D226" s="201"/>
      <c r="E226" s="202"/>
      <c r="F226" s="200"/>
      <c r="H226" s="203"/>
      <c r="I226" s="186" t="str">
        <f t="shared" si="22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3"/>
        <v/>
      </c>
      <c r="L226" s="189" t="str">
        <f t="shared" si="25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4"/>
        <v/>
      </c>
      <c r="O226" s="206" t="str">
        <f t="shared" si="26"/>
        <v/>
      </c>
      <c r="P226" s="207" t="str">
        <f t="shared" si="27"/>
        <v/>
      </c>
    </row>
    <row r="227" spans="3:16">
      <c r="C227" s="200"/>
      <c r="D227" s="201"/>
      <c r="E227" s="202"/>
      <c r="F227" s="200"/>
      <c r="H227" s="203"/>
      <c r="I227" s="186" t="str">
        <f t="shared" si="22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3"/>
        <v/>
      </c>
      <c r="L227" s="189" t="str">
        <f t="shared" si="25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4"/>
        <v/>
      </c>
      <c r="O227" s="206" t="str">
        <f t="shared" si="26"/>
        <v/>
      </c>
      <c r="P227" s="207" t="str">
        <f t="shared" si="27"/>
        <v/>
      </c>
    </row>
    <row r="228" spans="3:16">
      <c r="C228" s="200"/>
      <c r="D228" s="201"/>
      <c r="E228" s="202"/>
      <c r="F228" s="200"/>
      <c r="H228" s="203"/>
      <c r="I228" s="186" t="str">
        <f t="shared" si="22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3"/>
        <v/>
      </c>
      <c r="L228" s="189" t="str">
        <f t="shared" si="25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4"/>
        <v/>
      </c>
      <c r="O228" s="206" t="str">
        <f t="shared" si="26"/>
        <v/>
      </c>
      <c r="P228" s="207" t="str">
        <f t="shared" si="27"/>
        <v/>
      </c>
    </row>
    <row r="229" spans="3:16">
      <c r="C229" s="200"/>
      <c r="D229" s="201"/>
      <c r="E229" s="202"/>
      <c r="F229" s="200"/>
      <c r="H229" s="203"/>
      <c r="I229" s="186" t="str">
        <f t="shared" si="22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3"/>
        <v/>
      </c>
      <c r="L229" s="189" t="str">
        <f t="shared" si="25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4"/>
        <v/>
      </c>
      <c r="O229" s="206" t="str">
        <f t="shared" si="26"/>
        <v/>
      </c>
      <c r="P229" s="207" t="str">
        <f t="shared" si="27"/>
        <v/>
      </c>
    </row>
    <row r="230" spans="3:16">
      <c r="C230" s="200"/>
      <c r="D230" s="201"/>
      <c r="E230" s="202"/>
      <c r="F230" s="200"/>
      <c r="H230" s="203"/>
      <c r="I230" s="186" t="str">
        <f t="shared" si="22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3"/>
        <v/>
      </c>
      <c r="L230" s="189" t="str">
        <f t="shared" si="25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4"/>
        <v/>
      </c>
      <c r="O230" s="206" t="str">
        <f t="shared" si="26"/>
        <v/>
      </c>
      <c r="P230" s="207" t="str">
        <f t="shared" si="27"/>
        <v/>
      </c>
    </row>
    <row r="231" spans="3:16">
      <c r="C231" s="200"/>
      <c r="D231" s="201"/>
      <c r="E231" s="202"/>
      <c r="F231" s="200"/>
      <c r="H231" s="203"/>
      <c r="I231" s="186" t="str">
        <f t="shared" si="22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3"/>
        <v/>
      </c>
      <c r="L231" s="189" t="str">
        <f t="shared" si="25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4"/>
        <v/>
      </c>
      <c r="O231" s="206" t="str">
        <f t="shared" si="26"/>
        <v/>
      </c>
      <c r="P231" s="207" t="str">
        <f t="shared" si="27"/>
        <v/>
      </c>
    </row>
    <row r="232" spans="3:16">
      <c r="C232" s="200"/>
      <c r="D232" s="201"/>
      <c r="E232" s="202"/>
      <c r="F232" s="200"/>
      <c r="H232" s="203"/>
      <c r="I232" s="186" t="str">
        <f t="shared" si="22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3"/>
        <v/>
      </c>
      <c r="L232" s="189" t="str">
        <f t="shared" si="25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4"/>
        <v/>
      </c>
      <c r="O232" s="206" t="str">
        <f t="shared" si="26"/>
        <v/>
      </c>
      <c r="P232" s="207" t="str">
        <f t="shared" si="27"/>
        <v/>
      </c>
    </row>
    <row r="233" spans="3:16">
      <c r="C233" s="200"/>
      <c r="D233" s="201"/>
      <c r="E233" s="202"/>
      <c r="F233" s="200"/>
      <c r="H233" s="203"/>
      <c r="I233" s="186" t="str">
        <f t="shared" si="22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3"/>
        <v/>
      </c>
      <c r="L233" s="189" t="str">
        <f t="shared" si="25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4"/>
        <v/>
      </c>
      <c r="O233" s="206" t="str">
        <f t="shared" si="26"/>
        <v/>
      </c>
      <c r="P233" s="207" t="str">
        <f t="shared" si="27"/>
        <v/>
      </c>
    </row>
    <row r="234" spans="3:16">
      <c r="C234" s="200"/>
      <c r="D234" s="201"/>
      <c r="E234" s="202"/>
      <c r="F234" s="200"/>
      <c r="H234" s="203"/>
      <c r="I234" s="186" t="str">
        <f t="shared" si="22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3"/>
        <v/>
      </c>
      <c r="L234" s="189" t="str">
        <f t="shared" si="25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4"/>
        <v/>
      </c>
      <c r="O234" s="206" t="str">
        <f t="shared" si="26"/>
        <v/>
      </c>
      <c r="P234" s="207" t="str">
        <f t="shared" si="27"/>
        <v/>
      </c>
    </row>
    <row r="235" spans="3:16">
      <c r="C235" s="200"/>
      <c r="D235" s="201"/>
      <c r="E235" s="202"/>
      <c r="F235" s="200"/>
      <c r="H235" s="203"/>
      <c r="I235" s="186" t="str">
        <f t="shared" si="22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3"/>
        <v/>
      </c>
      <c r="L235" s="189" t="str">
        <f t="shared" si="25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4"/>
        <v/>
      </c>
      <c r="O235" s="206" t="str">
        <f t="shared" si="26"/>
        <v/>
      </c>
      <c r="P235" s="207" t="str">
        <f t="shared" si="27"/>
        <v/>
      </c>
    </row>
    <row r="236" spans="3:16">
      <c r="C236" s="200"/>
      <c r="D236" s="201"/>
      <c r="E236" s="202"/>
      <c r="F236" s="200"/>
      <c r="H236" s="203"/>
      <c r="I236" s="186" t="str">
        <f t="shared" si="22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3"/>
        <v/>
      </c>
      <c r="L236" s="189" t="str">
        <f t="shared" si="25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4"/>
        <v/>
      </c>
      <c r="O236" s="206" t="str">
        <f t="shared" si="26"/>
        <v/>
      </c>
      <c r="P236" s="207" t="str">
        <f t="shared" si="27"/>
        <v/>
      </c>
    </row>
    <row r="237" spans="3:16">
      <c r="C237" s="200"/>
      <c r="D237" s="201"/>
      <c r="E237" s="202"/>
      <c r="F237" s="200"/>
      <c r="H237" s="203"/>
      <c r="I237" s="186" t="str">
        <f t="shared" si="22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3"/>
        <v/>
      </c>
      <c r="L237" s="189" t="str">
        <f t="shared" si="25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4"/>
        <v/>
      </c>
      <c r="O237" s="206" t="str">
        <f t="shared" si="26"/>
        <v/>
      </c>
      <c r="P237" s="207" t="str">
        <f t="shared" si="27"/>
        <v/>
      </c>
    </row>
    <row r="238" spans="3:16">
      <c r="C238" s="200"/>
      <c r="D238" s="201"/>
      <c r="E238" s="202"/>
      <c r="F238" s="200"/>
      <c r="H238" s="203"/>
      <c r="I238" s="186" t="str">
        <f t="shared" si="22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3"/>
        <v/>
      </c>
      <c r="L238" s="189" t="str">
        <f t="shared" si="25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4"/>
        <v/>
      </c>
      <c r="O238" s="206" t="str">
        <f t="shared" si="26"/>
        <v/>
      </c>
      <c r="P238" s="207" t="str">
        <f t="shared" si="27"/>
        <v/>
      </c>
    </row>
    <row r="239" spans="3:16">
      <c r="C239" s="200"/>
      <c r="D239" s="201"/>
      <c r="E239" s="202"/>
      <c r="F239" s="200"/>
      <c r="H239" s="203"/>
      <c r="I239" s="186" t="str">
        <f t="shared" si="22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3"/>
        <v/>
      </c>
      <c r="L239" s="189" t="str">
        <f t="shared" si="25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4"/>
        <v/>
      </c>
      <c r="O239" s="206" t="str">
        <f t="shared" si="26"/>
        <v/>
      </c>
      <c r="P239" s="207" t="str">
        <f t="shared" si="27"/>
        <v/>
      </c>
    </row>
    <row r="240" spans="3:16">
      <c r="C240" s="200"/>
      <c r="D240" s="201"/>
      <c r="E240" s="202"/>
      <c r="F240" s="200"/>
      <c r="H240" s="203"/>
      <c r="I240" s="186" t="str">
        <f t="shared" si="22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3"/>
        <v/>
      </c>
      <c r="L240" s="189" t="str">
        <f t="shared" si="25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4"/>
        <v/>
      </c>
      <c r="O240" s="206" t="str">
        <f t="shared" si="26"/>
        <v/>
      </c>
      <c r="P240" s="207" t="str">
        <f t="shared" si="27"/>
        <v/>
      </c>
    </row>
    <row r="241" spans="3:16">
      <c r="C241" s="200"/>
      <c r="D241" s="201"/>
      <c r="E241" s="202"/>
      <c r="F241" s="200"/>
      <c r="H241" s="203"/>
      <c r="I241" s="186" t="str">
        <f t="shared" si="22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3"/>
        <v/>
      </c>
      <c r="L241" s="189" t="str">
        <f t="shared" si="25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4"/>
        <v/>
      </c>
      <c r="O241" s="206" t="str">
        <f t="shared" si="26"/>
        <v/>
      </c>
      <c r="P241" s="207" t="str">
        <f t="shared" si="27"/>
        <v/>
      </c>
    </row>
    <row r="242" spans="3:16">
      <c r="C242" s="200"/>
      <c r="D242" s="201"/>
      <c r="E242" s="202"/>
      <c r="F242" s="200"/>
      <c r="H242" s="203"/>
      <c r="I242" s="186" t="str">
        <f t="shared" si="22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3"/>
        <v/>
      </c>
      <c r="L242" s="189" t="str">
        <f t="shared" si="25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4"/>
        <v/>
      </c>
      <c r="O242" s="206" t="str">
        <f t="shared" si="26"/>
        <v/>
      </c>
      <c r="P242" s="207" t="str">
        <f t="shared" si="27"/>
        <v/>
      </c>
    </row>
    <row r="243" spans="3:16">
      <c r="C243" s="200"/>
      <c r="D243" s="201"/>
      <c r="E243" s="202"/>
      <c r="F243" s="200"/>
      <c r="H243" s="203"/>
      <c r="I243" s="186" t="str">
        <f t="shared" si="22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3"/>
        <v/>
      </c>
      <c r="L243" s="189" t="str">
        <f t="shared" si="25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4"/>
        <v/>
      </c>
      <c r="O243" s="206" t="str">
        <f t="shared" si="26"/>
        <v/>
      </c>
      <c r="P243" s="207" t="str">
        <f t="shared" si="27"/>
        <v/>
      </c>
    </row>
    <row r="244" spans="3:16">
      <c r="C244" s="200"/>
      <c r="D244" s="201"/>
      <c r="E244" s="202"/>
      <c r="F244" s="200"/>
      <c r="H244" s="203"/>
      <c r="I244" s="186" t="str">
        <f t="shared" si="22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3"/>
        <v/>
      </c>
      <c r="L244" s="189" t="str">
        <f t="shared" si="25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4"/>
        <v/>
      </c>
      <c r="O244" s="206" t="str">
        <f t="shared" si="26"/>
        <v/>
      </c>
      <c r="P244" s="207" t="str">
        <f t="shared" si="27"/>
        <v/>
      </c>
    </row>
    <row r="245" spans="3:16">
      <c r="C245" s="200"/>
      <c r="D245" s="201"/>
      <c r="E245" s="202"/>
      <c r="F245" s="200"/>
      <c r="H245" s="203"/>
      <c r="I245" s="186" t="str">
        <f t="shared" si="22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3"/>
        <v/>
      </c>
      <c r="L245" s="189" t="str">
        <f t="shared" si="25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4"/>
        <v/>
      </c>
      <c r="O245" s="206" t="str">
        <f t="shared" si="26"/>
        <v/>
      </c>
      <c r="P245" s="207" t="str">
        <f t="shared" si="27"/>
        <v/>
      </c>
    </row>
    <row r="246" spans="3:16">
      <c r="C246" s="200"/>
      <c r="D246" s="201"/>
      <c r="E246" s="202"/>
      <c r="F246" s="200"/>
      <c r="H246" s="203"/>
      <c r="I246" s="186" t="str">
        <f t="shared" si="22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3"/>
        <v/>
      </c>
      <c r="L246" s="189" t="str">
        <f t="shared" si="25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4"/>
        <v/>
      </c>
      <c r="O246" s="206" t="str">
        <f t="shared" si="26"/>
        <v/>
      </c>
      <c r="P246" s="207" t="str">
        <f t="shared" si="27"/>
        <v/>
      </c>
    </row>
    <row r="247" spans="3:16">
      <c r="C247" s="200"/>
      <c r="D247" s="201"/>
      <c r="E247" s="202"/>
      <c r="F247" s="200"/>
      <c r="H247" s="203"/>
      <c r="I247" s="186" t="str">
        <f t="shared" si="22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3"/>
        <v/>
      </c>
      <c r="L247" s="189" t="str">
        <f t="shared" si="25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4"/>
        <v/>
      </c>
      <c r="O247" s="206" t="str">
        <f t="shared" si="26"/>
        <v/>
      </c>
      <c r="P247" s="207" t="str">
        <f t="shared" si="27"/>
        <v/>
      </c>
    </row>
    <row r="248" spans="3:16">
      <c r="C248" s="200"/>
      <c r="D248" s="201"/>
      <c r="E248" s="202"/>
      <c r="F248" s="200"/>
      <c r="H248" s="203"/>
      <c r="I248" s="186" t="str">
        <f t="shared" si="22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3"/>
        <v/>
      </c>
      <c r="L248" s="189" t="str">
        <f t="shared" si="25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4"/>
        <v/>
      </c>
      <c r="O248" s="206" t="str">
        <f t="shared" si="26"/>
        <v/>
      </c>
      <c r="P248" s="207" t="str">
        <f t="shared" si="27"/>
        <v/>
      </c>
    </row>
    <row r="249" spans="3:16">
      <c r="C249" s="200"/>
      <c r="D249" s="201"/>
      <c r="E249" s="202"/>
      <c r="F249" s="200"/>
      <c r="H249" s="203"/>
      <c r="I249" s="186" t="str">
        <f t="shared" si="22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3"/>
        <v/>
      </c>
      <c r="L249" s="189" t="str">
        <f t="shared" si="25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4"/>
        <v/>
      </c>
      <c r="O249" s="206" t="str">
        <f t="shared" si="26"/>
        <v/>
      </c>
      <c r="P249" s="207" t="str">
        <f t="shared" si="27"/>
        <v/>
      </c>
    </row>
    <row r="250" spans="3:16">
      <c r="C250" s="200"/>
      <c r="D250" s="201"/>
      <c r="E250" s="202"/>
      <c r="F250" s="200"/>
      <c r="H250" s="203"/>
      <c r="I250" s="186" t="str">
        <f t="shared" si="22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3"/>
        <v/>
      </c>
      <c r="L250" s="189" t="str">
        <f t="shared" si="25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4"/>
        <v/>
      </c>
      <c r="O250" s="206" t="str">
        <f t="shared" si="26"/>
        <v/>
      </c>
      <c r="P250" s="207" t="str">
        <f t="shared" si="27"/>
        <v/>
      </c>
    </row>
    <row r="251" spans="3:16">
      <c r="C251" s="200"/>
      <c r="D251" s="201"/>
      <c r="E251" s="202"/>
      <c r="F251" s="200"/>
      <c r="H251" s="203"/>
      <c r="I251" s="186" t="str">
        <f t="shared" si="22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3"/>
        <v/>
      </c>
      <c r="L251" s="189" t="str">
        <f t="shared" si="25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4"/>
        <v/>
      </c>
      <c r="O251" s="206" t="str">
        <f t="shared" si="26"/>
        <v/>
      </c>
      <c r="P251" s="207" t="str">
        <f t="shared" si="27"/>
        <v/>
      </c>
    </row>
    <row r="252" spans="3:16">
      <c r="C252" s="200"/>
      <c r="D252" s="401"/>
      <c r="E252" s="202"/>
      <c r="F252" s="200"/>
      <c r="H252" s="203"/>
      <c r="I252" s="186" t="str">
        <f t="shared" si="22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3"/>
        <v/>
      </c>
      <c r="L252" s="189" t="str">
        <f t="shared" si="25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4"/>
        <v/>
      </c>
      <c r="O252" s="206" t="str">
        <f t="shared" si="26"/>
        <v/>
      </c>
      <c r="P252" s="207" t="str">
        <f t="shared" si="27"/>
        <v/>
      </c>
    </row>
    <row r="253" spans="3:16">
      <c r="C253" s="200"/>
      <c r="D253" s="401"/>
      <c r="E253" s="202"/>
      <c r="F253" s="200"/>
      <c r="H253" s="203"/>
      <c r="I253" s="186" t="str">
        <f t="shared" si="22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3"/>
        <v/>
      </c>
      <c r="L253" s="189" t="str">
        <f t="shared" si="25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4"/>
        <v/>
      </c>
      <c r="O253" s="206" t="str">
        <f t="shared" si="26"/>
        <v/>
      </c>
      <c r="P253" s="207" t="str">
        <f t="shared" si="27"/>
        <v/>
      </c>
    </row>
    <row r="254" spans="3:16">
      <c r="C254" s="200"/>
      <c r="D254" s="201"/>
      <c r="E254" s="202"/>
      <c r="F254" s="200"/>
      <c r="H254" s="203"/>
      <c r="I254" s="186" t="str">
        <f t="shared" si="22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3"/>
        <v/>
      </c>
      <c r="L254" s="189" t="str">
        <f t="shared" si="25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4"/>
        <v/>
      </c>
      <c r="O254" s="206" t="str">
        <f t="shared" si="26"/>
        <v/>
      </c>
      <c r="P254" s="207" t="str">
        <f t="shared" si="27"/>
        <v/>
      </c>
    </row>
    <row r="255" spans="3:16">
      <c r="C255" s="200"/>
      <c r="D255" s="201"/>
      <c r="E255" s="202"/>
      <c r="F255" s="200"/>
      <c r="H255" s="203"/>
      <c r="I255" s="186" t="str">
        <f t="shared" si="22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3"/>
        <v/>
      </c>
      <c r="L255" s="189" t="str">
        <f t="shared" si="25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4"/>
        <v/>
      </c>
      <c r="O255" s="206" t="str">
        <f t="shared" si="26"/>
        <v/>
      </c>
      <c r="P255" s="207" t="str">
        <f t="shared" si="27"/>
        <v/>
      </c>
    </row>
    <row r="256" spans="3:16">
      <c r="C256" s="200"/>
      <c r="D256" s="201"/>
      <c r="E256" s="202"/>
      <c r="F256" s="200"/>
      <c r="H256" s="203"/>
      <c r="I256" s="186" t="str">
        <f t="shared" si="22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3"/>
        <v/>
      </c>
      <c r="L256" s="189" t="str">
        <f t="shared" si="25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4"/>
        <v/>
      </c>
      <c r="O256" s="206" t="str">
        <f t="shared" si="26"/>
        <v/>
      </c>
      <c r="P256" s="207" t="str">
        <f t="shared" si="27"/>
        <v/>
      </c>
    </row>
    <row r="257" spans="3:16">
      <c r="C257" s="200"/>
      <c r="D257" s="201"/>
      <c r="E257" s="202"/>
      <c r="F257" s="200"/>
      <c r="H257" s="203"/>
      <c r="I257" s="186" t="str">
        <f t="shared" si="22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3"/>
        <v/>
      </c>
      <c r="L257" s="189" t="str">
        <f t="shared" si="25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4"/>
        <v/>
      </c>
      <c r="O257" s="206" t="str">
        <f t="shared" si="26"/>
        <v/>
      </c>
      <c r="P257" s="207" t="str">
        <f t="shared" si="27"/>
        <v/>
      </c>
    </row>
    <row r="258" spans="3:16">
      <c r="C258" s="200"/>
      <c r="D258" s="201"/>
      <c r="E258" s="202"/>
      <c r="F258" s="200"/>
      <c r="H258" s="203"/>
      <c r="I258" s="186" t="str">
        <f t="shared" si="22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3"/>
        <v/>
      </c>
      <c r="L258" s="189" t="str">
        <f t="shared" si="25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4"/>
        <v/>
      </c>
      <c r="O258" s="206" t="str">
        <f t="shared" si="26"/>
        <v/>
      </c>
      <c r="P258" s="207" t="str">
        <f t="shared" si="27"/>
        <v/>
      </c>
    </row>
    <row r="259" spans="3:16">
      <c r="C259" s="200"/>
      <c r="D259" s="201"/>
      <c r="E259" s="202"/>
      <c r="F259" s="200"/>
      <c r="H259" s="203"/>
      <c r="I259" s="186" t="str">
        <f t="shared" si="22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3"/>
        <v/>
      </c>
      <c r="L259" s="189" t="str">
        <f t="shared" si="25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4"/>
        <v/>
      </c>
      <c r="O259" s="206" t="str">
        <f t="shared" si="26"/>
        <v/>
      </c>
      <c r="P259" s="207" t="str">
        <f t="shared" si="27"/>
        <v/>
      </c>
    </row>
    <row r="260" spans="3:16">
      <c r="C260" s="200"/>
      <c r="D260" s="201"/>
      <c r="E260" s="202"/>
      <c r="F260" s="200"/>
      <c r="H260" s="203"/>
      <c r="I260" s="186" t="str">
        <f t="shared" si="22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3"/>
        <v/>
      </c>
      <c r="L260" s="189" t="str">
        <f t="shared" si="25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4"/>
        <v/>
      </c>
      <c r="O260" s="206" t="str">
        <f t="shared" si="26"/>
        <v/>
      </c>
      <c r="P260" s="207" t="str">
        <f t="shared" si="27"/>
        <v/>
      </c>
    </row>
    <row r="261" spans="3:16">
      <c r="C261" s="200"/>
      <c r="D261" s="201"/>
      <c r="E261" s="202"/>
      <c r="F261" s="200"/>
      <c r="H261" s="203"/>
      <c r="I261" s="186" t="str">
        <f t="shared" si="22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3"/>
        <v/>
      </c>
      <c r="L261" s="189" t="str">
        <f t="shared" si="25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4"/>
        <v/>
      </c>
      <c r="O261" s="206" t="str">
        <f t="shared" si="26"/>
        <v/>
      </c>
      <c r="P261" s="207" t="str">
        <f t="shared" si="27"/>
        <v/>
      </c>
    </row>
    <row r="262" spans="3:16">
      <c r="C262" s="200"/>
      <c r="D262" s="201"/>
      <c r="E262" s="202"/>
      <c r="F262" s="200"/>
      <c r="H262" s="203"/>
      <c r="I262" s="186" t="str">
        <f t="shared" si="22"/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si="23"/>
        <v/>
      </c>
      <c r="L262" s="189" t="str">
        <f t="shared" si="25"/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si="24"/>
        <v/>
      </c>
      <c r="O262" s="206" t="str">
        <f t="shared" si="26"/>
        <v/>
      </c>
      <c r="P262" s="207" t="str">
        <f t="shared" si="27"/>
        <v/>
      </c>
    </row>
    <row r="263" spans="3:16">
      <c r="C263" s="200"/>
      <c r="D263" s="201"/>
      <c r="E263" s="202"/>
      <c r="F263" s="200"/>
      <c r="H263" s="203"/>
      <c r="I263" s="186" t="str">
        <f t="shared" ref="I263:I326" si="28">IF(H263="","",IF(H263="JPY","",IF($H263="USD",4, IF(H263="EUR",7,IF(H263="CNY",47,IF(H263="HKD",34))))))</f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ref="K263:K326" si="29">IF($H263="JPY",$F263,IF($H263="","",$F263*$J263))</f>
        <v/>
      </c>
      <c r="L263" s="189" t="str">
        <f t="shared" si="25"/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ref="N263:N326" si="30">IF($E263="JPY",($C263+$D263),IF($E263="","",($C263+$D263)*$M263))</f>
        <v/>
      </c>
      <c r="O263" s="206" t="str">
        <f t="shared" si="26"/>
        <v/>
      </c>
      <c r="P263" s="207" t="str">
        <f t="shared" si="27"/>
        <v/>
      </c>
    </row>
    <row r="264" spans="3:16">
      <c r="C264" s="200"/>
      <c r="D264" s="201"/>
      <c r="E264" s="202"/>
      <c r="F264" s="200"/>
      <c r="H264" s="203"/>
      <c r="I264" s="186" t="str">
        <f t="shared" si="28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9"/>
        <v/>
      </c>
      <c r="L264" s="189" t="str">
        <f t="shared" si="25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30"/>
        <v/>
      </c>
      <c r="O264" s="206" t="str">
        <f t="shared" si="26"/>
        <v/>
      </c>
      <c r="P264" s="207" t="str">
        <f t="shared" si="27"/>
        <v/>
      </c>
    </row>
    <row r="265" spans="3:16">
      <c r="C265" s="200"/>
      <c r="D265" s="201"/>
      <c r="E265" s="202"/>
      <c r="F265" s="200"/>
      <c r="H265" s="203"/>
      <c r="I265" s="186" t="str">
        <f t="shared" si="28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9"/>
        <v/>
      </c>
      <c r="L265" s="189" t="str">
        <f t="shared" si="25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30"/>
        <v/>
      </c>
      <c r="O265" s="206" t="str">
        <f t="shared" si="26"/>
        <v/>
      </c>
      <c r="P265" s="207" t="str">
        <f t="shared" si="27"/>
        <v/>
      </c>
    </row>
    <row r="266" spans="3:16">
      <c r="C266" s="200"/>
      <c r="D266" s="201"/>
      <c r="E266" s="202"/>
      <c r="F266" s="200"/>
      <c r="H266" s="203"/>
      <c r="I266" s="186" t="str">
        <f t="shared" si="28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9"/>
        <v/>
      </c>
      <c r="L266" s="189" t="str">
        <f t="shared" si="25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30"/>
        <v/>
      </c>
      <c r="O266" s="206" t="str">
        <f t="shared" si="26"/>
        <v/>
      </c>
      <c r="P266" s="207" t="str">
        <f t="shared" si="27"/>
        <v/>
      </c>
    </row>
    <row r="267" spans="3:16">
      <c r="C267" s="200"/>
      <c r="D267" s="201"/>
      <c r="E267" s="202"/>
      <c r="F267" s="200"/>
      <c r="H267" s="203"/>
      <c r="I267" s="186" t="str">
        <f t="shared" si="28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9"/>
        <v/>
      </c>
      <c r="L267" s="189" t="str">
        <f t="shared" si="25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30"/>
        <v/>
      </c>
      <c r="O267" s="206" t="str">
        <f t="shared" si="26"/>
        <v/>
      </c>
      <c r="P267" s="207" t="str">
        <f t="shared" si="27"/>
        <v/>
      </c>
    </row>
    <row r="268" spans="3:16">
      <c r="C268" s="200"/>
      <c r="D268" s="201"/>
      <c r="E268" s="202"/>
      <c r="F268" s="200"/>
      <c r="H268" s="203"/>
      <c r="I268" s="186" t="str">
        <f t="shared" si="28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9"/>
        <v/>
      </c>
      <c r="L268" s="189" t="str">
        <f t="shared" si="25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30"/>
        <v/>
      </c>
      <c r="O268" s="206" t="str">
        <f t="shared" si="26"/>
        <v/>
      </c>
      <c r="P268" s="207" t="str">
        <f t="shared" si="27"/>
        <v/>
      </c>
    </row>
    <row r="269" spans="3:16">
      <c r="C269" s="200"/>
      <c r="D269" s="201"/>
      <c r="E269" s="202"/>
      <c r="F269" s="200"/>
      <c r="H269" s="203"/>
      <c r="I269" s="186" t="str">
        <f t="shared" si="28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9"/>
        <v/>
      </c>
      <c r="L269" s="189" t="str">
        <f t="shared" si="25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30"/>
        <v/>
      </c>
      <c r="O269" s="206" t="str">
        <f t="shared" si="26"/>
        <v/>
      </c>
      <c r="P269" s="207" t="str">
        <f t="shared" si="27"/>
        <v/>
      </c>
    </row>
    <row r="270" spans="3:16">
      <c r="C270" s="200"/>
      <c r="D270" s="201"/>
      <c r="E270" s="202"/>
      <c r="F270" s="200"/>
      <c r="H270" s="203"/>
      <c r="I270" s="186" t="str">
        <f t="shared" si="28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9"/>
        <v/>
      </c>
      <c r="L270" s="189" t="str">
        <f t="shared" si="25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30"/>
        <v/>
      </c>
      <c r="O270" s="206" t="str">
        <f t="shared" si="26"/>
        <v/>
      </c>
      <c r="P270" s="207" t="str">
        <f t="shared" si="27"/>
        <v/>
      </c>
    </row>
    <row r="271" spans="3:16">
      <c r="C271" s="200"/>
      <c r="D271" s="201"/>
      <c r="E271" s="202"/>
      <c r="F271" s="200"/>
      <c r="H271" s="203"/>
      <c r="I271" s="186" t="str">
        <f t="shared" si="28"/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si="29"/>
        <v/>
      </c>
      <c r="L271" s="189" t="str">
        <f t="shared" si="25"/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si="30"/>
        <v/>
      </c>
      <c r="O271" s="206" t="str">
        <f t="shared" si="26"/>
        <v/>
      </c>
      <c r="P271" s="207" t="str">
        <f t="shared" si="27"/>
        <v/>
      </c>
    </row>
    <row r="272" spans="3:16">
      <c r="C272" s="200"/>
      <c r="D272" s="201"/>
      <c r="E272" s="202"/>
      <c r="F272" s="200"/>
      <c r="H272" s="203"/>
      <c r="I272" s="186" t="str">
        <f t="shared" si="28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29"/>
        <v/>
      </c>
      <c r="L272" s="189" t="str">
        <f t="shared" si="25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30"/>
        <v/>
      </c>
      <c r="O272" s="206" t="str">
        <f t="shared" si="26"/>
        <v/>
      </c>
      <c r="P272" s="207" t="str">
        <f t="shared" si="27"/>
        <v/>
      </c>
    </row>
    <row r="273" spans="3:16">
      <c r="C273" s="200"/>
      <c r="D273" s="201"/>
      <c r="E273" s="202"/>
      <c r="F273" s="200"/>
      <c r="H273" s="203"/>
      <c r="I273" s="186" t="str">
        <f t="shared" si="28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29"/>
        <v/>
      </c>
      <c r="L273" s="189" t="str">
        <f t="shared" si="25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30"/>
        <v/>
      </c>
      <c r="O273" s="206" t="str">
        <f t="shared" si="26"/>
        <v/>
      </c>
      <c r="P273" s="207" t="str">
        <f t="shared" si="27"/>
        <v/>
      </c>
    </row>
    <row r="274" spans="3:16">
      <c r="C274" s="200"/>
      <c r="D274" s="201"/>
      <c r="E274" s="202"/>
      <c r="F274" s="200"/>
      <c r="H274" s="203"/>
      <c r="I274" s="186" t="str">
        <f t="shared" si="28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29"/>
        <v/>
      </c>
      <c r="L274" s="189" t="str">
        <f t="shared" ref="L274:L337" si="31">IF(H274="","",IF(H274="JPY","",IF($H274="USD",3, IF(H274="EUR",6,IF(H274="CNY",46,IF(H274="HKD",33))))))</f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30"/>
        <v/>
      </c>
      <c r="O274" s="206" t="str">
        <f t="shared" ref="O274:O337" si="32">IF(OR(K274="",N274=""),"",K274-N274)</f>
        <v/>
      </c>
      <c r="P274" s="207" t="str">
        <f t="shared" ref="P274:P337" si="33">IF(OR(K274="",O274=""),"",O274/K274)</f>
        <v/>
      </c>
    </row>
    <row r="275" spans="3:16">
      <c r="C275" s="200"/>
      <c r="D275" s="201"/>
      <c r="E275" s="202"/>
      <c r="F275" s="200"/>
      <c r="H275" s="203"/>
      <c r="I275" s="186" t="str">
        <f t="shared" si="28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29"/>
        <v/>
      </c>
      <c r="L275" s="189" t="str">
        <f t="shared" si="31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30"/>
        <v/>
      </c>
      <c r="O275" s="206" t="str">
        <f t="shared" si="32"/>
        <v/>
      </c>
      <c r="P275" s="207" t="str">
        <f t="shared" si="33"/>
        <v/>
      </c>
    </row>
    <row r="276" spans="3:16">
      <c r="C276" s="200"/>
      <c r="D276" s="201"/>
      <c r="E276" s="202"/>
      <c r="F276" s="200"/>
      <c r="H276" s="203"/>
      <c r="I276" s="186" t="str">
        <f t="shared" si="28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29"/>
        <v/>
      </c>
      <c r="L276" s="189" t="str">
        <f t="shared" si="31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30"/>
        <v/>
      </c>
      <c r="O276" s="206" t="str">
        <f t="shared" si="32"/>
        <v/>
      </c>
      <c r="P276" s="207" t="str">
        <f t="shared" si="33"/>
        <v/>
      </c>
    </row>
    <row r="277" spans="3:16">
      <c r="C277" s="200"/>
      <c r="D277" s="201"/>
      <c r="E277" s="202"/>
      <c r="F277" s="200"/>
      <c r="H277" s="203"/>
      <c r="I277" s="186" t="str">
        <f t="shared" si="28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29"/>
        <v/>
      </c>
      <c r="L277" s="189" t="str">
        <f t="shared" si="31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30"/>
        <v/>
      </c>
      <c r="O277" s="206" t="str">
        <f t="shared" si="32"/>
        <v/>
      </c>
      <c r="P277" s="207" t="str">
        <f t="shared" si="33"/>
        <v/>
      </c>
    </row>
    <row r="278" spans="3:16">
      <c r="C278" s="200"/>
      <c r="D278" s="201"/>
      <c r="E278" s="202"/>
      <c r="F278" s="200"/>
      <c r="H278" s="203"/>
      <c r="I278" s="186" t="str">
        <f t="shared" si="28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29"/>
        <v/>
      </c>
      <c r="L278" s="189" t="str">
        <f t="shared" si="31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30"/>
        <v/>
      </c>
      <c r="O278" s="206" t="str">
        <f t="shared" si="32"/>
        <v/>
      </c>
      <c r="P278" s="207" t="str">
        <f t="shared" si="33"/>
        <v/>
      </c>
    </row>
    <row r="279" spans="3:16">
      <c r="C279" s="200"/>
      <c r="D279" s="201"/>
      <c r="E279" s="202"/>
      <c r="F279" s="200"/>
      <c r="H279" s="203"/>
      <c r="I279" s="186" t="str">
        <f t="shared" si="28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29"/>
        <v/>
      </c>
      <c r="L279" s="189" t="str">
        <f t="shared" si="31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30"/>
        <v/>
      </c>
      <c r="O279" s="206" t="str">
        <f t="shared" si="32"/>
        <v/>
      </c>
      <c r="P279" s="207" t="str">
        <f t="shared" si="33"/>
        <v/>
      </c>
    </row>
    <row r="280" spans="3:16">
      <c r="C280" s="200"/>
      <c r="D280" s="401"/>
      <c r="E280" s="202"/>
      <c r="F280" s="200"/>
      <c r="H280" s="203"/>
      <c r="I280" s="186" t="str">
        <f t="shared" si="28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29"/>
        <v/>
      </c>
      <c r="L280" s="189" t="str">
        <f t="shared" si="31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30"/>
        <v/>
      </c>
      <c r="O280" s="206" t="str">
        <f t="shared" si="32"/>
        <v/>
      </c>
      <c r="P280" s="207" t="str">
        <f t="shared" si="33"/>
        <v/>
      </c>
    </row>
    <row r="281" spans="3:16">
      <c r="C281" s="200"/>
      <c r="D281" s="201"/>
      <c r="E281" s="202"/>
      <c r="F281" s="200"/>
      <c r="H281" s="203"/>
      <c r="I281" s="186" t="str">
        <f t="shared" si="28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29"/>
        <v/>
      </c>
      <c r="L281" s="189" t="str">
        <f t="shared" si="31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30"/>
        <v/>
      </c>
      <c r="O281" s="206" t="str">
        <f t="shared" si="32"/>
        <v/>
      </c>
      <c r="P281" s="207" t="str">
        <f t="shared" si="33"/>
        <v/>
      </c>
    </row>
    <row r="282" spans="3:16">
      <c r="C282" s="200"/>
      <c r="D282" s="201"/>
      <c r="E282" s="202"/>
      <c r="F282" s="200"/>
      <c r="H282" s="203"/>
      <c r="I282" s="186" t="str">
        <f t="shared" si="28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29"/>
        <v/>
      </c>
      <c r="L282" s="189" t="str">
        <f t="shared" si="31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30"/>
        <v/>
      </c>
      <c r="O282" s="206" t="str">
        <f t="shared" si="32"/>
        <v/>
      </c>
      <c r="P282" s="207" t="str">
        <f t="shared" si="33"/>
        <v/>
      </c>
    </row>
    <row r="283" spans="3:16">
      <c r="C283" s="200"/>
      <c r="D283" s="201"/>
      <c r="E283" s="202"/>
      <c r="F283" s="200"/>
      <c r="H283" s="203"/>
      <c r="I283" s="186" t="str">
        <f t="shared" si="28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29"/>
        <v/>
      </c>
      <c r="L283" s="189" t="str">
        <f t="shared" si="31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30"/>
        <v/>
      </c>
      <c r="O283" s="206" t="str">
        <f t="shared" si="32"/>
        <v/>
      </c>
      <c r="P283" s="207" t="str">
        <f t="shared" si="33"/>
        <v/>
      </c>
    </row>
    <row r="284" spans="3:16">
      <c r="C284" s="200"/>
      <c r="D284" s="201"/>
      <c r="E284" s="202"/>
      <c r="F284" s="200"/>
      <c r="H284" s="203"/>
      <c r="I284" s="186" t="str">
        <f t="shared" si="28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29"/>
        <v/>
      </c>
      <c r="L284" s="189" t="str">
        <f t="shared" si="31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30"/>
        <v/>
      </c>
      <c r="O284" s="206" t="str">
        <f t="shared" si="32"/>
        <v/>
      </c>
      <c r="P284" s="207" t="str">
        <f t="shared" si="33"/>
        <v/>
      </c>
    </row>
    <row r="285" spans="3:16">
      <c r="C285" s="200"/>
      <c r="D285" s="201"/>
      <c r="E285" s="202"/>
      <c r="F285" s="200"/>
      <c r="H285" s="203"/>
      <c r="I285" s="186" t="str">
        <f t="shared" si="28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29"/>
        <v/>
      </c>
      <c r="L285" s="189" t="str">
        <f t="shared" si="31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30"/>
        <v/>
      </c>
      <c r="O285" s="206" t="str">
        <f t="shared" si="32"/>
        <v/>
      </c>
      <c r="P285" s="207" t="str">
        <f t="shared" si="33"/>
        <v/>
      </c>
    </row>
    <row r="286" spans="3:16">
      <c r="C286" s="200"/>
      <c r="D286" s="201"/>
      <c r="E286" s="202"/>
      <c r="F286" s="200"/>
      <c r="H286" s="203"/>
      <c r="I286" s="186" t="str">
        <f t="shared" si="28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29"/>
        <v/>
      </c>
      <c r="L286" s="189" t="str">
        <f t="shared" si="31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30"/>
        <v/>
      </c>
      <c r="O286" s="206" t="str">
        <f t="shared" si="32"/>
        <v/>
      </c>
      <c r="P286" s="207" t="str">
        <f t="shared" si="33"/>
        <v/>
      </c>
    </row>
    <row r="287" spans="3:16">
      <c r="C287" s="200"/>
      <c r="D287" s="201"/>
      <c r="E287" s="202"/>
      <c r="F287" s="200"/>
      <c r="H287" s="203"/>
      <c r="I287" s="186" t="str">
        <f t="shared" si="28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29"/>
        <v/>
      </c>
      <c r="L287" s="189" t="str">
        <f t="shared" si="31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30"/>
        <v/>
      </c>
      <c r="O287" s="206" t="str">
        <f t="shared" si="32"/>
        <v/>
      </c>
      <c r="P287" s="207" t="str">
        <f t="shared" si="33"/>
        <v/>
      </c>
    </row>
    <row r="288" spans="3:16">
      <c r="C288" s="200"/>
      <c r="D288" s="201"/>
      <c r="E288" s="202"/>
      <c r="F288" s="200"/>
      <c r="H288" s="203"/>
      <c r="I288" s="186" t="str">
        <f t="shared" si="28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29"/>
        <v/>
      </c>
      <c r="L288" s="189" t="str">
        <f t="shared" si="31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30"/>
        <v/>
      </c>
      <c r="O288" s="206" t="str">
        <f t="shared" si="32"/>
        <v/>
      </c>
      <c r="P288" s="207" t="str">
        <f t="shared" si="33"/>
        <v/>
      </c>
    </row>
    <row r="289" spans="3:16">
      <c r="C289" s="200"/>
      <c r="D289" s="201"/>
      <c r="E289" s="202"/>
      <c r="F289" s="200"/>
      <c r="H289" s="203"/>
      <c r="I289" s="186" t="str">
        <f t="shared" si="28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29"/>
        <v/>
      </c>
      <c r="L289" s="189" t="str">
        <f t="shared" si="31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30"/>
        <v/>
      </c>
      <c r="O289" s="206" t="str">
        <f t="shared" si="32"/>
        <v/>
      </c>
      <c r="P289" s="207" t="str">
        <f t="shared" si="33"/>
        <v/>
      </c>
    </row>
    <row r="290" spans="3:16">
      <c r="C290" s="200"/>
      <c r="D290" s="201"/>
      <c r="E290" s="202"/>
      <c r="F290" s="200"/>
      <c r="H290" s="203"/>
      <c r="I290" s="186" t="str">
        <f t="shared" si="28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29"/>
        <v/>
      </c>
      <c r="L290" s="189" t="str">
        <f t="shared" si="31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30"/>
        <v/>
      </c>
      <c r="O290" s="206" t="str">
        <f t="shared" si="32"/>
        <v/>
      </c>
      <c r="P290" s="207" t="str">
        <f t="shared" si="33"/>
        <v/>
      </c>
    </row>
    <row r="291" spans="3:16">
      <c r="C291" s="200"/>
      <c r="D291" s="201"/>
      <c r="E291" s="202"/>
      <c r="F291" s="200"/>
      <c r="H291" s="203"/>
      <c r="I291" s="186" t="str">
        <f t="shared" si="28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29"/>
        <v/>
      </c>
      <c r="L291" s="189" t="str">
        <f t="shared" si="31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30"/>
        <v/>
      </c>
      <c r="O291" s="206" t="str">
        <f t="shared" si="32"/>
        <v/>
      </c>
      <c r="P291" s="207" t="str">
        <f t="shared" si="33"/>
        <v/>
      </c>
    </row>
    <row r="292" spans="3:16">
      <c r="C292" s="200"/>
      <c r="D292" s="201"/>
      <c r="E292" s="202"/>
      <c r="F292" s="200"/>
      <c r="H292" s="203"/>
      <c r="I292" s="186" t="str">
        <f t="shared" si="28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29"/>
        <v/>
      </c>
      <c r="L292" s="189" t="str">
        <f t="shared" si="31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30"/>
        <v/>
      </c>
      <c r="O292" s="206" t="str">
        <f t="shared" si="32"/>
        <v/>
      </c>
      <c r="P292" s="207" t="str">
        <f t="shared" si="33"/>
        <v/>
      </c>
    </row>
    <row r="293" spans="3:16">
      <c r="C293" s="200"/>
      <c r="D293" s="201"/>
      <c r="E293" s="202"/>
      <c r="F293" s="200"/>
      <c r="H293" s="203"/>
      <c r="I293" s="186" t="str">
        <f t="shared" si="28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29"/>
        <v/>
      </c>
      <c r="L293" s="189" t="str">
        <f t="shared" si="31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30"/>
        <v/>
      </c>
      <c r="O293" s="206" t="str">
        <f t="shared" si="32"/>
        <v/>
      </c>
      <c r="P293" s="207" t="str">
        <f t="shared" si="33"/>
        <v/>
      </c>
    </row>
    <row r="294" spans="3:16">
      <c r="C294" s="200"/>
      <c r="D294" s="201"/>
      <c r="E294" s="202"/>
      <c r="F294" s="200"/>
      <c r="H294" s="203"/>
      <c r="I294" s="186" t="str">
        <f t="shared" si="28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29"/>
        <v/>
      </c>
      <c r="L294" s="189" t="str">
        <f t="shared" si="31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30"/>
        <v/>
      </c>
      <c r="O294" s="206" t="str">
        <f t="shared" si="32"/>
        <v/>
      </c>
      <c r="P294" s="207" t="str">
        <f t="shared" si="33"/>
        <v/>
      </c>
    </row>
    <row r="295" spans="3:16">
      <c r="C295" s="200"/>
      <c r="D295" s="201"/>
      <c r="E295" s="202"/>
      <c r="F295" s="200"/>
      <c r="H295" s="203"/>
      <c r="I295" s="186" t="str">
        <f t="shared" si="28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29"/>
        <v/>
      </c>
      <c r="L295" s="189" t="str">
        <f t="shared" si="31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30"/>
        <v/>
      </c>
      <c r="O295" s="206" t="str">
        <f t="shared" si="32"/>
        <v/>
      </c>
      <c r="P295" s="207" t="str">
        <f t="shared" si="33"/>
        <v/>
      </c>
    </row>
    <row r="296" spans="3:16">
      <c r="C296" s="200"/>
      <c r="D296" s="201"/>
      <c r="E296" s="202"/>
      <c r="F296" s="200"/>
      <c r="H296" s="203"/>
      <c r="I296" s="186" t="str">
        <f t="shared" si="28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29"/>
        <v/>
      </c>
      <c r="L296" s="189" t="str">
        <f t="shared" si="31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30"/>
        <v/>
      </c>
      <c r="O296" s="206" t="str">
        <f t="shared" si="32"/>
        <v/>
      </c>
      <c r="P296" s="207" t="str">
        <f t="shared" si="33"/>
        <v/>
      </c>
    </row>
    <row r="297" spans="3:16">
      <c r="C297" s="200"/>
      <c r="D297" s="201"/>
      <c r="E297" s="202"/>
      <c r="F297" s="200"/>
      <c r="H297" s="203"/>
      <c r="I297" s="186" t="str">
        <f t="shared" si="28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29"/>
        <v/>
      </c>
      <c r="L297" s="189" t="str">
        <f t="shared" si="31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30"/>
        <v/>
      </c>
      <c r="O297" s="206" t="str">
        <f t="shared" si="32"/>
        <v/>
      </c>
      <c r="P297" s="207" t="str">
        <f t="shared" si="33"/>
        <v/>
      </c>
    </row>
    <row r="298" spans="3:16">
      <c r="C298" s="200"/>
      <c r="D298" s="201"/>
      <c r="E298" s="202"/>
      <c r="F298" s="200"/>
      <c r="H298" s="203"/>
      <c r="I298" s="186" t="str">
        <f t="shared" si="28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29"/>
        <v/>
      </c>
      <c r="L298" s="189" t="str">
        <f t="shared" si="31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30"/>
        <v/>
      </c>
      <c r="O298" s="206" t="str">
        <f t="shared" si="32"/>
        <v/>
      </c>
      <c r="P298" s="207" t="str">
        <f t="shared" si="33"/>
        <v/>
      </c>
    </row>
    <row r="299" spans="3:16">
      <c r="C299" s="200"/>
      <c r="D299" s="201"/>
      <c r="E299" s="202"/>
      <c r="F299" s="200"/>
      <c r="H299" s="203"/>
      <c r="I299" s="186" t="str">
        <f t="shared" si="28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29"/>
        <v/>
      </c>
      <c r="L299" s="189" t="str">
        <f t="shared" si="31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30"/>
        <v/>
      </c>
      <c r="O299" s="206" t="str">
        <f t="shared" si="32"/>
        <v/>
      </c>
      <c r="P299" s="207" t="str">
        <f t="shared" si="33"/>
        <v/>
      </c>
    </row>
    <row r="300" spans="3:16">
      <c r="C300" s="200"/>
      <c r="D300" s="201"/>
      <c r="E300" s="202"/>
      <c r="F300" s="200"/>
      <c r="H300" s="203"/>
      <c r="I300" s="186" t="str">
        <f t="shared" si="28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29"/>
        <v/>
      </c>
      <c r="L300" s="189" t="str">
        <f t="shared" si="31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30"/>
        <v/>
      </c>
      <c r="O300" s="206" t="str">
        <f t="shared" si="32"/>
        <v/>
      </c>
      <c r="P300" s="207" t="str">
        <f t="shared" si="33"/>
        <v/>
      </c>
    </row>
    <row r="301" spans="3:16">
      <c r="C301" s="200"/>
      <c r="D301" s="201"/>
      <c r="E301" s="202"/>
      <c r="F301" s="200"/>
      <c r="H301" s="203"/>
      <c r="I301" s="186" t="str">
        <f t="shared" si="28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29"/>
        <v/>
      </c>
      <c r="L301" s="189" t="str">
        <f t="shared" si="31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30"/>
        <v/>
      </c>
      <c r="O301" s="206" t="str">
        <f t="shared" si="32"/>
        <v/>
      </c>
      <c r="P301" s="207" t="str">
        <f t="shared" si="33"/>
        <v/>
      </c>
    </row>
    <row r="302" spans="3:16">
      <c r="C302" s="200"/>
      <c r="D302" s="201"/>
      <c r="E302" s="202"/>
      <c r="F302" s="200"/>
      <c r="H302" s="203"/>
      <c r="I302" s="186" t="str">
        <f t="shared" si="28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29"/>
        <v/>
      </c>
      <c r="L302" s="189" t="str">
        <f t="shared" si="31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30"/>
        <v/>
      </c>
      <c r="O302" s="206" t="str">
        <f t="shared" si="32"/>
        <v/>
      </c>
      <c r="P302" s="207" t="str">
        <f t="shared" si="33"/>
        <v/>
      </c>
    </row>
    <row r="303" spans="3:16">
      <c r="C303" s="200"/>
      <c r="D303" s="201"/>
      <c r="E303" s="202"/>
      <c r="F303" s="200"/>
      <c r="H303" s="203"/>
      <c r="I303" s="186" t="str">
        <f t="shared" si="28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29"/>
        <v/>
      </c>
      <c r="L303" s="189" t="str">
        <f t="shared" si="31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30"/>
        <v/>
      </c>
      <c r="O303" s="206" t="str">
        <f t="shared" si="32"/>
        <v/>
      </c>
      <c r="P303" s="207" t="str">
        <f t="shared" si="33"/>
        <v/>
      </c>
    </row>
    <row r="304" spans="3:16">
      <c r="C304" s="200"/>
      <c r="D304" s="201"/>
      <c r="E304" s="202"/>
      <c r="F304" s="200"/>
      <c r="H304" s="203"/>
      <c r="I304" s="186" t="str">
        <f t="shared" si="28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29"/>
        <v/>
      </c>
      <c r="L304" s="189" t="str">
        <f t="shared" si="31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30"/>
        <v/>
      </c>
      <c r="O304" s="206" t="str">
        <f t="shared" si="32"/>
        <v/>
      </c>
      <c r="P304" s="207" t="str">
        <f t="shared" si="33"/>
        <v/>
      </c>
    </row>
    <row r="305" spans="3:16">
      <c r="C305" s="200"/>
      <c r="D305" s="201"/>
      <c r="E305" s="202"/>
      <c r="F305" s="200"/>
      <c r="H305" s="203"/>
      <c r="I305" s="186" t="str">
        <f t="shared" si="28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29"/>
        <v/>
      </c>
      <c r="L305" s="189" t="str">
        <f t="shared" si="31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30"/>
        <v/>
      </c>
      <c r="O305" s="206" t="str">
        <f t="shared" si="32"/>
        <v/>
      </c>
      <c r="P305" s="207" t="str">
        <f t="shared" si="33"/>
        <v/>
      </c>
    </row>
    <row r="306" spans="3:16">
      <c r="C306" s="200"/>
      <c r="D306" s="201"/>
      <c r="E306" s="202"/>
      <c r="F306" s="200"/>
      <c r="H306" s="203"/>
      <c r="I306" s="186" t="str">
        <f t="shared" si="28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29"/>
        <v/>
      </c>
      <c r="L306" s="189" t="str">
        <f t="shared" si="31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30"/>
        <v/>
      </c>
      <c r="O306" s="206" t="str">
        <f t="shared" si="32"/>
        <v/>
      </c>
      <c r="P306" s="207" t="str">
        <f t="shared" si="33"/>
        <v/>
      </c>
    </row>
    <row r="307" spans="3:16">
      <c r="C307" s="200"/>
      <c r="D307" s="201"/>
      <c r="E307" s="202"/>
      <c r="F307" s="200"/>
      <c r="H307" s="203"/>
      <c r="I307" s="186" t="str">
        <f t="shared" si="28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29"/>
        <v/>
      </c>
      <c r="L307" s="189" t="str">
        <f t="shared" si="31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30"/>
        <v/>
      </c>
      <c r="O307" s="206" t="str">
        <f t="shared" si="32"/>
        <v/>
      </c>
      <c r="P307" s="207" t="str">
        <f t="shared" si="33"/>
        <v/>
      </c>
    </row>
    <row r="308" spans="3:16">
      <c r="C308" s="200"/>
      <c r="D308" s="201"/>
      <c r="E308" s="202"/>
      <c r="F308" s="200"/>
      <c r="H308" s="203"/>
      <c r="I308" s="186" t="str">
        <f t="shared" si="28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29"/>
        <v/>
      </c>
      <c r="L308" s="189" t="str">
        <f t="shared" si="31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30"/>
        <v/>
      </c>
      <c r="O308" s="206" t="str">
        <f t="shared" si="32"/>
        <v/>
      </c>
      <c r="P308" s="207" t="str">
        <f t="shared" si="33"/>
        <v/>
      </c>
    </row>
    <row r="309" spans="3:16">
      <c r="C309" s="200"/>
      <c r="D309" s="201"/>
      <c r="E309" s="202"/>
      <c r="F309" s="200"/>
      <c r="H309" s="203"/>
      <c r="I309" s="186" t="str">
        <f t="shared" si="28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29"/>
        <v/>
      </c>
      <c r="L309" s="189" t="str">
        <f t="shared" si="31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30"/>
        <v/>
      </c>
      <c r="O309" s="206" t="str">
        <f t="shared" si="32"/>
        <v/>
      </c>
      <c r="P309" s="207" t="str">
        <f t="shared" si="33"/>
        <v/>
      </c>
    </row>
    <row r="310" spans="3:16">
      <c r="C310" s="200"/>
      <c r="D310" s="201"/>
      <c r="E310" s="202"/>
      <c r="F310" s="200"/>
      <c r="H310" s="203"/>
      <c r="I310" s="186" t="str">
        <f t="shared" si="28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29"/>
        <v/>
      </c>
      <c r="L310" s="189" t="str">
        <f t="shared" si="31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30"/>
        <v/>
      </c>
      <c r="O310" s="206" t="str">
        <f t="shared" si="32"/>
        <v/>
      </c>
      <c r="P310" s="207" t="str">
        <f t="shared" si="33"/>
        <v/>
      </c>
    </row>
    <row r="311" spans="3:16">
      <c r="C311" s="200"/>
      <c r="D311" s="201"/>
      <c r="E311" s="202"/>
      <c r="F311" s="200"/>
      <c r="H311" s="203"/>
      <c r="I311" s="186" t="str">
        <f t="shared" si="28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29"/>
        <v/>
      </c>
      <c r="L311" s="189" t="str">
        <f t="shared" si="31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30"/>
        <v/>
      </c>
      <c r="O311" s="206" t="str">
        <f t="shared" si="32"/>
        <v/>
      </c>
      <c r="P311" s="207" t="str">
        <f t="shared" si="33"/>
        <v/>
      </c>
    </row>
    <row r="312" spans="3:16">
      <c r="C312" s="200"/>
      <c r="D312" s="201"/>
      <c r="E312" s="202"/>
      <c r="F312" s="200"/>
      <c r="H312" s="203"/>
      <c r="I312" s="186" t="str">
        <f t="shared" si="28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29"/>
        <v/>
      </c>
      <c r="L312" s="189" t="str">
        <f t="shared" si="31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30"/>
        <v/>
      </c>
      <c r="O312" s="206" t="str">
        <f t="shared" si="32"/>
        <v/>
      </c>
      <c r="P312" s="207" t="str">
        <f t="shared" si="33"/>
        <v/>
      </c>
    </row>
    <row r="313" spans="3:16">
      <c r="C313" s="200"/>
      <c r="D313" s="201"/>
      <c r="E313" s="202"/>
      <c r="F313" s="200"/>
      <c r="H313" s="203"/>
      <c r="I313" s="186" t="str">
        <f t="shared" si="28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29"/>
        <v/>
      </c>
      <c r="L313" s="189" t="str">
        <f t="shared" si="31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30"/>
        <v/>
      </c>
      <c r="O313" s="206" t="str">
        <f t="shared" si="32"/>
        <v/>
      </c>
      <c r="P313" s="207" t="str">
        <f t="shared" si="33"/>
        <v/>
      </c>
    </row>
    <row r="314" spans="3:16">
      <c r="C314" s="200"/>
      <c r="D314" s="201"/>
      <c r="E314" s="202"/>
      <c r="F314" s="200"/>
      <c r="H314" s="203"/>
      <c r="I314" s="186" t="str">
        <f t="shared" si="28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29"/>
        <v/>
      </c>
      <c r="L314" s="189" t="str">
        <f t="shared" si="31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30"/>
        <v/>
      </c>
      <c r="O314" s="206" t="str">
        <f t="shared" si="32"/>
        <v/>
      </c>
      <c r="P314" s="207" t="str">
        <f t="shared" si="33"/>
        <v/>
      </c>
    </row>
    <row r="315" spans="3:16">
      <c r="C315" s="200"/>
      <c r="D315" s="201"/>
      <c r="E315" s="202"/>
      <c r="F315" s="200"/>
      <c r="H315" s="203"/>
      <c r="I315" s="186" t="str">
        <f t="shared" si="28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29"/>
        <v/>
      </c>
      <c r="L315" s="189" t="str">
        <f t="shared" si="31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30"/>
        <v/>
      </c>
      <c r="O315" s="206" t="str">
        <f t="shared" si="32"/>
        <v/>
      </c>
      <c r="P315" s="207" t="str">
        <f t="shared" si="33"/>
        <v/>
      </c>
    </row>
    <row r="316" spans="3:16">
      <c r="C316" s="200"/>
      <c r="D316" s="201"/>
      <c r="E316" s="202"/>
      <c r="F316" s="200"/>
      <c r="H316" s="203"/>
      <c r="I316" s="186" t="str">
        <f t="shared" si="28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29"/>
        <v/>
      </c>
      <c r="L316" s="189" t="str">
        <f t="shared" si="31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30"/>
        <v/>
      </c>
      <c r="O316" s="206" t="str">
        <f t="shared" si="32"/>
        <v/>
      </c>
      <c r="P316" s="207" t="str">
        <f t="shared" si="33"/>
        <v/>
      </c>
    </row>
    <row r="317" spans="3:16">
      <c r="C317" s="200"/>
      <c r="D317" s="201"/>
      <c r="E317" s="202"/>
      <c r="F317" s="200"/>
      <c r="H317" s="203"/>
      <c r="I317" s="186" t="str">
        <f t="shared" si="28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29"/>
        <v/>
      </c>
      <c r="L317" s="189" t="str">
        <f t="shared" si="31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30"/>
        <v/>
      </c>
      <c r="O317" s="206" t="str">
        <f t="shared" si="32"/>
        <v/>
      </c>
      <c r="P317" s="207" t="str">
        <f t="shared" si="33"/>
        <v/>
      </c>
    </row>
    <row r="318" spans="3:16">
      <c r="C318" s="200"/>
      <c r="D318" s="201"/>
      <c r="E318" s="202"/>
      <c r="F318" s="200"/>
      <c r="H318" s="203"/>
      <c r="I318" s="186" t="str">
        <f t="shared" si="28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29"/>
        <v/>
      </c>
      <c r="L318" s="189" t="str">
        <f t="shared" si="31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30"/>
        <v/>
      </c>
      <c r="O318" s="206" t="str">
        <f t="shared" si="32"/>
        <v/>
      </c>
      <c r="P318" s="207" t="str">
        <f t="shared" si="33"/>
        <v/>
      </c>
    </row>
    <row r="319" spans="3:16">
      <c r="C319" s="200"/>
      <c r="D319" s="201"/>
      <c r="E319" s="202"/>
      <c r="F319" s="200"/>
      <c r="H319" s="203"/>
      <c r="I319" s="186" t="str">
        <f t="shared" si="28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29"/>
        <v/>
      </c>
      <c r="L319" s="189" t="str">
        <f t="shared" si="31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30"/>
        <v/>
      </c>
      <c r="O319" s="206" t="str">
        <f t="shared" si="32"/>
        <v/>
      </c>
      <c r="P319" s="207" t="str">
        <f t="shared" si="33"/>
        <v/>
      </c>
    </row>
    <row r="320" spans="3:16">
      <c r="C320" s="200"/>
      <c r="D320" s="201"/>
      <c r="E320" s="202"/>
      <c r="F320" s="200"/>
      <c r="H320" s="203"/>
      <c r="I320" s="186" t="str">
        <f t="shared" si="28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29"/>
        <v/>
      </c>
      <c r="L320" s="189" t="str">
        <f t="shared" si="31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30"/>
        <v/>
      </c>
      <c r="O320" s="206" t="str">
        <f t="shared" si="32"/>
        <v/>
      </c>
      <c r="P320" s="207" t="str">
        <f t="shared" si="33"/>
        <v/>
      </c>
    </row>
    <row r="321" spans="3:16">
      <c r="C321" s="200"/>
      <c r="D321" s="201"/>
      <c r="E321" s="202"/>
      <c r="F321" s="200"/>
      <c r="H321" s="203"/>
      <c r="I321" s="186" t="str">
        <f t="shared" si="28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29"/>
        <v/>
      </c>
      <c r="L321" s="189" t="str">
        <f t="shared" si="31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30"/>
        <v/>
      </c>
      <c r="O321" s="206" t="str">
        <f t="shared" si="32"/>
        <v/>
      </c>
      <c r="P321" s="207" t="str">
        <f t="shared" si="33"/>
        <v/>
      </c>
    </row>
    <row r="322" spans="3:16">
      <c r="C322" s="200"/>
      <c r="D322" s="201"/>
      <c r="E322" s="202"/>
      <c r="F322" s="200"/>
      <c r="H322" s="203"/>
      <c r="I322" s="186" t="str">
        <f t="shared" si="28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29"/>
        <v/>
      </c>
      <c r="L322" s="189" t="str">
        <f t="shared" si="31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30"/>
        <v/>
      </c>
      <c r="O322" s="206" t="str">
        <f t="shared" si="32"/>
        <v/>
      </c>
      <c r="P322" s="207" t="str">
        <f t="shared" si="33"/>
        <v/>
      </c>
    </row>
    <row r="323" spans="3:16">
      <c r="C323" s="200"/>
      <c r="D323" s="201"/>
      <c r="E323" s="202"/>
      <c r="F323" s="200"/>
      <c r="H323" s="203"/>
      <c r="I323" s="186" t="str">
        <f t="shared" si="28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29"/>
        <v/>
      </c>
      <c r="L323" s="189" t="str">
        <f t="shared" si="31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30"/>
        <v/>
      </c>
      <c r="O323" s="206" t="str">
        <f t="shared" si="32"/>
        <v/>
      </c>
      <c r="P323" s="207" t="str">
        <f t="shared" si="33"/>
        <v/>
      </c>
    </row>
    <row r="324" spans="3:16">
      <c r="C324" s="200"/>
      <c r="D324" s="201"/>
      <c r="E324" s="202"/>
      <c r="F324" s="200"/>
      <c r="H324" s="203"/>
      <c r="I324" s="186" t="str">
        <f t="shared" si="28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29"/>
        <v/>
      </c>
      <c r="L324" s="189" t="str">
        <f t="shared" si="31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30"/>
        <v/>
      </c>
      <c r="O324" s="206" t="str">
        <f t="shared" si="32"/>
        <v/>
      </c>
      <c r="P324" s="207" t="str">
        <f t="shared" si="33"/>
        <v/>
      </c>
    </row>
    <row r="325" spans="3:16">
      <c r="C325" s="200"/>
      <c r="D325" s="201"/>
      <c r="E325" s="202"/>
      <c r="F325" s="200"/>
      <c r="H325" s="203"/>
      <c r="I325" s="186" t="str">
        <f t="shared" si="28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29"/>
        <v/>
      </c>
      <c r="L325" s="189" t="str">
        <f t="shared" si="31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30"/>
        <v/>
      </c>
      <c r="O325" s="206" t="str">
        <f t="shared" si="32"/>
        <v/>
      </c>
      <c r="P325" s="207" t="str">
        <f t="shared" si="33"/>
        <v/>
      </c>
    </row>
    <row r="326" spans="3:16">
      <c r="C326" s="200"/>
      <c r="D326" s="201"/>
      <c r="E326" s="202"/>
      <c r="F326" s="200"/>
      <c r="H326" s="203"/>
      <c r="I326" s="186" t="str">
        <f t="shared" si="28"/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si="29"/>
        <v/>
      </c>
      <c r="L326" s="189" t="str">
        <f t="shared" si="31"/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si="30"/>
        <v/>
      </c>
      <c r="O326" s="206" t="str">
        <f t="shared" si="32"/>
        <v/>
      </c>
      <c r="P326" s="207" t="str">
        <f t="shared" si="33"/>
        <v/>
      </c>
    </row>
    <row r="327" spans="3:16">
      <c r="C327" s="200"/>
      <c r="D327" s="201"/>
      <c r="E327" s="202"/>
      <c r="F327" s="200"/>
      <c r="H327" s="203"/>
      <c r="I327" s="186" t="str">
        <f t="shared" ref="I327:I390" si="34">IF(H327="","",IF(H327="JPY","",IF($H327="USD",4, IF(H327="EUR",7,IF(H327="CNY",47,IF(H327="HKD",34))))))</f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ref="K327:K390" si="35">IF($H327="JPY",$F327,IF($H327="","",$F327*$J327))</f>
        <v/>
      </c>
      <c r="L327" s="189" t="str">
        <f t="shared" si="31"/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ref="N327:N390" si="36">IF($E327="JPY",($C327+$D327),IF($E327="","",($C327+$D327)*$M327))</f>
        <v/>
      </c>
      <c r="O327" s="206" t="str">
        <f t="shared" si="32"/>
        <v/>
      </c>
      <c r="P327" s="207" t="str">
        <f t="shared" si="33"/>
        <v/>
      </c>
    </row>
    <row r="328" spans="3:16">
      <c r="C328" s="200"/>
      <c r="D328" s="201"/>
      <c r="E328" s="202"/>
      <c r="F328" s="200"/>
      <c r="H328" s="203"/>
      <c r="I328" s="186" t="str">
        <f t="shared" si="34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5"/>
        <v/>
      </c>
      <c r="L328" s="189" t="str">
        <f t="shared" si="31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6"/>
        <v/>
      </c>
      <c r="O328" s="206" t="str">
        <f t="shared" si="32"/>
        <v/>
      </c>
      <c r="P328" s="207" t="str">
        <f t="shared" si="33"/>
        <v/>
      </c>
    </row>
    <row r="329" spans="3:16">
      <c r="C329" s="200"/>
      <c r="D329" s="201"/>
      <c r="E329" s="202"/>
      <c r="F329" s="200"/>
      <c r="H329" s="203"/>
      <c r="I329" s="186" t="str">
        <f t="shared" si="34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5"/>
        <v/>
      </c>
      <c r="L329" s="189" t="str">
        <f t="shared" si="31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6"/>
        <v/>
      </c>
      <c r="O329" s="206" t="str">
        <f t="shared" si="32"/>
        <v/>
      </c>
      <c r="P329" s="207" t="str">
        <f t="shared" si="33"/>
        <v/>
      </c>
    </row>
    <row r="330" spans="3:16">
      <c r="C330" s="200"/>
      <c r="D330" s="201"/>
      <c r="E330" s="202"/>
      <c r="F330" s="200"/>
      <c r="H330" s="203"/>
      <c r="I330" s="186" t="str">
        <f t="shared" si="34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5"/>
        <v/>
      </c>
      <c r="L330" s="189" t="str">
        <f t="shared" si="31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6"/>
        <v/>
      </c>
      <c r="O330" s="206" t="str">
        <f t="shared" si="32"/>
        <v/>
      </c>
      <c r="P330" s="207" t="str">
        <f t="shared" si="33"/>
        <v/>
      </c>
    </row>
    <row r="331" spans="3:16">
      <c r="C331" s="200"/>
      <c r="D331" s="201"/>
      <c r="E331" s="202"/>
      <c r="F331" s="200"/>
      <c r="H331" s="203"/>
      <c r="I331" s="186" t="str">
        <f t="shared" si="34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5"/>
        <v/>
      </c>
      <c r="L331" s="189" t="str">
        <f t="shared" si="31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6"/>
        <v/>
      </c>
      <c r="O331" s="206" t="str">
        <f t="shared" si="32"/>
        <v/>
      </c>
      <c r="P331" s="207" t="str">
        <f t="shared" si="33"/>
        <v/>
      </c>
    </row>
    <row r="332" spans="3:16">
      <c r="C332" s="200"/>
      <c r="D332" s="201"/>
      <c r="E332" s="202"/>
      <c r="F332" s="200"/>
      <c r="H332" s="203"/>
      <c r="I332" s="186" t="str">
        <f t="shared" si="34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5"/>
        <v/>
      </c>
      <c r="L332" s="189" t="str">
        <f t="shared" si="31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6"/>
        <v/>
      </c>
      <c r="O332" s="206" t="str">
        <f t="shared" si="32"/>
        <v/>
      </c>
      <c r="P332" s="207" t="str">
        <f t="shared" si="33"/>
        <v/>
      </c>
    </row>
    <row r="333" spans="3:16">
      <c r="C333" s="200"/>
      <c r="D333" s="201"/>
      <c r="E333" s="202"/>
      <c r="F333" s="200"/>
      <c r="H333" s="203"/>
      <c r="I333" s="186" t="str">
        <f t="shared" si="34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5"/>
        <v/>
      </c>
      <c r="L333" s="189" t="str">
        <f t="shared" si="31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6"/>
        <v/>
      </c>
      <c r="O333" s="206" t="str">
        <f t="shared" si="32"/>
        <v/>
      </c>
      <c r="P333" s="207" t="str">
        <f t="shared" si="33"/>
        <v/>
      </c>
    </row>
    <row r="334" spans="3:16">
      <c r="C334" s="200"/>
      <c r="D334" s="201"/>
      <c r="E334" s="202"/>
      <c r="F334" s="200"/>
      <c r="H334" s="203"/>
      <c r="I334" s="186" t="str">
        <f t="shared" si="34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5"/>
        <v/>
      </c>
      <c r="L334" s="189" t="str">
        <f t="shared" si="31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6"/>
        <v/>
      </c>
      <c r="O334" s="206" t="str">
        <f t="shared" si="32"/>
        <v/>
      </c>
      <c r="P334" s="207" t="str">
        <f t="shared" si="33"/>
        <v/>
      </c>
    </row>
    <row r="335" spans="3:16">
      <c r="C335" s="200"/>
      <c r="D335" s="201"/>
      <c r="E335" s="202"/>
      <c r="F335" s="200"/>
      <c r="H335" s="203"/>
      <c r="I335" s="186" t="str">
        <f t="shared" si="34"/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si="35"/>
        <v/>
      </c>
      <c r="L335" s="189" t="str">
        <f t="shared" si="31"/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si="36"/>
        <v/>
      </c>
      <c r="O335" s="206" t="str">
        <f t="shared" si="32"/>
        <v/>
      </c>
      <c r="P335" s="207" t="str">
        <f t="shared" si="33"/>
        <v/>
      </c>
    </row>
    <row r="336" spans="3:16">
      <c r="C336" s="200"/>
      <c r="D336" s="201"/>
      <c r="E336" s="202"/>
      <c r="F336" s="200"/>
      <c r="H336" s="203"/>
      <c r="I336" s="186" t="str">
        <f t="shared" si="34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5"/>
        <v/>
      </c>
      <c r="L336" s="189" t="str">
        <f t="shared" si="31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6"/>
        <v/>
      </c>
      <c r="O336" s="206" t="str">
        <f t="shared" si="32"/>
        <v/>
      </c>
      <c r="P336" s="207" t="str">
        <f t="shared" si="33"/>
        <v/>
      </c>
    </row>
    <row r="337" spans="3:16">
      <c r="C337" s="200"/>
      <c r="D337" s="201"/>
      <c r="E337" s="202"/>
      <c r="F337" s="200"/>
      <c r="H337" s="203"/>
      <c r="I337" s="186" t="str">
        <f t="shared" si="34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5"/>
        <v/>
      </c>
      <c r="L337" s="189" t="str">
        <f t="shared" si="31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6"/>
        <v/>
      </c>
      <c r="O337" s="206" t="str">
        <f t="shared" si="32"/>
        <v/>
      </c>
      <c r="P337" s="207" t="str">
        <f t="shared" si="33"/>
        <v/>
      </c>
    </row>
    <row r="338" spans="3:16">
      <c r="C338" s="200"/>
      <c r="D338" s="201"/>
      <c r="E338" s="202"/>
      <c r="F338" s="200"/>
      <c r="H338" s="203"/>
      <c r="I338" s="186" t="str">
        <f t="shared" si="34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5"/>
        <v/>
      </c>
      <c r="L338" s="189" t="str">
        <f t="shared" ref="L338:L400" si="37">IF(H338="","",IF(H338="JPY","",IF($H338="USD",3, IF(H338="EUR",6,IF(H338="CNY",46,IF(H338="HKD",33))))))</f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6"/>
        <v/>
      </c>
      <c r="O338" s="206" t="str">
        <f t="shared" ref="O338:O400" si="38">IF(OR(K338="",N338=""),"",K338-N338)</f>
        <v/>
      </c>
      <c r="P338" s="207" t="str">
        <f t="shared" ref="P338:P400" si="39">IF(OR(K338="",O338=""),"",O338/K338)</f>
        <v/>
      </c>
    </row>
    <row r="339" spans="3:16">
      <c r="C339" s="200"/>
      <c r="D339" s="201"/>
      <c r="E339" s="202"/>
      <c r="F339" s="200"/>
      <c r="H339" s="203"/>
      <c r="I339" s="186" t="str">
        <f t="shared" si="34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5"/>
        <v/>
      </c>
      <c r="L339" s="189" t="str">
        <f t="shared" si="37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6"/>
        <v/>
      </c>
      <c r="O339" s="206" t="str">
        <f t="shared" si="38"/>
        <v/>
      </c>
      <c r="P339" s="207" t="str">
        <f t="shared" si="39"/>
        <v/>
      </c>
    </row>
    <row r="340" spans="3:16">
      <c r="C340" s="200"/>
      <c r="D340" s="201"/>
      <c r="E340" s="202"/>
      <c r="F340" s="200"/>
      <c r="H340" s="203"/>
      <c r="I340" s="186" t="str">
        <f t="shared" si="34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5"/>
        <v/>
      </c>
      <c r="L340" s="189" t="str">
        <f t="shared" si="37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6"/>
        <v/>
      </c>
      <c r="O340" s="206" t="str">
        <f t="shared" si="38"/>
        <v/>
      </c>
      <c r="P340" s="207" t="str">
        <f t="shared" si="39"/>
        <v/>
      </c>
    </row>
    <row r="341" spans="3:16">
      <c r="C341" s="200"/>
      <c r="D341" s="201"/>
      <c r="E341" s="202"/>
      <c r="F341" s="200"/>
      <c r="H341" s="203"/>
      <c r="I341" s="186" t="str">
        <f t="shared" si="34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5"/>
        <v/>
      </c>
      <c r="L341" s="189" t="str">
        <f t="shared" si="37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6"/>
        <v/>
      </c>
      <c r="O341" s="206" t="str">
        <f t="shared" si="38"/>
        <v/>
      </c>
      <c r="P341" s="207" t="str">
        <f t="shared" si="39"/>
        <v/>
      </c>
    </row>
    <row r="342" spans="3:16">
      <c r="C342" s="200"/>
      <c r="D342" s="201"/>
      <c r="E342" s="202"/>
      <c r="F342" s="200"/>
      <c r="H342" s="203"/>
      <c r="I342" s="186" t="str">
        <f t="shared" si="34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5"/>
        <v/>
      </c>
      <c r="L342" s="189" t="str">
        <f t="shared" si="37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6"/>
        <v/>
      </c>
      <c r="O342" s="206" t="str">
        <f t="shared" si="38"/>
        <v/>
      </c>
      <c r="P342" s="207" t="str">
        <f t="shared" si="39"/>
        <v/>
      </c>
    </row>
    <row r="343" spans="3:16">
      <c r="C343" s="200"/>
      <c r="D343" s="201"/>
      <c r="E343" s="202"/>
      <c r="F343" s="200"/>
      <c r="H343" s="203"/>
      <c r="I343" s="186" t="str">
        <f t="shared" si="34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5"/>
        <v/>
      </c>
      <c r="L343" s="189" t="str">
        <f t="shared" si="37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6"/>
        <v/>
      </c>
      <c r="O343" s="206" t="str">
        <f t="shared" si="38"/>
        <v/>
      </c>
      <c r="P343" s="207" t="str">
        <f t="shared" si="39"/>
        <v/>
      </c>
    </row>
    <row r="344" spans="3:16">
      <c r="C344" s="200"/>
      <c r="D344" s="201"/>
      <c r="E344" s="202"/>
      <c r="F344" s="200"/>
      <c r="H344" s="203"/>
      <c r="I344" s="186" t="str">
        <f t="shared" si="34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5"/>
        <v/>
      </c>
      <c r="L344" s="189" t="str">
        <f t="shared" si="37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6"/>
        <v/>
      </c>
      <c r="O344" s="206" t="str">
        <f t="shared" si="38"/>
        <v/>
      </c>
      <c r="P344" s="207" t="str">
        <f t="shared" si="39"/>
        <v/>
      </c>
    </row>
    <row r="345" spans="3:16">
      <c r="C345" s="200"/>
      <c r="D345" s="201"/>
      <c r="E345" s="202"/>
      <c r="F345" s="200"/>
      <c r="H345" s="203"/>
      <c r="I345" s="186" t="str">
        <f t="shared" si="34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5"/>
        <v/>
      </c>
      <c r="L345" s="189" t="str">
        <f t="shared" si="37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6"/>
        <v/>
      </c>
      <c r="O345" s="206" t="str">
        <f t="shared" si="38"/>
        <v/>
      </c>
      <c r="P345" s="207" t="str">
        <f t="shared" si="39"/>
        <v/>
      </c>
    </row>
    <row r="346" spans="3:16">
      <c r="C346" s="200"/>
      <c r="D346" s="201"/>
      <c r="E346" s="202"/>
      <c r="F346" s="200"/>
      <c r="H346" s="203"/>
      <c r="I346" s="186" t="str">
        <f t="shared" si="34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5"/>
        <v/>
      </c>
      <c r="L346" s="189" t="str">
        <f t="shared" si="37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6"/>
        <v/>
      </c>
      <c r="O346" s="206" t="str">
        <f t="shared" si="38"/>
        <v/>
      </c>
      <c r="P346" s="207" t="str">
        <f t="shared" si="39"/>
        <v/>
      </c>
    </row>
    <row r="347" spans="3:16">
      <c r="C347" s="200"/>
      <c r="D347" s="201"/>
      <c r="E347" s="202"/>
      <c r="F347" s="200"/>
      <c r="H347" s="203"/>
      <c r="I347" s="186" t="str">
        <f t="shared" si="34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5"/>
        <v/>
      </c>
      <c r="L347" s="189" t="str">
        <f t="shared" si="37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6"/>
        <v/>
      </c>
      <c r="O347" s="206" t="str">
        <f t="shared" si="38"/>
        <v/>
      </c>
      <c r="P347" s="207" t="str">
        <f t="shared" si="39"/>
        <v/>
      </c>
    </row>
    <row r="348" spans="3:16">
      <c r="C348" s="200"/>
      <c r="D348" s="201"/>
      <c r="E348" s="202"/>
      <c r="F348" s="200"/>
      <c r="H348" s="203"/>
      <c r="I348" s="186" t="str">
        <f t="shared" si="34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5"/>
        <v/>
      </c>
      <c r="L348" s="189" t="str">
        <f t="shared" si="37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6"/>
        <v/>
      </c>
      <c r="O348" s="206" t="str">
        <f t="shared" si="38"/>
        <v/>
      </c>
      <c r="P348" s="207" t="str">
        <f t="shared" si="39"/>
        <v/>
      </c>
    </row>
    <row r="349" spans="3:16">
      <c r="C349" s="200"/>
      <c r="D349" s="201"/>
      <c r="E349" s="202"/>
      <c r="F349" s="200"/>
      <c r="H349" s="203"/>
      <c r="I349" s="186" t="str">
        <f t="shared" si="34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5"/>
        <v/>
      </c>
      <c r="L349" s="189" t="str">
        <f t="shared" si="37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6"/>
        <v/>
      </c>
      <c r="O349" s="206" t="str">
        <f t="shared" si="38"/>
        <v/>
      </c>
      <c r="P349" s="207" t="str">
        <f t="shared" si="39"/>
        <v/>
      </c>
    </row>
    <row r="350" spans="3:16">
      <c r="C350" s="200"/>
      <c r="D350" s="201"/>
      <c r="E350" s="202"/>
      <c r="F350" s="200"/>
      <c r="H350" s="203"/>
      <c r="I350" s="186" t="str">
        <f t="shared" si="34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5"/>
        <v/>
      </c>
      <c r="L350" s="189" t="str">
        <f t="shared" si="37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6"/>
        <v/>
      </c>
      <c r="O350" s="206" t="str">
        <f t="shared" si="38"/>
        <v/>
      </c>
      <c r="P350" s="207" t="str">
        <f t="shared" si="39"/>
        <v/>
      </c>
    </row>
    <row r="351" spans="3:16">
      <c r="C351" s="200"/>
      <c r="D351" s="201"/>
      <c r="E351" s="202"/>
      <c r="F351" s="200"/>
      <c r="H351" s="203"/>
      <c r="I351" s="186" t="str">
        <f t="shared" si="34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5"/>
        <v/>
      </c>
      <c r="L351" s="189" t="str">
        <f t="shared" si="37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6"/>
        <v/>
      </c>
      <c r="O351" s="206" t="str">
        <f t="shared" si="38"/>
        <v/>
      </c>
      <c r="P351" s="207" t="str">
        <f t="shared" si="39"/>
        <v/>
      </c>
    </row>
    <row r="352" spans="3:16">
      <c r="C352" s="200"/>
      <c r="D352" s="201"/>
      <c r="E352" s="202"/>
      <c r="F352" s="200"/>
      <c r="H352" s="203"/>
      <c r="I352" s="186" t="str">
        <f t="shared" si="34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5"/>
        <v/>
      </c>
      <c r="L352" s="189" t="str">
        <f t="shared" si="37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6"/>
        <v/>
      </c>
      <c r="O352" s="206" t="str">
        <f t="shared" si="38"/>
        <v/>
      </c>
      <c r="P352" s="207" t="str">
        <f t="shared" si="39"/>
        <v/>
      </c>
    </row>
    <row r="353" spans="3:16">
      <c r="C353" s="200"/>
      <c r="D353" s="201"/>
      <c r="E353" s="202"/>
      <c r="F353" s="200"/>
      <c r="H353" s="203"/>
      <c r="I353" s="186" t="str">
        <f t="shared" si="34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5"/>
        <v/>
      </c>
      <c r="L353" s="189" t="str">
        <f t="shared" si="37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6"/>
        <v/>
      </c>
      <c r="O353" s="206" t="str">
        <f t="shared" si="38"/>
        <v/>
      </c>
      <c r="P353" s="207" t="str">
        <f t="shared" si="39"/>
        <v/>
      </c>
    </row>
    <row r="354" spans="3:16">
      <c r="C354" s="200"/>
      <c r="D354" s="201"/>
      <c r="E354" s="202"/>
      <c r="F354" s="200"/>
      <c r="H354" s="203"/>
      <c r="I354" s="186" t="str">
        <f t="shared" si="34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5"/>
        <v/>
      </c>
      <c r="L354" s="189" t="str">
        <f t="shared" si="37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6"/>
        <v/>
      </c>
      <c r="O354" s="206" t="str">
        <f t="shared" si="38"/>
        <v/>
      </c>
      <c r="P354" s="207" t="str">
        <f t="shared" si="39"/>
        <v/>
      </c>
    </row>
    <row r="355" spans="3:16">
      <c r="C355" s="200"/>
      <c r="D355" s="201"/>
      <c r="E355" s="202"/>
      <c r="F355" s="200"/>
      <c r="H355" s="203"/>
      <c r="I355" s="186" t="str">
        <f t="shared" si="34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5"/>
        <v/>
      </c>
      <c r="L355" s="189" t="str">
        <f t="shared" si="37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6"/>
        <v/>
      </c>
      <c r="O355" s="206" t="str">
        <f t="shared" si="38"/>
        <v/>
      </c>
      <c r="P355" s="207" t="str">
        <f t="shared" si="39"/>
        <v/>
      </c>
    </row>
    <row r="356" spans="3:16">
      <c r="C356" s="200"/>
      <c r="D356" s="201"/>
      <c r="E356" s="202"/>
      <c r="F356" s="200"/>
      <c r="H356" s="203"/>
      <c r="I356" s="186" t="str">
        <f t="shared" si="34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5"/>
        <v/>
      </c>
      <c r="L356" s="189" t="str">
        <f t="shared" si="37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6"/>
        <v/>
      </c>
      <c r="O356" s="206" t="str">
        <f t="shared" si="38"/>
        <v/>
      </c>
      <c r="P356" s="207" t="str">
        <f t="shared" si="39"/>
        <v/>
      </c>
    </row>
    <row r="357" spans="3:16">
      <c r="C357" s="200"/>
      <c r="D357" s="201"/>
      <c r="E357" s="202"/>
      <c r="F357" s="200"/>
      <c r="H357" s="203"/>
      <c r="I357" s="186" t="str">
        <f t="shared" si="34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5"/>
        <v/>
      </c>
      <c r="L357" s="189" t="str">
        <f t="shared" si="37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6"/>
        <v/>
      </c>
      <c r="O357" s="206" t="str">
        <f t="shared" si="38"/>
        <v/>
      </c>
      <c r="P357" s="207" t="str">
        <f t="shared" si="39"/>
        <v/>
      </c>
    </row>
    <row r="358" spans="3:16">
      <c r="C358" s="200"/>
      <c r="D358" s="201"/>
      <c r="E358" s="202"/>
      <c r="F358" s="200"/>
      <c r="H358" s="203"/>
      <c r="I358" s="186" t="str">
        <f t="shared" si="34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5"/>
        <v/>
      </c>
      <c r="L358" s="189" t="str">
        <f t="shared" si="37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6"/>
        <v/>
      </c>
      <c r="O358" s="206" t="str">
        <f t="shared" si="38"/>
        <v/>
      </c>
      <c r="P358" s="207" t="str">
        <f t="shared" si="39"/>
        <v/>
      </c>
    </row>
    <row r="359" spans="3:16">
      <c r="C359" s="200"/>
      <c r="D359" s="201"/>
      <c r="E359" s="202"/>
      <c r="F359" s="200"/>
      <c r="H359" s="203"/>
      <c r="I359" s="186" t="str">
        <f t="shared" si="34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5"/>
        <v/>
      </c>
      <c r="L359" s="189" t="str">
        <f t="shared" si="37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6"/>
        <v/>
      </c>
      <c r="O359" s="206" t="str">
        <f t="shared" si="38"/>
        <v/>
      </c>
      <c r="P359" s="207" t="str">
        <f t="shared" si="39"/>
        <v/>
      </c>
    </row>
    <row r="360" spans="3:16">
      <c r="C360" s="200"/>
      <c r="D360" s="201"/>
      <c r="E360" s="202"/>
      <c r="F360" s="200"/>
      <c r="H360" s="203"/>
      <c r="I360" s="186" t="str">
        <f t="shared" si="34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5"/>
        <v/>
      </c>
      <c r="L360" s="189" t="str">
        <f t="shared" si="37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6"/>
        <v/>
      </c>
      <c r="O360" s="206" t="str">
        <f t="shared" si="38"/>
        <v/>
      </c>
      <c r="P360" s="207" t="str">
        <f t="shared" si="39"/>
        <v/>
      </c>
    </row>
    <row r="361" spans="3:16">
      <c r="C361" s="200"/>
      <c r="D361" s="201"/>
      <c r="E361" s="202"/>
      <c r="F361" s="200"/>
      <c r="H361" s="203"/>
      <c r="I361" s="186" t="str">
        <f t="shared" si="34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5"/>
        <v/>
      </c>
      <c r="L361" s="189" t="str">
        <f t="shared" si="37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6"/>
        <v/>
      </c>
      <c r="O361" s="206" t="str">
        <f t="shared" si="38"/>
        <v/>
      </c>
      <c r="P361" s="207" t="str">
        <f t="shared" si="39"/>
        <v/>
      </c>
    </row>
    <row r="362" spans="3:16">
      <c r="C362" s="200"/>
      <c r="D362" s="201"/>
      <c r="E362" s="202"/>
      <c r="F362" s="200"/>
      <c r="H362" s="203"/>
      <c r="I362" s="186" t="str">
        <f t="shared" si="34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5"/>
        <v/>
      </c>
      <c r="L362" s="189" t="str">
        <f t="shared" si="37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6"/>
        <v/>
      </c>
      <c r="O362" s="206" t="str">
        <f t="shared" si="38"/>
        <v/>
      </c>
      <c r="P362" s="207" t="str">
        <f t="shared" si="39"/>
        <v/>
      </c>
    </row>
    <row r="363" spans="3:16">
      <c r="C363" s="200"/>
      <c r="D363" s="201"/>
      <c r="E363" s="202"/>
      <c r="F363" s="200"/>
      <c r="H363" s="203"/>
      <c r="I363" s="186" t="str">
        <f t="shared" si="34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5"/>
        <v/>
      </c>
      <c r="L363" s="189" t="str">
        <f t="shared" si="37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6"/>
        <v/>
      </c>
      <c r="O363" s="206" t="str">
        <f t="shared" si="38"/>
        <v/>
      </c>
      <c r="P363" s="207" t="str">
        <f t="shared" si="39"/>
        <v/>
      </c>
    </row>
    <row r="364" spans="3:16">
      <c r="C364" s="200"/>
      <c r="D364" s="201"/>
      <c r="E364" s="202"/>
      <c r="F364" s="200"/>
      <c r="H364" s="203"/>
      <c r="I364" s="186" t="str">
        <f t="shared" si="34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5"/>
        <v/>
      </c>
      <c r="L364" s="189" t="str">
        <f t="shared" si="37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6"/>
        <v/>
      </c>
      <c r="O364" s="206" t="str">
        <f t="shared" si="38"/>
        <v/>
      </c>
      <c r="P364" s="207" t="str">
        <f t="shared" si="39"/>
        <v/>
      </c>
    </row>
    <row r="365" spans="3:16">
      <c r="C365" s="200"/>
      <c r="D365" s="201"/>
      <c r="E365" s="202"/>
      <c r="F365" s="200"/>
      <c r="H365" s="203"/>
      <c r="I365" s="186" t="str">
        <f t="shared" si="34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5"/>
        <v/>
      </c>
      <c r="L365" s="189" t="str">
        <f t="shared" si="37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6"/>
        <v/>
      </c>
      <c r="O365" s="206" t="str">
        <f t="shared" si="38"/>
        <v/>
      </c>
      <c r="P365" s="207" t="str">
        <f t="shared" si="39"/>
        <v/>
      </c>
    </row>
    <row r="366" spans="3:16">
      <c r="C366" s="200"/>
      <c r="D366" s="201"/>
      <c r="E366" s="202"/>
      <c r="F366" s="200"/>
      <c r="H366" s="203"/>
      <c r="I366" s="186" t="str">
        <f t="shared" si="34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5"/>
        <v/>
      </c>
      <c r="L366" s="189" t="str">
        <f t="shared" si="37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6"/>
        <v/>
      </c>
      <c r="O366" s="206" t="str">
        <f t="shared" si="38"/>
        <v/>
      </c>
      <c r="P366" s="207" t="str">
        <f t="shared" si="39"/>
        <v/>
      </c>
    </row>
    <row r="367" spans="3:16">
      <c r="C367" s="200"/>
      <c r="D367" s="201"/>
      <c r="E367" s="202"/>
      <c r="F367" s="200"/>
      <c r="H367" s="203"/>
      <c r="I367" s="186" t="str">
        <f t="shared" si="34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5"/>
        <v/>
      </c>
      <c r="L367" s="189" t="str">
        <f t="shared" si="37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6"/>
        <v/>
      </c>
      <c r="O367" s="206" t="str">
        <f t="shared" si="38"/>
        <v/>
      </c>
      <c r="P367" s="207" t="str">
        <f t="shared" si="39"/>
        <v/>
      </c>
    </row>
    <row r="368" spans="3:16">
      <c r="C368" s="200"/>
      <c r="D368" s="201"/>
      <c r="E368" s="202"/>
      <c r="F368" s="200"/>
      <c r="H368" s="203"/>
      <c r="I368" s="186" t="str">
        <f t="shared" si="34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5"/>
        <v/>
      </c>
      <c r="L368" s="189" t="str">
        <f t="shared" si="37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6"/>
        <v/>
      </c>
      <c r="O368" s="206" t="str">
        <f t="shared" si="38"/>
        <v/>
      </c>
      <c r="P368" s="207" t="str">
        <f t="shared" si="39"/>
        <v/>
      </c>
    </row>
    <row r="369" spans="3:16">
      <c r="C369" s="200"/>
      <c r="D369" s="201"/>
      <c r="E369" s="202"/>
      <c r="F369" s="200"/>
      <c r="H369" s="203"/>
      <c r="I369" s="186" t="str">
        <f t="shared" si="34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5"/>
        <v/>
      </c>
      <c r="L369" s="189" t="str">
        <f t="shared" si="37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6"/>
        <v/>
      </c>
      <c r="O369" s="206" t="str">
        <f t="shared" si="38"/>
        <v/>
      </c>
      <c r="P369" s="207" t="str">
        <f t="shared" si="39"/>
        <v/>
      </c>
    </row>
    <row r="370" spans="3:16">
      <c r="C370" s="200"/>
      <c r="D370" s="201"/>
      <c r="E370" s="202"/>
      <c r="F370" s="200"/>
      <c r="H370" s="203"/>
      <c r="I370" s="186" t="str">
        <f t="shared" si="34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5"/>
        <v/>
      </c>
      <c r="L370" s="189" t="str">
        <f t="shared" si="37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6"/>
        <v/>
      </c>
      <c r="O370" s="206" t="str">
        <f t="shared" si="38"/>
        <v/>
      </c>
      <c r="P370" s="207" t="str">
        <f t="shared" si="39"/>
        <v/>
      </c>
    </row>
    <row r="371" spans="3:16">
      <c r="C371" s="200"/>
      <c r="D371" s="201"/>
      <c r="E371" s="202"/>
      <c r="F371" s="200"/>
      <c r="H371" s="203"/>
      <c r="I371" s="186" t="str">
        <f t="shared" si="34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5"/>
        <v/>
      </c>
      <c r="L371" s="189" t="str">
        <f t="shared" si="37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6"/>
        <v/>
      </c>
      <c r="O371" s="206" t="str">
        <f t="shared" si="38"/>
        <v/>
      </c>
      <c r="P371" s="207" t="str">
        <f t="shared" si="39"/>
        <v/>
      </c>
    </row>
    <row r="372" spans="3:16">
      <c r="C372" s="200"/>
      <c r="D372" s="201"/>
      <c r="E372" s="202"/>
      <c r="F372" s="200"/>
      <c r="H372" s="203"/>
      <c r="I372" s="186" t="str">
        <f t="shared" si="34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5"/>
        <v/>
      </c>
      <c r="L372" s="189" t="str">
        <f t="shared" si="37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6"/>
        <v/>
      </c>
      <c r="O372" s="206" t="str">
        <f t="shared" si="38"/>
        <v/>
      </c>
      <c r="P372" s="207" t="str">
        <f t="shared" si="39"/>
        <v/>
      </c>
    </row>
    <row r="373" spans="3:16">
      <c r="C373" s="200"/>
      <c r="D373" s="201"/>
      <c r="E373" s="202"/>
      <c r="F373" s="200"/>
      <c r="H373" s="203"/>
      <c r="I373" s="186" t="str">
        <f t="shared" si="34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5"/>
        <v/>
      </c>
      <c r="L373" s="189" t="str">
        <f t="shared" si="37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6"/>
        <v/>
      </c>
      <c r="O373" s="206" t="str">
        <f t="shared" si="38"/>
        <v/>
      </c>
      <c r="P373" s="207" t="str">
        <f t="shared" si="39"/>
        <v/>
      </c>
    </row>
    <row r="374" spans="3:16">
      <c r="C374" s="200"/>
      <c r="D374" s="201"/>
      <c r="E374" s="202"/>
      <c r="F374" s="200"/>
      <c r="H374" s="203"/>
      <c r="I374" s="186" t="str">
        <f t="shared" si="34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5"/>
        <v/>
      </c>
      <c r="L374" s="189" t="str">
        <f t="shared" si="37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6"/>
        <v/>
      </c>
      <c r="O374" s="206" t="str">
        <f t="shared" si="38"/>
        <v/>
      </c>
      <c r="P374" s="207" t="str">
        <f t="shared" si="39"/>
        <v/>
      </c>
    </row>
    <row r="375" spans="3:16">
      <c r="C375" s="200"/>
      <c r="D375" s="201"/>
      <c r="E375" s="202"/>
      <c r="F375" s="200"/>
      <c r="H375" s="203"/>
      <c r="I375" s="186" t="str">
        <f t="shared" si="34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5"/>
        <v/>
      </c>
      <c r="L375" s="189" t="str">
        <f t="shared" si="37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6"/>
        <v/>
      </c>
      <c r="O375" s="206" t="str">
        <f t="shared" si="38"/>
        <v/>
      </c>
      <c r="P375" s="207" t="str">
        <f t="shared" si="39"/>
        <v/>
      </c>
    </row>
    <row r="376" spans="3:16">
      <c r="C376" s="200"/>
      <c r="D376" s="201"/>
      <c r="E376" s="202"/>
      <c r="F376" s="200"/>
      <c r="H376" s="203"/>
      <c r="I376" s="186" t="str">
        <f t="shared" si="34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5"/>
        <v/>
      </c>
      <c r="L376" s="189" t="str">
        <f t="shared" si="37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6"/>
        <v/>
      </c>
      <c r="O376" s="206" t="str">
        <f t="shared" si="38"/>
        <v/>
      </c>
      <c r="P376" s="207" t="str">
        <f t="shared" si="39"/>
        <v/>
      </c>
    </row>
    <row r="377" spans="3:16">
      <c r="C377" s="200"/>
      <c r="D377" s="201"/>
      <c r="E377" s="202"/>
      <c r="F377" s="200"/>
      <c r="H377" s="203"/>
      <c r="I377" s="186" t="str">
        <f t="shared" si="34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5"/>
        <v/>
      </c>
      <c r="L377" s="189" t="str">
        <f t="shared" si="37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6"/>
        <v/>
      </c>
      <c r="O377" s="206" t="str">
        <f t="shared" si="38"/>
        <v/>
      </c>
      <c r="P377" s="207" t="str">
        <f t="shared" si="39"/>
        <v/>
      </c>
    </row>
    <row r="378" spans="3:16">
      <c r="C378" s="200"/>
      <c r="D378" s="201"/>
      <c r="E378" s="202"/>
      <c r="F378" s="200"/>
      <c r="H378" s="203"/>
      <c r="I378" s="186" t="str">
        <f t="shared" si="34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5"/>
        <v/>
      </c>
      <c r="L378" s="189" t="str">
        <f t="shared" si="37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6"/>
        <v/>
      </c>
      <c r="O378" s="206" t="str">
        <f t="shared" si="38"/>
        <v/>
      </c>
      <c r="P378" s="207" t="str">
        <f t="shared" si="39"/>
        <v/>
      </c>
    </row>
    <row r="379" spans="3:16">
      <c r="C379" s="200"/>
      <c r="D379" s="201"/>
      <c r="E379" s="202"/>
      <c r="F379" s="200"/>
      <c r="H379" s="203"/>
      <c r="I379" s="186" t="str">
        <f t="shared" si="34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5"/>
        <v/>
      </c>
      <c r="L379" s="189" t="str">
        <f t="shared" si="37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6"/>
        <v/>
      </c>
      <c r="O379" s="206" t="str">
        <f t="shared" si="38"/>
        <v/>
      </c>
      <c r="P379" s="207" t="str">
        <f t="shared" si="39"/>
        <v/>
      </c>
    </row>
    <row r="380" spans="3:16">
      <c r="C380" s="200"/>
      <c r="D380" s="201"/>
      <c r="E380" s="202"/>
      <c r="F380" s="200"/>
      <c r="H380" s="203"/>
      <c r="I380" s="186" t="str">
        <f t="shared" si="34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5"/>
        <v/>
      </c>
      <c r="L380" s="189" t="str">
        <f t="shared" si="37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6"/>
        <v/>
      </c>
      <c r="O380" s="206" t="str">
        <f t="shared" si="38"/>
        <v/>
      </c>
      <c r="P380" s="207" t="str">
        <f t="shared" si="39"/>
        <v/>
      </c>
    </row>
    <row r="381" spans="3:16">
      <c r="C381" s="200"/>
      <c r="D381" s="201"/>
      <c r="E381" s="202"/>
      <c r="F381" s="200"/>
      <c r="H381" s="203"/>
      <c r="I381" s="186" t="str">
        <f t="shared" si="34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5"/>
        <v/>
      </c>
      <c r="L381" s="189" t="str">
        <f t="shared" si="37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6"/>
        <v/>
      </c>
      <c r="O381" s="206" t="str">
        <f t="shared" si="38"/>
        <v/>
      </c>
      <c r="P381" s="207" t="str">
        <f t="shared" si="39"/>
        <v/>
      </c>
    </row>
    <row r="382" spans="3:16">
      <c r="C382" s="200"/>
      <c r="D382" s="201"/>
      <c r="E382" s="202"/>
      <c r="F382" s="200"/>
      <c r="H382" s="203"/>
      <c r="I382" s="186" t="str">
        <f t="shared" si="34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5"/>
        <v/>
      </c>
      <c r="L382" s="189" t="str">
        <f t="shared" si="37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6"/>
        <v/>
      </c>
      <c r="O382" s="206" t="str">
        <f t="shared" si="38"/>
        <v/>
      </c>
      <c r="P382" s="207" t="str">
        <f t="shared" si="39"/>
        <v/>
      </c>
    </row>
    <row r="383" spans="3:16">
      <c r="C383" s="200"/>
      <c r="D383" s="201"/>
      <c r="E383" s="202"/>
      <c r="F383" s="200"/>
      <c r="H383" s="203"/>
      <c r="I383" s="186" t="str">
        <f t="shared" si="34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5"/>
        <v/>
      </c>
      <c r="L383" s="189" t="str">
        <f t="shared" si="37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6"/>
        <v/>
      </c>
      <c r="O383" s="206" t="str">
        <f t="shared" si="38"/>
        <v/>
      </c>
      <c r="P383" s="207" t="str">
        <f t="shared" si="39"/>
        <v/>
      </c>
    </row>
    <row r="384" spans="3:16">
      <c r="C384" s="200"/>
      <c r="D384" s="201"/>
      <c r="E384" s="202"/>
      <c r="F384" s="200"/>
      <c r="H384" s="203"/>
      <c r="I384" s="186" t="str">
        <f t="shared" si="34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5"/>
        <v/>
      </c>
      <c r="L384" s="189" t="str">
        <f t="shared" si="37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6"/>
        <v/>
      </c>
      <c r="O384" s="206" t="str">
        <f t="shared" si="38"/>
        <v/>
      </c>
      <c r="P384" s="207" t="str">
        <f t="shared" si="39"/>
        <v/>
      </c>
    </row>
    <row r="385" spans="3:16">
      <c r="C385" s="200"/>
      <c r="D385" s="201"/>
      <c r="E385" s="202"/>
      <c r="F385" s="200"/>
      <c r="H385" s="203"/>
      <c r="I385" s="186" t="str">
        <f t="shared" si="34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5"/>
        <v/>
      </c>
      <c r="L385" s="189" t="str">
        <f t="shared" si="37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6"/>
        <v/>
      </c>
      <c r="O385" s="206" t="str">
        <f t="shared" si="38"/>
        <v/>
      </c>
      <c r="P385" s="207" t="str">
        <f t="shared" si="39"/>
        <v/>
      </c>
    </row>
    <row r="386" spans="3:16">
      <c r="C386" s="200"/>
      <c r="D386" s="201"/>
      <c r="E386" s="202"/>
      <c r="F386" s="200"/>
      <c r="H386" s="203"/>
      <c r="I386" s="186" t="str">
        <f t="shared" si="34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5"/>
        <v/>
      </c>
      <c r="L386" s="189" t="str">
        <f t="shared" si="37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6"/>
        <v/>
      </c>
      <c r="O386" s="206" t="str">
        <f t="shared" si="38"/>
        <v/>
      </c>
      <c r="P386" s="207" t="str">
        <f t="shared" si="39"/>
        <v/>
      </c>
    </row>
    <row r="387" spans="3:16">
      <c r="C387" s="200"/>
      <c r="D387" s="201"/>
      <c r="E387" s="202"/>
      <c r="F387" s="200"/>
      <c r="H387" s="203"/>
      <c r="I387" s="186" t="str">
        <f t="shared" si="34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5"/>
        <v/>
      </c>
      <c r="L387" s="189" t="str">
        <f t="shared" si="37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6"/>
        <v/>
      </c>
      <c r="O387" s="206" t="str">
        <f t="shared" si="38"/>
        <v/>
      </c>
      <c r="P387" s="207" t="str">
        <f t="shared" si="39"/>
        <v/>
      </c>
    </row>
    <row r="388" spans="3:16">
      <c r="C388" s="200"/>
      <c r="D388" s="201"/>
      <c r="E388" s="202"/>
      <c r="F388" s="200"/>
      <c r="H388" s="203"/>
      <c r="I388" s="186" t="str">
        <f t="shared" si="34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5"/>
        <v/>
      </c>
      <c r="L388" s="189" t="str">
        <f t="shared" si="37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6"/>
        <v/>
      </c>
      <c r="O388" s="206" t="str">
        <f t="shared" si="38"/>
        <v/>
      </c>
      <c r="P388" s="207" t="str">
        <f t="shared" si="39"/>
        <v/>
      </c>
    </row>
    <row r="389" spans="3:16">
      <c r="C389" s="200"/>
      <c r="D389" s="201"/>
      <c r="E389" s="202"/>
      <c r="F389" s="200"/>
      <c r="H389" s="203"/>
      <c r="I389" s="186" t="str">
        <f t="shared" si="34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5"/>
        <v/>
      </c>
      <c r="L389" s="189" t="str">
        <f t="shared" si="37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6"/>
        <v/>
      </c>
      <c r="O389" s="206" t="str">
        <f t="shared" si="38"/>
        <v/>
      </c>
      <c r="P389" s="207" t="str">
        <f t="shared" si="39"/>
        <v/>
      </c>
    </row>
    <row r="390" spans="3:16">
      <c r="C390" s="200"/>
      <c r="D390" s="201"/>
      <c r="E390" s="202"/>
      <c r="F390" s="200"/>
      <c r="H390" s="203"/>
      <c r="I390" s="186" t="str">
        <f t="shared" si="34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35"/>
        <v/>
      </c>
      <c r="L390" s="189" t="str">
        <f t="shared" si="37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36"/>
        <v/>
      </c>
      <c r="O390" s="206" t="str">
        <f t="shared" si="38"/>
        <v/>
      </c>
      <c r="P390" s="207" t="str">
        <f t="shared" si="39"/>
        <v/>
      </c>
    </row>
    <row r="391" spans="3:16">
      <c r="C391" s="200"/>
      <c r="D391" s="201"/>
      <c r="E391" s="202"/>
      <c r="F391" s="200"/>
      <c r="H391" s="203"/>
      <c r="I391" s="186" t="str">
        <f t="shared" ref="I391:I400" si="40">IF(H391="","",IF(H391="JPY","",IF($H391="USD",4, IF(H391="EUR",7,IF(H391="CNY",47,IF(H391="HKD",34))))))</f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ref="K391:K400" si="41">IF($H391="JPY",$F391,IF($H391="","",$F391*$J391))</f>
        <v/>
      </c>
      <c r="L391" s="189" t="str">
        <f t="shared" si="37"/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ref="N391:N400" si="42">IF($E391="JPY",($C391+$D391),IF($E391="","",($C391+$D391)*$M391))</f>
        <v/>
      </c>
      <c r="O391" s="206" t="str">
        <f t="shared" si="38"/>
        <v/>
      </c>
      <c r="P391" s="207" t="str">
        <f t="shared" si="39"/>
        <v/>
      </c>
    </row>
    <row r="392" spans="3:16">
      <c r="C392" s="200"/>
      <c r="D392" s="201"/>
      <c r="E392" s="202"/>
      <c r="F392" s="200"/>
      <c r="H392" s="203"/>
      <c r="I392" s="186" t="str">
        <f t="shared" si="40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41"/>
        <v/>
      </c>
      <c r="L392" s="189" t="str">
        <f t="shared" si="37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42"/>
        <v/>
      </c>
      <c r="O392" s="206" t="str">
        <f t="shared" si="38"/>
        <v/>
      </c>
      <c r="P392" s="207" t="str">
        <f t="shared" si="39"/>
        <v/>
      </c>
    </row>
    <row r="393" spans="3:16">
      <c r="C393" s="200"/>
      <c r="D393" s="201"/>
      <c r="E393" s="202"/>
      <c r="F393" s="200"/>
      <c r="H393" s="203"/>
      <c r="I393" s="186" t="str">
        <f t="shared" si="40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41"/>
        <v/>
      </c>
      <c r="L393" s="189" t="str">
        <f t="shared" si="37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42"/>
        <v/>
      </c>
      <c r="O393" s="206" t="str">
        <f t="shared" si="38"/>
        <v/>
      </c>
      <c r="P393" s="207" t="str">
        <f t="shared" si="39"/>
        <v/>
      </c>
    </row>
    <row r="394" spans="3:16">
      <c r="C394" s="200"/>
      <c r="D394" s="201"/>
      <c r="E394" s="202"/>
      <c r="F394" s="200"/>
      <c r="H394" s="203"/>
      <c r="I394" s="186" t="str">
        <f t="shared" si="40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41"/>
        <v/>
      </c>
      <c r="L394" s="189" t="str">
        <f t="shared" si="37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42"/>
        <v/>
      </c>
      <c r="O394" s="206" t="str">
        <f t="shared" si="38"/>
        <v/>
      </c>
      <c r="P394" s="207" t="str">
        <f t="shared" si="39"/>
        <v/>
      </c>
    </row>
    <row r="395" spans="3:16">
      <c r="C395" s="200"/>
      <c r="D395" s="201"/>
      <c r="E395" s="202"/>
      <c r="F395" s="200"/>
      <c r="H395" s="203"/>
      <c r="I395" s="186" t="str">
        <f t="shared" si="40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41"/>
        <v/>
      </c>
      <c r="L395" s="189" t="str">
        <f t="shared" si="37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42"/>
        <v/>
      </c>
      <c r="O395" s="206" t="str">
        <f t="shared" si="38"/>
        <v/>
      </c>
      <c r="P395" s="207" t="str">
        <f t="shared" si="39"/>
        <v/>
      </c>
    </row>
    <row r="396" spans="3:16">
      <c r="C396" s="200"/>
      <c r="D396" s="201"/>
      <c r="E396" s="202"/>
      <c r="F396" s="200"/>
      <c r="H396" s="203"/>
      <c r="I396" s="186" t="str">
        <f t="shared" si="40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41"/>
        <v/>
      </c>
      <c r="L396" s="189" t="str">
        <f t="shared" si="37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42"/>
        <v/>
      </c>
      <c r="O396" s="206" t="str">
        <f t="shared" si="38"/>
        <v/>
      </c>
      <c r="P396" s="207" t="str">
        <f t="shared" si="39"/>
        <v/>
      </c>
    </row>
    <row r="397" spans="3:16">
      <c r="C397" s="200"/>
      <c r="D397" s="201"/>
      <c r="E397" s="202"/>
      <c r="F397" s="200"/>
      <c r="H397" s="203"/>
      <c r="I397" s="186" t="str">
        <f t="shared" si="40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41"/>
        <v/>
      </c>
      <c r="L397" s="189" t="str">
        <f t="shared" si="37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42"/>
        <v/>
      </c>
      <c r="O397" s="206" t="str">
        <f t="shared" si="38"/>
        <v/>
      </c>
      <c r="P397" s="207" t="str">
        <f t="shared" si="39"/>
        <v/>
      </c>
    </row>
    <row r="398" spans="3:16">
      <c r="C398" s="200"/>
      <c r="D398" s="201"/>
      <c r="E398" s="202"/>
      <c r="F398" s="200"/>
      <c r="H398" s="203"/>
      <c r="I398" s="186" t="str">
        <f t="shared" si="40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41"/>
        <v/>
      </c>
      <c r="L398" s="189" t="str">
        <f t="shared" si="37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42"/>
        <v/>
      </c>
      <c r="O398" s="206" t="str">
        <f t="shared" si="38"/>
        <v/>
      </c>
      <c r="P398" s="207" t="str">
        <f t="shared" si="39"/>
        <v/>
      </c>
    </row>
    <row r="399" spans="3:16">
      <c r="C399" s="200"/>
      <c r="D399" s="201"/>
      <c r="E399" s="202"/>
      <c r="F399" s="200"/>
      <c r="H399" s="203"/>
      <c r="I399" s="186" t="str">
        <f t="shared" si="40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41"/>
        <v/>
      </c>
      <c r="L399" s="189" t="str">
        <f t="shared" si="37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42"/>
        <v/>
      </c>
      <c r="O399" s="206" t="str">
        <f t="shared" si="38"/>
        <v/>
      </c>
      <c r="P399" s="207" t="str">
        <f t="shared" si="39"/>
        <v/>
      </c>
    </row>
    <row r="400" spans="3:16">
      <c r="C400" s="200"/>
      <c r="D400" s="201"/>
      <c r="E400" s="202"/>
      <c r="F400" s="200"/>
      <c r="H400" s="203"/>
      <c r="I400" s="186" t="str">
        <f t="shared" si="40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41"/>
        <v/>
      </c>
      <c r="L400" s="189" t="str">
        <f t="shared" si="37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42"/>
        <v/>
      </c>
      <c r="O400" s="206" t="str">
        <f t="shared" si="38"/>
        <v/>
      </c>
      <c r="P400" s="207" t="str">
        <f t="shared" si="39"/>
        <v/>
      </c>
    </row>
  </sheetData>
  <autoFilter ref="A5:H400" xr:uid="{8A03BAAF-25FA-42C6-8642-723B12C66334}"/>
  <mergeCells count="1">
    <mergeCell ref="A1:E2"/>
  </mergeCells>
  <phoneticPr fontId="2"/>
  <conditionalFormatting sqref="P6:P400">
    <cfRule type="cellIs" dxfId="4" priority="1" operator="greaterThan">
      <formula>$P$3</formula>
    </cfRule>
  </conditionalFormatting>
  <dataValidations count="3">
    <dataValidation type="list" allowBlank="1" showInputMessage="1" showErrorMessage="1" sqref="A6:A51 A125:A180 A221:A400" xr:uid="{4A464C5A-4B4D-4C85-998F-2F9AC6382A49}">
      <formula1>$M$3:$O$3</formula1>
    </dataValidation>
    <dataValidation type="list" allowBlank="1" showInputMessage="1" showErrorMessage="1" sqref="H6:H400 E6:E400" xr:uid="{6CCBC872-249B-4934-B264-8B1993775748}">
      <formula1>"JPY,USD,EUR,CNY,HKD"</formula1>
    </dataValidation>
    <dataValidation type="list" allowBlank="1" showInputMessage="1" showErrorMessage="1" sqref="A52:A124 A181:A220" xr:uid="{5E3CCF43-7346-4D50-874B-5A13BCEB6600}">
      <formula1>$N$3:$P$3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F81DD-91B9-45EE-950E-D105EB888CF2}">
  <sheetPr codeName="Sheet15">
    <tabColor theme="4" tint="0.79998168889431442"/>
  </sheetPr>
  <dimension ref="A1:S68"/>
  <sheetViews>
    <sheetView showGridLines="0" zoomScale="70" zoomScaleNormal="70" workbookViewId="0">
      <selection activeCell="G30" sqref="G30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142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  <c r="F2" s="44" t="s">
        <v>76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>
      <c r="A7" s="464" t="s">
        <v>75</v>
      </c>
      <c r="B7" s="466" t="s">
        <v>94</v>
      </c>
      <c r="C7" s="450" t="s">
        <v>15</v>
      </c>
      <c r="D7" s="112" t="s">
        <v>13</v>
      </c>
      <c r="E7" s="113">
        <v>280</v>
      </c>
      <c r="F7" s="114">
        <v>560</v>
      </c>
      <c r="G7" s="114">
        <v>450</v>
      </c>
      <c r="H7" s="114">
        <v>890</v>
      </c>
      <c r="I7" s="114">
        <v>510</v>
      </c>
      <c r="J7" s="115">
        <v>440</v>
      </c>
      <c r="K7" s="116">
        <v>550</v>
      </c>
      <c r="L7" s="114">
        <v>330</v>
      </c>
      <c r="M7" s="114">
        <v>350</v>
      </c>
      <c r="N7" s="114">
        <v>980</v>
      </c>
      <c r="O7" s="114">
        <v>480</v>
      </c>
      <c r="P7" s="117">
        <v>480</v>
      </c>
      <c r="Q7" s="118">
        <f>SUM(E7:P7)</f>
        <v>6300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2738.1445699999995</v>
      </c>
      <c r="F8" s="136">
        <f ca="1">SUMIFS(INDIRECT($B$1&amp;"INV!$K:$K"),INDIRECT($B$1&amp;"INV!$A:$A"),$A7,INDIRECT($B$1&amp;"INV!$G:$G"),"&gt;="&amp;F$6,INDIRECT($B$1&amp;"INV!$G:$G"),"&lt;"&amp;EOMONTH(F$6,0)+1)/1000</f>
        <v>648.66264999999987</v>
      </c>
      <c r="G8" s="136">
        <f ca="1">SUMIFS(INDIRECT($B$1&amp;"INV!$K:$K"),INDIRECT($B$1&amp;"INV!$A:$A"),$A7,INDIRECT($B$1&amp;"INV!$G:$G"),"&gt;="&amp;G$6,INDIRECT($B$1&amp;"INV!$G:$G"),"&lt;"&amp;EOMONTH(G$6,0)+1)/1000</f>
        <v>380.81834999999995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209.63829999999999</v>
      </c>
      <c r="I8" s="136">
        <f t="shared" ca="1" si="0"/>
        <v>0</v>
      </c>
      <c r="J8" s="139">
        <f t="shared" ca="1" si="0"/>
        <v>0</v>
      </c>
      <c r="K8" s="135">
        <f t="shared" ca="1" si="0"/>
        <v>0</v>
      </c>
      <c r="L8" s="136">
        <f t="shared" ca="1" si="0"/>
        <v>0</v>
      </c>
      <c r="M8" s="136">
        <f t="shared" ca="1" si="0"/>
        <v>0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3977.2638699999993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>
        <f ca="1">E8/E7</f>
        <v>9.7790877499999986</v>
      </c>
      <c r="F9" s="4">
        <f t="shared" ref="F9:Q9" ca="1" si="1">F8/F7</f>
        <v>1.1583261607142854</v>
      </c>
      <c r="G9" s="4">
        <f t="shared" ca="1" si="1"/>
        <v>0.84626299999999988</v>
      </c>
      <c r="H9" s="4">
        <f t="shared" ca="1" si="1"/>
        <v>0.23554865168539324</v>
      </c>
      <c r="I9" s="4">
        <f t="shared" ca="1" si="1"/>
        <v>0</v>
      </c>
      <c r="J9" s="6">
        <f t="shared" ca="1" si="1"/>
        <v>0</v>
      </c>
      <c r="K9" s="8">
        <f t="shared" ca="1" si="1"/>
        <v>0</v>
      </c>
      <c r="L9" s="4">
        <f t="shared" ca="1" si="1"/>
        <v>0</v>
      </c>
      <c r="M9" s="4">
        <f t="shared" ca="1" si="1"/>
        <v>0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0.63131172539682534</v>
      </c>
    </row>
    <row r="10" spans="1:19">
      <c r="A10" s="464"/>
      <c r="B10" s="467"/>
      <c r="C10" s="451"/>
      <c r="D10" s="22" t="s">
        <v>18</v>
      </c>
      <c r="E10" s="12">
        <f ca="1">SUM($E8:E8)/SUM($E7:E7)</f>
        <v>9.7790877499999986</v>
      </c>
      <c r="F10" s="5">
        <f ca="1">SUM($E8:F8)/SUM($E7:F7)</f>
        <v>4.031913357142856</v>
      </c>
      <c r="G10" s="5">
        <f ca="1">SUM($E8:G8)/SUM($E7:G7)</f>
        <v>2.9206399767441855</v>
      </c>
      <c r="H10" s="5">
        <f ca="1">SUM($E8:H8)/SUM($E7:H7)</f>
        <v>1.8244329678899081</v>
      </c>
      <c r="I10" s="5">
        <f ca="1">SUM($E8:I8)/SUM($E7:I7)</f>
        <v>1.47853675464684</v>
      </c>
      <c r="J10" s="13">
        <f ca="1">SUM($E8:J8)/SUM($E7:J7)</f>
        <v>1.2706913322683704</v>
      </c>
      <c r="K10" s="9">
        <f ca="1">SUM($E8:K8)/SUM($E7:K7)</f>
        <v>1.0807782255434781</v>
      </c>
      <c r="L10" s="5">
        <f ca="1">SUM($E8:L8)/SUM($E7:L7)</f>
        <v>0.99183637655860335</v>
      </c>
      <c r="M10" s="5">
        <f ca="1">SUM($E8:M8)/SUM($E7:M7)</f>
        <v>0.91221648394495403</v>
      </c>
      <c r="N10" s="5">
        <f ca="1">SUM($E8:N8)/SUM($E7:N7)</f>
        <v>0.74480596816479383</v>
      </c>
      <c r="O10" s="5">
        <f ca="1">SUM($E8:O8)/SUM($E7:O7)</f>
        <v>0.68337867182130574</v>
      </c>
      <c r="P10" s="17">
        <f ca="1">SUM($E8:P8)/SUM($E7:P7)</f>
        <v>0.63131172539682534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>
        <v>230</v>
      </c>
      <c r="F11" s="121">
        <v>470</v>
      </c>
      <c r="G11" s="121">
        <v>370</v>
      </c>
      <c r="H11" s="121">
        <v>740</v>
      </c>
      <c r="I11" s="121">
        <v>420</v>
      </c>
      <c r="J11" s="122">
        <v>380</v>
      </c>
      <c r="K11" s="123">
        <v>450</v>
      </c>
      <c r="L11" s="121">
        <v>280</v>
      </c>
      <c r="M11" s="121">
        <v>310</v>
      </c>
      <c r="N11" s="121">
        <v>820</v>
      </c>
      <c r="O11" s="121">
        <v>410</v>
      </c>
      <c r="P11" s="124">
        <v>410</v>
      </c>
      <c r="Q11" s="125">
        <f>SUM(E11:P11)</f>
        <v>5290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2314.7460000000001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567.74599999999998</v>
      </c>
      <c r="G12" s="142">
        <f t="shared" ca="1" si="2"/>
        <v>330.41500000000002</v>
      </c>
      <c r="H12" s="142">
        <f t="shared" ca="1" si="2"/>
        <v>178.126</v>
      </c>
      <c r="I12" s="142">
        <f t="shared" ca="1" si="2"/>
        <v>0</v>
      </c>
      <c r="J12" s="145">
        <f t="shared" ca="1" si="2"/>
        <v>0</v>
      </c>
      <c r="K12" s="147">
        <f t="shared" ca="1" si="2"/>
        <v>0</v>
      </c>
      <c r="L12" s="142">
        <f t="shared" ca="1" si="2"/>
        <v>0</v>
      </c>
      <c r="M12" s="142">
        <f t="shared" ca="1" si="2"/>
        <v>0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3391.0330000000004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50</v>
      </c>
      <c r="F13" s="121">
        <f t="shared" ref="F13:P14" si="3">F7-F11</f>
        <v>90</v>
      </c>
      <c r="G13" s="121">
        <f t="shared" si="3"/>
        <v>80</v>
      </c>
      <c r="H13" s="121">
        <f t="shared" si="3"/>
        <v>150</v>
      </c>
      <c r="I13" s="121">
        <f t="shared" si="3"/>
        <v>90</v>
      </c>
      <c r="J13" s="122">
        <f t="shared" si="3"/>
        <v>60</v>
      </c>
      <c r="K13" s="123">
        <f t="shared" si="3"/>
        <v>100</v>
      </c>
      <c r="L13" s="121">
        <f t="shared" si="3"/>
        <v>50</v>
      </c>
      <c r="M13" s="121">
        <f t="shared" si="3"/>
        <v>40</v>
      </c>
      <c r="N13" s="121">
        <f t="shared" si="3"/>
        <v>160</v>
      </c>
      <c r="O13" s="121">
        <f t="shared" si="3"/>
        <v>70</v>
      </c>
      <c r="P13" s="124">
        <f t="shared" si="3"/>
        <v>70</v>
      </c>
      <c r="Q13" s="125">
        <f>SUM(E13:P13)</f>
        <v>1010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423.39856999999938</v>
      </c>
      <c r="F14" s="136">
        <f t="shared" ca="1" si="3"/>
        <v>80.91664999999989</v>
      </c>
      <c r="G14" s="136">
        <f t="shared" ca="1" si="3"/>
        <v>50.403349999999932</v>
      </c>
      <c r="H14" s="136">
        <f t="shared" ca="1" si="3"/>
        <v>31.512299999999982</v>
      </c>
      <c r="I14" s="136">
        <f t="shared" ca="1" si="3"/>
        <v>0</v>
      </c>
      <c r="J14" s="139">
        <f t="shared" ca="1" si="3"/>
        <v>0</v>
      </c>
      <c r="K14" s="135">
        <f t="shared" ca="1" si="3"/>
        <v>0</v>
      </c>
      <c r="L14" s="136">
        <f t="shared" ca="1" si="3"/>
        <v>0</v>
      </c>
      <c r="M14" s="136">
        <f t="shared" ca="1" si="3"/>
        <v>0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586.23086999999919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>
        <f ca="1">E14/E13</f>
        <v>8.4679713999999873</v>
      </c>
      <c r="F15" s="4">
        <f t="shared" ref="F15:Q15" ca="1" si="4">F14/F13</f>
        <v>0.89907388888888762</v>
      </c>
      <c r="G15" s="4">
        <f t="shared" ca="1" si="4"/>
        <v>0.6300418749999992</v>
      </c>
      <c r="H15" s="4">
        <f t="shared" ca="1" si="4"/>
        <v>0.21008199999999988</v>
      </c>
      <c r="I15" s="4">
        <f t="shared" ca="1" si="4"/>
        <v>0</v>
      </c>
      <c r="J15" s="6">
        <f t="shared" ca="1" si="4"/>
        <v>0</v>
      </c>
      <c r="K15" s="8">
        <f t="shared" ca="1" si="4"/>
        <v>0</v>
      </c>
      <c r="L15" s="4">
        <f t="shared" ca="1" si="4"/>
        <v>0</v>
      </c>
      <c r="M15" s="4">
        <f t="shared" ca="1" si="4"/>
        <v>0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0.58042660396039525</v>
      </c>
    </row>
    <row r="16" spans="1:19" ht="19.5" thickBot="1">
      <c r="A16" s="465"/>
      <c r="B16" s="468"/>
      <c r="C16" s="454"/>
      <c r="D16" s="23" t="s">
        <v>18</v>
      </c>
      <c r="E16" s="14">
        <f ca="1">SUM($E14:E14)/SUM($E13:E13)</f>
        <v>8.4679713999999873</v>
      </c>
      <c r="F16" s="7">
        <f ca="1">SUM($E14:F14)/SUM($E13:F13)</f>
        <v>3.6022515714285661</v>
      </c>
      <c r="G16" s="7">
        <f ca="1">SUM($E14:G14)/SUM($E13:G13)</f>
        <v>2.5214480454545418</v>
      </c>
      <c r="H16" s="7">
        <f ca="1">SUM($E14:H14)/SUM($E13:H13)</f>
        <v>1.5844077567567545</v>
      </c>
      <c r="I16" s="7">
        <f ca="1">SUM($E14:I14)/SUM($E13:I13)</f>
        <v>1.274414934782607</v>
      </c>
      <c r="J16" s="15">
        <f ca="1">SUM($E14:J14)/SUM($E13:J13)</f>
        <v>1.1273670576923061</v>
      </c>
      <c r="K16" s="10">
        <f ca="1">SUM($E14:K14)/SUM($E13:K13)</f>
        <v>0.94553366129032124</v>
      </c>
      <c r="L16" s="7">
        <f ca="1">SUM($E14:L14)/SUM($E13:L13)</f>
        <v>0.87497144776119284</v>
      </c>
      <c r="M16" s="7">
        <f ca="1">SUM($E14:M14)/SUM($E13:M13)</f>
        <v>0.82567728169013965</v>
      </c>
      <c r="N16" s="7">
        <f ca="1">SUM($E14:N14)/SUM($E13:N13)</f>
        <v>0.67382858620689556</v>
      </c>
      <c r="O16" s="7">
        <f ca="1">SUM($E14:O14)/SUM($E13:O13)</f>
        <v>0.62364986170212677</v>
      </c>
      <c r="P16" s="18">
        <f ca="1">SUM($E14:P14)/SUM($E13:P13)</f>
        <v>0.58042660396039525</v>
      </c>
      <c r="Q16" s="28" t="s">
        <v>22</v>
      </c>
      <c r="R16" s="59"/>
      <c r="S16"/>
    </row>
    <row r="17" spans="1:19">
      <c r="A17" s="463" t="s">
        <v>97</v>
      </c>
      <c r="B17" s="466" t="s">
        <v>94</v>
      </c>
      <c r="C17" s="450" t="s">
        <v>15</v>
      </c>
      <c r="D17" s="112" t="s">
        <v>13</v>
      </c>
      <c r="E17" s="113">
        <v>450</v>
      </c>
      <c r="F17" s="114">
        <v>730</v>
      </c>
      <c r="G17" s="114">
        <v>700</v>
      </c>
      <c r="H17" s="114">
        <v>530</v>
      </c>
      <c r="I17" s="114">
        <v>600</v>
      </c>
      <c r="J17" s="115">
        <v>790</v>
      </c>
      <c r="K17" s="116">
        <v>660</v>
      </c>
      <c r="L17" s="114">
        <v>240</v>
      </c>
      <c r="M17" s="114">
        <v>510</v>
      </c>
      <c r="N17" s="114">
        <v>1310</v>
      </c>
      <c r="O17" s="114">
        <v>850</v>
      </c>
      <c r="P17" s="117">
        <v>620</v>
      </c>
      <c r="Q17" s="118">
        <f>SUM(E17:P17)</f>
        <v>7990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700.43419999999992</v>
      </c>
      <c r="F18" s="136">
        <f ca="1">SUMIFS(INDIRECT($B$1&amp;"INV!$K:$K"),INDIRECT($B$1&amp;"INV!$A:$A"),$A17,INDIRECT($B$1&amp;"INV!$G:$G"),"&gt;="&amp;F$6,INDIRECT($B$1&amp;"INV!$G:$G"),"&lt;"&amp;EOMONTH(F$6,0)+1)/1000</f>
        <v>1323.6848</v>
      </c>
      <c r="G18" s="136">
        <f ca="1">SUMIFS(INDIRECT($B$1&amp;"INV!$K:$K"),INDIRECT($B$1&amp;"INV!$A:$A"),$A17,INDIRECT($B$1&amp;"INV!$G:$G"),"&gt;="&amp;G$6,INDIRECT($B$1&amp;"INV!$G:$G"),"&lt;"&amp;EOMONTH(G$6,0)+1)/1000</f>
        <v>618.3626999999999</v>
      </c>
      <c r="H18" s="136">
        <f t="shared" ref="H18:P18" ca="1" si="5">SUMIFS(INDIRECT($B$1&amp;"INV!$K:$K"),INDIRECT($B$1&amp;"INV!$A:$A"),$A17,INDIRECT($B$1&amp;"INV!$G:$G"),"&gt;="&amp;H$6,INDIRECT($B$1&amp;"INV!$G:$G"),"&lt;"&amp;EOMONTH(H$6,0)+1)/1000</f>
        <v>153.63</v>
      </c>
      <c r="I18" s="136">
        <f t="shared" ca="1" si="5"/>
        <v>0</v>
      </c>
      <c r="J18" s="139">
        <f t="shared" ca="1" si="5"/>
        <v>0</v>
      </c>
      <c r="K18" s="135">
        <f t="shared" ca="1" si="5"/>
        <v>0</v>
      </c>
      <c r="L18" s="136">
        <f t="shared" ca="1" si="5"/>
        <v>0</v>
      </c>
      <c r="M18" s="136">
        <f t="shared" ca="1" si="5"/>
        <v>0</v>
      </c>
      <c r="N18" s="136">
        <f t="shared" ca="1" si="5"/>
        <v>0</v>
      </c>
      <c r="O18" s="136">
        <f t="shared" ca="1" si="5"/>
        <v>0</v>
      </c>
      <c r="P18" s="137">
        <f t="shared" ca="1" si="5"/>
        <v>0</v>
      </c>
      <c r="Q18" s="140">
        <f ca="1">SUM(E18:P18)</f>
        <v>2796.1116999999999</v>
      </c>
      <c r="R18" s="483"/>
      <c r="S18" s="69" t="str">
        <f ca="1">IFERROR(Q18/R17,"")</f>
        <v/>
      </c>
    </row>
    <row r="19" spans="1:19">
      <c r="A19" s="464"/>
      <c r="B19" s="467"/>
      <c r="C19" s="450"/>
      <c r="D19" s="21" t="s">
        <v>17</v>
      </c>
      <c r="E19" s="11">
        <f ca="1">E18/E17</f>
        <v>1.5565204444444443</v>
      </c>
      <c r="F19" s="4">
        <f t="shared" ref="F19:Q19" ca="1" si="6">F18/F17</f>
        <v>1.8132668493150685</v>
      </c>
      <c r="G19" s="4">
        <f t="shared" ca="1" si="6"/>
        <v>0.88337528571428559</v>
      </c>
      <c r="H19" s="4">
        <f t="shared" ca="1" si="6"/>
        <v>0.2898679245283019</v>
      </c>
      <c r="I19" s="4">
        <f t="shared" ca="1" si="6"/>
        <v>0</v>
      </c>
      <c r="J19" s="6">
        <f t="shared" ca="1" si="6"/>
        <v>0</v>
      </c>
      <c r="K19" s="8">
        <f t="shared" ca="1" si="6"/>
        <v>0</v>
      </c>
      <c r="L19" s="4">
        <f t="shared" ca="1" si="6"/>
        <v>0</v>
      </c>
      <c r="M19" s="4">
        <f t="shared" ca="1" si="6"/>
        <v>0</v>
      </c>
      <c r="N19" s="4">
        <f t="shared" ca="1" si="6"/>
        <v>0</v>
      </c>
      <c r="O19" s="4">
        <f t="shared" ca="1" si="6"/>
        <v>0</v>
      </c>
      <c r="P19" s="16">
        <f t="shared" ca="1" si="6"/>
        <v>0</v>
      </c>
      <c r="Q19" s="26">
        <f t="shared" ca="1" si="6"/>
        <v>0.34995140175219025</v>
      </c>
      <c r="R19" s="59"/>
      <c r="S19"/>
    </row>
    <row r="20" spans="1:19">
      <c r="A20" s="464"/>
      <c r="B20" s="467"/>
      <c r="C20" s="451"/>
      <c r="D20" s="22" t="s">
        <v>18</v>
      </c>
      <c r="E20" s="12">
        <f ca="1">SUM($E18:E18)/SUM($E17:E17)</f>
        <v>1.5565204444444443</v>
      </c>
      <c r="F20" s="5">
        <f ca="1">SUM($E18:F18)/SUM($E17:F17)</f>
        <v>1.7153550847457626</v>
      </c>
      <c r="G20" s="5">
        <f ca="1">SUM($E18:G18)/SUM($E17:G17)</f>
        <v>1.4055753723404254</v>
      </c>
      <c r="H20" s="5">
        <f ca="1">SUM($E18:H18)/SUM($E17:H17)</f>
        <v>1.1602123236514523</v>
      </c>
      <c r="I20" s="5">
        <f ca="1">SUM($E18:I18)/SUM($E17:I17)</f>
        <v>0.92894076411960136</v>
      </c>
      <c r="J20" s="13">
        <f ca="1">SUM($E18:J18)/SUM($E17:J17)</f>
        <v>0.7358188684210526</v>
      </c>
      <c r="K20" s="9">
        <f ca="1">SUM($E18:K18)/SUM($E17:K17)</f>
        <v>0.62693087443946183</v>
      </c>
      <c r="L20" s="5">
        <f ca="1">SUM($E18:L18)/SUM($E17:L17)</f>
        <v>0.59491738297872343</v>
      </c>
      <c r="M20" s="5">
        <f ca="1">SUM($E18:M18)/SUM($E17:M17)</f>
        <v>0.53668170825335892</v>
      </c>
      <c r="N20" s="5">
        <f ca="1">SUM($E18:N18)/SUM($E17:N17)</f>
        <v>0.42885148773006132</v>
      </c>
      <c r="O20" s="5">
        <f ca="1">SUM($E18:O18)/SUM($E17:O17)</f>
        <v>0.37939100407055631</v>
      </c>
      <c r="P20" s="17">
        <f ca="1">SUM($E18:P18)/SUM($E17:P17)</f>
        <v>0.34995140175219025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>
        <v>350</v>
      </c>
      <c r="F21" s="121">
        <v>580</v>
      </c>
      <c r="G21" s="121">
        <v>560</v>
      </c>
      <c r="H21" s="121">
        <v>420</v>
      </c>
      <c r="I21" s="121">
        <v>470</v>
      </c>
      <c r="J21" s="122">
        <v>620</v>
      </c>
      <c r="K21" s="123">
        <v>520</v>
      </c>
      <c r="L21" s="121">
        <v>190</v>
      </c>
      <c r="M21" s="121">
        <v>400</v>
      </c>
      <c r="N21" s="121">
        <v>1020</v>
      </c>
      <c r="O21" s="121">
        <v>660</v>
      </c>
      <c r="P21" s="124">
        <v>490</v>
      </c>
      <c r="Q21" s="125">
        <f>SUM(E21:P21)</f>
        <v>6280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548.61399995999989</v>
      </c>
      <c r="F22" s="142">
        <f t="shared" ref="F22:P22" ca="1" si="7">SUMIFS(INDIRECT($B$1&amp;"INV!$N:$N"),INDIRECT($B$1&amp;"INV!$A:$A"),$A17,INDIRECT($B$1&amp;"INV!$G:$G"),"&gt;="&amp;F$6,INDIRECT($B$1&amp;"INV!$G:$G"),"&lt;"&amp;EOMONTH(F$6,0)+1)/1000</f>
        <v>1038.8819998900001</v>
      </c>
      <c r="G22" s="142">
        <f t="shared" ca="1" si="7"/>
        <v>479.93999989999998</v>
      </c>
      <c r="H22" s="142">
        <f t="shared" ca="1" si="7"/>
        <v>120.899</v>
      </c>
      <c r="I22" s="142">
        <f t="shared" ca="1" si="7"/>
        <v>0</v>
      </c>
      <c r="J22" s="145">
        <f t="shared" ca="1" si="7"/>
        <v>0</v>
      </c>
      <c r="K22" s="147">
        <f t="shared" ca="1" si="7"/>
        <v>0</v>
      </c>
      <c r="L22" s="142">
        <f t="shared" ca="1" si="7"/>
        <v>0</v>
      </c>
      <c r="M22" s="142">
        <f t="shared" ca="1" si="7"/>
        <v>0</v>
      </c>
      <c r="N22" s="142">
        <f t="shared" ca="1" si="7"/>
        <v>0</v>
      </c>
      <c r="O22" s="142">
        <f t="shared" ca="1" si="7"/>
        <v>0</v>
      </c>
      <c r="P22" s="143">
        <f t="shared" ca="1" si="7"/>
        <v>0</v>
      </c>
      <c r="Q22" s="146">
        <f ca="1">SUM(E22:P22)</f>
        <v>2188.3349997499995</v>
      </c>
      <c r="R22" s="488"/>
      <c r="S22" s="70" t="str">
        <f ca="1"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100</v>
      </c>
      <c r="F23" s="121">
        <f t="shared" ref="F23:P24" si="8">F17-F21</f>
        <v>150</v>
      </c>
      <c r="G23" s="121">
        <f t="shared" si="8"/>
        <v>140</v>
      </c>
      <c r="H23" s="121">
        <f t="shared" si="8"/>
        <v>110</v>
      </c>
      <c r="I23" s="121">
        <f t="shared" si="8"/>
        <v>130</v>
      </c>
      <c r="J23" s="122">
        <f t="shared" si="8"/>
        <v>170</v>
      </c>
      <c r="K23" s="123">
        <f t="shared" si="8"/>
        <v>140</v>
      </c>
      <c r="L23" s="121">
        <f t="shared" si="8"/>
        <v>50</v>
      </c>
      <c r="M23" s="121">
        <f t="shared" si="8"/>
        <v>110</v>
      </c>
      <c r="N23" s="121">
        <f t="shared" si="8"/>
        <v>290</v>
      </c>
      <c r="O23" s="121">
        <f t="shared" si="8"/>
        <v>190</v>
      </c>
      <c r="P23" s="124">
        <f t="shared" si="8"/>
        <v>130</v>
      </c>
      <c r="Q23" s="125">
        <f>SUM(E23:P23)</f>
        <v>1710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>
        <f ca="1">E18-E22</f>
        <v>151.82020004000003</v>
      </c>
      <c r="F24" s="136">
        <f t="shared" ca="1" si="8"/>
        <v>284.80280010999991</v>
      </c>
      <c r="G24" s="136">
        <f t="shared" ca="1" si="8"/>
        <v>138.42270009999993</v>
      </c>
      <c r="H24" s="136">
        <f t="shared" ca="1" si="8"/>
        <v>32.730999999999995</v>
      </c>
      <c r="I24" s="136">
        <f t="shared" ca="1" si="8"/>
        <v>0</v>
      </c>
      <c r="J24" s="139">
        <f t="shared" ca="1" si="8"/>
        <v>0</v>
      </c>
      <c r="K24" s="135">
        <f t="shared" ca="1" si="8"/>
        <v>0</v>
      </c>
      <c r="L24" s="136">
        <f t="shared" ca="1" si="8"/>
        <v>0</v>
      </c>
      <c r="M24" s="136">
        <f t="shared" ca="1" si="8"/>
        <v>0</v>
      </c>
      <c r="N24" s="136">
        <f t="shared" ca="1" si="8"/>
        <v>0</v>
      </c>
      <c r="O24" s="136">
        <f t="shared" ca="1" si="8"/>
        <v>0</v>
      </c>
      <c r="P24" s="137">
        <f t="shared" ca="1" si="8"/>
        <v>0</v>
      </c>
      <c r="Q24" s="140">
        <f ca="1">SUM(E24:P24)</f>
        <v>607.77670024999986</v>
      </c>
      <c r="R24" s="483"/>
      <c r="S24" s="69" t="str">
        <f ca="1">IFERROR(Q24/R23,"")</f>
        <v/>
      </c>
    </row>
    <row r="25" spans="1:19">
      <c r="A25" s="464"/>
      <c r="B25" s="467"/>
      <c r="C25" s="453"/>
      <c r="D25" s="21" t="s">
        <v>17</v>
      </c>
      <c r="E25" s="11">
        <f ca="1">E24/E23</f>
        <v>1.5182020004000003</v>
      </c>
      <c r="F25" s="4">
        <f t="shared" ref="F25:Q25" ca="1" si="9">F24/F23</f>
        <v>1.8986853340666661</v>
      </c>
      <c r="G25" s="4">
        <f t="shared" ca="1" si="9"/>
        <v>0.98873357214285662</v>
      </c>
      <c r="H25" s="4">
        <f t="shared" ca="1" si="9"/>
        <v>0.2975545454545454</v>
      </c>
      <c r="I25" s="4">
        <f t="shared" ca="1" si="9"/>
        <v>0</v>
      </c>
      <c r="J25" s="6">
        <f t="shared" ca="1" si="9"/>
        <v>0</v>
      </c>
      <c r="K25" s="8">
        <f t="shared" ca="1" si="9"/>
        <v>0</v>
      </c>
      <c r="L25" s="4">
        <f t="shared" ca="1" si="9"/>
        <v>0</v>
      </c>
      <c r="M25" s="4">
        <f t="shared" ca="1" si="9"/>
        <v>0</v>
      </c>
      <c r="N25" s="4">
        <f t="shared" ca="1" si="9"/>
        <v>0</v>
      </c>
      <c r="O25" s="4">
        <f t="shared" ca="1" si="9"/>
        <v>0</v>
      </c>
      <c r="P25" s="16">
        <f t="shared" ca="1" si="9"/>
        <v>0</v>
      </c>
      <c r="Q25" s="26">
        <f t="shared" ca="1" si="9"/>
        <v>0.35542497090643266</v>
      </c>
    </row>
    <row r="26" spans="1:19" ht="19.5" thickBot="1">
      <c r="A26" s="465"/>
      <c r="B26" s="468"/>
      <c r="C26" s="454"/>
      <c r="D26" s="23" t="s">
        <v>18</v>
      </c>
      <c r="E26" s="14">
        <f ca="1">SUM($E24:E24)/SUM($E23:E23)</f>
        <v>1.5182020004000003</v>
      </c>
      <c r="F26" s="7">
        <f ca="1">SUM($E24:F24)/SUM($E23:F23)</f>
        <v>1.7464920005999998</v>
      </c>
      <c r="G26" s="7">
        <f ca="1">SUM($E24:G24)/SUM($E23:G23)</f>
        <v>1.4744761544871792</v>
      </c>
      <c r="H26" s="7">
        <f ca="1">SUM($E24:H24)/SUM($E23:H23)</f>
        <v>1.2155534004999997</v>
      </c>
      <c r="I26" s="7">
        <f ca="1">SUM($E24:I24)/SUM($E23:I23)</f>
        <v>0.96472492103174579</v>
      </c>
      <c r="J26" s="15">
        <f ca="1">SUM($E24:J24)/SUM($E23:J23)</f>
        <v>0.75972087531249988</v>
      </c>
      <c r="K26" s="10">
        <f ca="1">SUM($E24:K24)/SUM($E23:K23)</f>
        <v>0.64657095771276585</v>
      </c>
      <c r="L26" s="7">
        <f ca="1">SUM($E24:L24)/SUM($E23:L23)</f>
        <v>0.61391585883838373</v>
      </c>
      <c r="M26" s="7">
        <f ca="1">SUM($E24:M24)/SUM($E23:M23)</f>
        <v>0.55252427295454531</v>
      </c>
      <c r="N26" s="7">
        <f ca="1">SUM($E24:N24)/SUM($E23:N23)</f>
        <v>0.43724942464028765</v>
      </c>
      <c r="O26" s="7">
        <f ca="1">SUM($E24:O24)/SUM($E23:O23)</f>
        <v>0.38466879762658218</v>
      </c>
      <c r="P26" s="18">
        <f ca="1">SUM($E24:P24)/SUM($E23:P23)</f>
        <v>0.35542497090643266</v>
      </c>
      <c r="Q26" s="28" t="s">
        <v>22</v>
      </c>
      <c r="R26" s="59"/>
      <c r="S26"/>
    </row>
    <row r="27" spans="1:19">
      <c r="A27" s="464" t="s">
        <v>154</v>
      </c>
      <c r="B27" s="466" t="s">
        <v>154</v>
      </c>
      <c r="C27" s="450" t="s">
        <v>15</v>
      </c>
      <c r="D27" s="112" t="s">
        <v>13</v>
      </c>
      <c r="E27" s="113"/>
      <c r="F27" s="114"/>
      <c r="G27" s="114"/>
      <c r="H27" s="114"/>
      <c r="I27" s="114"/>
      <c r="J27" s="115"/>
      <c r="K27" s="116"/>
      <c r="L27" s="114"/>
      <c r="M27" s="114"/>
      <c r="N27" s="114"/>
      <c r="O27" s="114"/>
      <c r="P27" s="117"/>
      <c r="Q27" s="118">
        <f>SUM(E27:P27)</f>
        <v>0</v>
      </c>
      <c r="R27" s="482">
        <v>7</v>
      </c>
      <c r="S27" s="68">
        <f>IFERROR(Q27/R27,"")</f>
        <v>0</v>
      </c>
    </row>
    <row r="28" spans="1:19" ht="19.5" thickBot="1">
      <c r="A28" s="464"/>
      <c r="B28" s="467"/>
      <c r="C28" s="450"/>
      <c r="D28" s="134" t="s">
        <v>14</v>
      </c>
      <c r="E28" s="135"/>
      <c r="F28" s="136"/>
      <c r="G28" s="136"/>
      <c r="H28" s="136"/>
      <c r="I28" s="136"/>
      <c r="J28" s="139"/>
      <c r="K28" s="135"/>
      <c r="L28" s="136"/>
      <c r="M28" s="136"/>
      <c r="N28" s="136"/>
      <c r="O28" s="136"/>
      <c r="P28" s="137"/>
      <c r="Q28" s="140">
        <f>SUM(E28:P28)</f>
        <v>0</v>
      </c>
      <c r="R28" s="483"/>
      <c r="S28" s="69">
        <f>IFERROR(Q28/R27,"")</f>
        <v>0</v>
      </c>
    </row>
    <row r="29" spans="1:19">
      <c r="A29" s="464"/>
      <c r="B29" s="467"/>
      <c r="C29" s="450"/>
      <c r="D29" s="21" t="s">
        <v>17</v>
      </c>
      <c r="E29" s="11" t="e">
        <f>E28/E27</f>
        <v>#DIV/0!</v>
      </c>
      <c r="F29" s="4" t="e">
        <f t="shared" ref="F29:Q29" si="10">F28/F27</f>
        <v>#DIV/0!</v>
      </c>
      <c r="G29" s="4" t="e">
        <f t="shared" si="10"/>
        <v>#DIV/0!</v>
      </c>
      <c r="H29" s="4" t="e">
        <f t="shared" si="10"/>
        <v>#DIV/0!</v>
      </c>
      <c r="I29" s="4" t="e">
        <f t="shared" si="10"/>
        <v>#DIV/0!</v>
      </c>
      <c r="J29" s="6" t="e">
        <f t="shared" si="10"/>
        <v>#DIV/0!</v>
      </c>
      <c r="K29" s="8" t="e">
        <f t="shared" si="10"/>
        <v>#DIV/0!</v>
      </c>
      <c r="L29" s="4" t="e">
        <f t="shared" si="10"/>
        <v>#DIV/0!</v>
      </c>
      <c r="M29" s="4" t="e">
        <f t="shared" si="10"/>
        <v>#DIV/0!</v>
      </c>
      <c r="N29" s="4" t="e">
        <f t="shared" si="10"/>
        <v>#DIV/0!</v>
      </c>
      <c r="O29" s="4" t="e">
        <f t="shared" si="10"/>
        <v>#DIV/0!</v>
      </c>
      <c r="P29" s="16" t="e">
        <f t="shared" si="10"/>
        <v>#DIV/0!</v>
      </c>
      <c r="Q29" s="26" t="e">
        <f t="shared" si="10"/>
        <v>#DIV/0!</v>
      </c>
      <c r="R29" s="59"/>
      <c r="S29"/>
    </row>
    <row r="30" spans="1:19">
      <c r="A30" s="464"/>
      <c r="B30" s="467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/>
      <c r="F31" s="121"/>
      <c r="G31" s="121"/>
      <c r="H31" s="121"/>
      <c r="I31" s="121"/>
      <c r="J31" s="122"/>
      <c r="K31" s="123"/>
      <c r="L31" s="121"/>
      <c r="M31" s="121"/>
      <c r="N31" s="121"/>
      <c r="O31" s="121"/>
      <c r="P31" s="124"/>
      <c r="Q31" s="125">
        <f>SUM(E31:P31)</f>
        <v>0</v>
      </c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/>
      <c r="F32" s="142"/>
      <c r="G32" s="142"/>
      <c r="H32" s="142"/>
      <c r="I32" s="142"/>
      <c r="J32" s="145"/>
      <c r="K32" s="147"/>
      <c r="L32" s="142"/>
      <c r="M32" s="142"/>
      <c r="N32" s="142"/>
      <c r="O32" s="142"/>
      <c r="P32" s="143"/>
      <c r="Q32" s="146">
        <f>SUM(E32:P32)</f>
        <v>0</v>
      </c>
      <c r="R32" s="488"/>
      <c r="S32" s="70" t="str">
        <f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/>
      <c r="F33" s="121"/>
      <c r="G33" s="121"/>
      <c r="H33" s="121"/>
      <c r="I33" s="121"/>
      <c r="J33" s="122"/>
      <c r="K33" s="123"/>
      <c r="L33" s="121"/>
      <c r="M33" s="121"/>
      <c r="N33" s="121"/>
      <c r="O33" s="121"/>
      <c r="P33" s="124"/>
      <c r="Q33" s="125">
        <f>SUM(E33:P33)</f>
        <v>0</v>
      </c>
      <c r="R33" s="482">
        <f>R27-R31</f>
        <v>7</v>
      </c>
      <c r="S33" s="150">
        <f>IFERROR(Q33/R33,"")</f>
        <v>0</v>
      </c>
    </row>
    <row r="34" spans="1:19" ht="19.5" thickBot="1">
      <c r="A34" s="464"/>
      <c r="B34" s="467"/>
      <c r="C34" s="453"/>
      <c r="D34" s="134" t="s">
        <v>14</v>
      </c>
      <c r="E34" s="135"/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>
        <f>IFERROR(Q34/R33,"")</f>
        <v>0</v>
      </c>
    </row>
    <row r="35" spans="1:19">
      <c r="A35" s="464"/>
      <c r="B35" s="467"/>
      <c r="C35" s="453"/>
      <c r="D35" s="21" t="s">
        <v>17</v>
      </c>
      <c r="E35" s="11" t="e">
        <f>E34/E33</f>
        <v>#DIV/0!</v>
      </c>
      <c r="F35" s="4" t="e">
        <f t="shared" ref="F35:Q35" si="11">F34/F33</f>
        <v>#DIV/0!</v>
      </c>
      <c r="G35" s="4" t="e">
        <f t="shared" si="11"/>
        <v>#DIV/0!</v>
      </c>
      <c r="H35" s="4" t="e">
        <f t="shared" si="11"/>
        <v>#DIV/0!</v>
      </c>
      <c r="I35" s="4" t="e">
        <f t="shared" si="11"/>
        <v>#DIV/0!</v>
      </c>
      <c r="J35" s="6" t="e">
        <f t="shared" si="11"/>
        <v>#DIV/0!</v>
      </c>
      <c r="K35" s="8" t="e">
        <f t="shared" si="11"/>
        <v>#DIV/0!</v>
      </c>
      <c r="L35" s="4" t="e">
        <f t="shared" si="11"/>
        <v>#DIV/0!</v>
      </c>
      <c r="M35" s="4" t="e">
        <f t="shared" si="11"/>
        <v>#DIV/0!</v>
      </c>
      <c r="N35" s="4" t="e">
        <f t="shared" si="11"/>
        <v>#DIV/0!</v>
      </c>
      <c r="O35" s="4" t="e">
        <f t="shared" si="11"/>
        <v>#DIV/0!</v>
      </c>
      <c r="P35" s="16" t="e">
        <f t="shared" si="11"/>
        <v>#DIV/0!</v>
      </c>
      <c r="Q35" s="26" t="e">
        <f t="shared" si="11"/>
        <v>#DIV/0!</v>
      </c>
    </row>
    <row r="36" spans="1:19" ht="19.5" thickBot="1">
      <c r="A36" s="465"/>
      <c r="B36" s="468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730</v>
      </c>
      <c r="F37" s="128">
        <f t="shared" ref="F37:Q38" si="12">SUM(F7,F17,F27)</f>
        <v>1290</v>
      </c>
      <c r="G37" s="129">
        <f t="shared" si="12"/>
        <v>1150</v>
      </c>
      <c r="H37" s="128">
        <f t="shared" si="12"/>
        <v>1420</v>
      </c>
      <c r="I37" s="128">
        <f t="shared" si="12"/>
        <v>1110</v>
      </c>
      <c r="J37" s="130">
        <f t="shared" si="12"/>
        <v>1230</v>
      </c>
      <c r="K37" s="127">
        <f t="shared" si="12"/>
        <v>1210</v>
      </c>
      <c r="L37" s="128">
        <f t="shared" si="12"/>
        <v>570</v>
      </c>
      <c r="M37" s="129">
        <f t="shared" si="12"/>
        <v>860</v>
      </c>
      <c r="N37" s="128">
        <f t="shared" si="12"/>
        <v>2290</v>
      </c>
      <c r="O37" s="128">
        <f t="shared" si="12"/>
        <v>1330</v>
      </c>
      <c r="P37" s="130">
        <f t="shared" si="12"/>
        <v>1100</v>
      </c>
      <c r="Q37" s="131">
        <f t="shared" si="12"/>
        <v>14290</v>
      </c>
      <c r="R37" s="482">
        <f>SUM(R7,R17,R27)</f>
        <v>7</v>
      </c>
      <c r="S37" s="68">
        <f>IFERROR(Q37/R37,"")</f>
        <v>2041.4285714285713</v>
      </c>
    </row>
    <row r="38" spans="1:19" ht="19.5" thickBot="1">
      <c r="A38" s="19"/>
      <c r="B38" s="447"/>
      <c r="C38" s="450"/>
      <c r="D38" s="148" t="s">
        <v>14</v>
      </c>
      <c r="E38" s="135">
        <f ca="1">SUM(E8,E18,E28)</f>
        <v>3438.5787699999992</v>
      </c>
      <c r="F38" s="136">
        <f t="shared" ca="1" si="12"/>
        <v>1972.3474499999998</v>
      </c>
      <c r="G38" s="139">
        <f t="shared" ca="1" si="12"/>
        <v>999.18104999999991</v>
      </c>
      <c r="H38" s="136">
        <f t="shared" ca="1" si="12"/>
        <v>363.26829999999995</v>
      </c>
      <c r="I38" s="136">
        <f t="shared" ca="1" si="12"/>
        <v>0</v>
      </c>
      <c r="J38" s="137">
        <f t="shared" ca="1" si="12"/>
        <v>0</v>
      </c>
      <c r="K38" s="135">
        <f t="shared" ca="1" si="12"/>
        <v>0</v>
      </c>
      <c r="L38" s="136">
        <f t="shared" ca="1" si="12"/>
        <v>0</v>
      </c>
      <c r="M38" s="139">
        <f t="shared" ca="1" si="12"/>
        <v>0</v>
      </c>
      <c r="N38" s="136">
        <f t="shared" ca="1" si="12"/>
        <v>0</v>
      </c>
      <c r="O38" s="136">
        <f t="shared" ca="1" si="12"/>
        <v>0</v>
      </c>
      <c r="P38" s="137">
        <f t="shared" ca="1" si="12"/>
        <v>0</v>
      </c>
      <c r="Q38" s="149">
        <f t="shared" ca="1" si="12"/>
        <v>6773.3755699999992</v>
      </c>
      <c r="R38" s="483"/>
      <c r="S38" s="69">
        <f ca="1">IFERROR(Q38/R37,"")</f>
        <v>967.62508142857132</v>
      </c>
    </row>
    <row r="39" spans="1:19">
      <c r="A39" s="19"/>
      <c r="B39" s="447"/>
      <c r="C39" s="450"/>
      <c r="D39" s="24" t="s">
        <v>17</v>
      </c>
      <c r="E39" s="11">
        <f ca="1">E38/E37</f>
        <v>4.7103818767123276</v>
      </c>
      <c r="F39" s="4">
        <f t="shared" ref="F39:Q39" ca="1" si="13">F38/F37</f>
        <v>1.5289515116279069</v>
      </c>
      <c r="G39" s="16">
        <f t="shared" ca="1" si="13"/>
        <v>0.86885308695652164</v>
      </c>
      <c r="H39" s="4">
        <f t="shared" ca="1" si="13"/>
        <v>0.25582274647887321</v>
      </c>
      <c r="I39" s="4">
        <f t="shared" ca="1" si="13"/>
        <v>0</v>
      </c>
      <c r="J39" s="6">
        <f t="shared" ca="1" si="13"/>
        <v>0</v>
      </c>
      <c r="K39" s="11">
        <f t="shared" ca="1" si="13"/>
        <v>0</v>
      </c>
      <c r="L39" s="4">
        <f t="shared" ca="1" si="13"/>
        <v>0</v>
      </c>
      <c r="M39" s="16">
        <f t="shared" ca="1" si="13"/>
        <v>0</v>
      </c>
      <c r="N39" s="4">
        <f t="shared" ca="1" si="13"/>
        <v>0</v>
      </c>
      <c r="O39" s="4">
        <f t="shared" ca="1" si="13"/>
        <v>0</v>
      </c>
      <c r="P39" s="6">
        <f t="shared" ca="1" si="13"/>
        <v>0</v>
      </c>
      <c r="Q39" s="26">
        <f t="shared" ca="1" si="13"/>
        <v>0.47399409167249817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4.7103818767123276</v>
      </c>
      <c r="F40" s="5">
        <f ca="1">SUM($E38:F38)/SUM($E37:F37)</f>
        <v>2.6786763465346533</v>
      </c>
      <c r="G40" s="17">
        <f ca="1">SUM($E38:G38)/SUM($E37:G37)</f>
        <v>2.022115858044164</v>
      </c>
      <c r="H40" s="5">
        <f ca="1">SUM($E38:H38)/SUM($E37:H37)</f>
        <v>1.4756809520697165</v>
      </c>
      <c r="I40" s="5">
        <f ca="1">SUM($E38:I38)/SUM($E37:I37)</f>
        <v>1.1883115035087719</v>
      </c>
      <c r="J40" s="13">
        <f ca="1">SUM($E38:J38)/SUM($E37:J37)</f>
        <v>0.97739907215007205</v>
      </c>
      <c r="K40" s="12">
        <f ca="1">SUM($E38:K38)/SUM($E37:K37)</f>
        <v>0.8321100208845208</v>
      </c>
      <c r="L40" s="5">
        <f ca="1">SUM($E38:L38)/SUM($E37:L37)</f>
        <v>0.7776550597014924</v>
      </c>
      <c r="M40" s="17">
        <f ca="1">SUM($E38:M38)/SUM($E37:M37)</f>
        <v>0.70777174190177627</v>
      </c>
      <c r="N40" s="5">
        <f ca="1">SUM($E38:N38)/SUM($E37:N37)</f>
        <v>0.57111092495784144</v>
      </c>
      <c r="O40" s="5">
        <f ca="1">SUM($E38:O38)/SUM($E37:O37)</f>
        <v>0.5135235458680818</v>
      </c>
      <c r="P40" s="13">
        <f ca="1">SUM($E38:P38)/SUM($E37:P37)</f>
        <v>0.47399409167249817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150</v>
      </c>
      <c r="F41" s="114">
        <f t="shared" ref="F41:Q42" si="14">SUM(F13,F23,F33)</f>
        <v>240</v>
      </c>
      <c r="G41" s="117">
        <f t="shared" si="14"/>
        <v>220</v>
      </c>
      <c r="H41" s="114">
        <f t="shared" si="14"/>
        <v>260</v>
      </c>
      <c r="I41" s="114">
        <f t="shared" si="14"/>
        <v>220</v>
      </c>
      <c r="J41" s="115">
        <f t="shared" si="14"/>
        <v>230</v>
      </c>
      <c r="K41" s="113">
        <f t="shared" si="14"/>
        <v>240</v>
      </c>
      <c r="L41" s="114">
        <f t="shared" si="14"/>
        <v>100</v>
      </c>
      <c r="M41" s="117">
        <f t="shared" si="14"/>
        <v>150</v>
      </c>
      <c r="N41" s="114">
        <f t="shared" si="14"/>
        <v>450</v>
      </c>
      <c r="O41" s="114">
        <f t="shared" si="14"/>
        <v>260</v>
      </c>
      <c r="P41" s="115">
        <f t="shared" si="14"/>
        <v>200</v>
      </c>
      <c r="Q41" s="133">
        <f t="shared" si="14"/>
        <v>2720</v>
      </c>
      <c r="R41" s="482">
        <f>SUM(R13,R23,R33)</f>
        <v>7</v>
      </c>
      <c r="S41" s="68">
        <f>IFERROR(Q41/R41,"")</f>
        <v>388.57142857142856</v>
      </c>
    </row>
    <row r="42" spans="1:19" ht="19.5" thickBot="1">
      <c r="A42" s="19"/>
      <c r="B42" s="447"/>
      <c r="C42" s="453"/>
      <c r="D42" s="148" t="s">
        <v>14</v>
      </c>
      <c r="E42" s="135">
        <f ca="1">SUM(E14,E24,E34)</f>
        <v>575.21877003999941</v>
      </c>
      <c r="F42" s="136">
        <f t="shared" ca="1" si="14"/>
        <v>365.7194501099998</v>
      </c>
      <c r="G42" s="139">
        <f t="shared" ca="1" si="14"/>
        <v>188.82605009999986</v>
      </c>
      <c r="H42" s="136">
        <f t="shared" ca="1" si="14"/>
        <v>64.243299999999977</v>
      </c>
      <c r="I42" s="136">
        <f t="shared" ca="1" si="14"/>
        <v>0</v>
      </c>
      <c r="J42" s="137">
        <f t="shared" ca="1" si="14"/>
        <v>0</v>
      </c>
      <c r="K42" s="135">
        <f t="shared" ca="1" si="14"/>
        <v>0</v>
      </c>
      <c r="L42" s="136">
        <f t="shared" ca="1" si="14"/>
        <v>0</v>
      </c>
      <c r="M42" s="139">
        <f t="shared" ca="1" si="14"/>
        <v>0</v>
      </c>
      <c r="N42" s="136">
        <f t="shared" ca="1" si="14"/>
        <v>0</v>
      </c>
      <c r="O42" s="136">
        <f t="shared" ca="1" si="14"/>
        <v>0</v>
      </c>
      <c r="P42" s="137">
        <f t="shared" ca="1" si="14"/>
        <v>0</v>
      </c>
      <c r="Q42" s="149">
        <f t="shared" ca="1" si="14"/>
        <v>1194.0075702499989</v>
      </c>
      <c r="R42" s="483"/>
      <c r="S42" s="69">
        <f ca="1">IFERROR(Q42/R41,"")</f>
        <v>170.57251003571415</v>
      </c>
    </row>
    <row r="43" spans="1:19">
      <c r="A43" s="19"/>
      <c r="B43" s="447"/>
      <c r="C43" s="453"/>
      <c r="D43" s="24" t="s">
        <v>17</v>
      </c>
      <c r="E43" s="11">
        <f ca="1">E42/E41</f>
        <v>3.8347918002666628</v>
      </c>
      <c r="F43" s="4">
        <f t="shared" ref="F43:Q43" ca="1" si="15">F42/F41</f>
        <v>1.5238310421249992</v>
      </c>
      <c r="G43" s="16">
        <f t="shared" ca="1" si="15"/>
        <v>0.8583002277272721</v>
      </c>
      <c r="H43" s="4">
        <f t="shared" ca="1" si="15"/>
        <v>0.2470896153846153</v>
      </c>
      <c r="I43" s="4">
        <f t="shared" ca="1" si="15"/>
        <v>0</v>
      </c>
      <c r="J43" s="6">
        <f t="shared" ca="1" si="15"/>
        <v>0</v>
      </c>
      <c r="K43" s="11">
        <f t="shared" ca="1" si="15"/>
        <v>0</v>
      </c>
      <c r="L43" s="4">
        <f t="shared" ca="1" si="15"/>
        <v>0</v>
      </c>
      <c r="M43" s="16">
        <f t="shared" ca="1" si="15"/>
        <v>0</v>
      </c>
      <c r="N43" s="4">
        <f t="shared" ca="1" si="15"/>
        <v>0</v>
      </c>
      <c r="O43" s="4">
        <f t="shared" ca="1" si="15"/>
        <v>0</v>
      </c>
      <c r="P43" s="6">
        <f t="shared" ca="1" si="15"/>
        <v>0</v>
      </c>
      <c r="Q43" s="26">
        <f t="shared" ca="1" si="15"/>
        <v>0.43897337141544079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3.8347918002666628</v>
      </c>
      <c r="F44" s="7">
        <f ca="1">SUM($E42:F42)/SUM($E41:F41)</f>
        <v>2.4126621029487159</v>
      </c>
      <c r="G44" s="18">
        <f ca="1">SUM($E42:G42)/SUM($E41:G41)</f>
        <v>1.8520725741803263</v>
      </c>
      <c r="H44" s="7">
        <f ca="1">SUM($E42:H42)/SUM($E41:H41)</f>
        <v>1.3724224945402286</v>
      </c>
      <c r="I44" s="7">
        <f ca="1">SUM($E42:I42)/SUM($E41:I41)</f>
        <v>1.0954197892201825</v>
      </c>
      <c r="J44" s="15">
        <f ca="1">SUM($E42:J42)/SUM($E41:J41)</f>
        <v>0.90455118958333247</v>
      </c>
      <c r="K44" s="14">
        <f ca="1">SUM($E42:K42)/SUM($E41:K41)</f>
        <v>0.76538946810897368</v>
      </c>
      <c r="L44" s="7">
        <f ca="1">SUM($E42:L42)/SUM($E41:L41)</f>
        <v>0.71928166882530054</v>
      </c>
      <c r="M44" s="18">
        <f ca="1">SUM($E42:M42)/SUM($E41:M41)</f>
        <v>0.65967269074585577</v>
      </c>
      <c r="N44" s="7">
        <f ca="1">SUM($E42:N42)/SUM($E41:N41)</f>
        <v>0.52832193373893754</v>
      </c>
      <c r="O44" s="7">
        <f ca="1">SUM($E42:O42)/SUM($E41:O41)</f>
        <v>0.47381252787698369</v>
      </c>
      <c r="P44" s="15">
        <f ca="1">SUM($E42:P42)/SUM($E41:P41)</f>
        <v>0.43897337141544079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SF上海</v>
      </c>
      <c r="D49" s="81" t="s">
        <v>34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リボン・テープ等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5"/>
      <c r="G52" s="74"/>
      <c r="H52" s="74"/>
      <c r="I52" s="75"/>
      <c r="J52" s="80"/>
      <c r="K52" s="93"/>
      <c r="L52" s="75"/>
      <c r="M52" s="74"/>
      <c r="N52" s="74"/>
      <c r="O52" s="75"/>
      <c r="P52" s="80"/>
    </row>
    <row r="53" spans="1:16" ht="39" customHeight="1">
      <c r="A53" s="441"/>
      <c r="B53" s="442"/>
      <c r="C53" s="486" t="str">
        <f>A17</f>
        <v>GCGA</v>
      </c>
      <c r="D53" s="81" t="s">
        <v>34</v>
      </c>
      <c r="E53" s="82"/>
      <c r="F53" s="83"/>
      <c r="G53" s="83"/>
      <c r="H53" s="83"/>
      <c r="I53" s="83"/>
      <c r="J53" s="83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リボン・テープ等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5"/>
      <c r="G56" s="74"/>
      <c r="H56" s="74"/>
      <c r="I56" s="75"/>
      <c r="J56" s="80"/>
      <c r="K56" s="93"/>
      <c r="L56" s="75"/>
      <c r="M56" s="74"/>
      <c r="N56" s="74"/>
      <c r="O56" s="75"/>
      <c r="P56" s="80"/>
    </row>
    <row r="57" spans="1:16" ht="39" customHeight="1">
      <c r="A57" s="441"/>
      <c r="B57" s="442"/>
      <c r="C57" s="486" t="str">
        <f>A27</f>
        <v>　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　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  <row r="65" spans="4:17">
      <c r="D65" s="20" t="s">
        <v>105</v>
      </c>
      <c r="E65" s="2">
        <v>392</v>
      </c>
      <c r="F65" s="2">
        <v>327</v>
      </c>
      <c r="G65" s="2">
        <v>404</v>
      </c>
      <c r="H65" s="2">
        <v>645</v>
      </c>
      <c r="I65" s="2">
        <v>283</v>
      </c>
      <c r="J65" s="2">
        <v>543</v>
      </c>
      <c r="K65" s="2">
        <v>285</v>
      </c>
      <c r="L65" s="2">
        <v>231</v>
      </c>
      <c r="M65" s="2">
        <v>233</v>
      </c>
      <c r="N65" s="2">
        <v>299</v>
      </c>
      <c r="O65" s="2">
        <v>499</v>
      </c>
      <c r="P65" s="2">
        <v>100</v>
      </c>
      <c r="Q65" s="3">
        <f>SUM(E65:P65)</f>
        <v>4241</v>
      </c>
    </row>
    <row r="66" spans="4:17">
      <c r="D66" s="20" t="s">
        <v>106</v>
      </c>
      <c r="E66" s="2">
        <v>627</v>
      </c>
      <c r="F66" s="2">
        <v>479</v>
      </c>
      <c r="G66" s="2">
        <v>504</v>
      </c>
      <c r="H66" s="2">
        <v>536</v>
      </c>
      <c r="I66" s="2">
        <v>812</v>
      </c>
      <c r="J66" s="2">
        <v>814</v>
      </c>
      <c r="K66" s="2">
        <v>1018</v>
      </c>
      <c r="L66" s="2">
        <v>1007</v>
      </c>
      <c r="M66" s="2">
        <v>947</v>
      </c>
      <c r="N66" s="2">
        <v>610</v>
      </c>
      <c r="O66" s="2">
        <v>614</v>
      </c>
      <c r="P66" s="2">
        <v>900</v>
      </c>
      <c r="Q66" s="3">
        <f t="shared" ref="Q66:Q68" si="16">SUM(E66:P66)</f>
        <v>8868</v>
      </c>
    </row>
    <row r="67" spans="4:17">
      <c r="D67" s="20" t="s">
        <v>107</v>
      </c>
      <c r="E67" s="2">
        <v>350</v>
      </c>
      <c r="F67" s="2">
        <v>279</v>
      </c>
      <c r="G67" s="2">
        <v>347</v>
      </c>
      <c r="H67" s="2">
        <v>542</v>
      </c>
      <c r="I67" s="2">
        <v>238</v>
      </c>
      <c r="J67" s="2">
        <v>452</v>
      </c>
      <c r="K67" s="2">
        <v>236</v>
      </c>
      <c r="L67" s="2">
        <v>187</v>
      </c>
      <c r="M67" s="2">
        <v>197</v>
      </c>
      <c r="N67" s="2">
        <v>247</v>
      </c>
      <c r="O67" s="2">
        <v>422</v>
      </c>
      <c r="P67" s="2">
        <v>80</v>
      </c>
      <c r="Q67" s="3">
        <f t="shared" si="16"/>
        <v>3577</v>
      </c>
    </row>
    <row r="68" spans="4:17">
      <c r="D68" s="20" t="s">
        <v>108</v>
      </c>
      <c r="E68" s="2">
        <v>500</v>
      </c>
      <c r="F68" s="2">
        <v>385</v>
      </c>
      <c r="G68" s="2">
        <v>400</v>
      </c>
      <c r="H68" s="2">
        <v>457</v>
      </c>
      <c r="I68" s="2">
        <v>653</v>
      </c>
      <c r="J68" s="2">
        <v>657</v>
      </c>
      <c r="K68" s="2">
        <v>815</v>
      </c>
      <c r="L68" s="2">
        <v>788</v>
      </c>
      <c r="M68" s="2">
        <v>683</v>
      </c>
      <c r="N68" s="2">
        <v>472</v>
      </c>
      <c r="O68" s="2">
        <v>488</v>
      </c>
      <c r="P68" s="2">
        <v>700</v>
      </c>
      <c r="Q68" s="3">
        <f t="shared" si="16"/>
        <v>6998</v>
      </c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6ED96C-B387-4AB2-95B5-C8367821181A}">
  <sheetPr codeName="Sheet16">
    <tabColor theme="4" tint="0.79998168889431442"/>
  </sheetPr>
  <dimension ref="A1:R408"/>
  <sheetViews>
    <sheetView topLeftCell="A103" workbookViewId="0">
      <selection activeCell="G126" sqref="G126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中国!A7</f>
        <v>SF上海</v>
      </c>
      <c r="N3" s="180" t="str">
        <f>中国!A17</f>
        <v>GCGA</v>
      </c>
      <c r="O3" s="180"/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374</v>
      </c>
      <c r="B6" s="163">
        <v>7188</v>
      </c>
      <c r="C6" s="426">
        <v>216746</v>
      </c>
      <c r="D6" s="427">
        <v>9893</v>
      </c>
      <c r="E6" s="202" t="s">
        <v>200</v>
      </c>
      <c r="F6" s="426">
        <v>292798</v>
      </c>
      <c r="G6" s="162">
        <v>45813</v>
      </c>
      <c r="H6" s="203" t="s">
        <v>200</v>
      </c>
      <c r="I6" s="186" t="str">
        <f>IF(H6="","",IF(H6="JPY","",IF($H6="USD",4, IF(H6="EUR",7,IF(H6="CNY",47,IF(H6="HKD",34))))))</f>
        <v/>
      </c>
      <c r="J6" s="204" t="str">
        <f>IF($H6="USD",IF(OR($I6="",$I6="-"),"",VLOOKUP($G6,為替!$A:$AX,$I6,FALSE))+$J$3,IF(OR($I6="",$I6="-"),"",VLOOKUP($G6,為替!$A:$AX,$I6,FALSE)))</f>
        <v/>
      </c>
      <c r="K6" s="205">
        <f>IF($H6="JPY",$F6,IF($H6="","",$F6*$J6))</f>
        <v>292798</v>
      </c>
      <c r="L6" s="189" t="str">
        <f>IF(H6="","",IF(H6="JPY","",IF($H6="USD",3, IF(H6="EUR",6,IF(H6="CNY",46,IF(H6="HKD",33))))))</f>
        <v/>
      </c>
      <c r="M6" s="204" t="str">
        <f>IF($H6="USD",IF(OR($L6="",$L6="-"),"",VLOOKUP($G6,為替!$A:$AX,$L6,FALSE))+$K$3,IF(OR($L6="",$L6="-"),"",VLOOKUP($G6,為替!$A:$AX,$L6,FALSE)))</f>
        <v/>
      </c>
      <c r="N6" s="205">
        <f>IF($E6="JPY",($C6+$D6),IF($E6="","",($C6+$D6)*$M6))</f>
        <v>226639</v>
      </c>
      <c r="O6" s="206">
        <f t="shared" ref="O6:O77" si="0">IF(OR(K6="",N6=""),"",K6-N6)</f>
        <v>66159</v>
      </c>
      <c r="P6" s="207">
        <f>IF(OR(K6="",O6=""),"",O6/K6)</f>
        <v>0.22595441225691432</v>
      </c>
    </row>
    <row r="7" spans="1:18">
      <c r="A7" s="163" t="s">
        <v>374</v>
      </c>
      <c r="B7" s="163">
        <v>7198</v>
      </c>
      <c r="C7" s="426">
        <v>124246</v>
      </c>
      <c r="D7" s="427">
        <v>9111</v>
      </c>
      <c r="E7" s="202" t="s">
        <v>200</v>
      </c>
      <c r="F7" s="426">
        <v>169201.2</v>
      </c>
      <c r="G7" s="162">
        <v>45820</v>
      </c>
      <c r="H7" s="203" t="s">
        <v>200</v>
      </c>
      <c r="I7" s="186" t="str">
        <f t="shared" ref="I7:I78" si="1">IF(H7="","",IF(H7="JPY","",IF($H7="USD",4, IF(H7="EUR",7,IF(H7="CNY",47,IF(H7="HKD",34))))))</f>
        <v/>
      </c>
      <c r="J7" s="204" t="str">
        <f>IF($H7="USD",IF(OR($I7="",$I7="-"),"",VLOOKUP($G7,為替!$A:$AX,$I7,FALSE))+$J$3,IF(OR($I7="",$I7="-"),"",VLOOKUP($G7,為替!$A:$AX,$I7,FALSE)))</f>
        <v/>
      </c>
      <c r="K7" s="205">
        <f t="shared" ref="K7:K78" si="2">IF($H7="JPY",$F7,IF($H7="","",$F7*$J7))</f>
        <v>169201.2</v>
      </c>
      <c r="L7" s="189" t="str">
        <f t="shared" ref="L7:L78" si="3">IF(H7="","",IF(H7="JPY","",IF($H7="USD",3, IF(H7="EUR",6,IF(H7="CNY",46,IF(H7="HKD",33))))))</f>
        <v/>
      </c>
      <c r="M7" s="204" t="str">
        <f>IF($H7="USD",IF(OR($L7="",$L7="-"),"",VLOOKUP($G7,為替!$A:$AX,$L7,FALSE))+$K$3,IF(OR($L7="",$L7="-"),"",VLOOKUP($G7,為替!$A:$AX,$L7,FALSE)))</f>
        <v/>
      </c>
      <c r="N7" s="205">
        <f t="shared" ref="N7:N78" si="4">IF($E7="JPY",($C7+$D7),IF($E7="","",($C7+$D7)*$M7))</f>
        <v>133357</v>
      </c>
      <c r="O7" s="206">
        <f t="shared" si="0"/>
        <v>35844.200000000012</v>
      </c>
      <c r="P7" s="207">
        <f t="shared" ref="P7:P78" si="5">IF(OR(K7="",O7=""),"",O7/K7)</f>
        <v>0.21184365122705992</v>
      </c>
      <c r="R7" s="208"/>
    </row>
    <row r="8" spans="1:18">
      <c r="A8" s="163" t="s">
        <v>374</v>
      </c>
      <c r="B8" s="163">
        <v>7221</v>
      </c>
      <c r="C8" s="426">
        <v>99787.999960000001</v>
      </c>
      <c r="D8" s="427">
        <v>8376</v>
      </c>
      <c r="E8" s="202" t="s">
        <v>200</v>
      </c>
      <c r="F8" s="426">
        <v>136385</v>
      </c>
      <c r="G8" s="162">
        <v>45827</v>
      </c>
      <c r="H8" s="203" t="s">
        <v>200</v>
      </c>
      <c r="I8" s="186" t="str">
        <f t="shared" si="1"/>
        <v/>
      </c>
      <c r="J8" s="204" t="str">
        <f>IF($H8="USD",IF(OR($I8="",$I8="-"),"",VLOOKUP($G8,為替!$A:$AX,$I8,FALSE))+$J$3,IF(OR($I8="",$I8="-"),"",VLOOKUP($G8,為替!$A:$AX,$I8,FALSE)))</f>
        <v/>
      </c>
      <c r="K8" s="205">
        <f t="shared" si="2"/>
        <v>136385</v>
      </c>
      <c r="L8" s="189" t="str">
        <f t="shared" si="3"/>
        <v/>
      </c>
      <c r="M8" s="204" t="str">
        <f>IF($H8="USD",IF(OR($L8="",$L8="-"),"",VLOOKUP($G8,為替!$A:$AX,$L8,FALSE))+$K$3,IF(OR($L8="",$L8="-"),"",VLOOKUP($G8,為替!$A:$AX,$L8,FALSE)))</f>
        <v/>
      </c>
      <c r="N8" s="205">
        <f t="shared" si="4"/>
        <v>108163.99996</v>
      </c>
      <c r="O8" s="206">
        <f t="shared" si="0"/>
        <v>28221.000039999999</v>
      </c>
      <c r="P8" s="207">
        <f t="shared" si="5"/>
        <v>0.20692158257872934</v>
      </c>
    </row>
    <row r="9" spans="1:18">
      <c r="A9" s="163" t="s">
        <v>374</v>
      </c>
      <c r="B9" s="163">
        <v>7239</v>
      </c>
      <c r="C9" s="426">
        <v>73699</v>
      </c>
      <c r="D9" s="427">
        <v>6755</v>
      </c>
      <c r="E9" s="202" t="s">
        <v>200</v>
      </c>
      <c r="F9" s="426">
        <v>102050</v>
      </c>
      <c r="G9" s="162">
        <v>45834</v>
      </c>
      <c r="H9" s="203" t="s">
        <v>200</v>
      </c>
      <c r="I9" s="186" t="str">
        <f t="shared" si="1"/>
        <v/>
      </c>
      <c r="J9" s="204" t="str">
        <f>IF($H9="USD",IF(OR($I9="",$I9="-"),"",VLOOKUP($G9,為替!$A:$AX,$I9,FALSE))+$J$3,IF(OR($I9="",$I9="-"),"",VLOOKUP($G9,為替!$A:$AX,$I9,FALSE)))</f>
        <v/>
      </c>
      <c r="K9" s="205">
        <f t="shared" si="2"/>
        <v>102050</v>
      </c>
      <c r="L9" s="189" t="str">
        <f t="shared" si="3"/>
        <v/>
      </c>
      <c r="M9" s="204" t="str">
        <f>IF($H9="USD",IF(OR($L9="",$L9="-"),"",VLOOKUP($G9,為替!$A:$AX,$L9,FALSE))+$K$3,IF(OR($L9="",$L9="-"),"",VLOOKUP($G9,為替!$A:$AX,$L9,FALSE)))</f>
        <v/>
      </c>
      <c r="N9" s="205">
        <f t="shared" si="4"/>
        <v>80454</v>
      </c>
      <c r="O9" s="206">
        <f t="shared" si="0"/>
        <v>21596</v>
      </c>
      <c r="P9" s="207">
        <f t="shared" si="5"/>
        <v>0.21162175404213621</v>
      </c>
    </row>
    <row r="10" spans="1:18">
      <c r="A10" s="163" t="s">
        <v>374</v>
      </c>
      <c r="B10" s="163">
        <v>7254</v>
      </c>
      <c r="C10" s="426">
        <v>162146</v>
      </c>
      <c r="D10" s="427">
        <v>8895</v>
      </c>
      <c r="E10" s="202" t="s">
        <v>200</v>
      </c>
      <c r="F10" s="426">
        <v>218960</v>
      </c>
      <c r="G10" s="162">
        <v>45841</v>
      </c>
      <c r="H10" s="203" t="s">
        <v>200</v>
      </c>
      <c r="I10" s="186" t="str">
        <f t="shared" si="1"/>
        <v/>
      </c>
      <c r="J10" s="204" t="str">
        <f>IF($H10="USD",IF(OR($I10="",$I10="-"),"",VLOOKUP($G10,為替!$A:$AX,$I10,FALSE))+$J$3,IF(OR($I10="",$I10="-"),"",VLOOKUP($G10,為替!$A:$AX,$I10,FALSE)))</f>
        <v/>
      </c>
      <c r="K10" s="205">
        <f t="shared" si="2"/>
        <v>218960</v>
      </c>
      <c r="L10" s="189" t="str">
        <f t="shared" si="3"/>
        <v/>
      </c>
      <c r="M10" s="204" t="str">
        <f>IF($H10="USD",IF(OR($L10="",$L10="-"),"",VLOOKUP($G10,為替!$A:$AX,$L10,FALSE))+$K$3,IF(OR($L10="",$L10="-"),"",VLOOKUP($G10,為替!$A:$AX,$L10,FALSE)))</f>
        <v/>
      </c>
      <c r="N10" s="205">
        <f t="shared" si="4"/>
        <v>171041</v>
      </c>
      <c r="O10" s="206">
        <f t="shared" si="0"/>
        <v>47919</v>
      </c>
      <c r="P10" s="207">
        <f t="shared" si="5"/>
        <v>0.21884819145049325</v>
      </c>
    </row>
    <row r="11" spans="1:18">
      <c r="A11" s="163" t="s">
        <v>374</v>
      </c>
      <c r="B11" s="163">
        <v>7278</v>
      </c>
      <c r="C11" s="426">
        <v>197603</v>
      </c>
      <c r="D11" s="427">
        <v>8490</v>
      </c>
      <c r="E11" s="202" t="s">
        <v>200</v>
      </c>
      <c r="F11" s="426">
        <v>257777</v>
      </c>
      <c r="G11" s="162">
        <v>45848</v>
      </c>
      <c r="H11" s="203" t="s">
        <v>200</v>
      </c>
      <c r="I11" s="186" t="str">
        <f t="shared" si="1"/>
        <v/>
      </c>
      <c r="J11" s="204" t="str">
        <f>IF($H11="USD",IF(OR($I11="",$I11="-"),"",VLOOKUP($G11,為替!$A:$AX,$I11,FALSE))+$J$3,IF(OR($I11="",$I11="-"),"",VLOOKUP($G11,為替!$A:$AX,$I11,FALSE)))</f>
        <v/>
      </c>
      <c r="K11" s="205">
        <f t="shared" si="2"/>
        <v>257777</v>
      </c>
      <c r="L11" s="189" t="str">
        <f t="shared" si="3"/>
        <v/>
      </c>
      <c r="M11" s="204" t="str">
        <f>IF($H11="USD",IF(OR($L11="",$L11="-"),"",VLOOKUP($G11,為替!$A:$AX,$L11,FALSE))+$K$3,IF(OR($L11="",$L11="-"),"",VLOOKUP($G11,為替!$A:$AX,$L11,FALSE)))</f>
        <v/>
      </c>
      <c r="N11" s="205">
        <f t="shared" si="4"/>
        <v>206093</v>
      </c>
      <c r="O11" s="206">
        <f t="shared" si="0"/>
        <v>51684</v>
      </c>
      <c r="P11" s="207">
        <f t="shared" si="5"/>
        <v>0.20049888081558867</v>
      </c>
    </row>
    <row r="12" spans="1:18">
      <c r="A12" s="163" t="s">
        <v>374</v>
      </c>
      <c r="B12" s="163">
        <v>7290</v>
      </c>
      <c r="C12" s="426">
        <v>164693</v>
      </c>
      <c r="D12" s="427">
        <v>7217</v>
      </c>
      <c r="E12" s="202" t="s">
        <v>200</v>
      </c>
      <c r="F12" s="426">
        <v>219845.6</v>
      </c>
      <c r="G12" s="162">
        <v>45855</v>
      </c>
      <c r="H12" s="203" t="s">
        <v>200</v>
      </c>
      <c r="I12" s="186" t="str">
        <f t="shared" si="1"/>
        <v/>
      </c>
      <c r="J12" s="204" t="str">
        <f>IF($H12="USD",IF(OR($I12="",$I12="-"),"",VLOOKUP($G12,為替!$A:$AX,$I12,FALSE))+$J$3,IF(OR($I12="",$I12="-"),"",VLOOKUP($G12,為替!$A:$AX,$I12,FALSE)))</f>
        <v/>
      </c>
      <c r="K12" s="205">
        <f t="shared" si="2"/>
        <v>219845.6</v>
      </c>
      <c r="L12" s="189" t="str">
        <f t="shared" si="3"/>
        <v/>
      </c>
      <c r="M12" s="204" t="str">
        <f>IF($H12="USD",IF(OR($L12="",$L12="-"),"",VLOOKUP($G12,為替!$A:$AX,$L12,FALSE))+$K$3,IF(OR($L12="",$L12="-"),"",VLOOKUP($G12,為替!$A:$AX,$L12,FALSE)))</f>
        <v/>
      </c>
      <c r="N12" s="205">
        <f t="shared" si="4"/>
        <v>171910</v>
      </c>
      <c r="O12" s="206">
        <f t="shared" si="0"/>
        <v>47935.600000000006</v>
      </c>
      <c r="P12" s="207">
        <f t="shared" si="5"/>
        <v>0.2180421168310851</v>
      </c>
    </row>
    <row r="13" spans="1:18">
      <c r="A13" s="163" t="s">
        <v>374</v>
      </c>
      <c r="B13" s="163">
        <v>7307</v>
      </c>
      <c r="C13" s="426">
        <v>264461.99988999998</v>
      </c>
      <c r="D13" s="427">
        <v>18948</v>
      </c>
      <c r="E13" s="202" t="s">
        <v>200</v>
      </c>
      <c r="F13" s="426">
        <v>363180</v>
      </c>
      <c r="G13" s="162">
        <v>45862</v>
      </c>
      <c r="H13" s="203" t="s">
        <v>200</v>
      </c>
      <c r="I13" s="186" t="str">
        <f t="shared" si="1"/>
        <v/>
      </c>
      <c r="J13" s="204" t="str">
        <f>IF($H13="USD",IF(OR($I13="",$I13="-"),"",VLOOKUP($G13,為替!$A:$AX,$I13,FALSE))+$J$3,IF(OR($I13="",$I13="-"),"",VLOOKUP($G13,為替!$A:$AX,$I13,FALSE)))</f>
        <v/>
      </c>
      <c r="K13" s="205">
        <f t="shared" si="2"/>
        <v>363180</v>
      </c>
      <c r="L13" s="189" t="str">
        <f t="shared" si="3"/>
        <v/>
      </c>
      <c r="M13" s="204" t="str">
        <f>IF($H13="USD",IF(OR($L13="",$L13="-"),"",VLOOKUP($G13,為替!$A:$AX,$L13,FALSE))+$K$3,IF(OR($L13="",$L13="-"),"",VLOOKUP($G13,為替!$A:$AX,$L13,FALSE)))</f>
        <v/>
      </c>
      <c r="N13" s="205">
        <f t="shared" si="4"/>
        <v>283409.99988999998</v>
      </c>
      <c r="O13" s="206">
        <f t="shared" si="0"/>
        <v>79770.000110000023</v>
      </c>
      <c r="P13" s="207">
        <f t="shared" si="5"/>
        <v>0.21964315245883589</v>
      </c>
    </row>
    <row r="14" spans="1:18">
      <c r="A14" s="163" t="s">
        <v>374</v>
      </c>
      <c r="B14" s="163">
        <v>7335</v>
      </c>
      <c r="C14" s="426">
        <v>195158</v>
      </c>
      <c r="D14" s="427">
        <v>11270</v>
      </c>
      <c r="E14" s="202" t="s">
        <v>200</v>
      </c>
      <c r="F14" s="426">
        <v>263922.2</v>
      </c>
      <c r="G14" s="162">
        <v>45869</v>
      </c>
      <c r="H14" s="203" t="s">
        <v>200</v>
      </c>
      <c r="I14" s="186" t="str">
        <f t="shared" si="1"/>
        <v/>
      </c>
      <c r="J14" s="204" t="str">
        <f>IF($H14="USD",IF(OR($I14="",$I14="-"),"",VLOOKUP($G14,為替!$A:$AX,$I14,FALSE))+$J$3,IF(OR($I14="",$I14="-"),"",VLOOKUP($G14,為替!$A:$AX,$I14,FALSE)))</f>
        <v/>
      </c>
      <c r="K14" s="205">
        <f t="shared" si="2"/>
        <v>263922.2</v>
      </c>
      <c r="L14" s="189" t="str">
        <f t="shared" si="3"/>
        <v/>
      </c>
      <c r="M14" s="204" t="str">
        <f>IF($H14="USD",IF(OR($L14="",$L14="-"),"",VLOOKUP($G14,為替!$A:$AX,$L14,FALSE))+$K$3,IF(OR($L14="",$L14="-"),"",VLOOKUP($G14,為替!$A:$AX,$L14,FALSE)))</f>
        <v/>
      </c>
      <c r="N14" s="205">
        <f t="shared" si="4"/>
        <v>206428</v>
      </c>
      <c r="O14" s="206">
        <f t="shared" si="0"/>
        <v>57494.200000000012</v>
      </c>
      <c r="P14" s="207">
        <f t="shared" si="5"/>
        <v>0.21784525894373422</v>
      </c>
    </row>
    <row r="15" spans="1:18">
      <c r="A15" s="163" t="s">
        <v>374</v>
      </c>
      <c r="B15" s="163">
        <v>7358</v>
      </c>
      <c r="C15" s="426">
        <v>70453.999899999995</v>
      </c>
      <c r="D15" s="427">
        <v>9187</v>
      </c>
      <c r="E15" s="202" t="s">
        <v>200</v>
      </c>
      <c r="F15" s="426">
        <v>103051</v>
      </c>
      <c r="G15" s="162">
        <v>45876</v>
      </c>
      <c r="H15" s="203" t="s">
        <v>200</v>
      </c>
      <c r="I15" s="186" t="str">
        <f t="shared" si="1"/>
        <v/>
      </c>
      <c r="J15" s="204" t="str">
        <f>IF($H15="USD",IF(OR($I15="",$I15="-"),"",VLOOKUP($G15,為替!$A:$AX,$I15,FALSE))+$J$3,IF(OR($I15="",$I15="-"),"",VLOOKUP($G15,為替!$A:$AX,$I15,FALSE)))</f>
        <v/>
      </c>
      <c r="K15" s="205">
        <f t="shared" si="2"/>
        <v>103051</v>
      </c>
      <c r="L15" s="189" t="str">
        <f t="shared" si="3"/>
        <v/>
      </c>
      <c r="M15" s="204" t="str">
        <f>IF($H15="USD",IF(OR($L15="",$L15="-"),"",VLOOKUP($G15,為替!$A:$AX,$L15,FALSE))+$K$3,IF(OR($L15="",$L15="-"),"",VLOOKUP($G15,為替!$A:$AX,$L15,FALSE)))</f>
        <v/>
      </c>
      <c r="N15" s="205">
        <f t="shared" si="4"/>
        <v>79640.999899999995</v>
      </c>
      <c r="O15" s="206">
        <f t="shared" si="0"/>
        <v>23410.000100000005</v>
      </c>
      <c r="P15" s="207">
        <f t="shared" si="5"/>
        <v>0.22716907259512284</v>
      </c>
    </row>
    <row r="16" spans="1:18">
      <c r="A16" s="163" t="s">
        <v>374</v>
      </c>
      <c r="B16" s="163">
        <v>7390</v>
      </c>
      <c r="C16" s="426">
        <v>220447</v>
      </c>
      <c r="D16" s="427">
        <v>9938</v>
      </c>
      <c r="E16" s="202" t="s">
        <v>200</v>
      </c>
      <c r="F16" s="426">
        <v>298477</v>
      </c>
      <c r="G16" s="162">
        <v>45890</v>
      </c>
      <c r="H16" s="203" t="s">
        <v>200</v>
      </c>
      <c r="I16" s="186" t="str">
        <f t="shared" si="1"/>
        <v/>
      </c>
      <c r="J16" s="204" t="str">
        <f>IF($H16="USD",IF(OR($I16="",$I16="-"),"",VLOOKUP($G16,為替!$A:$AX,$I16,FALSE))+$J$3,IF(OR($I16="",$I16="-"),"",VLOOKUP($G16,為替!$A:$AX,$I16,FALSE)))</f>
        <v/>
      </c>
      <c r="K16" s="205">
        <f t="shared" si="2"/>
        <v>298477</v>
      </c>
      <c r="L16" s="189" t="str">
        <f t="shared" si="3"/>
        <v/>
      </c>
      <c r="M16" s="204" t="str">
        <f>IF($H16="USD",IF(OR($L16="",$L16="-"),"",VLOOKUP($G16,為替!$A:$AX,$L16,FALSE))+$K$3,IF(OR($L16="",$L16="-"),"",VLOOKUP($G16,為替!$A:$AX,$L16,FALSE)))</f>
        <v/>
      </c>
      <c r="N16" s="205">
        <f t="shared" si="4"/>
        <v>230385</v>
      </c>
      <c r="O16" s="206">
        <f t="shared" si="0"/>
        <v>68092</v>
      </c>
      <c r="P16" s="207">
        <f t="shared" si="5"/>
        <v>0.22813148081761744</v>
      </c>
    </row>
    <row r="17" spans="1:16">
      <c r="A17" s="163" t="s">
        <v>374</v>
      </c>
      <c r="B17" s="163">
        <v>7407</v>
      </c>
      <c r="C17" s="426">
        <v>159392</v>
      </c>
      <c r="D17" s="427">
        <v>10522</v>
      </c>
      <c r="E17" s="202" t="s">
        <v>200</v>
      </c>
      <c r="F17" s="426">
        <v>216834.7</v>
      </c>
      <c r="G17" s="162">
        <v>45897</v>
      </c>
      <c r="H17" s="203" t="s">
        <v>200</v>
      </c>
      <c r="I17" s="186" t="str">
        <f t="shared" si="1"/>
        <v/>
      </c>
      <c r="J17" s="204" t="str">
        <f>IF($H17="USD",IF(OR($I17="",$I17="-"),"",VLOOKUP($G17,為替!$A:$AX,$I17,FALSE))+$J$3,IF(OR($I17="",$I17="-"),"",VLOOKUP($G17,為替!$A:$AX,$I17,FALSE)))</f>
        <v/>
      </c>
      <c r="K17" s="205">
        <f t="shared" si="2"/>
        <v>216834.7</v>
      </c>
      <c r="L17" s="189" t="str">
        <f t="shared" si="3"/>
        <v/>
      </c>
      <c r="M17" s="204" t="str">
        <f>IF($H17="USD",IF(OR($L17="",$L17="-"),"",VLOOKUP($G17,為替!$A:$AX,$L17,FALSE))+$K$3,IF(OR($L17="",$L17="-"),"",VLOOKUP($G17,為替!$A:$AX,$L17,FALSE)))</f>
        <v/>
      </c>
      <c r="N17" s="205">
        <f t="shared" si="4"/>
        <v>169914</v>
      </c>
      <c r="O17" s="206">
        <f t="shared" si="0"/>
        <v>46920.700000000012</v>
      </c>
      <c r="P17" s="207">
        <f t="shared" si="5"/>
        <v>0.21638925873026785</v>
      </c>
    </row>
    <row r="18" spans="1:16">
      <c r="A18" s="163" t="s">
        <v>374</v>
      </c>
      <c r="B18" s="163">
        <v>7426</v>
      </c>
      <c r="C18" s="426">
        <v>112609</v>
      </c>
      <c r="D18" s="427">
        <v>8290</v>
      </c>
      <c r="E18" s="202" t="s">
        <v>200</v>
      </c>
      <c r="F18" s="426">
        <v>153630</v>
      </c>
      <c r="G18" s="162">
        <v>45904</v>
      </c>
      <c r="H18" s="203" t="s">
        <v>200</v>
      </c>
      <c r="I18" s="186" t="str">
        <f t="shared" si="1"/>
        <v/>
      </c>
      <c r="J18" s="204" t="str">
        <f>IF($H18="USD",IF(OR($I18="",$I18="-"),"",VLOOKUP($G18,為替!$A:$AX,$I18,FALSE))+$J$3,IF(OR($I18="",$I18="-"),"",VLOOKUP($G18,為替!$A:$AX,$I18,FALSE)))</f>
        <v/>
      </c>
      <c r="K18" s="205">
        <f t="shared" si="2"/>
        <v>153630</v>
      </c>
      <c r="L18" s="189" t="str">
        <f t="shared" si="3"/>
        <v/>
      </c>
      <c r="M18" s="204" t="str">
        <f>IF($H18="USD",IF(OR($L18="",$L18="-"),"",VLOOKUP($G18,為替!$A:$AX,$L18,FALSE))+$K$3,IF(OR($L18="",$L18="-"),"",VLOOKUP($G18,為替!$A:$AX,$L18,FALSE)))</f>
        <v/>
      </c>
      <c r="N18" s="205">
        <f t="shared" si="4"/>
        <v>120899</v>
      </c>
      <c r="O18" s="206">
        <f t="shared" si="0"/>
        <v>32731</v>
      </c>
      <c r="P18" s="207">
        <f t="shared" si="5"/>
        <v>0.21305083642517739</v>
      </c>
    </row>
    <row r="19" spans="1:16">
      <c r="C19" s="426"/>
      <c r="D19" s="427"/>
      <c r="E19" s="202"/>
      <c r="F19" s="426"/>
      <c r="H19" s="203"/>
      <c r="I19" s="186" t="str">
        <f t="shared" si="1"/>
        <v/>
      </c>
      <c r="J19" s="204" t="str">
        <f>IF($H19="USD",IF(OR($I19="",$I19="-"),"",VLOOKUP($G19,為替!$A:$AX,$I19,FALSE))+$J$3,IF(OR($I19="",$I19="-"),"",VLOOKUP($G19,為替!$A:$AX,$I19,FALSE)))</f>
        <v/>
      </c>
      <c r="K19" s="205" t="str">
        <f t="shared" si="2"/>
        <v/>
      </c>
      <c r="L19" s="189" t="str">
        <f t="shared" si="3"/>
        <v/>
      </c>
      <c r="M19" s="204" t="str">
        <f>IF($H19="USD",IF(OR($L19="",$L19="-"),"",VLOOKUP($G19,為替!$A:$AX,$L19,FALSE))+$K$3,IF(OR($L19="",$L19="-"),"",VLOOKUP($G19,為替!$A:$AX,$L19,FALSE)))</f>
        <v/>
      </c>
      <c r="N19" s="205" t="str">
        <f t="shared" si="4"/>
        <v/>
      </c>
      <c r="O19" s="206" t="str">
        <f t="shared" si="0"/>
        <v/>
      </c>
      <c r="P19" s="207" t="str">
        <f t="shared" si="5"/>
        <v/>
      </c>
    </row>
    <row r="20" spans="1:16">
      <c r="C20" s="426"/>
      <c r="D20" s="427"/>
      <c r="E20" s="202"/>
      <c r="F20" s="426"/>
      <c r="H20" s="203"/>
      <c r="I20" s="186" t="str">
        <f t="shared" si="1"/>
        <v/>
      </c>
      <c r="J20" s="204" t="str">
        <f>IF($H20="USD",IF(OR($I20="",$I20="-"),"",VLOOKUP($G20,為替!$A:$AX,$I20,FALSE))+$J$3,IF(OR($I20="",$I20="-"),"",VLOOKUP($G20,為替!$A:$AX,$I20,FALSE)))</f>
        <v/>
      </c>
      <c r="K20" s="205" t="str">
        <f t="shared" si="2"/>
        <v/>
      </c>
      <c r="L20" s="189" t="str">
        <f t="shared" si="3"/>
        <v/>
      </c>
      <c r="M20" s="204" t="str">
        <f>IF($H20="USD",IF(OR($L20="",$L20="-"),"",VLOOKUP($G20,為替!$A:$AX,$L20,FALSE))+$K$3,IF(OR($L20="",$L20="-"),"",VLOOKUP($G20,為替!$A:$AX,$L20,FALSE)))</f>
        <v/>
      </c>
      <c r="N20" s="205" t="str">
        <f t="shared" si="4"/>
        <v/>
      </c>
      <c r="O20" s="206" t="str">
        <f t="shared" si="0"/>
        <v/>
      </c>
      <c r="P20" s="207" t="str">
        <f t="shared" si="5"/>
        <v/>
      </c>
    </row>
    <row r="21" spans="1:16">
      <c r="C21" s="426"/>
      <c r="D21" s="427"/>
      <c r="E21" s="202"/>
      <c r="F21" s="426"/>
      <c r="H21" s="203"/>
      <c r="I21" s="186" t="str">
        <f t="shared" si="1"/>
        <v/>
      </c>
      <c r="J21" s="204" t="str">
        <f>IF($H21="USD",IF(OR($I21="",$I21="-"),"",VLOOKUP($G21,為替!$A:$AX,$I21,FALSE))+$J$3,IF(OR($I21="",$I21="-"),"",VLOOKUP($G21,為替!$A:$AX,$I21,FALSE)))</f>
        <v/>
      </c>
      <c r="K21" s="205" t="str">
        <f t="shared" si="2"/>
        <v/>
      </c>
      <c r="L21" s="189" t="str">
        <f t="shared" si="3"/>
        <v/>
      </c>
      <c r="M21" s="204" t="str">
        <f>IF($H21="USD",IF(OR($L21="",$L21="-"),"",VLOOKUP($G21,為替!$A:$AX,$L21,FALSE))+$K$3,IF(OR($L21="",$L21="-"),"",VLOOKUP($G21,為替!$A:$AX,$L21,FALSE)))</f>
        <v/>
      </c>
      <c r="N21" s="205" t="str">
        <f t="shared" si="4"/>
        <v/>
      </c>
      <c r="O21" s="206" t="str">
        <f t="shared" si="0"/>
        <v/>
      </c>
      <c r="P21" s="207" t="str">
        <f t="shared" si="5"/>
        <v/>
      </c>
    </row>
    <row r="22" spans="1:16">
      <c r="C22" s="426"/>
      <c r="D22" s="427"/>
      <c r="E22" s="202"/>
      <c r="F22" s="426"/>
      <c r="H22" s="203"/>
      <c r="I22" s="186" t="str">
        <f t="shared" si="1"/>
        <v/>
      </c>
      <c r="J22" s="204" t="str">
        <f>IF($H22="USD",IF(OR($I22="",$I22="-"),"",VLOOKUP($G22,為替!$A:$AX,$I22,FALSE))+$J$3,IF(OR($I22="",$I22="-"),"",VLOOKUP($G22,為替!$A:$AX,$I22,FALSE)))</f>
        <v/>
      </c>
      <c r="K22" s="205" t="str">
        <f t="shared" si="2"/>
        <v/>
      </c>
      <c r="L22" s="189" t="str">
        <f t="shared" si="3"/>
        <v/>
      </c>
      <c r="M22" s="204" t="str">
        <f>IF($H22="USD",IF(OR($L22="",$L22="-"),"",VLOOKUP($G22,為替!$A:$AX,$L22,FALSE))+$K$3,IF(OR($L22="",$L22="-"),"",VLOOKUP($G22,為替!$A:$AX,$L22,FALSE)))</f>
        <v/>
      </c>
      <c r="N22" s="205" t="str">
        <f t="shared" si="4"/>
        <v/>
      </c>
      <c r="O22" s="206" t="str">
        <f t="shared" si="0"/>
        <v/>
      </c>
      <c r="P22" s="207" t="str">
        <f t="shared" si="5"/>
        <v/>
      </c>
    </row>
    <row r="23" spans="1:16">
      <c r="C23" s="426"/>
      <c r="D23" s="427"/>
      <c r="E23" s="202"/>
      <c r="F23" s="426"/>
      <c r="H23" s="203"/>
      <c r="I23" s="186" t="str">
        <f t="shared" si="1"/>
        <v/>
      </c>
      <c r="J23" s="204" t="str">
        <f>IF($H23="USD",IF(OR($I23="",$I23="-"),"",VLOOKUP($G23,為替!$A:$AX,$I23,FALSE))+$J$3,IF(OR($I23="",$I23="-"),"",VLOOKUP($G23,為替!$A:$AX,$I23,FALSE)))</f>
        <v/>
      </c>
      <c r="K23" s="205" t="str">
        <f t="shared" si="2"/>
        <v/>
      </c>
      <c r="L23" s="189" t="str">
        <f t="shared" si="3"/>
        <v/>
      </c>
      <c r="M23" s="204" t="str">
        <f>IF($H23="USD",IF(OR($L23="",$L23="-"),"",VLOOKUP($G23,為替!$A:$AX,$L23,FALSE))+$K$3,IF(OR($L23="",$L23="-"),"",VLOOKUP($G23,為替!$A:$AX,$L23,FALSE)))</f>
        <v/>
      </c>
      <c r="N23" s="205" t="str">
        <f t="shared" si="4"/>
        <v/>
      </c>
      <c r="O23" s="206" t="str">
        <f t="shared" si="0"/>
        <v/>
      </c>
      <c r="P23" s="207" t="str">
        <f t="shared" si="5"/>
        <v/>
      </c>
    </row>
    <row r="24" spans="1:16">
      <c r="C24" s="426"/>
      <c r="D24" s="427"/>
      <c r="E24" s="202"/>
      <c r="F24" s="426"/>
      <c r="H24" s="203"/>
      <c r="I24" s="186" t="str">
        <f t="shared" si="1"/>
        <v/>
      </c>
      <c r="J24" s="204" t="str">
        <f>IF($H24="USD",IF(OR($I24="",$I24="-"),"",VLOOKUP($G24,為替!$A:$AX,$I24,FALSE))+$J$3,IF(OR($I24="",$I24="-"),"",VLOOKUP($G24,為替!$A:$AX,$I24,FALSE)))</f>
        <v/>
      </c>
      <c r="K24" s="205" t="str">
        <f t="shared" si="2"/>
        <v/>
      </c>
      <c r="L24" s="189" t="str">
        <f t="shared" si="3"/>
        <v/>
      </c>
      <c r="M24" s="204" t="str">
        <f>IF($H24="USD",IF(OR($L24="",$L24="-"),"",VLOOKUP($G24,為替!$A:$AX,$L24,FALSE))+$K$3,IF(OR($L24="",$L24="-"),"",VLOOKUP($G24,為替!$A:$AX,$L24,FALSE)))</f>
        <v/>
      </c>
      <c r="N24" s="205" t="str">
        <f t="shared" si="4"/>
        <v/>
      </c>
      <c r="O24" s="206" t="str">
        <f t="shared" si="0"/>
        <v/>
      </c>
      <c r="P24" s="207" t="str">
        <f t="shared" si="5"/>
        <v/>
      </c>
    </row>
    <row r="25" spans="1:16">
      <c r="C25" s="426"/>
      <c r="D25" s="427"/>
      <c r="E25" s="202"/>
      <c r="F25" s="426"/>
      <c r="H25" s="203"/>
      <c r="I25" s="186" t="str">
        <f t="shared" si="1"/>
        <v/>
      </c>
      <c r="J25" s="204" t="str">
        <f>IF($H25="USD",IF(OR($I25="",$I25="-"),"",VLOOKUP($G25,為替!$A:$AX,$I25,FALSE))+$J$3,IF(OR($I25="",$I25="-"),"",VLOOKUP($G25,為替!$A:$AX,$I25,FALSE)))</f>
        <v/>
      </c>
      <c r="K25" s="205" t="str">
        <f t="shared" si="2"/>
        <v/>
      </c>
      <c r="L25" s="189" t="str">
        <f t="shared" si="3"/>
        <v/>
      </c>
      <c r="M25" s="204" t="str">
        <f>IF($H25="USD",IF(OR($L25="",$L25="-"),"",VLOOKUP($G25,為替!$A:$AX,$L25,FALSE))+$K$3,IF(OR($L25="",$L25="-"),"",VLOOKUP($G25,為替!$A:$AX,$L25,FALSE)))</f>
        <v/>
      </c>
      <c r="N25" s="205" t="str">
        <f t="shared" si="4"/>
        <v/>
      </c>
      <c r="O25" s="206" t="str">
        <f t="shared" si="0"/>
        <v/>
      </c>
      <c r="P25" s="207" t="str">
        <f t="shared" si="5"/>
        <v/>
      </c>
    </row>
    <row r="26" spans="1:16">
      <c r="C26" s="426"/>
      <c r="D26" s="427"/>
      <c r="E26" s="202"/>
      <c r="F26" s="426"/>
      <c r="H26" s="203"/>
      <c r="I26" s="186" t="str">
        <f t="shared" si="1"/>
        <v/>
      </c>
      <c r="J26" s="204" t="str">
        <f>IF($H26="USD",IF(OR($I26="",$I26="-"),"",VLOOKUP($G26,為替!$A:$AX,$I26,FALSE))+$J$3,IF(OR($I26="",$I26="-"),"",VLOOKUP($G26,為替!$A:$AX,$I26,FALSE)))</f>
        <v/>
      </c>
      <c r="K26" s="205" t="str">
        <f t="shared" si="2"/>
        <v/>
      </c>
      <c r="L26" s="189" t="str">
        <f t="shared" si="3"/>
        <v/>
      </c>
      <c r="M26" s="204" t="str">
        <f>IF($H26="USD",IF(OR($L26="",$L26="-"),"",VLOOKUP($G26,為替!$A:$AX,$L26,FALSE))+$K$3,IF(OR($L26="",$L26="-"),"",VLOOKUP($G26,為替!$A:$AX,$L26,FALSE)))</f>
        <v/>
      </c>
      <c r="N26" s="205" t="str">
        <f t="shared" si="4"/>
        <v/>
      </c>
      <c r="O26" s="206" t="str">
        <f t="shared" si="0"/>
        <v/>
      </c>
      <c r="P26" s="207" t="str">
        <f t="shared" si="5"/>
        <v/>
      </c>
    </row>
    <row r="27" spans="1:16">
      <c r="C27" s="426"/>
      <c r="D27" s="427"/>
      <c r="E27" s="202"/>
      <c r="F27" s="426"/>
      <c r="H27" s="203"/>
      <c r="I27" s="186" t="str">
        <f t="shared" si="1"/>
        <v/>
      </c>
      <c r="J27" s="204" t="str">
        <f>IF($H27="USD",IF(OR($I27="",$I27="-"),"",VLOOKUP($G27,為替!$A:$AX,$I27,FALSE))+$J$3,IF(OR($I27="",$I27="-"),"",VLOOKUP($G27,為替!$A:$AX,$I27,FALSE)))</f>
        <v/>
      </c>
      <c r="K27" s="205" t="str">
        <f t="shared" si="2"/>
        <v/>
      </c>
      <c r="L27" s="189" t="str">
        <f t="shared" si="3"/>
        <v/>
      </c>
      <c r="M27" s="204" t="str">
        <f>IF($H27="USD",IF(OR($L27="",$L27="-"),"",VLOOKUP($G27,為替!$A:$AX,$L27,FALSE))+$K$3,IF(OR($L27="",$L27="-"),"",VLOOKUP($G27,為替!$A:$AX,$L27,FALSE)))</f>
        <v/>
      </c>
      <c r="N27" s="205" t="str">
        <f t="shared" si="4"/>
        <v/>
      </c>
      <c r="O27" s="206" t="str">
        <f t="shared" si="0"/>
        <v/>
      </c>
      <c r="P27" s="207" t="str">
        <f t="shared" si="5"/>
        <v/>
      </c>
    </row>
    <row r="28" spans="1:16">
      <c r="C28" s="426"/>
      <c r="D28" s="427"/>
      <c r="E28" s="202"/>
      <c r="F28" s="426"/>
      <c r="H28" s="203"/>
      <c r="I28" s="186" t="str">
        <f t="shared" si="1"/>
        <v/>
      </c>
      <c r="J28" s="204" t="str">
        <f>IF($H28="USD",IF(OR($I28="",$I28="-"),"",VLOOKUP($G28,為替!$A:$AX,$I28,FALSE))+$J$3,IF(OR($I28="",$I28="-"),"",VLOOKUP($G28,為替!$A:$AX,$I28,FALSE)))</f>
        <v/>
      </c>
      <c r="K28" s="205" t="str">
        <f t="shared" si="2"/>
        <v/>
      </c>
      <c r="L28" s="189" t="str">
        <f t="shared" si="3"/>
        <v/>
      </c>
      <c r="M28" s="204" t="str">
        <f>IF($H28="USD",IF(OR($L28="",$L28="-"),"",VLOOKUP($G28,為替!$A:$AX,$L28,FALSE))+$K$3,IF(OR($L28="",$L28="-"),"",VLOOKUP($G28,為替!$A:$AX,$L28,FALSE)))</f>
        <v/>
      </c>
      <c r="N28" s="205" t="str">
        <f t="shared" si="4"/>
        <v/>
      </c>
      <c r="O28" s="206" t="str">
        <f t="shared" si="0"/>
        <v/>
      </c>
      <c r="P28" s="207" t="str">
        <f t="shared" si="5"/>
        <v/>
      </c>
    </row>
    <row r="29" spans="1:16">
      <c r="C29" s="426"/>
      <c r="D29" s="427"/>
      <c r="E29" s="202"/>
      <c r="F29" s="426"/>
      <c r="H29" s="203"/>
      <c r="I29" s="186" t="str">
        <f t="shared" si="1"/>
        <v/>
      </c>
      <c r="J29" s="204" t="str">
        <f>IF($H29="USD",IF(OR($I29="",$I29="-"),"",VLOOKUP($G29,為替!$A:$AX,$I29,FALSE))+$J$3,IF(OR($I29="",$I29="-"),"",VLOOKUP($G29,為替!$A:$AX,$I29,FALSE)))</f>
        <v/>
      </c>
      <c r="K29" s="205" t="str">
        <f t="shared" si="2"/>
        <v/>
      </c>
      <c r="L29" s="189" t="str">
        <f t="shared" si="3"/>
        <v/>
      </c>
      <c r="M29" s="204" t="str">
        <f>IF($H29="USD",IF(OR($L29="",$L29="-"),"",VLOOKUP($G29,為替!$A:$AX,$L29,FALSE))+$K$3,IF(OR($L29="",$L29="-"),"",VLOOKUP($G29,為替!$A:$AX,$L29,FALSE)))</f>
        <v/>
      </c>
      <c r="N29" s="205" t="str">
        <f t="shared" si="4"/>
        <v/>
      </c>
      <c r="O29" s="206" t="str">
        <f t="shared" si="0"/>
        <v/>
      </c>
      <c r="P29" s="207" t="str">
        <f t="shared" si="5"/>
        <v/>
      </c>
    </row>
    <row r="30" spans="1:16">
      <c r="C30" s="426"/>
      <c r="D30" s="427"/>
      <c r="E30" s="202"/>
      <c r="F30" s="426"/>
      <c r="H30" s="203"/>
      <c r="I30" s="186" t="str">
        <f t="shared" si="1"/>
        <v/>
      </c>
      <c r="J30" s="204" t="str">
        <f>IF($H30="USD",IF(OR($I30="",$I30="-"),"",VLOOKUP($G30,為替!$A:$AX,$I30,FALSE))+$J$3,IF(OR($I30="",$I30="-"),"",VLOOKUP($G30,為替!$A:$AX,$I30,FALSE)))</f>
        <v/>
      </c>
      <c r="K30" s="205" t="str">
        <f t="shared" si="2"/>
        <v/>
      </c>
      <c r="L30" s="189" t="str">
        <f t="shared" si="3"/>
        <v/>
      </c>
      <c r="M30" s="204" t="str">
        <f>IF($H30="USD",IF(OR($L30="",$L30="-"),"",VLOOKUP($G30,為替!$A:$AX,$L30,FALSE))+$K$3,IF(OR($L30="",$L30="-"),"",VLOOKUP($G30,為替!$A:$AX,$L30,FALSE)))</f>
        <v/>
      </c>
      <c r="N30" s="205" t="str">
        <f t="shared" si="4"/>
        <v/>
      </c>
      <c r="O30" s="206" t="str">
        <f t="shared" si="0"/>
        <v/>
      </c>
      <c r="P30" s="207" t="str">
        <f t="shared" si="5"/>
        <v/>
      </c>
    </row>
    <row r="31" spans="1:16">
      <c r="C31" s="426"/>
      <c r="D31" s="427"/>
      <c r="E31" s="202"/>
      <c r="F31" s="426"/>
      <c r="H31" s="203"/>
      <c r="I31" s="186" t="str">
        <f t="shared" ref="I31:I41" si="6">IF(H31="","",IF(H31="JPY","",IF($H31="USD",4, IF(H31="EUR",7,IF(H31="CNY",47,IF(H31="HKD",34))))))</f>
        <v/>
      </c>
      <c r="J31" s="204" t="str">
        <f>IF($H31="USD",IF(OR($I31="",$I31="-"),"",VLOOKUP($G31,為替!$A:$AX,$I31,FALSE))+$J$3,IF(OR($I31="",$I31="-"),"",VLOOKUP($G31,為替!$A:$AX,$I31,FALSE)))</f>
        <v/>
      </c>
      <c r="K31" s="205" t="str">
        <f t="shared" si="2"/>
        <v/>
      </c>
      <c r="L31" s="189" t="str">
        <f t="shared" ref="L31:L41" si="7">IF(H31="","",IF(H31="JPY","",IF($H31="USD",3, IF(H31="EUR",6,IF(H31="CNY",46,IF(H31="HKD",33))))))</f>
        <v/>
      </c>
      <c r="M31" s="204" t="str">
        <f>IF($H31="USD",IF(OR($L31="",$L31="-"),"",VLOOKUP($G31,為替!$A:$AX,$L31,FALSE))+$K$3,IF(OR($L31="",$L31="-"),"",VLOOKUP($G31,為替!$A:$AX,$L31,FALSE)))</f>
        <v/>
      </c>
      <c r="N31" s="205" t="str">
        <f t="shared" si="4"/>
        <v/>
      </c>
      <c r="O31" s="206" t="str">
        <f t="shared" ref="O31:O41" si="8">IF(OR(K31="",N31=""),"",K31-N31)</f>
        <v/>
      </c>
      <c r="P31" s="207" t="str">
        <f t="shared" ref="P31:P41" si="9">IF(OR(K31="",O31=""),"",O31/K31)</f>
        <v/>
      </c>
    </row>
    <row r="32" spans="1:16">
      <c r="C32" s="426"/>
      <c r="D32" s="427"/>
      <c r="E32" s="202"/>
      <c r="F32" s="426"/>
      <c r="H32" s="203"/>
      <c r="I32" s="186" t="str">
        <f t="shared" si="6"/>
        <v/>
      </c>
      <c r="J32" s="204" t="str">
        <f>IF($H32="USD",IF(OR($I32="",$I32="-"),"",VLOOKUP($G32,為替!$A:$AX,$I32,FALSE))+$J$3,IF(OR($I32="",$I32="-"),"",VLOOKUP($G32,為替!$A:$AX,$I32,FALSE)))</f>
        <v/>
      </c>
      <c r="K32" s="205" t="str">
        <f t="shared" si="2"/>
        <v/>
      </c>
      <c r="L32" s="189" t="str">
        <f t="shared" si="7"/>
        <v/>
      </c>
      <c r="M32" s="204" t="str">
        <f>IF($H32="USD",IF(OR($L32="",$L32="-"),"",VLOOKUP($G32,為替!$A:$AX,$L32,FALSE))+$K$3,IF(OR($L32="",$L32="-"),"",VLOOKUP($G32,為替!$A:$AX,$L32,FALSE)))</f>
        <v/>
      </c>
      <c r="N32" s="205" t="str">
        <f t="shared" si="4"/>
        <v/>
      </c>
      <c r="O32" s="206" t="str">
        <f t="shared" si="8"/>
        <v/>
      </c>
      <c r="P32" s="207" t="str">
        <f t="shared" si="9"/>
        <v/>
      </c>
    </row>
    <row r="33" spans="3:16">
      <c r="C33" s="426"/>
      <c r="D33" s="427"/>
      <c r="E33" s="202"/>
      <c r="F33" s="426"/>
      <c r="H33" s="203"/>
      <c r="I33" s="186" t="str">
        <f t="shared" si="6"/>
        <v/>
      </c>
      <c r="J33" s="204" t="str">
        <f>IF($H33="USD",IF(OR($I33="",$I33="-"),"",VLOOKUP($G33,為替!$A:$AX,$I33,FALSE))+$J$3,IF(OR($I33="",$I33="-"),"",VLOOKUP($G33,為替!$A:$AX,$I33,FALSE)))</f>
        <v/>
      </c>
      <c r="K33" s="205" t="str">
        <f t="shared" si="2"/>
        <v/>
      </c>
      <c r="L33" s="189" t="str">
        <f t="shared" si="7"/>
        <v/>
      </c>
      <c r="M33" s="204" t="str">
        <f>IF($H33="USD",IF(OR($L33="",$L33="-"),"",VLOOKUP($G33,為替!$A:$AX,$L33,FALSE))+$K$3,IF(OR($L33="",$L33="-"),"",VLOOKUP($G33,為替!$A:$AX,$L33,FALSE)))</f>
        <v/>
      </c>
      <c r="N33" s="205" t="str">
        <f t="shared" si="4"/>
        <v/>
      </c>
      <c r="O33" s="206" t="str">
        <f t="shared" si="8"/>
        <v/>
      </c>
      <c r="P33" s="207" t="str">
        <f t="shared" si="9"/>
        <v/>
      </c>
    </row>
    <row r="34" spans="3:16">
      <c r="C34" s="426"/>
      <c r="D34" s="427"/>
      <c r="E34" s="202"/>
      <c r="F34" s="426"/>
      <c r="H34" s="203"/>
      <c r="I34" s="186" t="str">
        <f t="shared" si="6"/>
        <v/>
      </c>
      <c r="J34" s="204" t="str">
        <f>IF($H34="USD",IF(OR($I34="",$I34="-"),"",VLOOKUP($G34,為替!$A:$AX,$I34,FALSE))+$J$3,IF(OR($I34="",$I34="-"),"",VLOOKUP($G34,為替!$A:$AX,$I34,FALSE)))</f>
        <v/>
      </c>
      <c r="K34" s="205" t="str">
        <f t="shared" si="2"/>
        <v/>
      </c>
      <c r="L34" s="189" t="str">
        <f t="shared" si="7"/>
        <v/>
      </c>
      <c r="M34" s="204" t="str">
        <f>IF($H34="USD",IF(OR($L34="",$L34="-"),"",VLOOKUP($G34,為替!$A:$AX,$L34,FALSE))+$K$3,IF(OR($L34="",$L34="-"),"",VLOOKUP($G34,為替!$A:$AX,$L34,FALSE)))</f>
        <v/>
      </c>
      <c r="N34" s="205" t="str">
        <f t="shared" si="4"/>
        <v/>
      </c>
      <c r="O34" s="206" t="str">
        <f t="shared" si="8"/>
        <v/>
      </c>
      <c r="P34" s="207" t="str">
        <f t="shared" si="9"/>
        <v/>
      </c>
    </row>
    <row r="35" spans="3:16">
      <c r="C35" s="426"/>
      <c r="D35" s="427"/>
      <c r="E35" s="202"/>
      <c r="F35" s="426"/>
      <c r="H35" s="203"/>
      <c r="I35" s="186" t="str">
        <f t="shared" si="6"/>
        <v/>
      </c>
      <c r="J35" s="204" t="str">
        <f>IF($H35="USD",IF(OR($I35="",$I35="-"),"",VLOOKUP($G35,為替!$A:$AX,$I35,FALSE))+$J$3,IF(OR($I35="",$I35="-"),"",VLOOKUP($G35,為替!$A:$AX,$I35,FALSE)))</f>
        <v/>
      </c>
      <c r="K35" s="205" t="str">
        <f t="shared" si="2"/>
        <v/>
      </c>
      <c r="L35" s="189" t="str">
        <f t="shared" si="7"/>
        <v/>
      </c>
      <c r="M35" s="204" t="str">
        <f>IF($H35="USD",IF(OR($L35="",$L35="-"),"",VLOOKUP($G35,為替!$A:$AX,$L35,FALSE))+$K$3,IF(OR($L35="",$L35="-"),"",VLOOKUP($G35,為替!$A:$AX,$L35,FALSE)))</f>
        <v/>
      </c>
      <c r="N35" s="205" t="str">
        <f t="shared" si="4"/>
        <v/>
      </c>
      <c r="O35" s="206" t="str">
        <f t="shared" si="8"/>
        <v/>
      </c>
      <c r="P35" s="207" t="str">
        <f t="shared" si="9"/>
        <v/>
      </c>
    </row>
    <row r="36" spans="3:16">
      <c r="C36" s="426"/>
      <c r="D36" s="427"/>
      <c r="E36" s="202"/>
      <c r="F36" s="426"/>
      <c r="H36" s="203"/>
      <c r="I36" s="186" t="str">
        <f t="shared" si="6"/>
        <v/>
      </c>
      <c r="J36" s="204" t="str">
        <f>IF($H36="USD",IF(OR($I36="",$I36="-"),"",VLOOKUP($G36,為替!$A:$AX,$I36,FALSE))+$J$3,IF(OR($I36="",$I36="-"),"",VLOOKUP($G36,為替!$A:$AX,$I36,FALSE)))</f>
        <v/>
      </c>
      <c r="K36" s="205" t="str">
        <f t="shared" si="2"/>
        <v/>
      </c>
      <c r="L36" s="189" t="str">
        <f t="shared" si="7"/>
        <v/>
      </c>
      <c r="M36" s="204" t="str">
        <f>IF($H36="USD",IF(OR($L36="",$L36="-"),"",VLOOKUP($G36,為替!$A:$AX,$L36,FALSE))+$K$3,IF(OR($L36="",$L36="-"),"",VLOOKUP($G36,為替!$A:$AX,$L36,FALSE)))</f>
        <v/>
      </c>
      <c r="N36" s="205" t="str">
        <f t="shared" si="4"/>
        <v/>
      </c>
      <c r="O36" s="206" t="str">
        <f t="shared" si="8"/>
        <v/>
      </c>
      <c r="P36" s="207" t="str">
        <f t="shared" si="9"/>
        <v/>
      </c>
    </row>
    <row r="37" spans="3:16">
      <c r="C37" s="426"/>
      <c r="D37" s="427"/>
      <c r="E37" s="202"/>
      <c r="F37" s="426"/>
      <c r="H37" s="203"/>
      <c r="I37" s="186" t="str">
        <f t="shared" si="6"/>
        <v/>
      </c>
      <c r="J37" s="204" t="str">
        <f>IF($H37="USD",IF(OR($I37="",$I37="-"),"",VLOOKUP($G37,為替!$A:$AX,$I37,FALSE))+$J$3,IF(OR($I37="",$I37="-"),"",VLOOKUP($G37,為替!$A:$AX,$I37,FALSE)))</f>
        <v/>
      </c>
      <c r="K37" s="205" t="str">
        <f t="shared" si="2"/>
        <v/>
      </c>
      <c r="L37" s="189" t="str">
        <f t="shared" si="7"/>
        <v/>
      </c>
      <c r="M37" s="204" t="str">
        <f>IF($H37="USD",IF(OR($L37="",$L37="-"),"",VLOOKUP($G37,為替!$A:$AX,$L37,FALSE))+$K$3,IF(OR($L37="",$L37="-"),"",VLOOKUP($G37,為替!$A:$AX,$L37,FALSE)))</f>
        <v/>
      </c>
      <c r="N37" s="205" t="str">
        <f t="shared" si="4"/>
        <v/>
      </c>
      <c r="O37" s="206" t="str">
        <f t="shared" si="8"/>
        <v/>
      </c>
      <c r="P37" s="207" t="str">
        <f t="shared" si="9"/>
        <v/>
      </c>
    </row>
    <row r="38" spans="3:16">
      <c r="C38" s="426"/>
      <c r="D38" s="427"/>
      <c r="E38" s="202"/>
      <c r="F38" s="426"/>
      <c r="H38" s="203"/>
      <c r="I38" s="186" t="str">
        <f t="shared" si="6"/>
        <v/>
      </c>
      <c r="J38" s="204" t="str">
        <f>IF($H38="USD",IF(OR($I38="",$I38="-"),"",VLOOKUP($G38,為替!$A:$AX,$I38,FALSE))+$J$3,IF(OR($I38="",$I38="-"),"",VLOOKUP($G38,為替!$A:$AX,$I38,FALSE)))</f>
        <v/>
      </c>
      <c r="K38" s="205" t="str">
        <f t="shared" si="2"/>
        <v/>
      </c>
      <c r="L38" s="189" t="str">
        <f t="shared" si="7"/>
        <v/>
      </c>
      <c r="M38" s="204" t="str">
        <f>IF($H38="USD",IF(OR($L38="",$L38="-"),"",VLOOKUP($G38,為替!$A:$AX,$L38,FALSE))+$K$3,IF(OR($L38="",$L38="-"),"",VLOOKUP($G38,為替!$A:$AX,$L38,FALSE)))</f>
        <v/>
      </c>
      <c r="N38" s="205" t="str">
        <f t="shared" si="4"/>
        <v/>
      </c>
      <c r="O38" s="206" t="str">
        <f t="shared" si="8"/>
        <v/>
      </c>
      <c r="P38" s="207" t="str">
        <f t="shared" si="9"/>
        <v/>
      </c>
    </row>
    <row r="39" spans="3:16">
      <c r="C39" s="426"/>
      <c r="D39" s="427"/>
      <c r="E39" s="202"/>
      <c r="F39" s="426"/>
      <c r="H39" s="203"/>
      <c r="I39" s="186" t="str">
        <f t="shared" si="6"/>
        <v/>
      </c>
      <c r="J39" s="204" t="str">
        <f>IF($H39="USD",IF(OR($I39="",$I39="-"),"",VLOOKUP($G39,為替!$A:$AX,$I39,FALSE))+$J$3,IF(OR($I39="",$I39="-"),"",VLOOKUP($G39,為替!$A:$AX,$I39,FALSE)))</f>
        <v/>
      </c>
      <c r="K39" s="205" t="str">
        <f t="shared" si="2"/>
        <v/>
      </c>
      <c r="L39" s="189" t="str">
        <f t="shared" si="7"/>
        <v/>
      </c>
      <c r="M39" s="204" t="str">
        <f>IF($H39="USD",IF(OR($L39="",$L39="-"),"",VLOOKUP($G39,為替!$A:$AX,$L39,FALSE))+$K$3,IF(OR($L39="",$L39="-"),"",VLOOKUP($G39,為替!$A:$AX,$L39,FALSE)))</f>
        <v/>
      </c>
      <c r="N39" s="205" t="str">
        <f t="shared" si="4"/>
        <v/>
      </c>
      <c r="O39" s="206" t="str">
        <f t="shared" si="8"/>
        <v/>
      </c>
      <c r="P39" s="207" t="str">
        <f t="shared" si="9"/>
        <v/>
      </c>
    </row>
    <row r="40" spans="3:16">
      <c r="C40" s="426"/>
      <c r="D40" s="427"/>
      <c r="E40" s="202"/>
      <c r="F40" s="426"/>
      <c r="H40" s="203"/>
      <c r="I40" s="186" t="str">
        <f t="shared" si="6"/>
        <v/>
      </c>
      <c r="J40" s="204" t="str">
        <f>IF($H40="USD",IF(OR($I40="",$I40="-"),"",VLOOKUP($G40,為替!$A:$AX,$I40,FALSE))+$J$3,IF(OR($I40="",$I40="-"),"",VLOOKUP($G40,為替!$A:$AX,$I40,FALSE)))</f>
        <v/>
      </c>
      <c r="K40" s="205" t="str">
        <f t="shared" si="2"/>
        <v/>
      </c>
      <c r="L40" s="189" t="str">
        <f t="shared" si="7"/>
        <v/>
      </c>
      <c r="M40" s="204" t="str">
        <f>IF($H40="USD",IF(OR($L40="",$L40="-"),"",VLOOKUP($G40,為替!$A:$AX,$L40,FALSE))+$K$3,IF(OR($L40="",$L40="-"),"",VLOOKUP($G40,為替!$A:$AX,$L40,FALSE)))</f>
        <v/>
      </c>
      <c r="N40" s="205" t="str">
        <f t="shared" si="4"/>
        <v/>
      </c>
      <c r="O40" s="206" t="str">
        <f t="shared" si="8"/>
        <v/>
      </c>
      <c r="P40" s="207" t="str">
        <f t="shared" si="9"/>
        <v/>
      </c>
    </row>
    <row r="41" spans="3:16">
      <c r="C41" s="426"/>
      <c r="D41" s="427"/>
      <c r="E41" s="202"/>
      <c r="F41" s="426"/>
      <c r="H41" s="203"/>
      <c r="I41" s="186" t="str">
        <f t="shared" si="6"/>
        <v/>
      </c>
      <c r="J41" s="204" t="str">
        <f>IF($H41="USD",IF(OR($I41="",$I41="-"),"",VLOOKUP($G41,為替!$A:$AX,$I41,FALSE))+$J$3,IF(OR($I41="",$I41="-"),"",VLOOKUP($G41,為替!$A:$AX,$I41,FALSE)))</f>
        <v/>
      </c>
      <c r="K41" s="205" t="str">
        <f t="shared" si="2"/>
        <v/>
      </c>
      <c r="L41" s="189" t="str">
        <f t="shared" si="7"/>
        <v/>
      </c>
      <c r="M41" s="204" t="str">
        <f>IF($H41="USD",IF(OR($L41="",$L41="-"),"",VLOOKUP($G41,為替!$A:$AX,$L41,FALSE))+$K$3,IF(OR($L41="",$L41="-"),"",VLOOKUP($G41,為替!$A:$AX,$L41,FALSE)))</f>
        <v/>
      </c>
      <c r="N41" s="205" t="str">
        <f t="shared" si="4"/>
        <v/>
      </c>
      <c r="O41" s="206" t="str">
        <f t="shared" si="8"/>
        <v/>
      </c>
      <c r="P41" s="207" t="str">
        <f t="shared" si="9"/>
        <v/>
      </c>
    </row>
    <row r="42" spans="3:16">
      <c r="C42" s="426"/>
      <c r="D42" s="427"/>
      <c r="E42" s="202"/>
      <c r="F42" s="426"/>
      <c r="H42" s="203"/>
      <c r="I42" s="186" t="str">
        <f t="shared" si="1"/>
        <v/>
      </c>
      <c r="J42" s="204" t="str">
        <f>IF($H42="USD",IF(OR($I42="",$I42="-"),"",VLOOKUP($G42,為替!$A:$AX,$I42,FALSE))+$J$3,IF(OR($I42="",$I42="-"),"",VLOOKUP($G42,為替!$A:$AX,$I42,FALSE)))</f>
        <v/>
      </c>
      <c r="K42" s="205" t="str">
        <f t="shared" si="2"/>
        <v/>
      </c>
      <c r="L42" s="189" t="str">
        <f t="shared" si="3"/>
        <v/>
      </c>
      <c r="M42" s="204" t="str">
        <f>IF($H42="USD",IF(OR($L42="",$L42="-"),"",VLOOKUP($G42,為替!$A:$AX,$L42,FALSE))+$K$3,IF(OR($L42="",$L42="-"),"",VLOOKUP($G42,為替!$A:$AX,$L42,FALSE)))</f>
        <v/>
      </c>
      <c r="N42" s="205" t="str">
        <f t="shared" si="4"/>
        <v/>
      </c>
      <c r="O42" s="206" t="str">
        <f t="shared" si="0"/>
        <v/>
      </c>
      <c r="P42" s="207" t="str">
        <f t="shared" si="5"/>
        <v/>
      </c>
    </row>
    <row r="43" spans="3:16">
      <c r="C43" s="426"/>
      <c r="D43" s="427"/>
      <c r="E43" s="202"/>
      <c r="F43" s="426"/>
      <c r="H43" s="203"/>
      <c r="I43" s="186" t="str">
        <f t="shared" si="1"/>
        <v/>
      </c>
      <c r="J43" s="204" t="str">
        <f>IF($H43="USD",IF(OR($I43="",$I43="-"),"",VLOOKUP($G43,為替!$A:$AX,$I43,FALSE))+$J$3,IF(OR($I43="",$I43="-"),"",VLOOKUP($G43,為替!$A:$AX,$I43,FALSE)))</f>
        <v/>
      </c>
      <c r="K43" s="205" t="str">
        <f t="shared" si="2"/>
        <v/>
      </c>
      <c r="L43" s="189" t="str">
        <f t="shared" si="3"/>
        <v/>
      </c>
      <c r="M43" s="204" t="str">
        <f>IF($H43="USD",IF(OR($L43="",$L43="-"),"",VLOOKUP($G43,為替!$A:$AX,$L43,FALSE))+$K$3,IF(OR($L43="",$L43="-"),"",VLOOKUP($G43,為替!$A:$AX,$L43,FALSE)))</f>
        <v/>
      </c>
      <c r="N43" s="205" t="str">
        <f t="shared" si="4"/>
        <v/>
      </c>
      <c r="O43" s="206" t="str">
        <f t="shared" si="0"/>
        <v/>
      </c>
      <c r="P43" s="207" t="str">
        <f t="shared" si="5"/>
        <v/>
      </c>
    </row>
    <row r="44" spans="3:16">
      <c r="C44" s="426"/>
      <c r="D44" s="427"/>
      <c r="E44" s="202"/>
      <c r="F44" s="426"/>
      <c r="H44" s="203"/>
      <c r="I44" s="186" t="str">
        <f t="shared" si="1"/>
        <v/>
      </c>
      <c r="J44" s="204" t="str">
        <f>IF($H44="USD",IF(OR($I44="",$I44="-"),"",VLOOKUP($G44,為替!$A:$AX,$I44,FALSE))+$J$3,IF(OR($I44="",$I44="-"),"",VLOOKUP($G44,為替!$A:$AX,$I44,FALSE)))</f>
        <v/>
      </c>
      <c r="K44" s="205" t="str">
        <f t="shared" si="2"/>
        <v/>
      </c>
      <c r="L44" s="189" t="str">
        <f t="shared" si="3"/>
        <v/>
      </c>
      <c r="M44" s="204" t="str">
        <f>IF($H44="USD",IF(OR($L44="",$L44="-"),"",VLOOKUP($G44,為替!$A:$AX,$L44,FALSE))+$K$3,IF(OR($L44="",$L44="-"),"",VLOOKUP($G44,為替!$A:$AX,$L44,FALSE)))</f>
        <v/>
      </c>
      <c r="N44" s="205" t="str">
        <f t="shared" si="4"/>
        <v/>
      </c>
      <c r="O44" s="206" t="str">
        <f t="shared" si="0"/>
        <v/>
      </c>
      <c r="P44" s="207" t="str">
        <f t="shared" si="5"/>
        <v/>
      </c>
    </row>
    <row r="45" spans="3:16">
      <c r="C45" s="426"/>
      <c r="D45" s="427"/>
      <c r="E45" s="202"/>
      <c r="F45" s="426"/>
      <c r="H45" s="203"/>
      <c r="I45" s="186" t="str">
        <f t="shared" si="1"/>
        <v/>
      </c>
      <c r="J45" s="204" t="str">
        <f>IF($H45="USD",IF(OR($I45="",$I45="-"),"",VLOOKUP($G45,為替!$A:$AX,$I45,FALSE))+$J$3,IF(OR($I45="",$I45="-"),"",VLOOKUP($G45,為替!$A:$AX,$I45,FALSE)))</f>
        <v/>
      </c>
      <c r="K45" s="205" t="str">
        <f t="shared" si="2"/>
        <v/>
      </c>
      <c r="L45" s="189" t="str">
        <f t="shared" si="3"/>
        <v/>
      </c>
      <c r="M45" s="204" t="str">
        <f>IF($H45="USD",IF(OR($L45="",$L45="-"),"",VLOOKUP($G45,為替!$A:$AX,$L45,FALSE))+$K$3,IF(OR($L45="",$L45="-"),"",VLOOKUP($G45,為替!$A:$AX,$L45,FALSE)))</f>
        <v/>
      </c>
      <c r="N45" s="205" t="str">
        <f t="shared" si="4"/>
        <v/>
      </c>
      <c r="O45" s="206" t="str">
        <f t="shared" si="0"/>
        <v/>
      </c>
      <c r="P45" s="207" t="str">
        <f t="shared" si="5"/>
        <v/>
      </c>
    </row>
    <row r="46" spans="3:16">
      <c r="C46" s="426"/>
      <c r="D46" s="427"/>
      <c r="E46" s="202"/>
      <c r="F46" s="426"/>
      <c r="H46" s="203"/>
      <c r="I46" s="186" t="str">
        <f t="shared" si="1"/>
        <v/>
      </c>
      <c r="J46" s="204" t="str">
        <f>IF($H46="USD",IF(OR($I46="",$I46="-"),"",VLOOKUP($G46,為替!$A:$AX,$I46,FALSE))+$J$3,IF(OR($I46="",$I46="-"),"",VLOOKUP($G46,為替!$A:$AX,$I46,FALSE)))</f>
        <v/>
      </c>
      <c r="K46" s="205" t="str">
        <f t="shared" si="2"/>
        <v/>
      </c>
      <c r="L46" s="189" t="str">
        <f t="shared" si="3"/>
        <v/>
      </c>
      <c r="M46" s="204" t="str">
        <f>IF($H46="USD",IF(OR($L46="",$L46="-"),"",VLOOKUP($G46,為替!$A:$AX,$L46,FALSE))+$K$3,IF(OR($L46="",$L46="-"),"",VLOOKUP($G46,為替!$A:$AX,$L46,FALSE)))</f>
        <v/>
      </c>
      <c r="N46" s="205" t="str">
        <f t="shared" si="4"/>
        <v/>
      </c>
      <c r="O46" s="206" t="str">
        <f t="shared" si="0"/>
        <v/>
      </c>
      <c r="P46" s="207" t="str">
        <f t="shared" si="5"/>
        <v/>
      </c>
    </row>
    <row r="47" spans="3:16">
      <c r="C47" s="426"/>
      <c r="D47" s="427"/>
      <c r="E47" s="202"/>
      <c r="F47" s="426"/>
      <c r="H47" s="203"/>
      <c r="I47" s="186" t="str">
        <f t="shared" si="1"/>
        <v/>
      </c>
      <c r="J47" s="204" t="str">
        <f>IF($H47="USD",IF(OR($I47="",$I47="-"),"",VLOOKUP($G47,為替!$A:$AX,$I47,FALSE))+$J$3,IF(OR($I47="",$I47="-"),"",VLOOKUP($G47,為替!$A:$AX,$I47,FALSE)))</f>
        <v/>
      </c>
      <c r="K47" s="205" t="str">
        <f t="shared" si="2"/>
        <v/>
      </c>
      <c r="L47" s="189" t="str">
        <f t="shared" si="3"/>
        <v/>
      </c>
      <c r="M47" s="204" t="str">
        <f>IF($H47="USD",IF(OR($L47="",$L47="-"),"",VLOOKUP($G47,為替!$A:$AX,$L47,FALSE))+$K$3,IF(OR($L47="",$L47="-"),"",VLOOKUP($G47,為替!$A:$AX,$L47,FALSE)))</f>
        <v/>
      </c>
      <c r="N47" s="205" t="str">
        <f t="shared" si="4"/>
        <v/>
      </c>
      <c r="O47" s="206" t="str">
        <f t="shared" si="0"/>
        <v/>
      </c>
      <c r="P47" s="207" t="str">
        <f t="shared" si="5"/>
        <v/>
      </c>
    </row>
    <row r="48" spans="3:16">
      <c r="C48" s="426"/>
      <c r="D48" s="427"/>
      <c r="E48" s="202"/>
      <c r="F48" s="426"/>
      <c r="H48" s="203"/>
      <c r="I48" s="186" t="str">
        <f t="shared" si="1"/>
        <v/>
      </c>
      <c r="J48" s="204" t="str">
        <f>IF($H48="USD",IF(OR($I48="",$I48="-"),"",VLOOKUP($G48,為替!$A:$AX,$I48,FALSE))+$J$3,IF(OR($I48="",$I48="-"),"",VLOOKUP($G48,為替!$A:$AX,$I48,FALSE)))</f>
        <v/>
      </c>
      <c r="K48" s="205" t="str">
        <f t="shared" si="2"/>
        <v/>
      </c>
      <c r="L48" s="189" t="str">
        <f t="shared" si="3"/>
        <v/>
      </c>
      <c r="M48" s="204" t="str">
        <f>IF($H48="USD",IF(OR($L48="",$L48="-"),"",VLOOKUP($G48,為替!$A:$AX,$L48,FALSE))+$K$3,IF(OR($L48="",$L48="-"),"",VLOOKUP($G48,為替!$A:$AX,$L48,FALSE)))</f>
        <v/>
      </c>
      <c r="N48" s="205" t="str">
        <f t="shared" si="4"/>
        <v/>
      </c>
      <c r="O48" s="206" t="str">
        <f t="shared" si="0"/>
        <v/>
      </c>
      <c r="P48" s="207" t="str">
        <f t="shared" si="5"/>
        <v/>
      </c>
    </row>
    <row r="49" spans="3:16">
      <c r="C49" s="426"/>
      <c r="D49" s="427"/>
      <c r="E49" s="202"/>
      <c r="F49" s="426"/>
      <c r="H49" s="203"/>
      <c r="I49" s="186" t="str">
        <f t="shared" si="1"/>
        <v/>
      </c>
      <c r="J49" s="204" t="str">
        <f>IF($H49="USD",IF(OR($I49="",$I49="-"),"",VLOOKUP($G49,為替!$A:$AX,$I49,FALSE))+$J$3,IF(OR($I49="",$I49="-"),"",VLOOKUP($G49,為替!$A:$AX,$I49,FALSE)))</f>
        <v/>
      </c>
      <c r="K49" s="205" t="str">
        <f t="shared" si="2"/>
        <v/>
      </c>
      <c r="L49" s="189" t="str">
        <f t="shared" si="3"/>
        <v/>
      </c>
      <c r="M49" s="204" t="str">
        <f>IF($H49="USD",IF(OR($L49="",$L49="-"),"",VLOOKUP($G49,為替!$A:$AX,$L49,FALSE))+$K$3,IF(OR($L49="",$L49="-"),"",VLOOKUP($G49,為替!$A:$AX,$L49,FALSE)))</f>
        <v/>
      </c>
      <c r="N49" s="205" t="str">
        <f t="shared" si="4"/>
        <v/>
      </c>
      <c r="O49" s="206" t="str">
        <f t="shared" si="0"/>
        <v/>
      </c>
      <c r="P49" s="207" t="str">
        <f t="shared" si="5"/>
        <v/>
      </c>
    </row>
    <row r="50" spans="3:16">
      <c r="C50" s="426"/>
      <c r="D50" s="427"/>
      <c r="E50" s="202"/>
      <c r="F50" s="426"/>
      <c r="H50" s="203"/>
      <c r="I50" s="186" t="str">
        <f t="shared" si="1"/>
        <v/>
      </c>
      <c r="J50" s="204" t="str">
        <f>IF($H50="USD",IF(OR($I50="",$I50="-"),"",VLOOKUP($G50,為替!$A:$AX,$I50,FALSE))+$J$3,IF(OR($I50="",$I50="-"),"",VLOOKUP($G50,為替!$A:$AX,$I50,FALSE)))</f>
        <v/>
      </c>
      <c r="K50" s="205" t="str">
        <f t="shared" si="2"/>
        <v/>
      </c>
      <c r="L50" s="189" t="str">
        <f t="shared" si="3"/>
        <v/>
      </c>
      <c r="M50" s="204" t="str">
        <f>IF($H50="USD",IF(OR($L50="",$L50="-"),"",VLOOKUP($G50,為替!$A:$AX,$L50,FALSE))+$K$3,IF(OR($L50="",$L50="-"),"",VLOOKUP($G50,為替!$A:$AX,$L50,FALSE)))</f>
        <v/>
      </c>
      <c r="N50" s="205" t="str">
        <f t="shared" si="4"/>
        <v/>
      </c>
      <c r="O50" s="206" t="str">
        <f t="shared" si="0"/>
        <v/>
      </c>
      <c r="P50" s="207" t="str">
        <f t="shared" si="5"/>
        <v/>
      </c>
    </row>
    <row r="51" spans="3:16">
      <c r="C51" s="426"/>
      <c r="D51" s="427"/>
      <c r="E51" s="202"/>
      <c r="F51" s="426"/>
      <c r="H51" s="203"/>
      <c r="I51" s="186" t="str">
        <f t="shared" si="1"/>
        <v/>
      </c>
      <c r="J51" s="204" t="str">
        <f>IF($H51="USD",IF(OR($I51="",$I51="-"),"",VLOOKUP($G51,為替!$A:$AX,$I51,FALSE))+$J$3,IF(OR($I51="",$I51="-"),"",VLOOKUP($G51,為替!$A:$AX,$I51,FALSE)))</f>
        <v/>
      </c>
      <c r="K51" s="205" t="str">
        <f t="shared" si="2"/>
        <v/>
      </c>
      <c r="L51" s="189" t="str">
        <f t="shared" si="3"/>
        <v/>
      </c>
      <c r="M51" s="204" t="str">
        <f>IF($H51="USD",IF(OR($L51="",$L51="-"),"",VLOOKUP($G51,為替!$A:$AX,$L51,FALSE))+$K$3,IF(OR($L51="",$L51="-"),"",VLOOKUP($G51,為替!$A:$AX,$L51,FALSE)))</f>
        <v/>
      </c>
      <c r="N51" s="205" t="str">
        <f t="shared" si="4"/>
        <v/>
      </c>
      <c r="O51" s="206" t="str">
        <f t="shared" si="0"/>
        <v/>
      </c>
      <c r="P51" s="207" t="str">
        <f t="shared" si="5"/>
        <v/>
      </c>
    </row>
    <row r="52" spans="3:16">
      <c r="C52" s="426"/>
      <c r="D52" s="427"/>
      <c r="E52" s="202"/>
      <c r="F52" s="426"/>
      <c r="H52" s="203"/>
      <c r="I52" s="186" t="str">
        <f t="shared" si="1"/>
        <v/>
      </c>
      <c r="J52" s="204" t="str">
        <f>IF($H52="USD",IF(OR($I52="",$I52="-"),"",VLOOKUP($G52,為替!$A:$AX,$I52,FALSE))+$J$3,IF(OR($I52="",$I52="-"),"",VLOOKUP($G52,為替!$A:$AX,$I52,FALSE)))</f>
        <v/>
      </c>
      <c r="K52" s="205" t="str">
        <f t="shared" si="2"/>
        <v/>
      </c>
      <c r="L52" s="189" t="str">
        <f t="shared" si="3"/>
        <v/>
      </c>
      <c r="M52" s="204" t="str">
        <f>IF($H52="USD",IF(OR($L52="",$L52="-"),"",VLOOKUP($G52,為替!$A:$AX,$L52,FALSE))+$K$3,IF(OR($L52="",$L52="-"),"",VLOOKUP($G52,為替!$A:$AX,$L52,FALSE)))</f>
        <v/>
      </c>
      <c r="N52" s="205" t="str">
        <f t="shared" si="4"/>
        <v/>
      </c>
      <c r="O52" s="206" t="str">
        <f t="shared" si="0"/>
        <v/>
      </c>
      <c r="P52" s="207" t="str">
        <f t="shared" si="5"/>
        <v/>
      </c>
    </row>
    <row r="53" spans="3:16">
      <c r="C53" s="426"/>
      <c r="D53" s="427"/>
      <c r="E53" s="202"/>
      <c r="F53" s="426"/>
      <c r="H53" s="203"/>
      <c r="I53" s="186" t="str">
        <f t="shared" si="1"/>
        <v/>
      </c>
      <c r="J53" s="204" t="str">
        <f>IF($H53="USD",IF(OR($I53="",$I53="-"),"",VLOOKUP($G53,為替!$A:$AX,$I53,FALSE))+$J$3,IF(OR($I53="",$I53="-"),"",VLOOKUP($G53,為替!$A:$AX,$I53,FALSE)))</f>
        <v/>
      </c>
      <c r="K53" s="205" t="str">
        <f t="shared" si="2"/>
        <v/>
      </c>
      <c r="L53" s="189" t="str">
        <f t="shared" si="3"/>
        <v/>
      </c>
      <c r="M53" s="204" t="str">
        <f>IF($H53="USD",IF(OR($L53="",$L53="-"),"",VLOOKUP($G53,為替!$A:$AX,$L53,FALSE))+$K$3,IF(OR($L53="",$L53="-"),"",VLOOKUP($G53,為替!$A:$AX,$L53,FALSE)))</f>
        <v/>
      </c>
      <c r="N53" s="205" t="str">
        <f t="shared" si="4"/>
        <v/>
      </c>
      <c r="O53" s="206" t="str">
        <f t="shared" si="0"/>
        <v/>
      </c>
      <c r="P53" s="207" t="str">
        <f t="shared" si="5"/>
        <v/>
      </c>
    </row>
    <row r="54" spans="3:16">
      <c r="C54" s="426"/>
      <c r="D54" s="427"/>
      <c r="E54" s="202"/>
      <c r="F54" s="426"/>
      <c r="H54" s="203"/>
      <c r="I54" s="186" t="str">
        <f t="shared" si="1"/>
        <v/>
      </c>
      <c r="J54" s="204" t="str">
        <f>IF($H54="USD",IF(OR($I54="",$I54="-"),"",VLOOKUP($G54,為替!$A:$AX,$I54,FALSE))+$J$3,IF(OR($I54="",$I54="-"),"",VLOOKUP($G54,為替!$A:$AX,$I54,FALSE)))</f>
        <v/>
      </c>
      <c r="K54" s="205" t="str">
        <f t="shared" si="2"/>
        <v/>
      </c>
      <c r="L54" s="189" t="str">
        <f t="shared" si="3"/>
        <v/>
      </c>
      <c r="M54" s="204" t="str">
        <f>IF($H54="USD",IF(OR($L54="",$L54="-"),"",VLOOKUP($G54,為替!$A:$AX,$L54,FALSE))+$K$3,IF(OR($L54="",$L54="-"),"",VLOOKUP($G54,為替!$A:$AX,$L54,FALSE)))</f>
        <v/>
      </c>
      <c r="N54" s="205" t="str">
        <f t="shared" si="4"/>
        <v/>
      </c>
      <c r="O54" s="206" t="str">
        <f t="shared" si="0"/>
        <v/>
      </c>
      <c r="P54" s="207" t="str">
        <f t="shared" si="5"/>
        <v/>
      </c>
    </row>
    <row r="55" spans="3:16">
      <c r="C55" s="426"/>
      <c r="D55" s="427"/>
      <c r="E55" s="202"/>
      <c r="F55" s="426"/>
      <c r="H55" s="203"/>
      <c r="I55" s="186" t="str">
        <f t="shared" si="1"/>
        <v/>
      </c>
      <c r="J55" s="204" t="str">
        <f>IF($H55="USD",IF(OR($I55="",$I55="-"),"",VLOOKUP($G55,為替!$A:$AX,$I55,FALSE))+$J$3,IF(OR($I55="",$I55="-"),"",VLOOKUP($G55,為替!$A:$AX,$I55,FALSE)))</f>
        <v/>
      </c>
      <c r="K55" s="205" t="str">
        <f t="shared" si="2"/>
        <v/>
      </c>
      <c r="L55" s="189" t="str">
        <f t="shared" si="3"/>
        <v/>
      </c>
      <c r="M55" s="204" t="str">
        <f>IF($H55="USD",IF(OR($L55="",$L55="-"),"",VLOOKUP($G55,為替!$A:$AX,$L55,FALSE))+$K$3,IF(OR($L55="",$L55="-"),"",VLOOKUP($G55,為替!$A:$AX,$L55,FALSE)))</f>
        <v/>
      </c>
      <c r="N55" s="205" t="str">
        <f t="shared" si="4"/>
        <v/>
      </c>
      <c r="O55" s="206" t="str">
        <f t="shared" si="0"/>
        <v/>
      </c>
      <c r="P55" s="207" t="str">
        <f t="shared" si="5"/>
        <v/>
      </c>
    </row>
    <row r="56" spans="3:16">
      <c r="C56" s="426"/>
      <c r="D56" s="427"/>
      <c r="E56" s="202"/>
      <c r="F56" s="426"/>
      <c r="H56" s="203"/>
      <c r="I56" s="186" t="str">
        <f t="shared" si="1"/>
        <v/>
      </c>
      <c r="J56" s="204" t="str">
        <f>IF($H56="USD",IF(OR($I56="",$I56="-"),"",VLOOKUP($G56,為替!$A:$AX,$I56,FALSE))+$J$3,IF(OR($I56="",$I56="-"),"",VLOOKUP($G56,為替!$A:$AX,$I56,FALSE)))</f>
        <v/>
      </c>
      <c r="K56" s="205" t="str">
        <f t="shared" si="2"/>
        <v/>
      </c>
      <c r="L56" s="189" t="str">
        <f t="shared" si="3"/>
        <v/>
      </c>
      <c r="M56" s="204" t="str">
        <f>IF($H56="USD",IF(OR($L56="",$L56="-"),"",VLOOKUP($G56,為替!$A:$AX,$L56,FALSE))+$K$3,IF(OR($L56="",$L56="-"),"",VLOOKUP($G56,為替!$A:$AX,$L56,FALSE)))</f>
        <v/>
      </c>
      <c r="N56" s="205" t="str">
        <f t="shared" si="4"/>
        <v/>
      </c>
      <c r="O56" s="206" t="str">
        <f t="shared" si="0"/>
        <v/>
      </c>
      <c r="P56" s="207" t="str">
        <f t="shared" si="5"/>
        <v/>
      </c>
    </row>
    <row r="57" spans="3:16">
      <c r="C57" s="426"/>
      <c r="D57" s="427"/>
      <c r="E57" s="202"/>
      <c r="F57" s="426"/>
      <c r="H57" s="203"/>
      <c r="I57" s="186" t="str">
        <f t="shared" si="1"/>
        <v/>
      </c>
      <c r="J57" s="204" t="str">
        <f>IF($H57="USD",IF(OR($I57="",$I57="-"),"",VLOOKUP($G57,為替!$A:$AX,$I57,FALSE))+$J$3,IF(OR($I57="",$I57="-"),"",VLOOKUP($G57,為替!$A:$AX,$I57,FALSE)))</f>
        <v/>
      </c>
      <c r="K57" s="205" t="str">
        <f t="shared" si="2"/>
        <v/>
      </c>
      <c r="L57" s="189" t="str">
        <f t="shared" si="3"/>
        <v/>
      </c>
      <c r="M57" s="204" t="str">
        <f>IF($H57="USD",IF(OR($L57="",$L57="-"),"",VLOOKUP($G57,為替!$A:$AX,$L57,FALSE))+$K$3,IF(OR($L57="",$L57="-"),"",VLOOKUP($G57,為替!$A:$AX,$L57,FALSE)))</f>
        <v/>
      </c>
      <c r="N57" s="205" t="str">
        <f t="shared" si="4"/>
        <v/>
      </c>
      <c r="O57" s="206" t="str">
        <f t="shared" si="0"/>
        <v/>
      </c>
      <c r="P57" s="207" t="str">
        <f t="shared" si="5"/>
        <v/>
      </c>
    </row>
    <row r="58" spans="3:16">
      <c r="C58" s="426"/>
      <c r="D58" s="427"/>
      <c r="E58" s="202"/>
      <c r="F58" s="426"/>
      <c r="H58" s="203"/>
      <c r="I58" s="186" t="str">
        <f t="shared" si="1"/>
        <v/>
      </c>
      <c r="J58" s="204" t="str">
        <f>IF($H58="USD",IF(OR($I58="",$I58="-"),"",VLOOKUP($G58,為替!$A:$AX,$I58,FALSE))+$J$3,IF(OR($I58="",$I58="-"),"",VLOOKUP($G58,為替!$A:$AX,$I58,FALSE)))</f>
        <v/>
      </c>
      <c r="K58" s="205" t="str">
        <f t="shared" si="2"/>
        <v/>
      </c>
      <c r="L58" s="189" t="str">
        <f t="shared" si="3"/>
        <v/>
      </c>
      <c r="M58" s="204" t="str">
        <f>IF($H58="USD",IF(OR($L58="",$L58="-"),"",VLOOKUP($G58,為替!$A:$AX,$L58,FALSE))+$K$3,IF(OR($L58="",$L58="-"),"",VLOOKUP($G58,為替!$A:$AX,$L58,FALSE)))</f>
        <v/>
      </c>
      <c r="N58" s="205" t="str">
        <f t="shared" si="4"/>
        <v/>
      </c>
      <c r="O58" s="206" t="str">
        <f t="shared" si="0"/>
        <v/>
      </c>
      <c r="P58" s="207" t="str">
        <f t="shared" si="5"/>
        <v/>
      </c>
    </row>
    <row r="59" spans="3:16">
      <c r="C59" s="426"/>
      <c r="D59" s="427"/>
      <c r="E59" s="202"/>
      <c r="F59" s="426"/>
      <c r="H59" s="203"/>
      <c r="I59" s="186" t="str">
        <f t="shared" si="1"/>
        <v/>
      </c>
      <c r="J59" s="204" t="str">
        <f>IF($H59="USD",IF(OR($I59="",$I59="-"),"",VLOOKUP($G59,為替!$A:$AX,$I59,FALSE))+$J$3,IF(OR($I59="",$I59="-"),"",VLOOKUP($G59,為替!$A:$AX,$I59,FALSE)))</f>
        <v/>
      </c>
      <c r="K59" s="205" t="str">
        <f t="shared" si="2"/>
        <v/>
      </c>
      <c r="L59" s="189" t="str">
        <f t="shared" si="3"/>
        <v/>
      </c>
      <c r="M59" s="204" t="str">
        <f>IF($H59="USD",IF(OR($L59="",$L59="-"),"",VLOOKUP($G59,為替!$A:$AX,$L59,FALSE))+$K$3,IF(OR($L59="",$L59="-"),"",VLOOKUP($G59,為替!$A:$AX,$L59,FALSE)))</f>
        <v/>
      </c>
      <c r="N59" s="205" t="str">
        <f t="shared" si="4"/>
        <v/>
      </c>
      <c r="O59" s="206" t="str">
        <f t="shared" si="0"/>
        <v/>
      </c>
      <c r="P59" s="207" t="str">
        <f t="shared" si="5"/>
        <v/>
      </c>
    </row>
    <row r="60" spans="3:16">
      <c r="C60" s="426"/>
      <c r="D60" s="427"/>
      <c r="E60" s="202"/>
      <c r="F60" s="426"/>
      <c r="H60" s="203"/>
      <c r="I60" s="186" t="str">
        <f t="shared" si="1"/>
        <v/>
      </c>
      <c r="J60" s="204" t="str">
        <f>IF($H60="USD",IF(OR($I60="",$I60="-"),"",VLOOKUP($G60,為替!$A:$AX,$I60,FALSE))+$J$3,IF(OR($I60="",$I60="-"),"",VLOOKUP($G60,為替!$A:$AX,$I60,FALSE)))</f>
        <v/>
      </c>
      <c r="K60" s="205" t="str">
        <f t="shared" si="2"/>
        <v/>
      </c>
      <c r="L60" s="189" t="str">
        <f t="shared" si="3"/>
        <v/>
      </c>
      <c r="M60" s="204" t="str">
        <f>IF($H60="USD",IF(OR($L60="",$L60="-"),"",VLOOKUP($G60,為替!$A:$AX,$L60,FALSE))+$K$3,IF(OR($L60="",$L60="-"),"",VLOOKUP($G60,為替!$A:$AX,$L60,FALSE)))</f>
        <v/>
      </c>
      <c r="N60" s="205" t="str">
        <f t="shared" si="4"/>
        <v/>
      </c>
      <c r="O60" s="206" t="str">
        <f t="shared" si="0"/>
        <v/>
      </c>
      <c r="P60" s="207" t="str">
        <f t="shared" si="5"/>
        <v/>
      </c>
    </row>
    <row r="61" spans="3:16">
      <c r="C61" s="426"/>
      <c r="D61" s="427"/>
      <c r="E61" s="202"/>
      <c r="F61" s="426"/>
      <c r="H61" s="203"/>
      <c r="I61" s="186" t="str">
        <f t="shared" si="1"/>
        <v/>
      </c>
      <c r="J61" s="204" t="str">
        <f>IF($H61="USD",IF(OR($I61="",$I61="-"),"",VLOOKUP($G61,為替!$A:$AX,$I61,FALSE))+$J$3,IF(OR($I61="",$I61="-"),"",VLOOKUP($G61,為替!$A:$AX,$I61,FALSE)))</f>
        <v/>
      </c>
      <c r="K61" s="205" t="str">
        <f t="shared" si="2"/>
        <v/>
      </c>
      <c r="L61" s="189" t="str">
        <f t="shared" si="3"/>
        <v/>
      </c>
      <c r="M61" s="204" t="str">
        <f>IF($H61="USD",IF(OR($L61="",$L61="-"),"",VLOOKUP($G61,為替!$A:$AX,$L61,FALSE))+$K$3,IF(OR($L61="",$L61="-"),"",VLOOKUP($G61,為替!$A:$AX,$L61,FALSE)))</f>
        <v/>
      </c>
      <c r="N61" s="205" t="str">
        <f t="shared" si="4"/>
        <v/>
      </c>
      <c r="O61" s="206" t="str">
        <f t="shared" si="0"/>
        <v/>
      </c>
      <c r="P61" s="207" t="str">
        <f t="shared" si="5"/>
        <v/>
      </c>
    </row>
    <row r="62" spans="3:16">
      <c r="C62" s="426"/>
      <c r="D62" s="427"/>
      <c r="E62" s="202"/>
      <c r="F62" s="426"/>
      <c r="H62" s="203"/>
      <c r="I62" s="186" t="str">
        <f t="shared" si="1"/>
        <v/>
      </c>
      <c r="J62" s="204" t="str">
        <f>IF($H62="USD",IF(OR($I62="",$I62="-"),"",VLOOKUP($G62,為替!$A:$AX,$I62,FALSE))+$J$3,IF(OR($I62="",$I62="-"),"",VLOOKUP($G62,為替!$A:$AX,$I62,FALSE)))</f>
        <v/>
      </c>
      <c r="K62" s="205" t="str">
        <f t="shared" si="2"/>
        <v/>
      </c>
      <c r="L62" s="189" t="str">
        <f t="shared" si="3"/>
        <v/>
      </c>
      <c r="M62" s="204" t="str">
        <f>IF($H62="USD",IF(OR($L62="",$L62="-"),"",VLOOKUP($G62,為替!$A:$AX,$L62,FALSE))+$K$3,IF(OR($L62="",$L62="-"),"",VLOOKUP($G62,為替!$A:$AX,$L62,FALSE)))</f>
        <v/>
      </c>
      <c r="N62" s="205" t="str">
        <f t="shared" si="4"/>
        <v/>
      </c>
      <c r="O62" s="206" t="str">
        <f t="shared" si="0"/>
        <v/>
      </c>
      <c r="P62" s="207" t="str">
        <f t="shared" si="5"/>
        <v/>
      </c>
    </row>
    <row r="63" spans="3:16">
      <c r="C63" s="426"/>
      <c r="D63" s="427"/>
      <c r="E63" s="202"/>
      <c r="F63" s="426"/>
      <c r="H63" s="203"/>
      <c r="I63" s="186" t="str">
        <f t="shared" si="1"/>
        <v/>
      </c>
      <c r="J63" s="204" t="str">
        <f>IF($H63="USD",IF(OR($I63="",$I63="-"),"",VLOOKUP($G63,為替!$A:$AX,$I63,FALSE))+$J$3,IF(OR($I63="",$I63="-"),"",VLOOKUP($G63,為替!$A:$AX,$I63,FALSE)))</f>
        <v/>
      </c>
      <c r="K63" s="205" t="str">
        <f t="shared" si="2"/>
        <v/>
      </c>
      <c r="L63" s="189" t="str">
        <f t="shared" si="3"/>
        <v/>
      </c>
      <c r="M63" s="204" t="str">
        <f>IF($H63="USD",IF(OR($L63="",$L63="-"),"",VLOOKUP($G63,為替!$A:$AX,$L63,FALSE))+$K$3,IF(OR($L63="",$L63="-"),"",VLOOKUP($G63,為替!$A:$AX,$L63,FALSE)))</f>
        <v/>
      </c>
      <c r="N63" s="205" t="str">
        <f t="shared" si="4"/>
        <v/>
      </c>
      <c r="O63" s="206" t="str">
        <f t="shared" si="0"/>
        <v/>
      </c>
      <c r="P63" s="207" t="str">
        <f t="shared" si="5"/>
        <v/>
      </c>
    </row>
    <row r="64" spans="3:16">
      <c r="C64" s="426"/>
      <c r="D64" s="427"/>
      <c r="E64" s="202"/>
      <c r="F64" s="426"/>
      <c r="H64" s="203"/>
      <c r="I64" s="186" t="str">
        <f t="shared" si="1"/>
        <v/>
      </c>
      <c r="J64" s="204" t="str">
        <f>IF($H64="USD",IF(OR($I64="",$I64="-"),"",VLOOKUP($G64,為替!$A:$AX,$I64,FALSE))+$J$3,IF(OR($I64="",$I64="-"),"",VLOOKUP($G64,為替!$A:$AX,$I64,FALSE)))</f>
        <v/>
      </c>
      <c r="K64" s="205" t="str">
        <f t="shared" si="2"/>
        <v/>
      </c>
      <c r="L64" s="189" t="str">
        <f t="shared" si="3"/>
        <v/>
      </c>
      <c r="M64" s="204" t="str">
        <f>IF($H64="USD",IF(OR($L64="",$L64="-"),"",VLOOKUP($G64,為替!$A:$AX,$L64,FALSE))+$K$3,IF(OR($L64="",$L64="-"),"",VLOOKUP($G64,為替!$A:$AX,$L64,FALSE)))</f>
        <v/>
      </c>
      <c r="N64" s="205" t="str">
        <f t="shared" si="4"/>
        <v/>
      </c>
      <c r="O64" s="206" t="str">
        <f t="shared" si="0"/>
        <v/>
      </c>
      <c r="P64" s="207" t="str">
        <f t="shared" si="5"/>
        <v/>
      </c>
    </row>
    <row r="65" spans="3:16">
      <c r="C65" s="426"/>
      <c r="D65" s="427"/>
      <c r="E65" s="202"/>
      <c r="F65" s="426"/>
      <c r="H65" s="203"/>
      <c r="I65" s="186" t="str">
        <f t="shared" si="1"/>
        <v/>
      </c>
      <c r="J65" s="204" t="str">
        <f>IF($H65="USD",IF(OR($I65="",$I65="-"),"",VLOOKUP($G65,為替!$A:$AX,$I65,FALSE))+$J$3,IF(OR($I65="",$I65="-"),"",VLOOKUP($G65,為替!$A:$AX,$I65,FALSE)))</f>
        <v/>
      </c>
      <c r="K65" s="205" t="str">
        <f t="shared" si="2"/>
        <v/>
      </c>
      <c r="L65" s="189" t="str">
        <f t="shared" si="3"/>
        <v/>
      </c>
      <c r="M65" s="204" t="str">
        <f>IF($H65="USD",IF(OR($L65="",$L65="-"),"",VLOOKUP($G65,為替!$A:$AX,$L65,FALSE))+$K$3,IF(OR($L65="",$L65="-"),"",VLOOKUP($G65,為替!$A:$AX,$L65,FALSE)))</f>
        <v/>
      </c>
      <c r="N65" s="205" t="str">
        <f t="shared" si="4"/>
        <v/>
      </c>
      <c r="O65" s="206" t="str">
        <f t="shared" si="0"/>
        <v/>
      </c>
      <c r="P65" s="207" t="str">
        <f t="shared" si="5"/>
        <v/>
      </c>
    </row>
    <row r="66" spans="3:16">
      <c r="C66" s="426"/>
      <c r="D66" s="427"/>
      <c r="E66" s="202"/>
      <c r="F66" s="426"/>
      <c r="H66" s="203"/>
      <c r="I66" s="186" t="str">
        <f t="shared" si="1"/>
        <v/>
      </c>
      <c r="J66" s="204" t="str">
        <f>IF($H66="USD",IF(OR($I66="",$I66="-"),"",VLOOKUP($G66,為替!$A:$AX,$I66,FALSE))+$J$3,IF(OR($I66="",$I66="-"),"",VLOOKUP($G66,為替!$A:$AX,$I66,FALSE)))</f>
        <v/>
      </c>
      <c r="K66" s="205" t="str">
        <f t="shared" si="2"/>
        <v/>
      </c>
      <c r="L66" s="189" t="str">
        <f t="shared" si="3"/>
        <v/>
      </c>
      <c r="M66" s="204" t="str">
        <f>IF($H66="USD",IF(OR($L66="",$L66="-"),"",VLOOKUP($G66,為替!$A:$AX,$L66,FALSE))+$K$3,IF(OR($L66="",$L66="-"),"",VLOOKUP($G66,為替!$A:$AX,$L66,FALSE)))</f>
        <v/>
      </c>
      <c r="N66" s="205" t="str">
        <f t="shared" si="4"/>
        <v/>
      </c>
      <c r="O66" s="206" t="str">
        <f t="shared" si="0"/>
        <v/>
      </c>
      <c r="P66" s="207" t="str">
        <f t="shared" si="5"/>
        <v/>
      </c>
    </row>
    <row r="67" spans="3:16">
      <c r="C67" s="426"/>
      <c r="D67" s="427"/>
      <c r="E67" s="202"/>
      <c r="F67" s="426"/>
      <c r="H67" s="203"/>
      <c r="I67" s="186" t="str">
        <f t="shared" si="1"/>
        <v/>
      </c>
      <c r="J67" s="204" t="str">
        <f>IF($H67="USD",IF(OR($I67="",$I67="-"),"",VLOOKUP($G67,為替!$A:$AX,$I67,FALSE))+$J$3,IF(OR($I67="",$I67="-"),"",VLOOKUP($G67,為替!$A:$AX,$I67,FALSE)))</f>
        <v/>
      </c>
      <c r="K67" s="205" t="str">
        <f t="shared" si="2"/>
        <v/>
      </c>
      <c r="L67" s="189" t="str">
        <f t="shared" si="3"/>
        <v/>
      </c>
      <c r="M67" s="204" t="str">
        <f>IF($H67="USD",IF(OR($L67="",$L67="-"),"",VLOOKUP($G67,為替!$A:$AX,$L67,FALSE))+$K$3,IF(OR($L67="",$L67="-"),"",VLOOKUP($G67,為替!$A:$AX,$L67,FALSE)))</f>
        <v/>
      </c>
      <c r="N67" s="205" t="str">
        <f t="shared" si="4"/>
        <v/>
      </c>
      <c r="O67" s="206" t="str">
        <f t="shared" si="0"/>
        <v/>
      </c>
      <c r="P67" s="207" t="str">
        <f t="shared" si="5"/>
        <v/>
      </c>
    </row>
    <row r="68" spans="3:16">
      <c r="C68" s="426"/>
      <c r="D68" s="427"/>
      <c r="E68" s="202"/>
      <c r="F68" s="426"/>
      <c r="H68" s="203"/>
      <c r="I68" s="186" t="str">
        <f t="shared" si="1"/>
        <v/>
      </c>
      <c r="J68" s="204" t="str">
        <f>IF($H68="USD",IF(OR($I68="",$I68="-"),"",VLOOKUP($G68,為替!$A:$AX,$I68,FALSE))+$J$3,IF(OR($I68="",$I68="-"),"",VLOOKUP($G68,為替!$A:$AX,$I68,FALSE)))</f>
        <v/>
      </c>
      <c r="K68" s="205" t="str">
        <f t="shared" si="2"/>
        <v/>
      </c>
      <c r="L68" s="189" t="str">
        <f t="shared" si="3"/>
        <v/>
      </c>
      <c r="M68" s="204" t="str">
        <f>IF($H68="USD",IF(OR($L68="",$L68="-"),"",VLOOKUP($G68,為替!$A:$AX,$L68,FALSE))+$K$3,IF(OR($L68="",$L68="-"),"",VLOOKUP($G68,為替!$A:$AX,$L68,FALSE)))</f>
        <v/>
      </c>
      <c r="N68" s="205" t="str">
        <f t="shared" si="4"/>
        <v/>
      </c>
      <c r="O68" s="206" t="str">
        <f t="shared" si="0"/>
        <v/>
      </c>
      <c r="P68" s="207" t="str">
        <f t="shared" si="5"/>
        <v/>
      </c>
    </row>
    <row r="69" spans="3:16">
      <c r="C69" s="426"/>
      <c r="D69" s="427"/>
      <c r="E69" s="202"/>
      <c r="F69" s="426"/>
      <c r="H69" s="203"/>
      <c r="I69" s="186" t="str">
        <f t="shared" si="1"/>
        <v/>
      </c>
      <c r="J69" s="204" t="str">
        <f>IF($H69="USD",IF(OR($I69="",$I69="-"),"",VLOOKUP($G69,為替!$A:$AX,$I69,FALSE))+$J$3,IF(OR($I69="",$I69="-"),"",VLOOKUP($G69,為替!$A:$AX,$I69,FALSE)))</f>
        <v/>
      </c>
      <c r="K69" s="205" t="str">
        <f t="shared" si="2"/>
        <v/>
      </c>
      <c r="L69" s="189" t="str">
        <f t="shared" si="3"/>
        <v/>
      </c>
      <c r="M69" s="204" t="str">
        <f>IF($H69="USD",IF(OR($L69="",$L69="-"),"",VLOOKUP($G69,為替!$A:$AX,$L69,FALSE))+$K$3,IF(OR($L69="",$L69="-"),"",VLOOKUP($G69,為替!$A:$AX,$L69,FALSE)))</f>
        <v/>
      </c>
      <c r="N69" s="205" t="str">
        <f t="shared" si="4"/>
        <v/>
      </c>
      <c r="O69" s="206" t="str">
        <f t="shared" si="0"/>
        <v/>
      </c>
      <c r="P69" s="207" t="str">
        <f t="shared" si="5"/>
        <v/>
      </c>
    </row>
    <row r="70" spans="3:16">
      <c r="C70" s="426"/>
      <c r="D70" s="427"/>
      <c r="E70" s="202"/>
      <c r="F70" s="426"/>
      <c r="H70" s="203"/>
      <c r="I70" s="186" t="str">
        <f t="shared" si="1"/>
        <v/>
      </c>
      <c r="J70" s="204" t="str">
        <f>IF($H70="USD",IF(OR($I70="",$I70="-"),"",VLOOKUP($G70,為替!$A:$AX,$I70,FALSE))+$J$3,IF(OR($I70="",$I70="-"),"",VLOOKUP($G70,為替!$A:$AX,$I70,FALSE)))</f>
        <v/>
      </c>
      <c r="K70" s="205" t="str">
        <f t="shared" si="2"/>
        <v/>
      </c>
      <c r="L70" s="189" t="str">
        <f t="shared" si="3"/>
        <v/>
      </c>
      <c r="M70" s="204" t="str">
        <f>IF($H70="USD",IF(OR($L70="",$L70="-"),"",VLOOKUP($G70,為替!$A:$AX,$L70,FALSE))+$K$3,IF(OR($L70="",$L70="-"),"",VLOOKUP($G70,為替!$A:$AX,$L70,FALSE)))</f>
        <v/>
      </c>
      <c r="N70" s="205" t="str">
        <f t="shared" si="4"/>
        <v/>
      </c>
      <c r="O70" s="206" t="str">
        <f t="shared" si="0"/>
        <v/>
      </c>
      <c r="P70" s="207" t="str">
        <f t="shared" si="5"/>
        <v/>
      </c>
    </row>
    <row r="71" spans="3:16">
      <c r="C71" s="426"/>
      <c r="D71" s="427"/>
      <c r="E71" s="202"/>
      <c r="F71" s="426"/>
      <c r="H71" s="203"/>
      <c r="I71" s="186" t="str">
        <f t="shared" si="1"/>
        <v/>
      </c>
      <c r="J71" s="204" t="str">
        <f>IF($H71="USD",IF(OR($I71="",$I71="-"),"",VLOOKUP($G71,為替!$A:$AX,$I71,FALSE))+$J$3,IF(OR($I71="",$I71="-"),"",VLOOKUP($G71,為替!$A:$AX,$I71,FALSE)))</f>
        <v/>
      </c>
      <c r="K71" s="205" t="str">
        <f t="shared" si="2"/>
        <v/>
      </c>
      <c r="L71" s="189" t="str">
        <f t="shared" si="3"/>
        <v/>
      </c>
      <c r="M71" s="204" t="str">
        <f>IF($H71="USD",IF(OR($L71="",$L71="-"),"",VLOOKUP($G71,為替!$A:$AX,$L71,FALSE))+$K$3,IF(OR($L71="",$L71="-"),"",VLOOKUP($G71,為替!$A:$AX,$L71,FALSE)))</f>
        <v/>
      </c>
      <c r="N71" s="205" t="str">
        <f t="shared" si="4"/>
        <v/>
      </c>
      <c r="O71" s="206" t="str">
        <f t="shared" si="0"/>
        <v/>
      </c>
      <c r="P71" s="207" t="str">
        <f t="shared" si="5"/>
        <v/>
      </c>
    </row>
    <row r="72" spans="3:16">
      <c r="C72" s="426"/>
      <c r="D72" s="427"/>
      <c r="E72" s="202"/>
      <c r="F72" s="426"/>
      <c r="H72" s="203"/>
      <c r="I72" s="186" t="str">
        <f t="shared" si="1"/>
        <v/>
      </c>
      <c r="J72" s="204" t="str">
        <f>IF($H72="USD",IF(OR($I72="",$I72="-"),"",VLOOKUP($G72,為替!$A:$AX,$I72,FALSE))+$J$3,IF(OR($I72="",$I72="-"),"",VLOOKUP($G72,為替!$A:$AX,$I72,FALSE)))</f>
        <v/>
      </c>
      <c r="K72" s="205" t="str">
        <f t="shared" si="2"/>
        <v/>
      </c>
      <c r="L72" s="189" t="str">
        <f t="shared" si="3"/>
        <v/>
      </c>
      <c r="M72" s="204" t="str">
        <f>IF($H72="USD",IF(OR($L72="",$L72="-"),"",VLOOKUP($G72,為替!$A:$AX,$L72,FALSE))+$K$3,IF(OR($L72="",$L72="-"),"",VLOOKUP($G72,為替!$A:$AX,$L72,FALSE)))</f>
        <v/>
      </c>
      <c r="N72" s="205" t="str">
        <f t="shared" si="4"/>
        <v/>
      </c>
      <c r="O72" s="206" t="str">
        <f t="shared" si="0"/>
        <v/>
      </c>
      <c r="P72" s="207" t="str">
        <f t="shared" si="5"/>
        <v/>
      </c>
    </row>
    <row r="73" spans="3:16">
      <c r="C73" s="426"/>
      <c r="D73" s="427"/>
      <c r="E73" s="202"/>
      <c r="F73" s="426"/>
      <c r="H73" s="203"/>
      <c r="I73" s="186" t="str">
        <f t="shared" si="1"/>
        <v/>
      </c>
      <c r="J73" s="204" t="str">
        <f>IF($H73="USD",IF(OR($I73="",$I73="-"),"",VLOOKUP($G73,為替!$A:$AX,$I73,FALSE))+$J$3,IF(OR($I73="",$I73="-"),"",VLOOKUP($G73,為替!$A:$AX,$I73,FALSE)))</f>
        <v/>
      </c>
      <c r="K73" s="205" t="str">
        <f t="shared" si="2"/>
        <v/>
      </c>
      <c r="L73" s="189" t="str">
        <f t="shared" si="3"/>
        <v/>
      </c>
      <c r="M73" s="204" t="str">
        <f>IF($H73="USD",IF(OR($L73="",$L73="-"),"",VLOOKUP($G73,為替!$A:$AX,$L73,FALSE))+$K$3,IF(OR($L73="",$L73="-"),"",VLOOKUP($G73,為替!$A:$AX,$L73,FALSE)))</f>
        <v/>
      </c>
      <c r="N73" s="205" t="str">
        <f t="shared" si="4"/>
        <v/>
      </c>
      <c r="O73" s="206" t="str">
        <f t="shared" si="0"/>
        <v/>
      </c>
      <c r="P73" s="207" t="str">
        <f t="shared" si="5"/>
        <v/>
      </c>
    </row>
    <row r="74" spans="3:16">
      <c r="C74" s="426"/>
      <c r="D74" s="427"/>
      <c r="E74" s="202"/>
      <c r="F74" s="426"/>
      <c r="H74" s="203"/>
      <c r="I74" s="186" t="str">
        <f t="shared" si="1"/>
        <v/>
      </c>
      <c r="J74" s="204" t="str">
        <f>IF($H74="USD",IF(OR($I74="",$I74="-"),"",VLOOKUP($G74,為替!$A:$AX,$I74,FALSE))+$J$3,IF(OR($I74="",$I74="-"),"",VLOOKUP($G74,為替!$A:$AX,$I74,FALSE)))</f>
        <v/>
      </c>
      <c r="K74" s="205" t="str">
        <f t="shared" si="2"/>
        <v/>
      </c>
      <c r="L74" s="189" t="str">
        <f t="shared" si="3"/>
        <v/>
      </c>
      <c r="M74" s="204" t="str">
        <f>IF($H74="USD",IF(OR($L74="",$L74="-"),"",VLOOKUP($G74,為替!$A:$AX,$L74,FALSE))+$K$3,IF(OR($L74="",$L74="-"),"",VLOOKUP($G74,為替!$A:$AX,$L74,FALSE)))</f>
        <v/>
      </c>
      <c r="N74" s="205" t="str">
        <f t="shared" si="4"/>
        <v/>
      </c>
      <c r="O74" s="206" t="str">
        <f t="shared" si="0"/>
        <v/>
      </c>
      <c r="P74" s="207" t="str">
        <f t="shared" si="5"/>
        <v/>
      </c>
    </row>
    <row r="75" spans="3:16">
      <c r="C75" s="426"/>
      <c r="D75" s="427"/>
      <c r="E75" s="202"/>
      <c r="F75" s="426"/>
      <c r="H75" s="203"/>
      <c r="I75" s="186" t="str">
        <f t="shared" si="1"/>
        <v/>
      </c>
      <c r="J75" s="204" t="str">
        <f>IF($H75="USD",IF(OR($I75="",$I75="-"),"",VLOOKUP($G75,為替!$A:$AX,$I75,FALSE))+$J$3,IF(OR($I75="",$I75="-"),"",VLOOKUP($G75,為替!$A:$AX,$I75,FALSE)))</f>
        <v/>
      </c>
      <c r="K75" s="205" t="str">
        <f t="shared" si="2"/>
        <v/>
      </c>
      <c r="L75" s="189" t="str">
        <f t="shared" si="3"/>
        <v/>
      </c>
      <c r="M75" s="204" t="str">
        <f>IF($H75="USD",IF(OR($L75="",$L75="-"),"",VLOOKUP($G75,為替!$A:$AX,$L75,FALSE))+$K$3,IF(OR($L75="",$L75="-"),"",VLOOKUP($G75,為替!$A:$AX,$L75,FALSE)))</f>
        <v/>
      </c>
      <c r="N75" s="205" t="str">
        <f t="shared" si="4"/>
        <v/>
      </c>
      <c r="O75" s="206" t="str">
        <f t="shared" si="0"/>
        <v/>
      </c>
      <c r="P75" s="207" t="str">
        <f t="shared" si="5"/>
        <v/>
      </c>
    </row>
    <row r="76" spans="3:16">
      <c r="C76" s="426"/>
      <c r="D76" s="427"/>
      <c r="E76" s="202"/>
      <c r="F76" s="426"/>
      <c r="H76" s="203"/>
      <c r="I76" s="186" t="str">
        <f t="shared" si="1"/>
        <v/>
      </c>
      <c r="J76" s="204" t="str">
        <f>IF($H76="USD",IF(OR($I76="",$I76="-"),"",VLOOKUP($G76,為替!$A:$AX,$I76,FALSE))+$J$3,IF(OR($I76="",$I76="-"),"",VLOOKUP($G76,為替!$A:$AX,$I76,FALSE)))</f>
        <v/>
      </c>
      <c r="K76" s="205" t="str">
        <f t="shared" si="2"/>
        <v/>
      </c>
      <c r="L76" s="189" t="str">
        <f t="shared" si="3"/>
        <v/>
      </c>
      <c r="M76" s="204" t="str">
        <f>IF($H76="USD",IF(OR($L76="",$L76="-"),"",VLOOKUP($G76,為替!$A:$AX,$L76,FALSE))+$K$3,IF(OR($L76="",$L76="-"),"",VLOOKUP($G76,為替!$A:$AX,$L76,FALSE)))</f>
        <v/>
      </c>
      <c r="N76" s="205" t="str">
        <f t="shared" si="4"/>
        <v/>
      </c>
      <c r="O76" s="206" t="str">
        <f t="shared" si="0"/>
        <v/>
      </c>
      <c r="P76" s="207" t="str">
        <f t="shared" si="5"/>
        <v/>
      </c>
    </row>
    <row r="77" spans="3:16">
      <c r="C77" s="426"/>
      <c r="D77" s="427"/>
      <c r="E77" s="202"/>
      <c r="F77" s="426"/>
      <c r="H77" s="203"/>
      <c r="I77" s="186" t="str">
        <f t="shared" si="1"/>
        <v/>
      </c>
      <c r="J77" s="204" t="str">
        <f>IF($H77="USD",IF(OR($I77="",$I77="-"),"",VLOOKUP($G77,為替!$A:$AX,$I77,FALSE))+$J$3,IF(OR($I77="",$I77="-"),"",VLOOKUP($G77,為替!$A:$AX,$I77,FALSE)))</f>
        <v/>
      </c>
      <c r="K77" s="205" t="str">
        <f t="shared" si="2"/>
        <v/>
      </c>
      <c r="L77" s="189" t="str">
        <f t="shared" si="3"/>
        <v/>
      </c>
      <c r="M77" s="204" t="str">
        <f>IF($H77="USD",IF(OR($L77="",$L77="-"),"",VLOOKUP($G77,為替!$A:$AX,$L77,FALSE))+$K$3,IF(OR($L77="",$L77="-"),"",VLOOKUP($G77,為替!$A:$AX,$L77,FALSE)))</f>
        <v/>
      </c>
      <c r="N77" s="205" t="str">
        <f t="shared" si="4"/>
        <v/>
      </c>
      <c r="O77" s="206" t="str">
        <f t="shared" si="0"/>
        <v/>
      </c>
      <c r="P77" s="207" t="str">
        <f t="shared" si="5"/>
        <v/>
      </c>
    </row>
    <row r="78" spans="3:16">
      <c r="C78" s="426"/>
      <c r="D78" s="427"/>
      <c r="E78" s="202"/>
      <c r="F78" s="426"/>
      <c r="H78" s="203"/>
      <c r="I78" s="186" t="str">
        <f t="shared" si="1"/>
        <v/>
      </c>
      <c r="J78" s="204" t="str">
        <f>IF($H78="USD",IF(OR($I78="",$I78="-"),"",VLOOKUP($G78,為替!$A:$AX,$I78,FALSE))+$J$3,IF(OR($I78="",$I78="-"),"",VLOOKUP($G78,為替!$A:$AX,$I78,FALSE)))</f>
        <v/>
      </c>
      <c r="K78" s="205" t="str">
        <f t="shared" si="2"/>
        <v/>
      </c>
      <c r="L78" s="189" t="str">
        <f t="shared" si="3"/>
        <v/>
      </c>
      <c r="M78" s="204" t="str">
        <f>IF($H78="USD",IF(OR($L78="",$L78="-"),"",VLOOKUP($G78,為替!$A:$AX,$L78,FALSE))+$K$3,IF(OR($L78="",$L78="-"),"",VLOOKUP($G78,為替!$A:$AX,$L78,FALSE)))</f>
        <v/>
      </c>
      <c r="N78" s="205" t="str">
        <f t="shared" si="4"/>
        <v/>
      </c>
      <c r="O78" s="206" t="str">
        <f t="shared" ref="O78:O141" si="10">IF(OR(K78="",N78=""),"",K78-N78)</f>
        <v/>
      </c>
      <c r="P78" s="207" t="str">
        <f t="shared" si="5"/>
        <v/>
      </c>
    </row>
    <row r="79" spans="3:16">
      <c r="C79" s="426"/>
      <c r="D79" s="427"/>
      <c r="E79" s="202"/>
      <c r="F79" s="426"/>
      <c r="H79" s="203"/>
      <c r="I79" s="186" t="str">
        <f t="shared" ref="I79:I142" si="11">IF(H79="","",IF(H79="JPY","",IF($H79="USD",4, IF(H79="EUR",7,IF(H79="CNY",47,IF(H79="HKD",34))))))</f>
        <v/>
      </c>
      <c r="J79" s="204" t="str">
        <f>IF($H79="USD",IF(OR($I79="",$I79="-"),"",VLOOKUP($G79,為替!$A:$AX,$I79,FALSE))+$J$3,IF(OR($I79="",$I79="-"),"",VLOOKUP($G79,為替!$A:$AX,$I79,FALSE)))</f>
        <v/>
      </c>
      <c r="K79" s="205" t="str">
        <f t="shared" ref="K79:K142" si="12">IF($H79="JPY",$F79,IF($H79="","",$F79*$J79))</f>
        <v/>
      </c>
      <c r="L79" s="189" t="str">
        <f t="shared" ref="L79:L142" si="13">IF(H79="","",IF(H79="JPY","",IF($H79="USD",3, IF(H79="EUR",6,IF(H79="CNY",46,IF(H79="HKD",33))))))</f>
        <v/>
      </c>
      <c r="M79" s="204" t="str">
        <f>IF($H79="USD",IF(OR($L79="",$L79="-"),"",VLOOKUP($G79,為替!$A:$AX,$L79,FALSE))+$K$3,IF(OR($L79="",$L79="-"),"",VLOOKUP($G79,為替!$A:$AX,$L79,FALSE)))</f>
        <v/>
      </c>
      <c r="N79" s="205" t="str">
        <f t="shared" ref="N79:N142" si="14">IF($E79="JPY",($C79+$D79),IF($E79="","",($C79+$D79)*$M79))</f>
        <v/>
      </c>
      <c r="O79" s="206" t="str">
        <f t="shared" si="10"/>
        <v/>
      </c>
      <c r="P79" s="207" t="str">
        <f t="shared" ref="P79:P142" si="15">IF(OR(K79="",O79=""),"",O79/K79)</f>
        <v/>
      </c>
    </row>
    <row r="80" spans="3:16">
      <c r="C80" s="426"/>
      <c r="D80" s="427"/>
      <c r="E80" s="202"/>
      <c r="F80" s="426"/>
      <c r="H80" s="203"/>
      <c r="I80" s="186" t="str">
        <f t="shared" si="11"/>
        <v/>
      </c>
      <c r="J80" s="204" t="str">
        <f>IF($H80="USD",IF(OR($I80="",$I80="-"),"",VLOOKUP($G80,為替!$A:$AX,$I80,FALSE))+$J$3,IF(OR($I80="",$I80="-"),"",VLOOKUP($G80,為替!$A:$AX,$I80,FALSE)))</f>
        <v/>
      </c>
      <c r="K80" s="205" t="str">
        <f t="shared" si="12"/>
        <v/>
      </c>
      <c r="L80" s="189" t="str">
        <f t="shared" si="13"/>
        <v/>
      </c>
      <c r="M80" s="204" t="str">
        <f>IF($H80="USD",IF(OR($L80="",$L80="-"),"",VLOOKUP($G80,為替!$A:$AX,$L80,FALSE))+$K$3,IF(OR($L80="",$L80="-"),"",VLOOKUP($G80,為替!$A:$AX,$L80,FALSE)))</f>
        <v/>
      </c>
      <c r="N80" s="205" t="str">
        <f t="shared" si="14"/>
        <v/>
      </c>
      <c r="O80" s="206" t="str">
        <f t="shared" si="10"/>
        <v/>
      </c>
      <c r="P80" s="207" t="str">
        <f t="shared" si="15"/>
        <v/>
      </c>
    </row>
    <row r="81" spans="3:16">
      <c r="C81" s="426"/>
      <c r="D81" s="427"/>
      <c r="E81" s="202"/>
      <c r="F81" s="426"/>
      <c r="H81" s="203"/>
      <c r="I81" s="186" t="str">
        <f t="shared" si="11"/>
        <v/>
      </c>
      <c r="J81" s="204" t="str">
        <f>IF($H81="USD",IF(OR($I81="",$I81="-"),"",VLOOKUP($G81,為替!$A:$AX,$I81,FALSE))+$J$3,IF(OR($I81="",$I81="-"),"",VLOOKUP($G81,為替!$A:$AX,$I81,FALSE)))</f>
        <v/>
      </c>
      <c r="K81" s="205" t="str">
        <f t="shared" si="12"/>
        <v/>
      </c>
      <c r="L81" s="189" t="str">
        <f t="shared" si="13"/>
        <v/>
      </c>
      <c r="M81" s="204" t="str">
        <f>IF($H81="USD",IF(OR($L81="",$L81="-"),"",VLOOKUP($G81,為替!$A:$AX,$L81,FALSE))+$K$3,IF(OR($L81="",$L81="-"),"",VLOOKUP($G81,為替!$A:$AX,$L81,FALSE)))</f>
        <v/>
      </c>
      <c r="N81" s="205" t="str">
        <f t="shared" si="14"/>
        <v/>
      </c>
      <c r="O81" s="206" t="str">
        <f t="shared" si="10"/>
        <v/>
      </c>
      <c r="P81" s="207" t="str">
        <f t="shared" si="15"/>
        <v/>
      </c>
    </row>
    <row r="82" spans="3:16">
      <c r="C82" s="426"/>
      <c r="D82" s="427"/>
      <c r="E82" s="202"/>
      <c r="F82" s="426"/>
      <c r="H82" s="203"/>
      <c r="I82" s="186" t="str">
        <f t="shared" si="11"/>
        <v/>
      </c>
      <c r="J82" s="204" t="str">
        <f>IF($H82="USD",IF(OR($I82="",$I82="-"),"",VLOOKUP($G82,為替!$A:$AX,$I82,FALSE))+$J$3,IF(OR($I82="",$I82="-"),"",VLOOKUP($G82,為替!$A:$AX,$I82,FALSE)))</f>
        <v/>
      </c>
      <c r="K82" s="205" t="str">
        <f t="shared" si="12"/>
        <v/>
      </c>
      <c r="L82" s="189" t="str">
        <f t="shared" si="13"/>
        <v/>
      </c>
      <c r="M82" s="204" t="str">
        <f>IF($H82="USD",IF(OR($L82="",$L82="-"),"",VLOOKUP($G82,為替!$A:$AX,$L82,FALSE))+$K$3,IF(OR($L82="",$L82="-"),"",VLOOKUP($G82,為替!$A:$AX,$L82,FALSE)))</f>
        <v/>
      </c>
      <c r="N82" s="205" t="str">
        <f t="shared" si="14"/>
        <v/>
      </c>
      <c r="O82" s="206" t="str">
        <f t="shared" si="10"/>
        <v/>
      </c>
      <c r="P82" s="207" t="str">
        <f t="shared" si="15"/>
        <v/>
      </c>
    </row>
    <row r="83" spans="3:16">
      <c r="C83" s="426"/>
      <c r="D83" s="427"/>
      <c r="E83" s="202"/>
      <c r="F83" s="426"/>
      <c r="H83" s="203"/>
      <c r="I83" s="186" t="str">
        <f t="shared" si="11"/>
        <v/>
      </c>
      <c r="J83" s="204" t="str">
        <f>IF($H83="USD",IF(OR($I83="",$I83="-"),"",VLOOKUP($G83,為替!$A:$AX,$I83,FALSE))+$J$3,IF(OR($I83="",$I83="-"),"",VLOOKUP($G83,為替!$A:$AX,$I83,FALSE)))</f>
        <v/>
      </c>
      <c r="K83" s="205" t="str">
        <f t="shared" si="12"/>
        <v/>
      </c>
      <c r="L83" s="189" t="str">
        <f t="shared" si="13"/>
        <v/>
      </c>
      <c r="M83" s="204" t="str">
        <f>IF($H83="USD",IF(OR($L83="",$L83="-"),"",VLOOKUP($G83,為替!$A:$AX,$L83,FALSE))+$K$3,IF(OR($L83="",$L83="-"),"",VLOOKUP($G83,為替!$A:$AX,$L83,FALSE)))</f>
        <v/>
      </c>
      <c r="N83" s="205" t="str">
        <f t="shared" si="14"/>
        <v/>
      </c>
      <c r="O83" s="206" t="str">
        <f t="shared" si="10"/>
        <v/>
      </c>
      <c r="P83" s="207" t="str">
        <f t="shared" si="15"/>
        <v/>
      </c>
    </row>
    <row r="84" spans="3:16">
      <c r="C84" s="426"/>
      <c r="D84" s="427"/>
      <c r="E84" s="202"/>
      <c r="F84" s="426"/>
      <c r="H84" s="203"/>
      <c r="I84" s="186" t="str">
        <f t="shared" si="11"/>
        <v/>
      </c>
      <c r="J84" s="204" t="str">
        <f>IF($H84="USD",IF(OR($I84="",$I84="-"),"",VLOOKUP($G84,為替!$A:$AX,$I84,FALSE))+$J$3,IF(OR($I84="",$I84="-"),"",VLOOKUP($G84,為替!$A:$AX,$I84,FALSE)))</f>
        <v/>
      </c>
      <c r="K84" s="205" t="str">
        <f t="shared" si="12"/>
        <v/>
      </c>
      <c r="L84" s="189" t="str">
        <f t="shared" si="13"/>
        <v/>
      </c>
      <c r="M84" s="204" t="str">
        <f>IF($H84="USD",IF(OR($L84="",$L84="-"),"",VLOOKUP($G84,為替!$A:$AX,$L84,FALSE))+$K$3,IF(OR($L84="",$L84="-"),"",VLOOKUP($G84,為替!$A:$AX,$L84,FALSE)))</f>
        <v/>
      </c>
      <c r="N84" s="205" t="str">
        <f t="shared" si="14"/>
        <v/>
      </c>
      <c r="O84" s="206" t="str">
        <f t="shared" si="10"/>
        <v/>
      </c>
      <c r="P84" s="207" t="str">
        <f t="shared" si="15"/>
        <v/>
      </c>
    </row>
    <row r="85" spans="3:16">
      <c r="C85" s="426"/>
      <c r="D85" s="427"/>
      <c r="E85" s="202"/>
      <c r="F85" s="426"/>
      <c r="H85" s="203"/>
      <c r="I85" s="186" t="str">
        <f t="shared" si="11"/>
        <v/>
      </c>
      <c r="J85" s="204" t="str">
        <f>IF($H85="USD",IF(OR($I85="",$I85="-"),"",VLOOKUP($G85,為替!$A:$AX,$I85,FALSE))+$J$3,IF(OR($I85="",$I85="-"),"",VLOOKUP($G85,為替!$A:$AX,$I85,FALSE)))</f>
        <v/>
      </c>
      <c r="K85" s="205" t="str">
        <f t="shared" si="12"/>
        <v/>
      </c>
      <c r="L85" s="189" t="str">
        <f t="shared" si="13"/>
        <v/>
      </c>
      <c r="M85" s="204" t="str">
        <f>IF($H85="USD",IF(OR($L85="",$L85="-"),"",VLOOKUP($G85,為替!$A:$AX,$L85,FALSE))+$K$3,IF(OR($L85="",$L85="-"),"",VLOOKUP($G85,為替!$A:$AX,$L85,FALSE)))</f>
        <v/>
      </c>
      <c r="N85" s="205" t="str">
        <f t="shared" si="14"/>
        <v/>
      </c>
      <c r="O85" s="206" t="str">
        <f t="shared" si="10"/>
        <v/>
      </c>
      <c r="P85" s="207" t="str">
        <f t="shared" si="15"/>
        <v/>
      </c>
    </row>
    <row r="86" spans="3:16">
      <c r="C86" s="426"/>
      <c r="D86" s="427"/>
      <c r="E86" s="202"/>
      <c r="F86" s="426"/>
      <c r="H86" s="203"/>
      <c r="I86" s="186" t="str">
        <f t="shared" si="11"/>
        <v/>
      </c>
      <c r="J86" s="204" t="str">
        <f>IF($H86="USD",IF(OR($I86="",$I86="-"),"",VLOOKUP($G86,為替!$A:$AX,$I86,FALSE))+$J$3,IF(OR($I86="",$I86="-"),"",VLOOKUP($G86,為替!$A:$AX,$I86,FALSE)))</f>
        <v/>
      </c>
      <c r="K86" s="205" t="str">
        <f t="shared" si="12"/>
        <v/>
      </c>
      <c r="L86" s="189" t="str">
        <f t="shared" si="13"/>
        <v/>
      </c>
      <c r="M86" s="204" t="str">
        <f>IF($H86="USD",IF(OR($L86="",$L86="-"),"",VLOOKUP($G86,為替!$A:$AX,$L86,FALSE))+$K$3,IF(OR($L86="",$L86="-"),"",VLOOKUP($G86,為替!$A:$AX,$L86,FALSE)))</f>
        <v/>
      </c>
      <c r="N86" s="205" t="str">
        <f t="shared" si="14"/>
        <v/>
      </c>
      <c r="O86" s="206" t="str">
        <f t="shared" si="10"/>
        <v/>
      </c>
      <c r="P86" s="207" t="str">
        <f t="shared" si="15"/>
        <v/>
      </c>
    </row>
    <row r="87" spans="3:16">
      <c r="C87" s="426"/>
      <c r="D87" s="427"/>
      <c r="E87" s="202"/>
      <c r="F87" s="426"/>
      <c r="H87" s="203"/>
      <c r="I87" s="186" t="str">
        <f t="shared" si="11"/>
        <v/>
      </c>
      <c r="J87" s="204" t="str">
        <f>IF($H87="USD",IF(OR($I87="",$I87="-"),"",VLOOKUP($G87,為替!$A:$AX,$I87,FALSE))+$J$3,IF(OR($I87="",$I87="-"),"",VLOOKUP($G87,為替!$A:$AX,$I87,FALSE)))</f>
        <v/>
      </c>
      <c r="K87" s="205" t="str">
        <f t="shared" si="12"/>
        <v/>
      </c>
      <c r="L87" s="189" t="str">
        <f t="shared" si="13"/>
        <v/>
      </c>
      <c r="M87" s="204" t="str">
        <f>IF($H87="USD",IF(OR($L87="",$L87="-"),"",VLOOKUP($G87,為替!$A:$AX,$L87,FALSE))+$K$3,IF(OR($L87="",$L87="-"),"",VLOOKUP($G87,為替!$A:$AX,$L87,FALSE)))</f>
        <v/>
      </c>
      <c r="N87" s="205" t="str">
        <f t="shared" si="14"/>
        <v/>
      </c>
      <c r="O87" s="206" t="str">
        <f t="shared" si="10"/>
        <v/>
      </c>
      <c r="P87" s="207" t="str">
        <f t="shared" si="15"/>
        <v/>
      </c>
    </row>
    <row r="88" spans="3:16">
      <c r="C88" s="426"/>
      <c r="D88" s="427"/>
      <c r="E88" s="202"/>
      <c r="F88" s="426"/>
      <c r="H88" s="203"/>
      <c r="I88" s="186" t="str">
        <f t="shared" si="11"/>
        <v/>
      </c>
      <c r="J88" s="204" t="str">
        <f>IF($H88="USD",IF(OR($I88="",$I88="-"),"",VLOOKUP($G88,為替!$A:$AX,$I88,FALSE))+$J$3,IF(OR($I88="",$I88="-"),"",VLOOKUP($G88,為替!$A:$AX,$I88,FALSE)))</f>
        <v/>
      </c>
      <c r="K88" s="205" t="str">
        <f t="shared" si="12"/>
        <v/>
      </c>
      <c r="L88" s="189" t="str">
        <f t="shared" si="13"/>
        <v/>
      </c>
      <c r="M88" s="204" t="str">
        <f>IF($H88="USD",IF(OR($L88="",$L88="-"),"",VLOOKUP($G88,為替!$A:$AX,$L88,FALSE))+$K$3,IF(OR($L88="",$L88="-"),"",VLOOKUP($G88,為替!$A:$AX,$L88,FALSE)))</f>
        <v/>
      </c>
      <c r="N88" s="205" t="str">
        <f t="shared" si="14"/>
        <v/>
      </c>
      <c r="O88" s="206" t="str">
        <f t="shared" si="10"/>
        <v/>
      </c>
      <c r="P88" s="207" t="str">
        <f t="shared" si="15"/>
        <v/>
      </c>
    </row>
    <row r="89" spans="3:16">
      <c r="C89" s="426"/>
      <c r="D89" s="427"/>
      <c r="E89" s="202"/>
      <c r="F89" s="426"/>
      <c r="H89" s="203"/>
      <c r="I89" s="186" t="str">
        <f t="shared" si="11"/>
        <v/>
      </c>
      <c r="J89" s="204" t="str">
        <f>IF($H89="USD",IF(OR($I89="",$I89="-"),"",VLOOKUP($G89,為替!$A:$AX,$I89,FALSE))+$J$3,IF(OR($I89="",$I89="-"),"",VLOOKUP($G89,為替!$A:$AX,$I89,FALSE)))</f>
        <v/>
      </c>
      <c r="K89" s="205" t="str">
        <f t="shared" si="12"/>
        <v/>
      </c>
      <c r="L89" s="189" t="str">
        <f t="shared" si="13"/>
        <v/>
      </c>
      <c r="M89" s="204" t="str">
        <f>IF($H89="USD",IF(OR($L89="",$L89="-"),"",VLOOKUP($G89,為替!$A:$AX,$L89,FALSE))+$K$3,IF(OR($L89="",$L89="-"),"",VLOOKUP($G89,為替!$A:$AX,$L89,FALSE)))</f>
        <v/>
      </c>
      <c r="N89" s="205" t="str">
        <f t="shared" si="14"/>
        <v/>
      </c>
      <c r="O89" s="206" t="str">
        <f t="shared" si="10"/>
        <v/>
      </c>
      <c r="P89" s="207" t="str">
        <f t="shared" si="15"/>
        <v/>
      </c>
    </row>
    <row r="90" spans="3:16">
      <c r="C90" s="426"/>
      <c r="D90" s="427"/>
      <c r="E90" s="202"/>
      <c r="F90" s="426"/>
      <c r="H90" s="203"/>
      <c r="I90" s="186" t="str">
        <f t="shared" si="11"/>
        <v/>
      </c>
      <c r="J90" s="204" t="str">
        <f>IF($H90="USD",IF(OR($I90="",$I90="-"),"",VLOOKUP($G90,為替!$A:$AX,$I90,FALSE))+$J$3,IF(OR($I90="",$I90="-"),"",VLOOKUP($G90,為替!$A:$AX,$I90,FALSE)))</f>
        <v/>
      </c>
      <c r="K90" s="205" t="str">
        <f t="shared" si="12"/>
        <v/>
      </c>
      <c r="L90" s="189" t="str">
        <f t="shared" si="13"/>
        <v/>
      </c>
      <c r="M90" s="204" t="str">
        <f>IF($H90="USD",IF(OR($L90="",$L90="-"),"",VLOOKUP($G90,為替!$A:$AX,$L90,FALSE))+$K$3,IF(OR($L90="",$L90="-"),"",VLOOKUP($G90,為替!$A:$AX,$L90,FALSE)))</f>
        <v/>
      </c>
      <c r="N90" s="205" t="str">
        <f t="shared" si="14"/>
        <v/>
      </c>
      <c r="O90" s="206" t="str">
        <f t="shared" si="10"/>
        <v/>
      </c>
      <c r="P90" s="207" t="str">
        <f t="shared" si="15"/>
        <v/>
      </c>
    </row>
    <row r="91" spans="3:16">
      <c r="C91" s="426"/>
      <c r="D91" s="427"/>
      <c r="E91" s="202"/>
      <c r="F91" s="426"/>
      <c r="H91" s="203"/>
      <c r="I91" s="186" t="str">
        <f t="shared" si="11"/>
        <v/>
      </c>
      <c r="J91" s="204" t="str">
        <f>IF($H91="USD",IF(OR($I91="",$I91="-"),"",VLOOKUP($G91,為替!$A:$AX,$I91,FALSE))+$J$3,IF(OR($I91="",$I91="-"),"",VLOOKUP($G91,為替!$A:$AX,$I91,FALSE)))</f>
        <v/>
      </c>
      <c r="K91" s="205" t="str">
        <f t="shared" si="12"/>
        <v/>
      </c>
      <c r="L91" s="189" t="str">
        <f t="shared" si="13"/>
        <v/>
      </c>
      <c r="M91" s="204" t="str">
        <f>IF($H91="USD",IF(OR($L91="",$L91="-"),"",VLOOKUP($G91,為替!$A:$AX,$L91,FALSE))+$K$3,IF(OR($L91="",$L91="-"),"",VLOOKUP($G91,為替!$A:$AX,$L91,FALSE)))</f>
        <v/>
      </c>
      <c r="N91" s="205" t="str">
        <f t="shared" si="14"/>
        <v/>
      </c>
      <c r="O91" s="206" t="str">
        <f t="shared" si="10"/>
        <v/>
      </c>
      <c r="P91" s="207" t="str">
        <f t="shared" si="15"/>
        <v/>
      </c>
    </row>
    <row r="92" spans="3:16">
      <c r="C92" s="426"/>
      <c r="D92" s="427"/>
      <c r="E92" s="202"/>
      <c r="F92" s="426"/>
      <c r="H92" s="203"/>
      <c r="I92" s="186" t="str">
        <f t="shared" si="11"/>
        <v/>
      </c>
      <c r="J92" s="204" t="str">
        <f>IF($H92="USD",IF(OR($I92="",$I92="-"),"",VLOOKUP($G92,為替!$A:$AX,$I92,FALSE))+$J$3,IF(OR($I92="",$I92="-"),"",VLOOKUP($G92,為替!$A:$AX,$I92,FALSE)))</f>
        <v/>
      </c>
      <c r="K92" s="205" t="str">
        <f t="shared" si="12"/>
        <v/>
      </c>
      <c r="L92" s="189" t="str">
        <f t="shared" si="13"/>
        <v/>
      </c>
      <c r="M92" s="204" t="str">
        <f>IF($H92="USD",IF(OR($L92="",$L92="-"),"",VLOOKUP($G92,為替!$A:$AX,$L92,FALSE))+$K$3,IF(OR($L92="",$L92="-"),"",VLOOKUP($G92,為替!$A:$AX,$L92,FALSE)))</f>
        <v/>
      </c>
      <c r="N92" s="205" t="str">
        <f t="shared" si="14"/>
        <v/>
      </c>
      <c r="O92" s="206" t="str">
        <f t="shared" si="10"/>
        <v/>
      </c>
      <c r="P92" s="207" t="str">
        <f t="shared" si="15"/>
        <v/>
      </c>
    </row>
    <row r="93" spans="3:16">
      <c r="C93" s="426"/>
      <c r="D93" s="427"/>
      <c r="E93" s="202"/>
      <c r="F93" s="426"/>
      <c r="H93" s="203"/>
      <c r="I93" s="186" t="str">
        <f t="shared" si="11"/>
        <v/>
      </c>
      <c r="J93" s="204" t="str">
        <f>IF($H93="USD",IF(OR($I93="",$I93="-"),"",VLOOKUP($G93,為替!$A:$AX,$I93,FALSE))+$J$3,IF(OR($I93="",$I93="-"),"",VLOOKUP($G93,為替!$A:$AX,$I93,FALSE)))</f>
        <v/>
      </c>
      <c r="K93" s="205" t="str">
        <f t="shared" si="12"/>
        <v/>
      </c>
      <c r="L93" s="189" t="str">
        <f t="shared" si="13"/>
        <v/>
      </c>
      <c r="M93" s="204" t="str">
        <f>IF($H93="USD",IF(OR($L93="",$L93="-"),"",VLOOKUP($G93,為替!$A:$AX,$L93,FALSE))+$K$3,IF(OR($L93="",$L93="-"),"",VLOOKUP($G93,為替!$A:$AX,$L93,FALSE)))</f>
        <v/>
      </c>
      <c r="N93" s="205" t="str">
        <f t="shared" si="14"/>
        <v/>
      </c>
      <c r="O93" s="206" t="str">
        <f t="shared" si="10"/>
        <v/>
      </c>
      <c r="P93" s="207" t="str">
        <f t="shared" si="15"/>
        <v/>
      </c>
    </row>
    <row r="94" spans="3:16">
      <c r="C94" s="426"/>
      <c r="D94" s="427"/>
      <c r="E94" s="202"/>
      <c r="F94" s="426"/>
      <c r="H94" s="203"/>
      <c r="I94" s="186" t="str">
        <f t="shared" si="11"/>
        <v/>
      </c>
      <c r="J94" s="204" t="str">
        <f>IF($H94="USD",IF(OR($I94="",$I94="-"),"",VLOOKUP($G94,為替!$A:$AX,$I94,FALSE))+$J$3,IF(OR($I94="",$I94="-"),"",VLOOKUP($G94,為替!$A:$AX,$I94,FALSE)))</f>
        <v/>
      </c>
      <c r="K94" s="205" t="str">
        <f t="shared" si="12"/>
        <v/>
      </c>
      <c r="L94" s="189" t="str">
        <f t="shared" si="13"/>
        <v/>
      </c>
      <c r="M94" s="204" t="str">
        <f>IF($H94="USD",IF(OR($L94="",$L94="-"),"",VLOOKUP($G94,為替!$A:$AX,$L94,FALSE))+$K$3,IF(OR($L94="",$L94="-"),"",VLOOKUP($G94,為替!$A:$AX,$L94,FALSE)))</f>
        <v/>
      </c>
      <c r="N94" s="205" t="str">
        <f t="shared" si="14"/>
        <v/>
      </c>
      <c r="O94" s="206" t="str">
        <f t="shared" si="10"/>
        <v/>
      </c>
      <c r="P94" s="207" t="str">
        <f t="shared" si="15"/>
        <v/>
      </c>
    </row>
    <row r="95" spans="3:16">
      <c r="C95" s="426"/>
      <c r="D95" s="427"/>
      <c r="E95" s="202"/>
      <c r="F95" s="426"/>
      <c r="H95" s="203"/>
      <c r="I95" s="186" t="str">
        <f t="shared" si="11"/>
        <v/>
      </c>
      <c r="J95" s="204" t="str">
        <f>IF($H95="USD",IF(OR($I95="",$I95="-"),"",VLOOKUP($G95,為替!$A:$AX,$I95,FALSE))+$J$3,IF(OR($I95="",$I95="-"),"",VLOOKUP($G95,為替!$A:$AX,$I95,FALSE)))</f>
        <v/>
      </c>
      <c r="K95" s="205" t="str">
        <f t="shared" si="12"/>
        <v/>
      </c>
      <c r="L95" s="189" t="str">
        <f t="shared" si="13"/>
        <v/>
      </c>
      <c r="M95" s="204" t="str">
        <f>IF($H95="USD",IF(OR($L95="",$L95="-"),"",VLOOKUP($G95,為替!$A:$AX,$L95,FALSE))+$K$3,IF(OR($L95="",$L95="-"),"",VLOOKUP($G95,為替!$A:$AX,$L95,FALSE)))</f>
        <v/>
      </c>
      <c r="N95" s="205" t="str">
        <f t="shared" si="14"/>
        <v/>
      </c>
      <c r="O95" s="206" t="str">
        <f t="shared" si="10"/>
        <v/>
      </c>
      <c r="P95" s="207" t="str">
        <f t="shared" si="15"/>
        <v/>
      </c>
    </row>
    <row r="96" spans="3:16">
      <c r="C96" s="426"/>
      <c r="D96" s="427"/>
      <c r="E96" s="202"/>
      <c r="F96" s="426"/>
      <c r="H96" s="203"/>
      <c r="I96" s="186" t="str">
        <f t="shared" si="11"/>
        <v/>
      </c>
      <c r="J96" s="204" t="str">
        <f>IF($H96="USD",IF(OR($I96="",$I96="-"),"",VLOOKUP($G96,為替!$A:$AX,$I96,FALSE))+$J$3,IF(OR($I96="",$I96="-"),"",VLOOKUP($G96,為替!$A:$AX,$I96,FALSE)))</f>
        <v/>
      </c>
      <c r="K96" s="205" t="str">
        <f t="shared" si="12"/>
        <v/>
      </c>
      <c r="L96" s="189" t="str">
        <f t="shared" si="13"/>
        <v/>
      </c>
      <c r="M96" s="204" t="str">
        <f>IF($H96="USD",IF(OR($L96="",$L96="-"),"",VLOOKUP($G96,為替!$A:$AX,$L96,FALSE))+$K$3,IF(OR($L96="",$L96="-"),"",VLOOKUP($G96,為替!$A:$AX,$L96,FALSE)))</f>
        <v/>
      </c>
      <c r="N96" s="205" t="str">
        <f t="shared" si="14"/>
        <v/>
      </c>
      <c r="O96" s="206" t="str">
        <f t="shared" si="10"/>
        <v/>
      </c>
      <c r="P96" s="207" t="str">
        <f t="shared" si="15"/>
        <v/>
      </c>
    </row>
    <row r="97" spans="1:16">
      <c r="C97" s="426"/>
      <c r="D97" s="427"/>
      <c r="E97" s="202"/>
      <c r="F97" s="426"/>
      <c r="H97" s="203"/>
      <c r="I97" s="186" t="str">
        <f t="shared" si="11"/>
        <v/>
      </c>
      <c r="J97" s="204" t="str">
        <f>IF($H97="USD",IF(OR($I97="",$I97="-"),"",VLOOKUP($G97,為替!$A:$AX,$I97,FALSE))+$J$3,IF(OR($I97="",$I97="-"),"",VLOOKUP($G97,為替!$A:$AX,$I97,FALSE)))</f>
        <v/>
      </c>
      <c r="K97" s="205" t="str">
        <f t="shared" si="12"/>
        <v/>
      </c>
      <c r="L97" s="189" t="str">
        <f t="shared" si="13"/>
        <v/>
      </c>
      <c r="M97" s="204" t="str">
        <f>IF($H97="USD",IF(OR($L97="",$L97="-"),"",VLOOKUP($G97,為替!$A:$AX,$L97,FALSE))+$K$3,IF(OR($L97="",$L97="-"),"",VLOOKUP($G97,為替!$A:$AX,$L97,FALSE)))</f>
        <v/>
      </c>
      <c r="N97" s="205" t="str">
        <f t="shared" si="14"/>
        <v/>
      </c>
      <c r="O97" s="206" t="str">
        <f t="shared" si="10"/>
        <v/>
      </c>
      <c r="P97" s="207" t="str">
        <f t="shared" si="15"/>
        <v/>
      </c>
    </row>
    <row r="98" spans="1:16">
      <c r="C98" s="426"/>
      <c r="D98" s="427"/>
      <c r="E98" s="202"/>
      <c r="F98" s="426"/>
      <c r="H98" s="203"/>
      <c r="I98" s="186" t="str">
        <f t="shared" si="11"/>
        <v/>
      </c>
      <c r="J98" s="204" t="str">
        <f>IF($H98="USD",IF(OR($I98="",$I98="-"),"",VLOOKUP($G98,為替!$A:$AX,$I98,FALSE))+$J$3,IF(OR($I98="",$I98="-"),"",VLOOKUP($G98,為替!$A:$AX,$I98,FALSE)))</f>
        <v/>
      </c>
      <c r="K98" s="205" t="str">
        <f t="shared" si="12"/>
        <v/>
      </c>
      <c r="L98" s="189" t="str">
        <f t="shared" si="13"/>
        <v/>
      </c>
      <c r="M98" s="204" t="str">
        <f>IF($H98="USD",IF(OR($L98="",$L98="-"),"",VLOOKUP($G98,為替!$A:$AX,$L98,FALSE))+$K$3,IF(OR($L98="",$L98="-"),"",VLOOKUP($G98,為替!$A:$AX,$L98,FALSE)))</f>
        <v/>
      </c>
      <c r="N98" s="205" t="str">
        <f t="shared" si="14"/>
        <v/>
      </c>
      <c r="O98" s="206" t="str">
        <f t="shared" si="10"/>
        <v/>
      </c>
      <c r="P98" s="207" t="str">
        <f t="shared" si="15"/>
        <v/>
      </c>
    </row>
    <row r="99" spans="1:16">
      <c r="C99" s="426"/>
      <c r="D99" s="427"/>
      <c r="E99" s="202"/>
      <c r="F99" s="426"/>
      <c r="H99" s="203"/>
      <c r="I99" s="186" t="str">
        <f t="shared" si="11"/>
        <v/>
      </c>
      <c r="J99" s="204" t="str">
        <f>IF($H99="USD",IF(OR($I99="",$I99="-"),"",VLOOKUP($G99,為替!$A:$AX,$I99,FALSE))+$J$3,IF(OR($I99="",$I99="-"),"",VLOOKUP($G99,為替!$A:$AX,$I99,FALSE)))</f>
        <v/>
      </c>
      <c r="K99" s="205" t="str">
        <f t="shared" si="12"/>
        <v/>
      </c>
      <c r="L99" s="189" t="str">
        <f t="shared" si="13"/>
        <v/>
      </c>
      <c r="M99" s="204" t="str">
        <f>IF($H99="USD",IF(OR($L99="",$L99="-"),"",VLOOKUP($G99,為替!$A:$AX,$L99,FALSE))+$K$3,IF(OR($L99="",$L99="-"),"",VLOOKUP($G99,為替!$A:$AX,$L99,FALSE)))</f>
        <v/>
      </c>
      <c r="N99" s="205" t="str">
        <f t="shared" si="14"/>
        <v/>
      </c>
      <c r="O99" s="206" t="str">
        <f t="shared" si="10"/>
        <v/>
      </c>
      <c r="P99" s="207" t="str">
        <f t="shared" si="15"/>
        <v/>
      </c>
    </row>
    <row r="100" spans="1:16">
      <c r="A100" s="163" t="s">
        <v>201</v>
      </c>
      <c r="B100" s="163">
        <v>7187</v>
      </c>
      <c r="C100" s="426">
        <v>156609</v>
      </c>
      <c r="D100" s="427">
        <v>20811</v>
      </c>
      <c r="E100" s="202" t="s">
        <v>200</v>
      </c>
      <c r="F100" s="426">
        <v>201728.02</v>
      </c>
      <c r="G100" s="162">
        <v>45813</v>
      </c>
      <c r="H100" s="203" t="s">
        <v>200</v>
      </c>
      <c r="I100" s="186" t="str">
        <f t="shared" si="11"/>
        <v/>
      </c>
      <c r="J100" s="204" t="str">
        <f>IF($H100="USD",IF(OR($I100="",$I100="-"),"",VLOOKUP($G100,為替!$A:$AX,$I100,FALSE))+$J$3,IF(OR($I100="",$I100="-"),"",VLOOKUP($G100,為替!$A:$AX,$I100,FALSE)))</f>
        <v/>
      </c>
      <c r="K100" s="205">
        <f t="shared" si="12"/>
        <v>201728.02</v>
      </c>
      <c r="L100" s="189" t="str">
        <f t="shared" si="13"/>
        <v/>
      </c>
      <c r="M100" s="204" t="str">
        <f>IF($H100="USD",IF(OR($L100="",$L100="-"),"",VLOOKUP($G100,為替!$A:$AX,$L100,FALSE))+$K$3,IF(OR($L100="",$L100="-"),"",VLOOKUP($G100,為替!$A:$AX,$L100,FALSE)))</f>
        <v/>
      </c>
      <c r="N100" s="205">
        <f t="shared" si="14"/>
        <v>177420</v>
      </c>
      <c r="O100" s="206">
        <f t="shared" si="10"/>
        <v>24308.01999999999</v>
      </c>
      <c r="P100" s="207">
        <f t="shared" si="15"/>
        <v>0.12049897679063122</v>
      </c>
    </row>
    <row r="101" spans="1:16">
      <c r="A101" s="163" t="s">
        <v>201</v>
      </c>
      <c r="B101" s="163">
        <v>7197</v>
      </c>
      <c r="C101" s="426">
        <v>61240</v>
      </c>
      <c r="D101" s="427">
        <v>10659</v>
      </c>
      <c r="E101" s="202" t="s">
        <v>200</v>
      </c>
      <c r="F101" s="426">
        <v>82667.45</v>
      </c>
      <c r="G101" s="162">
        <v>45820</v>
      </c>
      <c r="H101" s="203" t="s">
        <v>200</v>
      </c>
      <c r="I101" s="186" t="str">
        <f t="shared" si="11"/>
        <v/>
      </c>
      <c r="J101" s="204" t="str">
        <f>IF($H101="USD",IF(OR($I101="",$I101="-"),"",VLOOKUP($G101,為替!$A:$AX,$I101,FALSE))+$J$3,IF(OR($I101="",$I101="-"),"",VLOOKUP($G101,為替!$A:$AX,$I101,FALSE)))</f>
        <v/>
      </c>
      <c r="K101" s="205">
        <f t="shared" si="12"/>
        <v>82667.45</v>
      </c>
      <c r="L101" s="189" t="str">
        <f t="shared" si="13"/>
        <v/>
      </c>
      <c r="M101" s="204" t="str">
        <f>IF($H101="USD",IF(OR($L101="",$L101="-"),"",VLOOKUP($G101,為替!$A:$AX,$L101,FALSE))+$K$3,IF(OR($L101="",$L101="-"),"",VLOOKUP($G101,為替!$A:$AX,$L101,FALSE)))</f>
        <v/>
      </c>
      <c r="N101" s="205">
        <f t="shared" si="14"/>
        <v>71899</v>
      </c>
      <c r="O101" s="206">
        <f t="shared" si="10"/>
        <v>10768.449999999997</v>
      </c>
      <c r="P101" s="207">
        <f t="shared" si="15"/>
        <v>0.13026227372442234</v>
      </c>
    </row>
    <row r="102" spans="1:16">
      <c r="A102" s="163" t="s">
        <v>201</v>
      </c>
      <c r="B102" s="163">
        <v>7220</v>
      </c>
      <c r="C102" s="200">
        <v>5705</v>
      </c>
      <c r="D102" s="201">
        <v>2198</v>
      </c>
      <c r="E102" s="202" t="s">
        <v>200</v>
      </c>
      <c r="F102" s="200">
        <v>8674.35</v>
      </c>
      <c r="G102" s="162">
        <v>45827</v>
      </c>
      <c r="H102" s="203" t="s">
        <v>200</v>
      </c>
      <c r="I102" s="186" t="str">
        <f t="shared" si="11"/>
        <v/>
      </c>
      <c r="J102" s="204" t="str">
        <f>IF($H102="USD",IF(OR($I102="",$I102="-"),"",VLOOKUP($G102,為替!$A:$AX,$I102,FALSE))+$J$3,IF(OR($I102="",$I102="-"),"",VLOOKUP($G102,為替!$A:$AX,$I102,FALSE)))</f>
        <v/>
      </c>
      <c r="K102" s="205">
        <f t="shared" si="12"/>
        <v>8674.35</v>
      </c>
      <c r="L102" s="189" t="str">
        <f t="shared" si="13"/>
        <v/>
      </c>
      <c r="M102" s="204" t="str">
        <f>IF($H102="USD",IF(OR($L102="",$L102="-"),"",VLOOKUP($G102,為替!$A:$AX,$L102,FALSE))+$K$3,IF(OR($L102="",$L102="-"),"",VLOOKUP($G102,為替!$A:$AX,$L102,FALSE)))</f>
        <v/>
      </c>
      <c r="N102" s="205">
        <f t="shared" si="14"/>
        <v>7903</v>
      </c>
      <c r="O102" s="206">
        <f t="shared" si="10"/>
        <v>771.35000000000036</v>
      </c>
      <c r="P102" s="207">
        <f t="shared" si="15"/>
        <v>8.8923089338106068E-2</v>
      </c>
    </row>
    <row r="103" spans="1:16">
      <c r="A103" s="163" t="s">
        <v>201</v>
      </c>
      <c r="B103" s="163">
        <v>7238</v>
      </c>
      <c r="C103" s="200">
        <v>35457</v>
      </c>
      <c r="D103" s="201">
        <v>9979</v>
      </c>
      <c r="E103" s="202" t="s">
        <v>200</v>
      </c>
      <c r="F103" s="200">
        <v>51771.15</v>
      </c>
      <c r="G103" s="162">
        <v>45834</v>
      </c>
      <c r="H103" s="203" t="s">
        <v>200</v>
      </c>
      <c r="I103" s="186" t="str">
        <f t="shared" si="11"/>
        <v/>
      </c>
      <c r="J103" s="204" t="str">
        <f>IF($H103="USD",IF(OR($I103="",$I103="-"),"",VLOOKUP($G103,為替!$A:$AX,$I103,FALSE))+$J$3,IF(OR($I103="",$I103="-"),"",VLOOKUP($G103,為替!$A:$AX,$I103,FALSE)))</f>
        <v/>
      </c>
      <c r="K103" s="205">
        <f t="shared" si="12"/>
        <v>51771.15</v>
      </c>
      <c r="L103" s="189" t="str">
        <f t="shared" si="13"/>
        <v/>
      </c>
      <c r="M103" s="204" t="str">
        <f>IF($H103="USD",IF(OR($L103="",$L103="-"),"",VLOOKUP($G103,為替!$A:$AX,$L103,FALSE))+$K$3,IF(OR($L103="",$L103="-"),"",VLOOKUP($G103,為替!$A:$AX,$L103,FALSE)))</f>
        <v/>
      </c>
      <c r="N103" s="205">
        <f t="shared" si="14"/>
        <v>45436</v>
      </c>
      <c r="O103" s="206">
        <f t="shared" si="10"/>
        <v>6335.1500000000015</v>
      </c>
      <c r="P103" s="207">
        <f t="shared" si="15"/>
        <v>0.12236834607691738</v>
      </c>
    </row>
    <row r="104" spans="1:16">
      <c r="A104" s="163" t="s">
        <v>201</v>
      </c>
      <c r="B104" s="163">
        <v>7247</v>
      </c>
      <c r="C104" s="200">
        <v>1971367</v>
      </c>
      <c r="D104" s="201">
        <v>40721</v>
      </c>
      <c r="E104" s="202" t="s">
        <v>200</v>
      </c>
      <c r="F104" s="200">
        <v>2393303.5999999996</v>
      </c>
      <c r="G104" s="162">
        <v>45838</v>
      </c>
      <c r="H104" s="203" t="s">
        <v>200</v>
      </c>
      <c r="I104" s="186" t="str">
        <f t="shared" si="11"/>
        <v/>
      </c>
      <c r="J104" s="204" t="str">
        <f>IF($H104="USD",IF(OR($I104="",$I104="-"),"",VLOOKUP($G104,為替!$A:$AX,$I104,FALSE))+$J$3,IF(OR($I104="",$I104="-"),"",VLOOKUP($G104,為替!$A:$AX,$I104,FALSE)))</f>
        <v/>
      </c>
      <c r="K104" s="205">
        <f t="shared" si="12"/>
        <v>2393303.5999999996</v>
      </c>
      <c r="L104" s="189" t="str">
        <f t="shared" si="13"/>
        <v/>
      </c>
      <c r="M104" s="204" t="str">
        <f>IF($H104="USD",IF(OR($L104="",$L104="-"),"",VLOOKUP($G104,為替!$A:$AX,$L104,FALSE))+$K$3,IF(OR($L104="",$L104="-"),"",VLOOKUP($G104,為替!$A:$AX,$L104,FALSE)))</f>
        <v/>
      </c>
      <c r="N104" s="205">
        <f t="shared" si="14"/>
        <v>2012088</v>
      </c>
      <c r="O104" s="206">
        <f t="shared" si="10"/>
        <v>381215.59999999963</v>
      </c>
      <c r="P104" s="207">
        <f t="shared" si="15"/>
        <v>0.15928426297440898</v>
      </c>
    </row>
    <row r="105" spans="1:16">
      <c r="A105" s="163" t="s">
        <v>201</v>
      </c>
      <c r="B105" s="163">
        <v>7253</v>
      </c>
      <c r="C105" s="200">
        <v>85390</v>
      </c>
      <c r="D105" s="201">
        <v>22422</v>
      </c>
      <c r="E105" s="202" t="s">
        <v>200</v>
      </c>
      <c r="F105" s="200">
        <v>117605</v>
      </c>
      <c r="G105" s="162">
        <v>45841</v>
      </c>
      <c r="H105" s="203" t="s">
        <v>200</v>
      </c>
      <c r="I105" s="186" t="str">
        <f t="shared" si="11"/>
        <v/>
      </c>
      <c r="J105" s="204" t="str">
        <f>IF($H105="USD",IF(OR($I105="",$I105="-"),"",VLOOKUP($G105,為替!$A:$AX,$I105,FALSE))+$J$3,IF(OR($I105="",$I105="-"),"",VLOOKUP($G105,為替!$A:$AX,$I105,FALSE)))</f>
        <v/>
      </c>
      <c r="K105" s="205">
        <f t="shared" si="12"/>
        <v>117605</v>
      </c>
      <c r="L105" s="189" t="str">
        <f t="shared" si="13"/>
        <v/>
      </c>
      <c r="M105" s="204" t="str">
        <f>IF($H105="USD",IF(OR($L105="",$L105="-"),"",VLOOKUP($G105,為替!$A:$AX,$L105,FALSE))+$K$3,IF(OR($L105="",$L105="-"),"",VLOOKUP($G105,為替!$A:$AX,$L105,FALSE)))</f>
        <v/>
      </c>
      <c r="N105" s="205">
        <f t="shared" si="14"/>
        <v>107812</v>
      </c>
      <c r="O105" s="206">
        <f t="shared" si="10"/>
        <v>9793</v>
      </c>
      <c r="P105" s="207">
        <f t="shared" si="15"/>
        <v>8.3270269121210827E-2</v>
      </c>
    </row>
    <row r="106" spans="1:16">
      <c r="A106" s="163" t="s">
        <v>201</v>
      </c>
      <c r="B106" s="163">
        <v>7277</v>
      </c>
      <c r="C106" s="426">
        <v>56482</v>
      </c>
      <c r="D106" s="427">
        <v>17145</v>
      </c>
      <c r="E106" s="202" t="s">
        <v>200</v>
      </c>
      <c r="F106" s="426">
        <v>82434.899999999994</v>
      </c>
      <c r="G106" s="162">
        <v>45848</v>
      </c>
      <c r="H106" s="203" t="s">
        <v>200</v>
      </c>
      <c r="I106" s="186" t="str">
        <f t="shared" si="11"/>
        <v/>
      </c>
      <c r="J106" s="204" t="str">
        <f>IF($H106="USD",IF(OR($I106="",$I106="-"),"",VLOOKUP($G106,為替!$A:$AX,$I106,FALSE))+$J$3,IF(OR($I106="",$I106="-"),"",VLOOKUP($G106,為替!$A:$AX,$I106,FALSE)))</f>
        <v/>
      </c>
      <c r="K106" s="205">
        <f t="shared" si="12"/>
        <v>82434.899999999994</v>
      </c>
      <c r="L106" s="189" t="str">
        <f t="shared" si="13"/>
        <v/>
      </c>
      <c r="M106" s="204" t="str">
        <f>IF($H106="USD",IF(OR($L106="",$L106="-"),"",VLOOKUP($G106,為替!$A:$AX,$L106,FALSE))+$K$3,IF(OR($L106="",$L106="-"),"",VLOOKUP($G106,為替!$A:$AX,$L106,FALSE)))</f>
        <v/>
      </c>
      <c r="N106" s="205">
        <f t="shared" si="14"/>
        <v>73627</v>
      </c>
      <c r="O106" s="206">
        <f t="shared" si="10"/>
        <v>8807.8999999999942</v>
      </c>
      <c r="P106" s="207">
        <f t="shared" si="15"/>
        <v>0.10684673603049187</v>
      </c>
    </row>
    <row r="107" spans="1:16">
      <c r="A107" s="163" t="s">
        <v>201</v>
      </c>
      <c r="B107" s="163">
        <v>7285</v>
      </c>
      <c r="C107" s="426">
        <v>40545</v>
      </c>
      <c r="D107" s="427">
        <v>14956</v>
      </c>
      <c r="E107" s="202" t="s">
        <v>200</v>
      </c>
      <c r="F107" s="426">
        <v>59364.7</v>
      </c>
      <c r="G107" s="162">
        <v>45853</v>
      </c>
      <c r="H107" s="203" t="s">
        <v>200</v>
      </c>
      <c r="I107" s="186" t="str">
        <f t="shared" si="11"/>
        <v/>
      </c>
      <c r="J107" s="204" t="str">
        <f>IF($H107="USD",IF(OR($I107="",$I107="-"),"",VLOOKUP($G107,為替!$A:$AX,$I107,FALSE))+$J$3,IF(OR($I107="",$I107="-"),"",VLOOKUP($G107,為替!$A:$AX,$I107,FALSE)))</f>
        <v/>
      </c>
      <c r="K107" s="205">
        <f t="shared" si="12"/>
        <v>59364.7</v>
      </c>
      <c r="L107" s="189" t="str">
        <f t="shared" si="13"/>
        <v/>
      </c>
      <c r="M107" s="204" t="str">
        <f>IF($H107="USD",IF(OR($L107="",$L107="-"),"",VLOOKUP($G107,為替!$A:$AX,$L107,FALSE))+$K$3,IF(OR($L107="",$L107="-"),"",VLOOKUP($G107,為替!$A:$AX,$L107,FALSE)))</f>
        <v/>
      </c>
      <c r="N107" s="205">
        <f t="shared" si="14"/>
        <v>55501</v>
      </c>
      <c r="O107" s="206">
        <f t="shared" si="10"/>
        <v>3863.6999999999971</v>
      </c>
      <c r="P107" s="207">
        <f t="shared" si="15"/>
        <v>6.5084132489509713E-2</v>
      </c>
    </row>
    <row r="108" spans="1:16">
      <c r="A108" s="163" t="s">
        <v>201</v>
      </c>
      <c r="B108" s="163">
        <v>7289</v>
      </c>
      <c r="C108" s="426">
        <v>90810</v>
      </c>
      <c r="D108" s="427">
        <v>5848</v>
      </c>
      <c r="E108" s="202" t="s">
        <v>200</v>
      </c>
      <c r="F108" s="426">
        <v>113355.35</v>
      </c>
      <c r="G108" s="162">
        <v>45854</v>
      </c>
      <c r="H108" s="203" t="s">
        <v>200</v>
      </c>
      <c r="I108" s="186" t="str">
        <f t="shared" si="11"/>
        <v/>
      </c>
      <c r="J108" s="204" t="str">
        <f>IF($H108="USD",IF(OR($I108="",$I108="-"),"",VLOOKUP($G108,為替!$A:$AX,$I108,FALSE))+$J$3,IF(OR($I108="",$I108="-"),"",VLOOKUP($G108,為替!$A:$AX,$I108,FALSE)))</f>
        <v/>
      </c>
      <c r="K108" s="205">
        <f t="shared" si="12"/>
        <v>113355.35</v>
      </c>
      <c r="L108" s="189" t="str">
        <f t="shared" si="13"/>
        <v/>
      </c>
      <c r="M108" s="204" t="str">
        <f>IF($H108="USD",IF(OR($L108="",$L108="-"),"",VLOOKUP($G108,為替!$A:$AX,$L108,FALSE))+$K$3,IF(OR($L108="",$L108="-"),"",VLOOKUP($G108,為替!$A:$AX,$L108,FALSE)))</f>
        <v/>
      </c>
      <c r="N108" s="205">
        <f t="shared" si="14"/>
        <v>96658</v>
      </c>
      <c r="O108" s="206">
        <f t="shared" si="10"/>
        <v>16697.350000000006</v>
      </c>
      <c r="P108" s="207">
        <f t="shared" si="15"/>
        <v>0.14730094344907413</v>
      </c>
    </row>
    <row r="109" spans="1:16">
      <c r="A109" s="163" t="s">
        <v>201</v>
      </c>
      <c r="B109" s="163">
        <v>7293</v>
      </c>
      <c r="C109" s="426">
        <v>916</v>
      </c>
      <c r="D109" s="427">
        <v>1327</v>
      </c>
      <c r="E109" s="202" t="s">
        <v>200</v>
      </c>
      <c r="F109" s="426">
        <v>2414.75</v>
      </c>
      <c r="G109" s="162">
        <v>45856</v>
      </c>
      <c r="H109" s="203" t="s">
        <v>200</v>
      </c>
      <c r="I109" s="186" t="str">
        <f t="shared" si="11"/>
        <v/>
      </c>
      <c r="J109" s="204" t="str">
        <f>IF($H109="USD",IF(OR($I109="",$I109="-"),"",VLOOKUP($G109,為替!$A:$AX,$I109,FALSE))+$J$3,IF(OR($I109="",$I109="-"),"",VLOOKUP($G109,為替!$A:$AX,$I109,FALSE)))</f>
        <v/>
      </c>
      <c r="K109" s="205">
        <f t="shared" si="12"/>
        <v>2414.75</v>
      </c>
      <c r="L109" s="189" t="str">
        <f t="shared" si="13"/>
        <v/>
      </c>
      <c r="M109" s="204" t="str">
        <f>IF($H109="USD",IF(OR($L109="",$L109="-"),"",VLOOKUP($G109,為替!$A:$AX,$L109,FALSE))+$K$3,IF(OR($L109="",$L109="-"),"",VLOOKUP($G109,為替!$A:$AX,$L109,FALSE)))</f>
        <v/>
      </c>
      <c r="N109" s="205">
        <f t="shared" si="14"/>
        <v>2243</v>
      </c>
      <c r="O109" s="206">
        <f t="shared" si="10"/>
        <v>171.75</v>
      </c>
      <c r="P109" s="207">
        <f t="shared" si="15"/>
        <v>7.1125375297649854E-2</v>
      </c>
    </row>
    <row r="110" spans="1:16">
      <c r="A110" s="163" t="s">
        <v>201</v>
      </c>
      <c r="B110" s="163">
        <v>7306</v>
      </c>
      <c r="C110" s="426">
        <v>113010</v>
      </c>
      <c r="D110" s="427">
        <v>6077</v>
      </c>
      <c r="E110" s="202" t="s">
        <v>200</v>
      </c>
      <c r="F110" s="426">
        <v>141460</v>
      </c>
      <c r="G110" s="162">
        <v>45862</v>
      </c>
      <c r="H110" s="203" t="s">
        <v>200</v>
      </c>
      <c r="I110" s="186" t="str">
        <f t="shared" si="11"/>
        <v/>
      </c>
      <c r="J110" s="204" t="str">
        <f>IF($H110="USD",IF(OR($I110="",$I110="-"),"",VLOOKUP($G110,為替!$A:$AX,$I110,FALSE))+$J$3,IF(OR($I110="",$I110="-"),"",VLOOKUP($G110,為替!$A:$AX,$I110,FALSE)))</f>
        <v/>
      </c>
      <c r="K110" s="205">
        <f t="shared" si="12"/>
        <v>141460</v>
      </c>
      <c r="L110" s="189" t="str">
        <f t="shared" si="13"/>
        <v/>
      </c>
      <c r="M110" s="204" t="str">
        <f>IF($H110="USD",IF(OR($L110="",$L110="-"),"",VLOOKUP($G110,為替!$A:$AX,$L110,FALSE))+$K$3,IF(OR($L110="",$L110="-"),"",VLOOKUP($G110,為替!$A:$AX,$L110,FALSE)))</f>
        <v/>
      </c>
      <c r="N110" s="205">
        <f t="shared" si="14"/>
        <v>119087</v>
      </c>
      <c r="O110" s="206">
        <f t="shared" si="10"/>
        <v>22373</v>
      </c>
      <c r="P110" s="207">
        <f t="shared" si="15"/>
        <v>0.15815778311890288</v>
      </c>
    </row>
    <row r="111" spans="1:16">
      <c r="A111" s="163" t="s">
        <v>201</v>
      </c>
      <c r="B111" s="163">
        <v>7334</v>
      </c>
      <c r="C111" s="426">
        <v>102545</v>
      </c>
      <c r="D111" s="427">
        <v>10273</v>
      </c>
      <c r="E111" s="202" t="s">
        <v>200</v>
      </c>
      <c r="F111" s="426">
        <v>132027.95000000001</v>
      </c>
      <c r="G111" s="162">
        <v>45869</v>
      </c>
      <c r="H111" s="203" t="s">
        <v>200</v>
      </c>
      <c r="I111" s="186" t="str">
        <f t="shared" si="11"/>
        <v/>
      </c>
      <c r="J111" s="204" t="str">
        <f>IF($H111="USD",IF(OR($I111="",$I111="-"),"",VLOOKUP($G111,為替!$A:$AX,$I111,FALSE))+$J$3,IF(OR($I111="",$I111="-"),"",VLOOKUP($G111,為替!$A:$AX,$I111,FALSE)))</f>
        <v/>
      </c>
      <c r="K111" s="205">
        <f t="shared" si="12"/>
        <v>132027.95000000001</v>
      </c>
      <c r="L111" s="189" t="str">
        <f t="shared" si="13"/>
        <v/>
      </c>
      <c r="M111" s="204" t="str">
        <f>IF($H111="USD",IF(OR($L111="",$L111="-"),"",VLOOKUP($G111,為替!$A:$AX,$L111,FALSE))+$K$3,IF(OR($L111="",$L111="-"),"",VLOOKUP($G111,為替!$A:$AX,$L111,FALSE)))</f>
        <v/>
      </c>
      <c r="N111" s="205">
        <f t="shared" si="14"/>
        <v>112818</v>
      </c>
      <c r="O111" s="206">
        <f t="shared" si="10"/>
        <v>19209.950000000012</v>
      </c>
      <c r="P111" s="207">
        <f t="shared" si="15"/>
        <v>0.14549911590689707</v>
      </c>
    </row>
    <row r="112" spans="1:16">
      <c r="A112" s="163" t="s">
        <v>201</v>
      </c>
      <c r="B112" s="163">
        <v>7357</v>
      </c>
      <c r="C112" s="426">
        <v>53540</v>
      </c>
      <c r="D112" s="427">
        <v>7125</v>
      </c>
      <c r="E112" s="202" t="s">
        <v>200</v>
      </c>
      <c r="F112" s="426">
        <v>70098.100000000006</v>
      </c>
      <c r="G112" s="162">
        <v>45876</v>
      </c>
      <c r="H112" s="203" t="s">
        <v>200</v>
      </c>
      <c r="I112" s="186" t="str">
        <f t="shared" si="11"/>
        <v/>
      </c>
      <c r="J112" s="204" t="str">
        <f>IF($H112="USD",IF(OR($I112="",$I112="-"),"",VLOOKUP($G112,為替!$A:$AX,$I112,FALSE))+$J$3,IF(OR($I112="",$I112="-"),"",VLOOKUP($G112,為替!$A:$AX,$I112,FALSE)))</f>
        <v/>
      </c>
      <c r="K112" s="205">
        <f t="shared" si="12"/>
        <v>70098.100000000006</v>
      </c>
      <c r="L112" s="189" t="str">
        <f t="shared" si="13"/>
        <v/>
      </c>
      <c r="M112" s="204" t="str">
        <f>IF($H112="USD",IF(OR($L112="",$L112="-"),"",VLOOKUP($G112,為替!$A:$AX,$L112,FALSE))+$K$3,IF(OR($L112="",$L112="-"),"",VLOOKUP($G112,為替!$A:$AX,$L112,FALSE)))</f>
        <v/>
      </c>
      <c r="N112" s="205">
        <f t="shared" si="14"/>
        <v>60665</v>
      </c>
      <c r="O112" s="206">
        <f t="shared" si="10"/>
        <v>9433.1000000000058</v>
      </c>
      <c r="P112" s="207">
        <f t="shared" si="15"/>
        <v>0.13456998121204433</v>
      </c>
    </row>
    <row r="113" spans="1:16">
      <c r="A113" s="163" t="s">
        <v>201</v>
      </c>
      <c r="B113" s="163">
        <v>7389</v>
      </c>
      <c r="C113" s="200">
        <v>97174</v>
      </c>
      <c r="D113" s="201">
        <v>17014</v>
      </c>
      <c r="E113" s="202" t="s">
        <v>200</v>
      </c>
      <c r="F113" s="200">
        <v>129231.4</v>
      </c>
      <c r="G113" s="162">
        <v>45890</v>
      </c>
      <c r="H113" s="203" t="s">
        <v>200</v>
      </c>
      <c r="I113" s="186" t="str">
        <f t="shared" si="11"/>
        <v/>
      </c>
      <c r="J113" s="204" t="str">
        <f>IF($H113="USD",IF(OR($I113="",$I113="-"),"",VLOOKUP($G113,為替!$A:$AX,$I113,FALSE))+$J$3,IF(OR($I113="",$I113="-"),"",VLOOKUP($G113,為替!$A:$AX,$I113,FALSE)))</f>
        <v/>
      </c>
      <c r="K113" s="205">
        <f t="shared" si="12"/>
        <v>129231.4</v>
      </c>
      <c r="L113" s="189" t="str">
        <f t="shared" si="13"/>
        <v/>
      </c>
      <c r="M113" s="204" t="str">
        <f>IF($H113="USD",IF(OR($L113="",$L113="-"),"",VLOOKUP($G113,為替!$A:$AX,$L113,FALSE))+$K$3,IF(OR($L113="",$L113="-"),"",VLOOKUP($G113,為替!$A:$AX,$L113,FALSE)))</f>
        <v/>
      </c>
      <c r="N113" s="205">
        <f t="shared" si="14"/>
        <v>114188</v>
      </c>
      <c r="O113" s="206">
        <f t="shared" si="10"/>
        <v>15043.399999999994</v>
      </c>
      <c r="P113" s="207">
        <f t="shared" si="15"/>
        <v>0.11640669372923294</v>
      </c>
    </row>
    <row r="114" spans="1:16">
      <c r="A114" s="163" t="s">
        <v>201</v>
      </c>
      <c r="B114" s="163">
        <v>7406</v>
      </c>
      <c r="C114" s="200">
        <v>143489</v>
      </c>
      <c r="D114" s="201">
        <v>12073</v>
      </c>
      <c r="E114" s="202" t="s">
        <v>200</v>
      </c>
      <c r="F114" s="200">
        <v>181488.85</v>
      </c>
      <c r="G114" s="162">
        <v>45897</v>
      </c>
      <c r="H114" s="203" t="s">
        <v>200</v>
      </c>
      <c r="I114" s="186" t="str">
        <f t="shared" si="11"/>
        <v/>
      </c>
      <c r="J114" s="204" t="str">
        <f>IF($H114="USD",IF(OR($I114="",$I114="-"),"",VLOOKUP($G114,為替!$A:$AX,$I114,FALSE))+$J$3,IF(OR($I114="",$I114="-"),"",VLOOKUP($G114,為替!$A:$AX,$I114,FALSE)))</f>
        <v/>
      </c>
      <c r="K114" s="205">
        <f t="shared" si="12"/>
        <v>181488.85</v>
      </c>
      <c r="L114" s="189" t="str">
        <f t="shared" si="13"/>
        <v/>
      </c>
      <c r="M114" s="204" t="str">
        <f>IF($H114="USD",IF(OR($L114="",$L114="-"),"",VLOOKUP($G114,為替!$A:$AX,$L114,FALSE))+$K$3,IF(OR($L114="",$L114="-"),"",VLOOKUP($G114,為替!$A:$AX,$L114,FALSE)))</f>
        <v/>
      </c>
      <c r="N114" s="205">
        <f t="shared" si="14"/>
        <v>155562</v>
      </c>
      <c r="O114" s="206">
        <f t="shared" si="10"/>
        <v>25926.850000000006</v>
      </c>
      <c r="P114" s="207">
        <f t="shared" si="15"/>
        <v>0.14285643443109594</v>
      </c>
    </row>
    <row r="115" spans="1:16">
      <c r="A115" s="163" t="s">
        <v>201</v>
      </c>
      <c r="B115" s="163">
        <v>7425</v>
      </c>
      <c r="C115" s="200">
        <v>169557</v>
      </c>
      <c r="D115" s="201">
        <v>8569</v>
      </c>
      <c r="E115" s="202" t="s">
        <v>200</v>
      </c>
      <c r="F115" s="200">
        <v>209638.3</v>
      </c>
      <c r="G115" s="162">
        <v>45904</v>
      </c>
      <c r="H115" s="203" t="s">
        <v>200</v>
      </c>
      <c r="I115" s="186" t="str">
        <f t="shared" si="11"/>
        <v/>
      </c>
      <c r="J115" s="204" t="str">
        <f>IF($H115="USD",IF(OR($I115="",$I115="-"),"",VLOOKUP($G115,為替!$A:$AX,$I115,FALSE))+$J$3,IF(OR($I115="",$I115="-"),"",VLOOKUP($G115,為替!$A:$AX,$I115,FALSE)))</f>
        <v/>
      </c>
      <c r="K115" s="205">
        <f t="shared" si="12"/>
        <v>209638.3</v>
      </c>
      <c r="L115" s="189" t="str">
        <f t="shared" si="13"/>
        <v/>
      </c>
      <c r="M115" s="204" t="str">
        <f>IF($H115="USD",IF(OR($L115="",$L115="-"),"",VLOOKUP($G115,為替!$A:$AX,$L115,FALSE))+$K$3,IF(OR($L115="",$L115="-"),"",VLOOKUP($G115,為替!$A:$AX,$L115,FALSE)))</f>
        <v/>
      </c>
      <c r="N115" s="205">
        <f t="shared" si="14"/>
        <v>178126</v>
      </c>
      <c r="O115" s="206">
        <f t="shared" si="10"/>
        <v>31512.299999999988</v>
      </c>
      <c r="P115" s="207">
        <f t="shared" si="15"/>
        <v>0.15031747538498447</v>
      </c>
    </row>
    <row r="116" spans="1:16">
      <c r="C116" s="200"/>
      <c r="D116" s="201"/>
      <c r="E116" s="202"/>
      <c r="F116" s="200"/>
      <c r="H116" s="203"/>
      <c r="I116" s="186" t="str">
        <f t="shared" si="11"/>
        <v/>
      </c>
      <c r="J116" s="204" t="str">
        <f>IF($H116="USD",IF(OR($I116="",$I116="-"),"",VLOOKUP($G116,為替!$A:$AX,$I116,FALSE))+$J$3,IF(OR($I116="",$I116="-"),"",VLOOKUP($G116,為替!$A:$AX,$I116,FALSE)))</f>
        <v/>
      </c>
      <c r="K116" s="205" t="str">
        <f t="shared" si="12"/>
        <v/>
      </c>
      <c r="L116" s="189" t="str">
        <f t="shared" si="13"/>
        <v/>
      </c>
      <c r="M116" s="204" t="str">
        <f>IF($H116="USD",IF(OR($L116="",$L116="-"),"",VLOOKUP($G116,為替!$A:$AX,$L116,FALSE))+$K$3,IF(OR($L116="",$L116="-"),"",VLOOKUP($G116,為替!$A:$AX,$L116,FALSE)))</f>
        <v/>
      </c>
      <c r="N116" s="205" t="str">
        <f t="shared" si="14"/>
        <v/>
      </c>
      <c r="O116" s="206" t="str">
        <f t="shared" si="10"/>
        <v/>
      </c>
      <c r="P116" s="207" t="str">
        <f t="shared" si="15"/>
        <v/>
      </c>
    </row>
    <row r="117" spans="1:16">
      <c r="C117" s="200"/>
      <c r="D117" s="201"/>
      <c r="E117" s="202"/>
      <c r="F117" s="200"/>
      <c r="H117" s="203"/>
      <c r="I117" s="186" t="str">
        <f t="shared" si="11"/>
        <v/>
      </c>
      <c r="J117" s="204" t="str">
        <f>IF($H117="USD",IF(OR($I117="",$I117="-"),"",VLOOKUP($G117,為替!$A:$AX,$I117,FALSE))+$J$3,IF(OR($I117="",$I117="-"),"",VLOOKUP($G117,為替!$A:$AX,$I117,FALSE)))</f>
        <v/>
      </c>
      <c r="K117" s="205" t="str">
        <f t="shared" si="12"/>
        <v/>
      </c>
      <c r="L117" s="189" t="str">
        <f t="shared" si="13"/>
        <v/>
      </c>
      <c r="M117" s="204" t="str">
        <f>IF($H117="USD",IF(OR($L117="",$L117="-"),"",VLOOKUP($G117,為替!$A:$AX,$L117,FALSE))+$K$3,IF(OR($L117="",$L117="-"),"",VLOOKUP($G117,為替!$A:$AX,$L117,FALSE)))</f>
        <v/>
      </c>
      <c r="N117" s="205" t="str">
        <f t="shared" si="14"/>
        <v/>
      </c>
      <c r="O117" s="206" t="str">
        <f t="shared" si="10"/>
        <v/>
      </c>
      <c r="P117" s="207" t="str">
        <f t="shared" si="15"/>
        <v/>
      </c>
    </row>
    <row r="118" spans="1:16">
      <c r="C118" s="200"/>
      <c r="D118" s="201"/>
      <c r="E118" s="202"/>
      <c r="F118" s="200"/>
      <c r="H118" s="203"/>
      <c r="I118" s="186" t="str">
        <f t="shared" si="11"/>
        <v/>
      </c>
      <c r="J118" s="204" t="str">
        <f>IF($H118="USD",IF(OR($I118="",$I118="-"),"",VLOOKUP($G118,為替!$A:$AX,$I118,FALSE))+$J$3,IF(OR($I118="",$I118="-"),"",VLOOKUP($G118,為替!$A:$AX,$I118,FALSE)))</f>
        <v/>
      </c>
      <c r="K118" s="205" t="str">
        <f t="shared" si="12"/>
        <v/>
      </c>
      <c r="L118" s="189" t="str">
        <f t="shared" si="13"/>
        <v/>
      </c>
      <c r="M118" s="204" t="str">
        <f>IF($H118="USD",IF(OR($L118="",$L118="-"),"",VLOOKUP($G118,為替!$A:$AX,$L118,FALSE))+$K$3,IF(OR($L118="",$L118="-"),"",VLOOKUP($G118,為替!$A:$AX,$L118,FALSE)))</f>
        <v/>
      </c>
      <c r="N118" s="205" t="str">
        <f t="shared" si="14"/>
        <v/>
      </c>
      <c r="O118" s="206" t="str">
        <f t="shared" si="10"/>
        <v/>
      </c>
      <c r="P118" s="207" t="str">
        <f t="shared" si="15"/>
        <v/>
      </c>
    </row>
    <row r="119" spans="1:16">
      <c r="C119" s="200"/>
      <c r="D119" s="201"/>
      <c r="E119" s="202"/>
      <c r="F119" s="200"/>
      <c r="H119" s="203"/>
      <c r="I119" s="186" t="str">
        <f t="shared" si="11"/>
        <v/>
      </c>
      <c r="J119" s="204" t="str">
        <f>IF($H119="USD",IF(OR($I119="",$I119="-"),"",VLOOKUP($G119,為替!$A:$AX,$I119,FALSE))+$J$3,IF(OR($I119="",$I119="-"),"",VLOOKUP($G119,為替!$A:$AX,$I119,FALSE)))</f>
        <v/>
      </c>
      <c r="K119" s="205" t="str">
        <f t="shared" si="12"/>
        <v/>
      </c>
      <c r="L119" s="189" t="str">
        <f t="shared" si="13"/>
        <v/>
      </c>
      <c r="M119" s="204" t="str">
        <f>IF($H119="USD",IF(OR($L119="",$L119="-"),"",VLOOKUP($G119,為替!$A:$AX,$L119,FALSE))+$K$3,IF(OR($L119="",$L119="-"),"",VLOOKUP($G119,為替!$A:$AX,$L119,FALSE)))</f>
        <v/>
      </c>
      <c r="N119" s="205" t="str">
        <f t="shared" si="14"/>
        <v/>
      </c>
      <c r="O119" s="206" t="str">
        <f t="shared" si="10"/>
        <v/>
      </c>
      <c r="P119" s="207" t="str">
        <f t="shared" si="15"/>
        <v/>
      </c>
    </row>
    <row r="120" spans="1:16">
      <c r="C120" s="200"/>
      <c r="D120" s="201"/>
      <c r="E120" s="202"/>
      <c r="F120" s="200"/>
      <c r="H120" s="203"/>
      <c r="I120" s="186" t="str">
        <f t="shared" si="11"/>
        <v/>
      </c>
      <c r="J120" s="204" t="str">
        <f>IF($H120="USD",IF(OR($I120="",$I120="-"),"",VLOOKUP($G120,為替!$A:$AX,$I120,FALSE))+$J$3,IF(OR($I120="",$I120="-"),"",VLOOKUP($G120,為替!$A:$AX,$I120,FALSE)))</f>
        <v/>
      </c>
      <c r="K120" s="205" t="str">
        <f t="shared" si="12"/>
        <v/>
      </c>
      <c r="L120" s="189" t="str">
        <f t="shared" si="13"/>
        <v/>
      </c>
      <c r="M120" s="204" t="str">
        <f>IF($H120="USD",IF(OR($L120="",$L120="-"),"",VLOOKUP($G120,為替!$A:$AX,$L120,FALSE))+$K$3,IF(OR($L120="",$L120="-"),"",VLOOKUP($G120,為替!$A:$AX,$L120,FALSE)))</f>
        <v/>
      </c>
      <c r="N120" s="205" t="str">
        <f t="shared" si="14"/>
        <v/>
      </c>
      <c r="O120" s="206" t="str">
        <f t="shared" si="10"/>
        <v/>
      </c>
      <c r="P120" s="207" t="str">
        <f t="shared" si="15"/>
        <v/>
      </c>
    </row>
    <row r="121" spans="1:16">
      <c r="C121" s="200"/>
      <c r="D121" s="201"/>
      <c r="E121" s="202"/>
      <c r="F121" s="200"/>
      <c r="H121" s="203"/>
      <c r="I121" s="186" t="str">
        <f t="shared" si="11"/>
        <v/>
      </c>
      <c r="J121" s="204" t="str">
        <f>IF($H121="USD",IF(OR($I121="",$I121="-"),"",VLOOKUP($G121,為替!$A:$AX,$I121,FALSE))+$J$3,IF(OR($I121="",$I121="-"),"",VLOOKUP($G121,為替!$A:$AX,$I121,FALSE)))</f>
        <v/>
      </c>
      <c r="K121" s="205" t="str">
        <f t="shared" si="12"/>
        <v/>
      </c>
      <c r="L121" s="189" t="str">
        <f t="shared" si="13"/>
        <v/>
      </c>
      <c r="M121" s="204" t="str">
        <f>IF($H121="USD",IF(OR($L121="",$L121="-"),"",VLOOKUP($G121,為替!$A:$AX,$L121,FALSE))+$K$3,IF(OR($L121="",$L121="-"),"",VLOOKUP($G121,為替!$A:$AX,$L121,FALSE)))</f>
        <v/>
      </c>
      <c r="N121" s="205" t="str">
        <f t="shared" si="14"/>
        <v/>
      </c>
      <c r="O121" s="206" t="str">
        <f t="shared" si="10"/>
        <v/>
      </c>
      <c r="P121" s="207" t="str">
        <f t="shared" si="15"/>
        <v/>
      </c>
    </row>
    <row r="122" spans="1:16">
      <c r="C122" s="200"/>
      <c r="D122" s="201"/>
      <c r="E122" s="202"/>
      <c r="F122" s="200"/>
      <c r="H122" s="203"/>
      <c r="I122" s="186" t="str">
        <f t="shared" si="11"/>
        <v/>
      </c>
      <c r="J122" s="204" t="str">
        <f>IF($H122="USD",IF(OR($I122="",$I122="-"),"",VLOOKUP($G122,為替!$A:$AX,$I122,FALSE))+$J$3,IF(OR($I122="",$I122="-"),"",VLOOKUP($G122,為替!$A:$AX,$I122,FALSE)))</f>
        <v/>
      </c>
      <c r="K122" s="205" t="str">
        <f t="shared" si="12"/>
        <v/>
      </c>
      <c r="L122" s="189" t="str">
        <f t="shared" si="13"/>
        <v/>
      </c>
      <c r="M122" s="204" t="str">
        <f>IF($H122="USD",IF(OR($L122="",$L122="-"),"",VLOOKUP($G122,為替!$A:$AX,$L122,FALSE))+$K$3,IF(OR($L122="",$L122="-"),"",VLOOKUP($G122,為替!$A:$AX,$L122,FALSE)))</f>
        <v/>
      </c>
      <c r="N122" s="205" t="str">
        <f t="shared" si="14"/>
        <v/>
      </c>
      <c r="O122" s="206" t="str">
        <f t="shared" si="10"/>
        <v/>
      </c>
      <c r="P122" s="207" t="str">
        <f t="shared" si="15"/>
        <v/>
      </c>
    </row>
    <row r="123" spans="1:16">
      <c r="C123" s="200"/>
      <c r="D123" s="201"/>
      <c r="E123" s="202"/>
      <c r="F123" s="200"/>
      <c r="H123" s="203"/>
      <c r="I123" s="186" t="str">
        <f t="shared" si="11"/>
        <v/>
      </c>
      <c r="J123" s="204" t="str">
        <f>IF($H123="USD",IF(OR($I123="",$I123="-"),"",VLOOKUP($G123,為替!$A:$AX,$I123,FALSE))+$J$3,IF(OR($I123="",$I123="-"),"",VLOOKUP($G123,為替!$A:$AX,$I123,FALSE)))</f>
        <v/>
      </c>
      <c r="K123" s="205" t="str">
        <f t="shared" si="12"/>
        <v/>
      </c>
      <c r="L123" s="189" t="str">
        <f t="shared" si="13"/>
        <v/>
      </c>
      <c r="M123" s="204" t="str">
        <f>IF($H123="USD",IF(OR($L123="",$L123="-"),"",VLOOKUP($G123,為替!$A:$AX,$L123,FALSE))+$K$3,IF(OR($L123="",$L123="-"),"",VLOOKUP($G123,為替!$A:$AX,$L123,FALSE)))</f>
        <v/>
      </c>
      <c r="N123" s="205" t="str">
        <f t="shared" si="14"/>
        <v/>
      </c>
      <c r="O123" s="206" t="str">
        <f t="shared" si="10"/>
        <v/>
      </c>
      <c r="P123" s="207" t="str">
        <f t="shared" si="15"/>
        <v/>
      </c>
    </row>
    <row r="124" spans="1:16">
      <c r="C124" s="200"/>
      <c r="D124" s="201"/>
      <c r="E124" s="202"/>
      <c r="F124" s="200"/>
      <c r="H124" s="203"/>
      <c r="I124" s="186" t="str">
        <f t="shared" si="11"/>
        <v/>
      </c>
      <c r="J124" s="204" t="str">
        <f>IF($H124="USD",IF(OR($I124="",$I124="-"),"",VLOOKUP($G124,為替!$A:$AX,$I124,FALSE))+$J$3,IF(OR($I124="",$I124="-"),"",VLOOKUP($G124,為替!$A:$AX,$I124,FALSE)))</f>
        <v/>
      </c>
      <c r="K124" s="205" t="str">
        <f t="shared" si="12"/>
        <v/>
      </c>
      <c r="L124" s="189" t="str">
        <f t="shared" si="13"/>
        <v/>
      </c>
      <c r="M124" s="204" t="str">
        <f>IF($H124="USD",IF(OR($L124="",$L124="-"),"",VLOOKUP($G124,為替!$A:$AX,$L124,FALSE))+$K$3,IF(OR($L124="",$L124="-"),"",VLOOKUP($G124,為替!$A:$AX,$L124,FALSE)))</f>
        <v/>
      </c>
      <c r="N124" s="205" t="str">
        <f t="shared" si="14"/>
        <v/>
      </c>
      <c r="O124" s="206" t="str">
        <f t="shared" si="10"/>
        <v/>
      </c>
      <c r="P124" s="207" t="str">
        <f t="shared" si="15"/>
        <v/>
      </c>
    </row>
    <row r="125" spans="1:16">
      <c r="C125" s="200"/>
      <c r="D125" s="201"/>
      <c r="E125" s="202"/>
      <c r="F125" s="200"/>
      <c r="H125" s="203"/>
      <c r="I125" s="186" t="str">
        <f t="shared" si="11"/>
        <v/>
      </c>
      <c r="J125" s="204" t="str">
        <f>IF($H125="USD",IF(OR($I125="",$I125="-"),"",VLOOKUP($G125,為替!$A:$AX,$I125,FALSE))+$J$3,IF(OR($I125="",$I125="-"),"",VLOOKUP($G125,為替!$A:$AX,$I125,FALSE)))</f>
        <v/>
      </c>
      <c r="K125" s="205" t="str">
        <f t="shared" si="12"/>
        <v/>
      </c>
      <c r="L125" s="189" t="str">
        <f t="shared" si="13"/>
        <v/>
      </c>
      <c r="M125" s="204" t="str">
        <f>IF($H125="USD",IF(OR($L125="",$L125="-"),"",VLOOKUP($G125,為替!$A:$AX,$L125,FALSE))+$K$3,IF(OR($L125="",$L125="-"),"",VLOOKUP($G125,為替!$A:$AX,$L125,FALSE)))</f>
        <v/>
      </c>
      <c r="N125" s="205" t="str">
        <f t="shared" si="14"/>
        <v/>
      </c>
      <c r="O125" s="206" t="str">
        <f t="shared" si="10"/>
        <v/>
      </c>
      <c r="P125" s="207" t="str">
        <f t="shared" si="15"/>
        <v/>
      </c>
    </row>
    <row r="126" spans="1:16">
      <c r="C126" s="200"/>
      <c r="D126" s="201"/>
      <c r="E126" s="202"/>
      <c r="F126" s="200"/>
      <c r="H126" s="203"/>
      <c r="I126" s="186" t="str">
        <f t="shared" si="11"/>
        <v/>
      </c>
      <c r="J126" s="204" t="str">
        <f>IF($H126="USD",IF(OR($I126="",$I126="-"),"",VLOOKUP($G126,為替!$A:$AX,$I126,FALSE))+$J$3,IF(OR($I126="",$I126="-"),"",VLOOKUP($G126,為替!$A:$AX,$I126,FALSE)))</f>
        <v/>
      </c>
      <c r="K126" s="205" t="str">
        <f t="shared" si="12"/>
        <v/>
      </c>
      <c r="L126" s="189" t="str">
        <f t="shared" si="13"/>
        <v/>
      </c>
      <c r="M126" s="204" t="str">
        <f>IF($H126="USD",IF(OR($L126="",$L126="-"),"",VLOOKUP($G126,為替!$A:$AX,$L126,FALSE))+$K$3,IF(OR($L126="",$L126="-"),"",VLOOKUP($G126,為替!$A:$AX,$L126,FALSE)))</f>
        <v/>
      </c>
      <c r="N126" s="205" t="str">
        <f t="shared" si="14"/>
        <v/>
      </c>
      <c r="O126" s="206" t="str">
        <f t="shared" si="10"/>
        <v/>
      </c>
      <c r="P126" s="207" t="str">
        <f t="shared" si="15"/>
        <v/>
      </c>
    </row>
    <row r="127" spans="1:16">
      <c r="C127" s="200"/>
      <c r="D127" s="201"/>
      <c r="E127" s="202"/>
      <c r="F127" s="200"/>
      <c r="H127" s="203"/>
      <c r="I127" s="186" t="str">
        <f t="shared" si="11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 t="str">
        <f t="shared" si="12"/>
        <v/>
      </c>
      <c r="L127" s="189" t="str">
        <f t="shared" si="13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 t="str">
        <f t="shared" si="14"/>
        <v/>
      </c>
      <c r="O127" s="206" t="str">
        <f t="shared" si="10"/>
        <v/>
      </c>
      <c r="P127" s="207" t="str">
        <f t="shared" si="15"/>
        <v/>
      </c>
    </row>
    <row r="128" spans="1:16">
      <c r="C128" s="200"/>
      <c r="D128" s="201"/>
      <c r="E128" s="202"/>
      <c r="F128" s="200"/>
      <c r="H128" s="203"/>
      <c r="I128" s="186" t="str">
        <f t="shared" si="11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 t="str">
        <f t="shared" si="12"/>
        <v/>
      </c>
      <c r="L128" s="189" t="str">
        <f t="shared" si="13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 t="str">
        <f t="shared" si="14"/>
        <v/>
      </c>
      <c r="O128" s="206" t="str">
        <f t="shared" si="10"/>
        <v/>
      </c>
      <c r="P128" s="207" t="str">
        <f t="shared" si="15"/>
        <v/>
      </c>
    </row>
    <row r="129" spans="3:16">
      <c r="C129" s="200"/>
      <c r="D129" s="201"/>
      <c r="E129" s="202"/>
      <c r="F129" s="200"/>
      <c r="H129" s="203"/>
      <c r="I129" s="186" t="str">
        <f t="shared" si="11"/>
        <v/>
      </c>
      <c r="J129" s="204" t="str">
        <f>IF($H129="USD",IF(OR($I129="",$I129="-"),"",VLOOKUP($G129,為替!$A:$AX,$I129,FALSE))+$J$3,IF(OR($I129="",$I129="-"),"",VLOOKUP($G129,為替!$A:$AX,$I129,FALSE)))</f>
        <v/>
      </c>
      <c r="K129" s="205" t="str">
        <f t="shared" si="12"/>
        <v/>
      </c>
      <c r="L129" s="189" t="str">
        <f t="shared" si="13"/>
        <v/>
      </c>
      <c r="M129" s="204" t="str">
        <f>IF($H129="USD",IF(OR($L129="",$L129="-"),"",VLOOKUP($G129,為替!$A:$AX,$L129,FALSE))+$K$3,IF(OR($L129="",$L129="-"),"",VLOOKUP($G129,為替!$A:$AX,$L129,FALSE)))</f>
        <v/>
      </c>
      <c r="N129" s="205" t="str">
        <f t="shared" si="14"/>
        <v/>
      </c>
      <c r="O129" s="206" t="str">
        <f t="shared" si="10"/>
        <v/>
      </c>
      <c r="P129" s="207" t="str">
        <f t="shared" si="15"/>
        <v/>
      </c>
    </row>
    <row r="130" spans="3:16">
      <c r="C130" s="200"/>
      <c r="D130" s="201"/>
      <c r="E130" s="202"/>
      <c r="F130" s="200"/>
      <c r="H130" s="203"/>
      <c r="I130" s="186" t="str">
        <f t="shared" si="11"/>
        <v/>
      </c>
      <c r="J130" s="204" t="str">
        <f>IF($H130="USD",IF(OR($I130="",$I130="-"),"",VLOOKUP($G130,為替!$A:$AX,$I130,FALSE))+$J$3,IF(OR($I130="",$I130="-"),"",VLOOKUP($G130,為替!$A:$AX,$I130,FALSE)))</f>
        <v/>
      </c>
      <c r="K130" s="205" t="str">
        <f t="shared" si="12"/>
        <v/>
      </c>
      <c r="L130" s="189" t="str">
        <f t="shared" si="13"/>
        <v/>
      </c>
      <c r="M130" s="204" t="str">
        <f>IF($H130="USD",IF(OR($L130="",$L130="-"),"",VLOOKUP($G130,為替!$A:$AX,$L130,FALSE))+$K$3,IF(OR($L130="",$L130="-"),"",VLOOKUP($G130,為替!$A:$AX,$L130,FALSE)))</f>
        <v/>
      </c>
      <c r="N130" s="205" t="str">
        <f t="shared" si="14"/>
        <v/>
      </c>
      <c r="O130" s="206" t="str">
        <f t="shared" si="10"/>
        <v/>
      </c>
      <c r="P130" s="207" t="str">
        <f t="shared" si="15"/>
        <v/>
      </c>
    </row>
    <row r="131" spans="3:16">
      <c r="C131" s="200"/>
      <c r="D131" s="201"/>
      <c r="E131" s="202"/>
      <c r="F131" s="200"/>
      <c r="H131" s="203"/>
      <c r="I131" s="186" t="str">
        <f t="shared" si="11"/>
        <v/>
      </c>
      <c r="J131" s="204" t="str">
        <f>IF($H131="USD",IF(OR($I131="",$I131="-"),"",VLOOKUP($G131,為替!$A:$AX,$I131,FALSE))+$J$3,IF(OR($I131="",$I131="-"),"",VLOOKUP($G131,為替!$A:$AX,$I131,FALSE)))</f>
        <v/>
      </c>
      <c r="K131" s="205" t="str">
        <f t="shared" si="12"/>
        <v/>
      </c>
      <c r="L131" s="189" t="str">
        <f t="shared" si="13"/>
        <v/>
      </c>
      <c r="M131" s="204" t="str">
        <f>IF($H131="USD",IF(OR($L131="",$L131="-"),"",VLOOKUP($G131,為替!$A:$AX,$L131,FALSE))+$K$3,IF(OR($L131="",$L131="-"),"",VLOOKUP($G131,為替!$A:$AX,$L131,FALSE)))</f>
        <v/>
      </c>
      <c r="N131" s="205" t="str">
        <f t="shared" si="14"/>
        <v/>
      </c>
      <c r="O131" s="206" t="str">
        <f t="shared" si="10"/>
        <v/>
      </c>
      <c r="P131" s="207" t="str">
        <f t="shared" si="15"/>
        <v/>
      </c>
    </row>
    <row r="132" spans="3:16">
      <c r="C132" s="200"/>
      <c r="D132" s="201"/>
      <c r="E132" s="202"/>
      <c r="F132" s="200"/>
      <c r="H132" s="203"/>
      <c r="I132" s="186" t="str">
        <f t="shared" si="11"/>
        <v/>
      </c>
      <c r="J132" s="204" t="str">
        <f>IF($H132="USD",IF(OR($I132="",$I132="-"),"",VLOOKUP($G132,為替!$A:$AX,$I132,FALSE))+$J$3,IF(OR($I132="",$I132="-"),"",VLOOKUP($G132,為替!$A:$AX,$I132,FALSE)))</f>
        <v/>
      </c>
      <c r="K132" s="205" t="str">
        <f t="shared" si="12"/>
        <v/>
      </c>
      <c r="L132" s="189" t="str">
        <f t="shared" si="13"/>
        <v/>
      </c>
      <c r="M132" s="204" t="str">
        <f>IF($H132="USD",IF(OR($L132="",$L132="-"),"",VLOOKUP($G132,為替!$A:$AX,$L132,FALSE))+$K$3,IF(OR($L132="",$L132="-"),"",VLOOKUP($G132,為替!$A:$AX,$L132,FALSE)))</f>
        <v/>
      </c>
      <c r="N132" s="205" t="str">
        <f t="shared" si="14"/>
        <v/>
      </c>
      <c r="O132" s="206" t="str">
        <f t="shared" si="10"/>
        <v/>
      </c>
      <c r="P132" s="207" t="str">
        <f t="shared" si="15"/>
        <v/>
      </c>
    </row>
    <row r="133" spans="3:16">
      <c r="C133" s="200"/>
      <c r="D133" s="201"/>
      <c r="E133" s="202"/>
      <c r="F133" s="200"/>
      <c r="H133" s="203"/>
      <c r="I133" s="186" t="str">
        <f t="shared" si="11"/>
        <v/>
      </c>
      <c r="J133" s="204" t="str">
        <f>IF($H133="USD",IF(OR($I133="",$I133="-"),"",VLOOKUP($G133,為替!$A:$AX,$I133,FALSE))+$J$3,IF(OR($I133="",$I133="-"),"",VLOOKUP($G133,為替!$A:$AX,$I133,FALSE)))</f>
        <v/>
      </c>
      <c r="K133" s="205" t="str">
        <f t="shared" si="12"/>
        <v/>
      </c>
      <c r="L133" s="189" t="str">
        <f t="shared" si="13"/>
        <v/>
      </c>
      <c r="M133" s="204" t="str">
        <f>IF($H133="USD",IF(OR($L133="",$L133="-"),"",VLOOKUP($G133,為替!$A:$AX,$L133,FALSE))+$K$3,IF(OR($L133="",$L133="-"),"",VLOOKUP($G133,為替!$A:$AX,$L133,FALSE)))</f>
        <v/>
      </c>
      <c r="N133" s="205" t="str">
        <f t="shared" si="14"/>
        <v/>
      </c>
      <c r="O133" s="206" t="str">
        <f t="shared" si="10"/>
        <v/>
      </c>
      <c r="P133" s="207" t="str">
        <f t="shared" si="15"/>
        <v/>
      </c>
    </row>
    <row r="134" spans="3:16">
      <c r="C134" s="200"/>
      <c r="D134" s="201"/>
      <c r="E134" s="202"/>
      <c r="F134" s="200"/>
      <c r="H134" s="203"/>
      <c r="I134" s="186" t="str">
        <f t="shared" si="11"/>
        <v/>
      </c>
      <c r="J134" s="204" t="str">
        <f>IF($H134="USD",IF(OR($I134="",$I134="-"),"",VLOOKUP($G134,為替!$A:$AX,$I134,FALSE))+$J$3,IF(OR($I134="",$I134="-"),"",VLOOKUP($G134,為替!$A:$AX,$I134,FALSE)))</f>
        <v/>
      </c>
      <c r="K134" s="205" t="str">
        <f t="shared" si="12"/>
        <v/>
      </c>
      <c r="L134" s="189" t="str">
        <f t="shared" si="13"/>
        <v/>
      </c>
      <c r="M134" s="204" t="str">
        <f>IF($H134="USD",IF(OR($L134="",$L134="-"),"",VLOOKUP($G134,為替!$A:$AX,$L134,FALSE))+$K$3,IF(OR($L134="",$L134="-"),"",VLOOKUP($G134,為替!$A:$AX,$L134,FALSE)))</f>
        <v/>
      </c>
      <c r="N134" s="205" t="str">
        <f t="shared" si="14"/>
        <v/>
      </c>
      <c r="O134" s="206" t="str">
        <f t="shared" si="10"/>
        <v/>
      </c>
      <c r="P134" s="207" t="str">
        <f t="shared" si="15"/>
        <v/>
      </c>
    </row>
    <row r="135" spans="3:16">
      <c r="C135" s="200"/>
      <c r="D135" s="201"/>
      <c r="E135" s="202"/>
      <c r="F135" s="200"/>
      <c r="H135" s="203"/>
      <c r="I135" s="186" t="str">
        <f t="shared" si="11"/>
        <v/>
      </c>
      <c r="J135" s="204" t="str">
        <f>IF($H135="USD",IF(OR($I135="",$I135="-"),"",VLOOKUP($G135,為替!$A:$AX,$I135,FALSE))+$J$3,IF(OR($I135="",$I135="-"),"",VLOOKUP($G135,為替!$A:$AX,$I135,FALSE)))</f>
        <v/>
      </c>
      <c r="K135" s="205" t="str">
        <f t="shared" si="12"/>
        <v/>
      </c>
      <c r="L135" s="189" t="str">
        <f t="shared" si="13"/>
        <v/>
      </c>
      <c r="M135" s="204" t="str">
        <f>IF($H135="USD",IF(OR($L135="",$L135="-"),"",VLOOKUP($G135,為替!$A:$AX,$L135,FALSE))+$K$3,IF(OR($L135="",$L135="-"),"",VLOOKUP($G135,為替!$A:$AX,$L135,FALSE)))</f>
        <v/>
      </c>
      <c r="N135" s="205" t="str">
        <f t="shared" si="14"/>
        <v/>
      </c>
      <c r="O135" s="206" t="str">
        <f t="shared" si="10"/>
        <v/>
      </c>
      <c r="P135" s="207" t="str">
        <f t="shared" si="15"/>
        <v/>
      </c>
    </row>
    <row r="136" spans="3:16">
      <c r="C136" s="200"/>
      <c r="D136" s="201"/>
      <c r="E136" s="202"/>
      <c r="F136" s="200"/>
      <c r="H136" s="203"/>
      <c r="I136" s="186" t="str">
        <f t="shared" si="11"/>
        <v/>
      </c>
      <c r="J136" s="204" t="str">
        <f>IF($H136="USD",IF(OR($I136="",$I136="-"),"",VLOOKUP($G136,為替!$A:$AX,$I136,FALSE))+$J$3,IF(OR($I136="",$I136="-"),"",VLOOKUP($G136,為替!$A:$AX,$I136,FALSE)))</f>
        <v/>
      </c>
      <c r="K136" s="205" t="str">
        <f t="shared" si="12"/>
        <v/>
      </c>
      <c r="L136" s="189" t="str">
        <f t="shared" si="13"/>
        <v/>
      </c>
      <c r="M136" s="204" t="str">
        <f>IF($H136="USD",IF(OR($L136="",$L136="-"),"",VLOOKUP($G136,為替!$A:$AX,$L136,FALSE))+$K$3,IF(OR($L136="",$L136="-"),"",VLOOKUP($G136,為替!$A:$AX,$L136,FALSE)))</f>
        <v/>
      </c>
      <c r="N136" s="205" t="str">
        <f t="shared" si="14"/>
        <v/>
      </c>
      <c r="O136" s="206" t="str">
        <f t="shared" si="10"/>
        <v/>
      </c>
      <c r="P136" s="207" t="str">
        <f t="shared" si="15"/>
        <v/>
      </c>
    </row>
    <row r="137" spans="3:16">
      <c r="C137" s="200"/>
      <c r="D137" s="201"/>
      <c r="E137" s="202"/>
      <c r="F137" s="200"/>
      <c r="H137" s="203"/>
      <c r="I137" s="186" t="str">
        <f t="shared" si="11"/>
        <v/>
      </c>
      <c r="J137" s="204" t="str">
        <f>IF($H137="USD",IF(OR($I137="",$I137="-"),"",VLOOKUP($G137,為替!$A:$AX,$I137,FALSE))+$J$3,IF(OR($I137="",$I137="-"),"",VLOOKUP($G137,為替!$A:$AX,$I137,FALSE)))</f>
        <v/>
      </c>
      <c r="K137" s="205" t="str">
        <f t="shared" si="12"/>
        <v/>
      </c>
      <c r="L137" s="189" t="str">
        <f t="shared" si="13"/>
        <v/>
      </c>
      <c r="M137" s="204" t="str">
        <f>IF($H137="USD",IF(OR($L137="",$L137="-"),"",VLOOKUP($G137,為替!$A:$AX,$L137,FALSE))+$K$3,IF(OR($L137="",$L137="-"),"",VLOOKUP($G137,為替!$A:$AX,$L137,FALSE)))</f>
        <v/>
      </c>
      <c r="N137" s="205" t="str">
        <f t="shared" si="14"/>
        <v/>
      </c>
      <c r="O137" s="206" t="str">
        <f t="shared" si="10"/>
        <v/>
      </c>
      <c r="P137" s="207" t="str">
        <f t="shared" si="15"/>
        <v/>
      </c>
    </row>
    <row r="138" spans="3:16">
      <c r="C138" s="200"/>
      <c r="D138" s="201"/>
      <c r="E138" s="202"/>
      <c r="F138" s="200"/>
      <c r="H138" s="203"/>
      <c r="I138" s="186" t="str">
        <f t="shared" si="11"/>
        <v/>
      </c>
      <c r="J138" s="204" t="str">
        <f>IF($H138="USD",IF(OR($I138="",$I138="-"),"",VLOOKUP($G138,為替!$A:$AX,$I138,FALSE))+$J$3,IF(OR($I138="",$I138="-"),"",VLOOKUP($G138,為替!$A:$AX,$I138,FALSE)))</f>
        <v/>
      </c>
      <c r="K138" s="205" t="str">
        <f t="shared" si="12"/>
        <v/>
      </c>
      <c r="L138" s="189" t="str">
        <f t="shared" si="13"/>
        <v/>
      </c>
      <c r="M138" s="204" t="str">
        <f>IF($H138="USD",IF(OR($L138="",$L138="-"),"",VLOOKUP($G138,為替!$A:$AX,$L138,FALSE))+$K$3,IF(OR($L138="",$L138="-"),"",VLOOKUP($G138,為替!$A:$AX,$L138,FALSE)))</f>
        <v/>
      </c>
      <c r="N138" s="205" t="str">
        <f t="shared" si="14"/>
        <v/>
      </c>
      <c r="O138" s="206" t="str">
        <f t="shared" si="10"/>
        <v/>
      </c>
      <c r="P138" s="207" t="str">
        <f t="shared" si="15"/>
        <v/>
      </c>
    </row>
    <row r="139" spans="3:16">
      <c r="C139" s="200"/>
      <c r="D139" s="201"/>
      <c r="E139" s="202"/>
      <c r="F139" s="200"/>
      <c r="H139" s="203"/>
      <c r="I139" s="186" t="str">
        <f t="shared" si="11"/>
        <v/>
      </c>
      <c r="J139" s="204" t="str">
        <f>IF($H139="USD",IF(OR($I139="",$I139="-"),"",VLOOKUP($G139,為替!$A:$AX,$I139,FALSE))+$J$3,IF(OR($I139="",$I139="-"),"",VLOOKUP($G139,為替!$A:$AX,$I139,FALSE)))</f>
        <v/>
      </c>
      <c r="K139" s="205" t="str">
        <f t="shared" si="12"/>
        <v/>
      </c>
      <c r="L139" s="189" t="str">
        <f t="shared" si="13"/>
        <v/>
      </c>
      <c r="M139" s="204" t="str">
        <f>IF($H139="USD",IF(OR($L139="",$L139="-"),"",VLOOKUP($G139,為替!$A:$AX,$L139,FALSE))+$K$3,IF(OR($L139="",$L139="-"),"",VLOOKUP($G139,為替!$A:$AX,$L139,FALSE)))</f>
        <v/>
      </c>
      <c r="N139" s="205" t="str">
        <f t="shared" si="14"/>
        <v/>
      </c>
      <c r="O139" s="206" t="str">
        <f t="shared" si="10"/>
        <v/>
      </c>
      <c r="P139" s="207" t="str">
        <f t="shared" si="15"/>
        <v/>
      </c>
    </row>
    <row r="140" spans="3:16">
      <c r="C140" s="200"/>
      <c r="D140" s="201"/>
      <c r="E140" s="202"/>
      <c r="F140" s="200"/>
      <c r="H140" s="203"/>
      <c r="I140" s="186" t="str">
        <f t="shared" si="11"/>
        <v/>
      </c>
      <c r="J140" s="204" t="str">
        <f>IF($H140="USD",IF(OR($I140="",$I140="-"),"",VLOOKUP($G140,為替!$A:$AX,$I140,FALSE))+$J$3,IF(OR($I140="",$I140="-"),"",VLOOKUP($G140,為替!$A:$AX,$I140,FALSE)))</f>
        <v/>
      </c>
      <c r="K140" s="205" t="str">
        <f t="shared" si="12"/>
        <v/>
      </c>
      <c r="L140" s="189" t="str">
        <f t="shared" si="13"/>
        <v/>
      </c>
      <c r="M140" s="204" t="str">
        <f>IF($H140="USD",IF(OR($L140="",$L140="-"),"",VLOOKUP($G140,為替!$A:$AX,$L140,FALSE))+$K$3,IF(OR($L140="",$L140="-"),"",VLOOKUP($G140,為替!$A:$AX,$L140,FALSE)))</f>
        <v/>
      </c>
      <c r="N140" s="205" t="str">
        <f t="shared" si="14"/>
        <v/>
      </c>
      <c r="O140" s="206" t="str">
        <f t="shared" si="10"/>
        <v/>
      </c>
      <c r="P140" s="207" t="str">
        <f t="shared" si="15"/>
        <v/>
      </c>
    </row>
    <row r="141" spans="3:16">
      <c r="C141" s="200"/>
      <c r="D141" s="201"/>
      <c r="E141" s="202"/>
      <c r="F141" s="200"/>
      <c r="H141" s="203"/>
      <c r="I141" s="186" t="str">
        <f t="shared" si="11"/>
        <v/>
      </c>
      <c r="J141" s="204" t="str">
        <f>IF($H141="USD",IF(OR($I141="",$I141="-"),"",VLOOKUP($G141,為替!$A:$AX,$I141,FALSE))+$J$3,IF(OR($I141="",$I141="-"),"",VLOOKUP($G141,為替!$A:$AX,$I141,FALSE)))</f>
        <v/>
      </c>
      <c r="K141" s="205" t="str">
        <f t="shared" si="12"/>
        <v/>
      </c>
      <c r="L141" s="189" t="str">
        <f t="shared" si="13"/>
        <v/>
      </c>
      <c r="M141" s="204" t="str">
        <f>IF($H141="USD",IF(OR($L141="",$L141="-"),"",VLOOKUP($G141,為替!$A:$AX,$L141,FALSE))+$K$3,IF(OR($L141="",$L141="-"),"",VLOOKUP($G141,為替!$A:$AX,$L141,FALSE)))</f>
        <v/>
      </c>
      <c r="N141" s="205" t="str">
        <f t="shared" si="14"/>
        <v/>
      </c>
      <c r="O141" s="206" t="str">
        <f t="shared" si="10"/>
        <v/>
      </c>
      <c r="P141" s="207" t="str">
        <f t="shared" si="15"/>
        <v/>
      </c>
    </row>
    <row r="142" spans="3:16">
      <c r="C142" s="200"/>
      <c r="D142" s="201"/>
      <c r="E142" s="202"/>
      <c r="F142" s="200"/>
      <c r="H142" s="203"/>
      <c r="I142" s="186" t="str">
        <f t="shared" si="11"/>
        <v/>
      </c>
      <c r="J142" s="204" t="str">
        <f>IF($H142="USD",IF(OR($I142="",$I142="-"),"",VLOOKUP($G142,為替!$A:$AX,$I142,FALSE))+$J$3,IF(OR($I142="",$I142="-"),"",VLOOKUP($G142,為替!$A:$AX,$I142,FALSE)))</f>
        <v/>
      </c>
      <c r="K142" s="205" t="str">
        <f t="shared" si="12"/>
        <v/>
      </c>
      <c r="L142" s="189" t="str">
        <f t="shared" si="13"/>
        <v/>
      </c>
      <c r="M142" s="204" t="str">
        <f>IF($H142="USD",IF(OR($L142="",$L142="-"),"",VLOOKUP($G142,為替!$A:$AX,$L142,FALSE))+$K$3,IF(OR($L142="",$L142="-"),"",VLOOKUP($G142,為替!$A:$AX,$L142,FALSE)))</f>
        <v/>
      </c>
      <c r="N142" s="205" t="str">
        <f t="shared" si="14"/>
        <v/>
      </c>
      <c r="O142" s="206" t="str">
        <f t="shared" ref="O142:O205" si="16">IF(OR(K142="",N142=""),"",K142-N142)</f>
        <v/>
      </c>
      <c r="P142" s="207" t="str">
        <f t="shared" si="15"/>
        <v/>
      </c>
    </row>
    <row r="143" spans="3:16">
      <c r="C143" s="200"/>
      <c r="D143" s="201"/>
      <c r="E143" s="202"/>
      <c r="F143" s="200"/>
      <c r="H143" s="203"/>
      <c r="I143" s="186" t="str">
        <f t="shared" ref="I143:I206" si="17">IF(H143="","",IF(H143="JPY","",IF($H143="USD",4, IF(H143="EUR",7,IF(H143="CNY",47,IF(H143="HKD",34))))))</f>
        <v/>
      </c>
      <c r="J143" s="204" t="str">
        <f>IF($H143="USD",IF(OR($I143="",$I143="-"),"",VLOOKUP($G143,為替!$A:$AX,$I143,FALSE))+$J$3,IF(OR($I143="",$I143="-"),"",VLOOKUP($G143,為替!$A:$AX,$I143,FALSE)))</f>
        <v/>
      </c>
      <c r="K143" s="205" t="str">
        <f t="shared" ref="K143:K206" si="18">IF($H143="JPY",$F143,IF($H143="","",$F143*$J143))</f>
        <v/>
      </c>
      <c r="L143" s="189" t="str">
        <f t="shared" ref="L143:L206" si="19">IF(H143="","",IF(H143="JPY","",IF($H143="USD",3, IF(H143="EUR",6,IF(H143="CNY",46,IF(H143="HKD",33))))))</f>
        <v/>
      </c>
      <c r="M143" s="204" t="str">
        <f>IF($H143="USD",IF(OR($L143="",$L143="-"),"",VLOOKUP($G143,為替!$A:$AX,$L143,FALSE))+$K$3,IF(OR($L143="",$L143="-"),"",VLOOKUP($G143,為替!$A:$AX,$L143,FALSE)))</f>
        <v/>
      </c>
      <c r="N143" s="205" t="str">
        <f t="shared" ref="N143:N206" si="20">IF($E143="JPY",($C143+$D143),IF($E143="","",($C143+$D143)*$M143))</f>
        <v/>
      </c>
      <c r="O143" s="206" t="str">
        <f t="shared" si="16"/>
        <v/>
      </c>
      <c r="P143" s="207" t="str">
        <f t="shared" ref="P143:P206" si="21">IF(OR(K143="",O143=""),"",O143/K143)</f>
        <v/>
      </c>
    </row>
    <row r="144" spans="3:16">
      <c r="C144" s="200"/>
      <c r="D144" s="201"/>
      <c r="E144" s="202"/>
      <c r="F144" s="200"/>
      <c r="H144" s="203"/>
      <c r="I144" s="186" t="str">
        <f t="shared" si="17"/>
        <v/>
      </c>
      <c r="J144" s="204" t="str">
        <f>IF($H144="USD",IF(OR($I144="",$I144="-"),"",VLOOKUP($G144,為替!$A:$AX,$I144,FALSE))+$J$3,IF(OR($I144="",$I144="-"),"",VLOOKUP($G144,為替!$A:$AX,$I144,FALSE)))</f>
        <v/>
      </c>
      <c r="K144" s="205" t="str">
        <f t="shared" si="18"/>
        <v/>
      </c>
      <c r="L144" s="189" t="str">
        <f t="shared" si="19"/>
        <v/>
      </c>
      <c r="M144" s="204" t="str">
        <f>IF($H144="USD",IF(OR($L144="",$L144="-"),"",VLOOKUP($G144,為替!$A:$AX,$L144,FALSE))+$K$3,IF(OR($L144="",$L144="-"),"",VLOOKUP($G144,為替!$A:$AX,$L144,FALSE)))</f>
        <v/>
      </c>
      <c r="N144" s="205" t="str">
        <f t="shared" si="20"/>
        <v/>
      </c>
      <c r="O144" s="206" t="str">
        <f t="shared" si="16"/>
        <v/>
      </c>
      <c r="P144" s="207" t="str">
        <f t="shared" si="21"/>
        <v/>
      </c>
    </row>
    <row r="145" spans="3:16">
      <c r="C145" s="200"/>
      <c r="D145" s="201"/>
      <c r="E145" s="202"/>
      <c r="F145" s="200"/>
      <c r="H145" s="203"/>
      <c r="I145" s="186" t="str">
        <f t="shared" si="17"/>
        <v/>
      </c>
      <c r="J145" s="204" t="str">
        <f>IF($H145="USD",IF(OR($I145="",$I145="-"),"",VLOOKUP($G145,為替!$A:$AX,$I145,FALSE))+$J$3,IF(OR($I145="",$I145="-"),"",VLOOKUP($G145,為替!$A:$AX,$I145,FALSE)))</f>
        <v/>
      </c>
      <c r="K145" s="205" t="str">
        <f t="shared" si="18"/>
        <v/>
      </c>
      <c r="L145" s="189" t="str">
        <f t="shared" si="19"/>
        <v/>
      </c>
      <c r="M145" s="204" t="str">
        <f>IF($H145="USD",IF(OR($L145="",$L145="-"),"",VLOOKUP($G145,為替!$A:$AX,$L145,FALSE))+$K$3,IF(OR($L145="",$L145="-"),"",VLOOKUP($G145,為替!$A:$AX,$L145,FALSE)))</f>
        <v/>
      </c>
      <c r="N145" s="205" t="str">
        <f t="shared" si="20"/>
        <v/>
      </c>
      <c r="O145" s="206" t="str">
        <f t="shared" si="16"/>
        <v/>
      </c>
      <c r="P145" s="207" t="str">
        <f t="shared" si="21"/>
        <v/>
      </c>
    </row>
    <row r="146" spans="3:16">
      <c r="C146" s="200"/>
      <c r="D146" s="201"/>
      <c r="E146" s="202"/>
      <c r="F146" s="200"/>
      <c r="H146" s="203"/>
      <c r="I146" s="186" t="str">
        <f t="shared" si="17"/>
        <v/>
      </c>
      <c r="J146" s="204" t="str">
        <f>IF($H146="USD",IF(OR($I146="",$I146="-"),"",VLOOKUP($G146,為替!$A:$AX,$I146,FALSE))+$J$3,IF(OR($I146="",$I146="-"),"",VLOOKUP($G146,為替!$A:$AX,$I146,FALSE)))</f>
        <v/>
      </c>
      <c r="K146" s="205" t="str">
        <f t="shared" si="18"/>
        <v/>
      </c>
      <c r="L146" s="189" t="str">
        <f t="shared" si="19"/>
        <v/>
      </c>
      <c r="M146" s="204" t="str">
        <f>IF($H146="USD",IF(OR($L146="",$L146="-"),"",VLOOKUP($G146,為替!$A:$AX,$L146,FALSE))+$K$3,IF(OR($L146="",$L146="-"),"",VLOOKUP($G146,為替!$A:$AX,$L146,FALSE)))</f>
        <v/>
      </c>
      <c r="N146" s="205" t="str">
        <f t="shared" si="20"/>
        <v/>
      </c>
      <c r="O146" s="206" t="str">
        <f t="shared" si="16"/>
        <v/>
      </c>
      <c r="P146" s="207" t="str">
        <f t="shared" si="21"/>
        <v/>
      </c>
    </row>
    <row r="147" spans="3:16">
      <c r="C147" s="200"/>
      <c r="D147" s="201"/>
      <c r="E147" s="202"/>
      <c r="F147" s="200"/>
      <c r="H147" s="203"/>
      <c r="I147" s="186" t="str">
        <f t="shared" si="17"/>
        <v/>
      </c>
      <c r="J147" s="204" t="str">
        <f>IF($H147="USD",IF(OR($I147="",$I147="-"),"",VLOOKUP($G147,為替!$A:$AX,$I147,FALSE))+$J$3,IF(OR($I147="",$I147="-"),"",VLOOKUP($G147,為替!$A:$AX,$I147,FALSE)))</f>
        <v/>
      </c>
      <c r="K147" s="205" t="str">
        <f t="shared" si="18"/>
        <v/>
      </c>
      <c r="L147" s="189" t="str">
        <f t="shared" si="19"/>
        <v/>
      </c>
      <c r="M147" s="204" t="str">
        <f>IF($H147="USD",IF(OR($L147="",$L147="-"),"",VLOOKUP($G147,為替!$A:$AX,$L147,FALSE))+$K$3,IF(OR($L147="",$L147="-"),"",VLOOKUP($G147,為替!$A:$AX,$L147,FALSE)))</f>
        <v/>
      </c>
      <c r="N147" s="205" t="str">
        <f t="shared" si="20"/>
        <v/>
      </c>
      <c r="O147" s="206" t="str">
        <f t="shared" si="16"/>
        <v/>
      </c>
      <c r="P147" s="207" t="str">
        <f t="shared" si="21"/>
        <v/>
      </c>
    </row>
    <row r="148" spans="3:16">
      <c r="C148" s="200"/>
      <c r="D148" s="201"/>
      <c r="E148" s="202"/>
      <c r="F148" s="200"/>
      <c r="H148" s="203"/>
      <c r="I148" s="186" t="str">
        <f t="shared" si="17"/>
        <v/>
      </c>
      <c r="J148" s="204" t="str">
        <f>IF($H148="USD",IF(OR($I148="",$I148="-"),"",VLOOKUP($G148,為替!$A:$AX,$I148,FALSE))+$J$3,IF(OR($I148="",$I148="-"),"",VLOOKUP($G148,為替!$A:$AX,$I148,FALSE)))</f>
        <v/>
      </c>
      <c r="K148" s="205" t="str">
        <f t="shared" si="18"/>
        <v/>
      </c>
      <c r="L148" s="189" t="str">
        <f t="shared" si="19"/>
        <v/>
      </c>
      <c r="M148" s="204" t="str">
        <f>IF($H148="USD",IF(OR($L148="",$L148="-"),"",VLOOKUP($G148,為替!$A:$AX,$L148,FALSE))+$K$3,IF(OR($L148="",$L148="-"),"",VLOOKUP($G148,為替!$A:$AX,$L148,FALSE)))</f>
        <v/>
      </c>
      <c r="N148" s="205" t="str">
        <f t="shared" si="20"/>
        <v/>
      </c>
      <c r="O148" s="206" t="str">
        <f t="shared" si="16"/>
        <v/>
      </c>
      <c r="P148" s="207" t="str">
        <f t="shared" si="21"/>
        <v/>
      </c>
    </row>
    <row r="149" spans="3:16">
      <c r="C149" s="200"/>
      <c r="D149" s="201"/>
      <c r="E149" s="202"/>
      <c r="F149" s="200"/>
      <c r="H149" s="203"/>
      <c r="I149" s="186" t="str">
        <f t="shared" si="17"/>
        <v/>
      </c>
      <c r="J149" s="204" t="str">
        <f>IF($H149="USD",IF(OR($I149="",$I149="-"),"",VLOOKUP($G149,為替!$A:$AX,$I149,FALSE))+$J$3,IF(OR($I149="",$I149="-"),"",VLOOKUP($G149,為替!$A:$AX,$I149,FALSE)))</f>
        <v/>
      </c>
      <c r="K149" s="205" t="str">
        <f t="shared" si="18"/>
        <v/>
      </c>
      <c r="L149" s="189" t="str">
        <f t="shared" si="19"/>
        <v/>
      </c>
      <c r="M149" s="204" t="str">
        <f>IF($H149="USD",IF(OR($L149="",$L149="-"),"",VLOOKUP($G149,為替!$A:$AX,$L149,FALSE))+$K$3,IF(OR($L149="",$L149="-"),"",VLOOKUP($G149,為替!$A:$AX,$L149,FALSE)))</f>
        <v/>
      </c>
      <c r="N149" s="205" t="str">
        <f t="shared" si="20"/>
        <v/>
      </c>
      <c r="O149" s="206" t="str">
        <f t="shared" si="16"/>
        <v/>
      </c>
      <c r="P149" s="207" t="str">
        <f t="shared" si="21"/>
        <v/>
      </c>
    </row>
    <row r="150" spans="3:16">
      <c r="C150" s="200"/>
      <c r="D150" s="201"/>
      <c r="E150" s="202"/>
      <c r="F150" s="200"/>
      <c r="H150" s="203"/>
      <c r="I150" s="186" t="str">
        <f t="shared" si="17"/>
        <v/>
      </c>
      <c r="J150" s="204" t="str">
        <f>IF($H150="USD",IF(OR($I150="",$I150="-"),"",VLOOKUP($G150,為替!$A:$AX,$I150,FALSE))+$J$3,IF(OR($I150="",$I150="-"),"",VLOOKUP($G150,為替!$A:$AX,$I150,FALSE)))</f>
        <v/>
      </c>
      <c r="K150" s="205" t="str">
        <f t="shared" si="18"/>
        <v/>
      </c>
      <c r="L150" s="189" t="str">
        <f t="shared" si="19"/>
        <v/>
      </c>
      <c r="M150" s="204" t="str">
        <f>IF($H150="USD",IF(OR($L150="",$L150="-"),"",VLOOKUP($G150,為替!$A:$AX,$L150,FALSE))+$K$3,IF(OR($L150="",$L150="-"),"",VLOOKUP($G150,為替!$A:$AX,$L150,FALSE)))</f>
        <v/>
      </c>
      <c r="N150" s="205" t="str">
        <f t="shared" si="20"/>
        <v/>
      </c>
      <c r="O150" s="206" t="str">
        <f t="shared" si="16"/>
        <v/>
      </c>
      <c r="P150" s="207" t="str">
        <f t="shared" si="21"/>
        <v/>
      </c>
    </row>
    <row r="151" spans="3:16">
      <c r="C151" s="200"/>
      <c r="D151" s="201"/>
      <c r="E151" s="202"/>
      <c r="F151" s="200"/>
      <c r="H151" s="203"/>
      <c r="I151" s="186" t="str">
        <f t="shared" si="17"/>
        <v/>
      </c>
      <c r="J151" s="204" t="str">
        <f>IF($H151="USD",IF(OR($I151="",$I151="-"),"",VLOOKUP($G151,為替!$A:$AX,$I151,FALSE))+$J$3,IF(OR($I151="",$I151="-"),"",VLOOKUP($G151,為替!$A:$AX,$I151,FALSE)))</f>
        <v/>
      </c>
      <c r="K151" s="205" t="str">
        <f t="shared" si="18"/>
        <v/>
      </c>
      <c r="L151" s="189" t="str">
        <f t="shared" si="19"/>
        <v/>
      </c>
      <c r="M151" s="204" t="str">
        <f>IF($H151="USD",IF(OR($L151="",$L151="-"),"",VLOOKUP($G151,為替!$A:$AX,$L151,FALSE))+$K$3,IF(OR($L151="",$L151="-"),"",VLOOKUP($G151,為替!$A:$AX,$L151,FALSE)))</f>
        <v/>
      </c>
      <c r="N151" s="205" t="str">
        <f t="shared" si="20"/>
        <v/>
      </c>
      <c r="O151" s="206" t="str">
        <f t="shared" si="16"/>
        <v/>
      </c>
      <c r="P151" s="207" t="str">
        <f t="shared" si="21"/>
        <v/>
      </c>
    </row>
    <row r="152" spans="3:16">
      <c r="C152" s="200"/>
      <c r="D152" s="201"/>
      <c r="E152" s="202"/>
      <c r="F152" s="200"/>
      <c r="H152" s="203"/>
      <c r="I152" s="186" t="str">
        <f t="shared" si="17"/>
        <v/>
      </c>
      <c r="J152" s="204" t="str">
        <f>IF($H152="USD",IF(OR($I152="",$I152="-"),"",VLOOKUP($G152,為替!$A:$AX,$I152,FALSE))+$J$3,IF(OR($I152="",$I152="-"),"",VLOOKUP($G152,為替!$A:$AX,$I152,FALSE)))</f>
        <v/>
      </c>
      <c r="K152" s="205" t="str">
        <f t="shared" si="18"/>
        <v/>
      </c>
      <c r="L152" s="189" t="str">
        <f t="shared" si="19"/>
        <v/>
      </c>
      <c r="M152" s="204" t="str">
        <f>IF($H152="USD",IF(OR($L152="",$L152="-"),"",VLOOKUP($G152,為替!$A:$AX,$L152,FALSE))+$K$3,IF(OR($L152="",$L152="-"),"",VLOOKUP($G152,為替!$A:$AX,$L152,FALSE)))</f>
        <v/>
      </c>
      <c r="N152" s="205" t="str">
        <f t="shared" si="20"/>
        <v/>
      </c>
      <c r="O152" s="206" t="str">
        <f t="shared" si="16"/>
        <v/>
      </c>
      <c r="P152" s="207" t="str">
        <f t="shared" si="21"/>
        <v/>
      </c>
    </row>
    <row r="153" spans="3:16">
      <c r="C153" s="200"/>
      <c r="D153" s="201"/>
      <c r="E153" s="202"/>
      <c r="F153" s="200"/>
      <c r="H153" s="203"/>
      <c r="I153" s="186" t="str">
        <f t="shared" si="17"/>
        <v/>
      </c>
      <c r="J153" s="204" t="str">
        <f>IF($H153="USD",IF(OR($I153="",$I153="-"),"",VLOOKUP($G153,為替!$A:$AX,$I153,FALSE))+$J$3,IF(OR($I153="",$I153="-"),"",VLOOKUP($G153,為替!$A:$AX,$I153,FALSE)))</f>
        <v/>
      </c>
      <c r="K153" s="205" t="str">
        <f t="shared" si="18"/>
        <v/>
      </c>
      <c r="L153" s="189" t="str">
        <f t="shared" si="19"/>
        <v/>
      </c>
      <c r="M153" s="204" t="str">
        <f>IF($H153="USD",IF(OR($L153="",$L153="-"),"",VLOOKUP($G153,為替!$A:$AX,$L153,FALSE))+$K$3,IF(OR($L153="",$L153="-"),"",VLOOKUP($G153,為替!$A:$AX,$L153,FALSE)))</f>
        <v/>
      </c>
      <c r="N153" s="205" t="str">
        <f t="shared" si="20"/>
        <v/>
      </c>
      <c r="O153" s="206" t="str">
        <f t="shared" si="16"/>
        <v/>
      </c>
      <c r="P153" s="207" t="str">
        <f t="shared" si="21"/>
        <v/>
      </c>
    </row>
    <row r="154" spans="3:16">
      <c r="C154" s="200"/>
      <c r="D154" s="201"/>
      <c r="E154" s="202"/>
      <c r="F154" s="200"/>
      <c r="H154" s="203"/>
      <c r="I154" s="186" t="str">
        <f t="shared" si="17"/>
        <v/>
      </c>
      <c r="J154" s="204" t="str">
        <f>IF($H154="USD",IF(OR($I154="",$I154="-"),"",VLOOKUP($G154,為替!$A:$AX,$I154,FALSE))+$J$3,IF(OR($I154="",$I154="-"),"",VLOOKUP($G154,為替!$A:$AX,$I154,FALSE)))</f>
        <v/>
      </c>
      <c r="K154" s="205" t="str">
        <f t="shared" si="18"/>
        <v/>
      </c>
      <c r="L154" s="189" t="str">
        <f t="shared" si="19"/>
        <v/>
      </c>
      <c r="M154" s="204" t="str">
        <f>IF($H154="USD",IF(OR($L154="",$L154="-"),"",VLOOKUP($G154,為替!$A:$AX,$L154,FALSE))+$K$3,IF(OR($L154="",$L154="-"),"",VLOOKUP($G154,為替!$A:$AX,$L154,FALSE)))</f>
        <v/>
      </c>
      <c r="N154" s="205" t="str">
        <f t="shared" si="20"/>
        <v/>
      </c>
      <c r="O154" s="206" t="str">
        <f t="shared" si="16"/>
        <v/>
      </c>
      <c r="P154" s="207" t="str">
        <f t="shared" si="21"/>
        <v/>
      </c>
    </row>
    <row r="155" spans="3:16">
      <c r="C155" s="200"/>
      <c r="D155" s="201"/>
      <c r="E155" s="202"/>
      <c r="F155" s="200"/>
      <c r="H155" s="203"/>
      <c r="I155" s="186" t="str">
        <f t="shared" si="17"/>
        <v/>
      </c>
      <c r="J155" s="204" t="str">
        <f>IF($H155="USD",IF(OR($I155="",$I155="-"),"",VLOOKUP($G155,為替!$A:$AX,$I155,FALSE))+$J$3,IF(OR($I155="",$I155="-"),"",VLOOKUP($G155,為替!$A:$AX,$I155,FALSE)))</f>
        <v/>
      </c>
      <c r="K155" s="205" t="str">
        <f t="shared" si="18"/>
        <v/>
      </c>
      <c r="L155" s="189" t="str">
        <f t="shared" si="19"/>
        <v/>
      </c>
      <c r="M155" s="204" t="str">
        <f>IF($H155="USD",IF(OR($L155="",$L155="-"),"",VLOOKUP($G155,為替!$A:$AX,$L155,FALSE))+$K$3,IF(OR($L155="",$L155="-"),"",VLOOKUP($G155,為替!$A:$AX,$L155,FALSE)))</f>
        <v/>
      </c>
      <c r="N155" s="205" t="str">
        <f t="shared" si="20"/>
        <v/>
      </c>
      <c r="O155" s="206" t="str">
        <f t="shared" si="16"/>
        <v/>
      </c>
      <c r="P155" s="207" t="str">
        <f t="shared" si="21"/>
        <v/>
      </c>
    </row>
    <row r="156" spans="3:16">
      <c r="C156" s="200"/>
      <c r="D156" s="201"/>
      <c r="E156" s="202"/>
      <c r="F156" s="200"/>
      <c r="H156" s="203"/>
      <c r="I156" s="186" t="str">
        <f t="shared" si="17"/>
        <v/>
      </c>
      <c r="J156" s="204" t="str">
        <f>IF($H156="USD",IF(OR($I156="",$I156="-"),"",VLOOKUP($G156,為替!$A:$AX,$I156,FALSE))+$J$3,IF(OR($I156="",$I156="-"),"",VLOOKUP($G156,為替!$A:$AX,$I156,FALSE)))</f>
        <v/>
      </c>
      <c r="K156" s="205" t="str">
        <f t="shared" si="18"/>
        <v/>
      </c>
      <c r="L156" s="189" t="str">
        <f t="shared" si="19"/>
        <v/>
      </c>
      <c r="M156" s="204" t="str">
        <f>IF($H156="USD",IF(OR($L156="",$L156="-"),"",VLOOKUP($G156,為替!$A:$AX,$L156,FALSE))+$K$3,IF(OR($L156="",$L156="-"),"",VLOOKUP($G156,為替!$A:$AX,$L156,FALSE)))</f>
        <v/>
      </c>
      <c r="N156" s="205" t="str">
        <f t="shared" si="20"/>
        <v/>
      </c>
      <c r="O156" s="206" t="str">
        <f t="shared" si="16"/>
        <v/>
      </c>
      <c r="P156" s="207" t="str">
        <f t="shared" si="21"/>
        <v/>
      </c>
    </row>
    <row r="157" spans="3:16">
      <c r="C157" s="200"/>
      <c r="D157" s="201"/>
      <c r="E157" s="202"/>
      <c r="F157" s="200"/>
      <c r="H157" s="203"/>
      <c r="I157" s="186" t="str">
        <f t="shared" si="17"/>
        <v/>
      </c>
      <c r="J157" s="204" t="str">
        <f>IF($H157="USD",IF(OR($I157="",$I157="-"),"",VLOOKUP($G157,為替!$A:$AX,$I157,FALSE))+$J$3,IF(OR($I157="",$I157="-"),"",VLOOKUP($G157,為替!$A:$AX,$I157,FALSE)))</f>
        <v/>
      </c>
      <c r="K157" s="205" t="str">
        <f t="shared" si="18"/>
        <v/>
      </c>
      <c r="L157" s="189" t="str">
        <f t="shared" si="19"/>
        <v/>
      </c>
      <c r="M157" s="204" t="str">
        <f>IF($H157="USD",IF(OR($L157="",$L157="-"),"",VLOOKUP($G157,為替!$A:$AX,$L157,FALSE))+$K$3,IF(OR($L157="",$L157="-"),"",VLOOKUP($G157,為替!$A:$AX,$L157,FALSE)))</f>
        <v/>
      </c>
      <c r="N157" s="205" t="str">
        <f t="shared" si="20"/>
        <v/>
      </c>
      <c r="O157" s="206" t="str">
        <f t="shared" si="16"/>
        <v/>
      </c>
      <c r="P157" s="207" t="str">
        <f t="shared" si="21"/>
        <v/>
      </c>
    </row>
    <row r="158" spans="3:16">
      <c r="C158" s="200"/>
      <c r="D158" s="201"/>
      <c r="E158" s="202"/>
      <c r="F158" s="200"/>
      <c r="H158" s="203"/>
      <c r="I158" s="186" t="str">
        <f t="shared" si="17"/>
        <v/>
      </c>
      <c r="J158" s="204" t="str">
        <f>IF($H158="USD",IF(OR($I158="",$I158="-"),"",VLOOKUP($G158,為替!$A:$AX,$I158,FALSE))+$J$3,IF(OR($I158="",$I158="-"),"",VLOOKUP($G158,為替!$A:$AX,$I158,FALSE)))</f>
        <v/>
      </c>
      <c r="K158" s="205" t="str">
        <f t="shared" si="18"/>
        <v/>
      </c>
      <c r="L158" s="189" t="str">
        <f t="shared" si="19"/>
        <v/>
      </c>
      <c r="M158" s="204" t="str">
        <f>IF($H158="USD",IF(OR($L158="",$L158="-"),"",VLOOKUP($G158,為替!$A:$AX,$L158,FALSE))+$K$3,IF(OR($L158="",$L158="-"),"",VLOOKUP($G158,為替!$A:$AX,$L158,FALSE)))</f>
        <v/>
      </c>
      <c r="N158" s="205" t="str">
        <f t="shared" si="20"/>
        <v/>
      </c>
      <c r="O158" s="206" t="str">
        <f t="shared" si="16"/>
        <v/>
      </c>
      <c r="P158" s="207" t="str">
        <f t="shared" si="21"/>
        <v/>
      </c>
    </row>
    <row r="159" spans="3:16">
      <c r="C159" s="200"/>
      <c r="D159" s="201"/>
      <c r="E159" s="202"/>
      <c r="F159" s="200"/>
      <c r="H159" s="203"/>
      <c r="I159" s="186" t="str">
        <f t="shared" si="17"/>
        <v/>
      </c>
      <c r="J159" s="204" t="str">
        <f>IF($H159="USD",IF(OR($I159="",$I159="-"),"",VLOOKUP($G159,為替!$A:$AX,$I159,FALSE))+$J$3,IF(OR($I159="",$I159="-"),"",VLOOKUP($G159,為替!$A:$AX,$I159,FALSE)))</f>
        <v/>
      </c>
      <c r="K159" s="205" t="str">
        <f t="shared" si="18"/>
        <v/>
      </c>
      <c r="L159" s="189" t="str">
        <f t="shared" si="19"/>
        <v/>
      </c>
      <c r="M159" s="204" t="str">
        <f>IF($H159="USD",IF(OR($L159="",$L159="-"),"",VLOOKUP($G159,為替!$A:$AX,$L159,FALSE))+$K$3,IF(OR($L159="",$L159="-"),"",VLOOKUP($G159,為替!$A:$AX,$L159,FALSE)))</f>
        <v/>
      </c>
      <c r="N159" s="205" t="str">
        <f t="shared" si="20"/>
        <v/>
      </c>
      <c r="O159" s="206" t="str">
        <f t="shared" si="16"/>
        <v/>
      </c>
      <c r="P159" s="207" t="str">
        <f t="shared" si="21"/>
        <v/>
      </c>
    </row>
    <row r="160" spans="3:16">
      <c r="C160" s="200"/>
      <c r="D160" s="201"/>
      <c r="E160" s="202"/>
      <c r="F160" s="200"/>
      <c r="H160" s="203"/>
      <c r="I160" s="186" t="str">
        <f t="shared" si="17"/>
        <v/>
      </c>
      <c r="J160" s="204" t="str">
        <f>IF($H160="USD",IF(OR($I160="",$I160="-"),"",VLOOKUP($G160,為替!$A:$AX,$I160,FALSE))+$J$3,IF(OR($I160="",$I160="-"),"",VLOOKUP($G160,為替!$A:$AX,$I160,FALSE)))</f>
        <v/>
      </c>
      <c r="K160" s="205" t="str">
        <f t="shared" si="18"/>
        <v/>
      </c>
      <c r="L160" s="189" t="str">
        <f t="shared" si="19"/>
        <v/>
      </c>
      <c r="M160" s="204" t="str">
        <f>IF($H160="USD",IF(OR($L160="",$L160="-"),"",VLOOKUP($G160,為替!$A:$AX,$L160,FALSE))+$K$3,IF(OR($L160="",$L160="-"),"",VLOOKUP($G160,為替!$A:$AX,$L160,FALSE)))</f>
        <v/>
      </c>
      <c r="N160" s="205" t="str">
        <f t="shared" si="20"/>
        <v/>
      </c>
      <c r="O160" s="206" t="str">
        <f t="shared" si="16"/>
        <v/>
      </c>
      <c r="P160" s="207" t="str">
        <f t="shared" si="21"/>
        <v/>
      </c>
    </row>
    <row r="161" spans="3:16">
      <c r="C161" s="200"/>
      <c r="D161" s="201"/>
      <c r="E161" s="202"/>
      <c r="F161" s="200"/>
      <c r="H161" s="203"/>
      <c r="I161" s="186" t="str">
        <f t="shared" si="17"/>
        <v/>
      </c>
      <c r="J161" s="204" t="str">
        <f>IF($H161="USD",IF(OR($I161="",$I161="-"),"",VLOOKUP($G161,為替!$A:$AX,$I161,FALSE))+$J$3,IF(OR($I161="",$I161="-"),"",VLOOKUP($G161,為替!$A:$AX,$I161,FALSE)))</f>
        <v/>
      </c>
      <c r="K161" s="205" t="str">
        <f t="shared" si="18"/>
        <v/>
      </c>
      <c r="L161" s="189" t="str">
        <f t="shared" si="19"/>
        <v/>
      </c>
      <c r="M161" s="204" t="str">
        <f>IF($H161="USD",IF(OR($L161="",$L161="-"),"",VLOOKUP($G161,為替!$A:$AX,$L161,FALSE))+$K$3,IF(OR($L161="",$L161="-"),"",VLOOKUP($G161,為替!$A:$AX,$L161,FALSE)))</f>
        <v/>
      </c>
      <c r="N161" s="205" t="str">
        <f t="shared" si="20"/>
        <v/>
      </c>
      <c r="O161" s="206" t="str">
        <f t="shared" si="16"/>
        <v/>
      </c>
      <c r="P161" s="207" t="str">
        <f t="shared" si="21"/>
        <v/>
      </c>
    </row>
    <row r="162" spans="3:16">
      <c r="C162" s="200"/>
      <c r="D162" s="201"/>
      <c r="E162" s="202"/>
      <c r="F162" s="200"/>
      <c r="H162" s="203"/>
      <c r="I162" s="186" t="str">
        <f t="shared" si="17"/>
        <v/>
      </c>
      <c r="J162" s="204" t="str">
        <f>IF($H162="USD",IF(OR($I162="",$I162="-"),"",VLOOKUP($G162,為替!$A:$AX,$I162,FALSE))+$J$3,IF(OR($I162="",$I162="-"),"",VLOOKUP($G162,為替!$A:$AX,$I162,FALSE)))</f>
        <v/>
      </c>
      <c r="K162" s="205" t="str">
        <f t="shared" si="18"/>
        <v/>
      </c>
      <c r="L162" s="189" t="str">
        <f t="shared" si="19"/>
        <v/>
      </c>
      <c r="M162" s="204" t="str">
        <f>IF($H162="USD",IF(OR($L162="",$L162="-"),"",VLOOKUP($G162,為替!$A:$AX,$L162,FALSE))+$K$3,IF(OR($L162="",$L162="-"),"",VLOOKUP($G162,為替!$A:$AX,$L162,FALSE)))</f>
        <v/>
      </c>
      <c r="N162" s="205" t="str">
        <f t="shared" si="20"/>
        <v/>
      </c>
      <c r="O162" s="206" t="str">
        <f t="shared" si="16"/>
        <v/>
      </c>
      <c r="P162" s="207" t="str">
        <f t="shared" si="21"/>
        <v/>
      </c>
    </row>
    <row r="163" spans="3:16">
      <c r="C163" s="200"/>
      <c r="D163" s="201"/>
      <c r="E163" s="202"/>
      <c r="F163" s="200"/>
      <c r="H163" s="203"/>
      <c r="I163" s="186" t="str">
        <f t="shared" si="17"/>
        <v/>
      </c>
      <c r="J163" s="204" t="str">
        <f>IF($H163="USD",IF(OR($I163="",$I163="-"),"",VLOOKUP($G163,為替!$A:$AX,$I163,FALSE))+$J$3,IF(OR($I163="",$I163="-"),"",VLOOKUP($G163,為替!$A:$AX,$I163,FALSE)))</f>
        <v/>
      </c>
      <c r="K163" s="205" t="str">
        <f t="shared" si="18"/>
        <v/>
      </c>
      <c r="L163" s="189" t="str">
        <f t="shared" si="19"/>
        <v/>
      </c>
      <c r="M163" s="204" t="str">
        <f>IF($H163="USD",IF(OR($L163="",$L163="-"),"",VLOOKUP($G163,為替!$A:$AX,$L163,FALSE))+$K$3,IF(OR($L163="",$L163="-"),"",VLOOKUP($G163,為替!$A:$AX,$L163,FALSE)))</f>
        <v/>
      </c>
      <c r="N163" s="205" t="str">
        <f t="shared" si="20"/>
        <v/>
      </c>
      <c r="O163" s="206" t="str">
        <f t="shared" si="16"/>
        <v/>
      </c>
      <c r="P163" s="207" t="str">
        <f t="shared" si="21"/>
        <v/>
      </c>
    </row>
    <row r="164" spans="3:16">
      <c r="C164" s="200"/>
      <c r="D164" s="201"/>
      <c r="E164" s="202"/>
      <c r="F164" s="200"/>
      <c r="H164" s="203"/>
      <c r="I164" s="186" t="str">
        <f t="shared" si="17"/>
        <v/>
      </c>
      <c r="J164" s="204" t="str">
        <f>IF($H164="USD",IF(OR($I164="",$I164="-"),"",VLOOKUP($G164,為替!$A:$AX,$I164,FALSE))+$J$3,IF(OR($I164="",$I164="-"),"",VLOOKUP($G164,為替!$A:$AX,$I164,FALSE)))</f>
        <v/>
      </c>
      <c r="K164" s="205" t="str">
        <f t="shared" si="18"/>
        <v/>
      </c>
      <c r="L164" s="189" t="str">
        <f t="shared" si="19"/>
        <v/>
      </c>
      <c r="M164" s="204" t="str">
        <f>IF($H164="USD",IF(OR($L164="",$L164="-"),"",VLOOKUP($G164,為替!$A:$AX,$L164,FALSE))+$K$3,IF(OR($L164="",$L164="-"),"",VLOOKUP($G164,為替!$A:$AX,$L164,FALSE)))</f>
        <v/>
      </c>
      <c r="N164" s="205" t="str">
        <f t="shared" si="20"/>
        <v/>
      </c>
      <c r="O164" s="206" t="str">
        <f t="shared" si="16"/>
        <v/>
      </c>
      <c r="P164" s="207" t="str">
        <f t="shared" si="21"/>
        <v/>
      </c>
    </row>
    <row r="165" spans="3:16">
      <c r="C165" s="200"/>
      <c r="D165" s="201"/>
      <c r="E165" s="202"/>
      <c r="F165" s="200"/>
      <c r="H165" s="203"/>
      <c r="I165" s="186" t="str">
        <f t="shared" si="17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 t="str">
        <f t="shared" si="18"/>
        <v/>
      </c>
      <c r="L165" s="189" t="str">
        <f t="shared" si="19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 t="str">
        <f t="shared" si="20"/>
        <v/>
      </c>
      <c r="O165" s="206" t="str">
        <f t="shared" si="16"/>
        <v/>
      </c>
      <c r="P165" s="207" t="str">
        <f t="shared" si="21"/>
        <v/>
      </c>
    </row>
    <row r="166" spans="3:16">
      <c r="C166" s="200"/>
      <c r="D166" s="201"/>
      <c r="E166" s="202"/>
      <c r="F166" s="200"/>
      <c r="H166" s="203"/>
      <c r="I166" s="186" t="str">
        <f t="shared" si="17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 t="str">
        <f t="shared" si="18"/>
        <v/>
      </c>
      <c r="L166" s="189" t="str">
        <f t="shared" si="19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 t="str">
        <f t="shared" si="20"/>
        <v/>
      </c>
      <c r="O166" s="206" t="str">
        <f t="shared" si="16"/>
        <v/>
      </c>
      <c r="P166" s="207" t="str">
        <f t="shared" si="21"/>
        <v/>
      </c>
    </row>
    <row r="167" spans="3:16">
      <c r="C167" s="200"/>
      <c r="D167" s="201"/>
      <c r="E167" s="202"/>
      <c r="F167" s="200"/>
      <c r="H167" s="203"/>
      <c r="I167" s="186" t="str">
        <f t="shared" si="17"/>
        <v/>
      </c>
      <c r="J167" s="204" t="str">
        <f>IF($H167="USD",IF(OR($I167="",$I167="-"),"",VLOOKUP($G167,為替!$A:$AX,$I167,FALSE))+$J$3,IF(OR($I167="",$I167="-"),"",VLOOKUP($G167,為替!$A:$AX,$I167,FALSE)))</f>
        <v/>
      </c>
      <c r="K167" s="205" t="str">
        <f t="shared" si="18"/>
        <v/>
      </c>
      <c r="L167" s="189" t="str">
        <f t="shared" si="19"/>
        <v/>
      </c>
      <c r="M167" s="204" t="str">
        <f>IF($H167="USD",IF(OR($L167="",$L167="-"),"",VLOOKUP($G167,為替!$A:$AX,$L167,FALSE))+$K$3,IF(OR($L167="",$L167="-"),"",VLOOKUP($G167,為替!$A:$AX,$L167,FALSE)))</f>
        <v/>
      </c>
      <c r="N167" s="205" t="str">
        <f t="shared" si="20"/>
        <v/>
      </c>
      <c r="O167" s="206" t="str">
        <f t="shared" si="16"/>
        <v/>
      </c>
      <c r="P167" s="207" t="str">
        <f t="shared" si="21"/>
        <v/>
      </c>
    </row>
    <row r="168" spans="3:16">
      <c r="C168" s="200"/>
      <c r="D168" s="201"/>
      <c r="E168" s="202"/>
      <c r="F168" s="200"/>
      <c r="H168" s="203"/>
      <c r="I168" s="186" t="str">
        <f t="shared" si="17"/>
        <v/>
      </c>
      <c r="J168" s="204" t="str">
        <f>IF($H168="USD",IF(OR($I168="",$I168="-"),"",VLOOKUP($G168,為替!$A:$AX,$I168,FALSE))+$J$3,IF(OR($I168="",$I168="-"),"",VLOOKUP($G168,為替!$A:$AX,$I168,FALSE)))</f>
        <v/>
      </c>
      <c r="K168" s="205" t="str">
        <f t="shared" si="18"/>
        <v/>
      </c>
      <c r="L168" s="189" t="str">
        <f t="shared" si="19"/>
        <v/>
      </c>
      <c r="M168" s="204" t="str">
        <f>IF($H168="USD",IF(OR($L168="",$L168="-"),"",VLOOKUP($G168,為替!$A:$AX,$L168,FALSE))+$K$3,IF(OR($L168="",$L168="-"),"",VLOOKUP($G168,為替!$A:$AX,$L168,FALSE)))</f>
        <v/>
      </c>
      <c r="N168" s="205" t="str">
        <f t="shared" si="20"/>
        <v/>
      </c>
      <c r="O168" s="206" t="str">
        <f t="shared" si="16"/>
        <v/>
      </c>
      <c r="P168" s="207" t="str">
        <f t="shared" si="21"/>
        <v/>
      </c>
    </row>
    <row r="169" spans="3:16">
      <c r="C169" s="200"/>
      <c r="D169" s="201"/>
      <c r="E169" s="202"/>
      <c r="F169" s="200"/>
      <c r="H169" s="203"/>
      <c r="I169" s="186" t="str">
        <f t="shared" si="17"/>
        <v/>
      </c>
      <c r="J169" s="204" t="str">
        <f>IF($H169="USD",IF(OR($I169="",$I169="-"),"",VLOOKUP($G169,為替!$A:$AX,$I169,FALSE))+$J$3,IF(OR($I169="",$I169="-"),"",VLOOKUP($G169,為替!$A:$AX,$I169,FALSE)))</f>
        <v/>
      </c>
      <c r="K169" s="205" t="str">
        <f t="shared" si="18"/>
        <v/>
      </c>
      <c r="L169" s="189" t="str">
        <f t="shared" si="19"/>
        <v/>
      </c>
      <c r="M169" s="204" t="str">
        <f>IF($H169="USD",IF(OR($L169="",$L169="-"),"",VLOOKUP($G169,為替!$A:$AX,$L169,FALSE))+$K$3,IF(OR($L169="",$L169="-"),"",VLOOKUP($G169,為替!$A:$AX,$L169,FALSE)))</f>
        <v/>
      </c>
      <c r="N169" s="205" t="str">
        <f t="shared" si="20"/>
        <v/>
      </c>
      <c r="O169" s="206" t="str">
        <f t="shared" si="16"/>
        <v/>
      </c>
      <c r="P169" s="207" t="str">
        <f t="shared" si="21"/>
        <v/>
      </c>
    </row>
    <row r="170" spans="3:16">
      <c r="C170" s="200"/>
      <c r="D170" s="201"/>
      <c r="E170" s="202"/>
      <c r="F170" s="200"/>
      <c r="H170" s="203"/>
      <c r="I170" s="186" t="str">
        <f t="shared" si="17"/>
        <v/>
      </c>
      <c r="J170" s="204" t="str">
        <f>IF($H170="USD",IF(OR($I170="",$I170="-"),"",VLOOKUP($G170,為替!$A:$AX,$I170,FALSE))+$J$3,IF(OR($I170="",$I170="-"),"",VLOOKUP($G170,為替!$A:$AX,$I170,FALSE)))</f>
        <v/>
      </c>
      <c r="K170" s="205" t="str">
        <f t="shared" si="18"/>
        <v/>
      </c>
      <c r="L170" s="189" t="str">
        <f t="shared" si="19"/>
        <v/>
      </c>
      <c r="M170" s="204" t="str">
        <f>IF($H170="USD",IF(OR($L170="",$L170="-"),"",VLOOKUP($G170,為替!$A:$AX,$L170,FALSE))+$K$3,IF(OR($L170="",$L170="-"),"",VLOOKUP($G170,為替!$A:$AX,$L170,FALSE)))</f>
        <v/>
      </c>
      <c r="N170" s="205" t="str">
        <f t="shared" si="20"/>
        <v/>
      </c>
      <c r="O170" s="206" t="str">
        <f t="shared" si="16"/>
        <v/>
      </c>
      <c r="P170" s="207" t="str">
        <f t="shared" si="21"/>
        <v/>
      </c>
    </row>
    <row r="171" spans="3:16">
      <c r="C171" s="200"/>
      <c r="D171" s="201"/>
      <c r="E171" s="202"/>
      <c r="F171" s="200"/>
      <c r="H171" s="203"/>
      <c r="I171" s="186" t="str">
        <f t="shared" si="17"/>
        <v/>
      </c>
      <c r="J171" s="204" t="str">
        <f>IF($H171="USD",IF(OR($I171="",$I171="-"),"",VLOOKUP($G171,為替!$A:$AX,$I171,FALSE))+$J$3,IF(OR($I171="",$I171="-"),"",VLOOKUP($G171,為替!$A:$AX,$I171,FALSE)))</f>
        <v/>
      </c>
      <c r="K171" s="205" t="str">
        <f t="shared" si="18"/>
        <v/>
      </c>
      <c r="L171" s="189" t="str">
        <f t="shared" si="19"/>
        <v/>
      </c>
      <c r="M171" s="204" t="str">
        <f>IF($H171="USD",IF(OR($L171="",$L171="-"),"",VLOOKUP($G171,為替!$A:$AX,$L171,FALSE))+$K$3,IF(OR($L171="",$L171="-"),"",VLOOKUP($G171,為替!$A:$AX,$L171,FALSE)))</f>
        <v/>
      </c>
      <c r="N171" s="205" t="str">
        <f t="shared" si="20"/>
        <v/>
      </c>
      <c r="O171" s="206" t="str">
        <f t="shared" si="16"/>
        <v/>
      </c>
      <c r="P171" s="207" t="str">
        <f t="shared" si="21"/>
        <v/>
      </c>
    </row>
    <row r="172" spans="3:16">
      <c r="C172" s="200"/>
      <c r="D172" s="201"/>
      <c r="E172" s="202"/>
      <c r="F172" s="200"/>
      <c r="H172" s="203"/>
      <c r="I172" s="186" t="str">
        <f t="shared" si="17"/>
        <v/>
      </c>
      <c r="J172" s="204" t="str">
        <f>IF($H172="USD",IF(OR($I172="",$I172="-"),"",VLOOKUP($G172,為替!$A:$AX,$I172,FALSE))+$J$3,IF(OR($I172="",$I172="-"),"",VLOOKUP($G172,為替!$A:$AX,$I172,FALSE)))</f>
        <v/>
      </c>
      <c r="K172" s="205" t="str">
        <f t="shared" si="18"/>
        <v/>
      </c>
      <c r="L172" s="189" t="str">
        <f t="shared" si="19"/>
        <v/>
      </c>
      <c r="M172" s="204" t="str">
        <f>IF($H172="USD",IF(OR($L172="",$L172="-"),"",VLOOKUP($G172,為替!$A:$AX,$L172,FALSE))+$K$3,IF(OR($L172="",$L172="-"),"",VLOOKUP($G172,為替!$A:$AX,$L172,FALSE)))</f>
        <v/>
      </c>
      <c r="N172" s="205" t="str">
        <f t="shared" si="20"/>
        <v/>
      </c>
      <c r="O172" s="206" t="str">
        <f t="shared" si="16"/>
        <v/>
      </c>
      <c r="P172" s="207" t="str">
        <f t="shared" si="21"/>
        <v/>
      </c>
    </row>
    <row r="173" spans="3:16">
      <c r="C173" s="200"/>
      <c r="D173" s="201"/>
      <c r="E173" s="202"/>
      <c r="F173" s="200"/>
      <c r="H173" s="203"/>
      <c r="I173" s="186" t="str">
        <f t="shared" si="17"/>
        <v/>
      </c>
      <c r="J173" s="204" t="str">
        <f>IF($H173="USD",IF(OR($I173="",$I173="-"),"",VLOOKUP($G173,為替!$A:$AX,$I173,FALSE))+$J$3,IF(OR($I173="",$I173="-"),"",VLOOKUP($G173,為替!$A:$AX,$I173,FALSE)))</f>
        <v/>
      </c>
      <c r="K173" s="205" t="str">
        <f t="shared" si="18"/>
        <v/>
      </c>
      <c r="L173" s="189" t="str">
        <f t="shared" si="19"/>
        <v/>
      </c>
      <c r="M173" s="204" t="str">
        <f>IF($H173="USD",IF(OR($L173="",$L173="-"),"",VLOOKUP($G173,為替!$A:$AX,$L173,FALSE))+$K$3,IF(OR($L173="",$L173="-"),"",VLOOKUP($G173,為替!$A:$AX,$L173,FALSE)))</f>
        <v/>
      </c>
      <c r="N173" s="205" t="str">
        <f t="shared" si="20"/>
        <v/>
      </c>
      <c r="O173" s="206" t="str">
        <f t="shared" si="16"/>
        <v/>
      </c>
      <c r="P173" s="207" t="str">
        <f t="shared" si="21"/>
        <v/>
      </c>
    </row>
    <row r="174" spans="3:16">
      <c r="C174" s="200"/>
      <c r="D174" s="201"/>
      <c r="E174" s="202"/>
      <c r="F174" s="200"/>
      <c r="H174" s="203"/>
      <c r="I174" s="186" t="str">
        <f t="shared" si="17"/>
        <v/>
      </c>
      <c r="J174" s="204" t="str">
        <f>IF($H174="USD",IF(OR($I174="",$I174="-"),"",VLOOKUP($G174,為替!$A:$AX,$I174,FALSE))+$J$3,IF(OR($I174="",$I174="-"),"",VLOOKUP($G174,為替!$A:$AX,$I174,FALSE)))</f>
        <v/>
      </c>
      <c r="K174" s="205" t="str">
        <f t="shared" si="18"/>
        <v/>
      </c>
      <c r="L174" s="189" t="str">
        <f t="shared" si="19"/>
        <v/>
      </c>
      <c r="M174" s="204" t="str">
        <f>IF($H174="USD",IF(OR($L174="",$L174="-"),"",VLOOKUP($G174,為替!$A:$AX,$L174,FALSE))+$K$3,IF(OR($L174="",$L174="-"),"",VLOOKUP($G174,為替!$A:$AX,$L174,FALSE)))</f>
        <v/>
      </c>
      <c r="N174" s="205" t="str">
        <f t="shared" si="20"/>
        <v/>
      </c>
      <c r="O174" s="206" t="str">
        <f t="shared" si="16"/>
        <v/>
      </c>
      <c r="P174" s="207" t="str">
        <f t="shared" si="21"/>
        <v/>
      </c>
    </row>
    <row r="175" spans="3:16">
      <c r="C175" s="200"/>
      <c r="D175" s="201"/>
      <c r="E175" s="202"/>
      <c r="F175" s="200"/>
      <c r="H175" s="203"/>
      <c r="I175" s="186" t="str">
        <f t="shared" si="17"/>
        <v/>
      </c>
      <c r="J175" s="204" t="str">
        <f>IF($H175="USD",IF(OR($I175="",$I175="-"),"",VLOOKUP($G175,為替!$A:$AX,$I175,FALSE))+$J$3,IF(OR($I175="",$I175="-"),"",VLOOKUP($G175,為替!$A:$AX,$I175,FALSE)))</f>
        <v/>
      </c>
      <c r="K175" s="205" t="str">
        <f t="shared" si="18"/>
        <v/>
      </c>
      <c r="L175" s="189" t="str">
        <f t="shared" si="19"/>
        <v/>
      </c>
      <c r="M175" s="204" t="str">
        <f>IF($H175="USD",IF(OR($L175="",$L175="-"),"",VLOOKUP($G175,為替!$A:$AX,$L175,FALSE))+$K$3,IF(OR($L175="",$L175="-"),"",VLOOKUP($G175,為替!$A:$AX,$L175,FALSE)))</f>
        <v/>
      </c>
      <c r="N175" s="205" t="str">
        <f t="shared" si="20"/>
        <v/>
      </c>
      <c r="O175" s="206" t="str">
        <f t="shared" si="16"/>
        <v/>
      </c>
      <c r="P175" s="207" t="str">
        <f t="shared" si="21"/>
        <v/>
      </c>
    </row>
    <row r="176" spans="3:16">
      <c r="C176" s="200"/>
      <c r="D176" s="201"/>
      <c r="E176" s="202"/>
      <c r="F176" s="200"/>
      <c r="H176" s="203"/>
      <c r="I176" s="186" t="str">
        <f t="shared" si="17"/>
        <v/>
      </c>
      <c r="J176" s="204" t="str">
        <f>IF($H176="USD",IF(OR($I176="",$I176="-"),"",VLOOKUP($G176,為替!$A:$AX,$I176,FALSE))+$J$3,IF(OR($I176="",$I176="-"),"",VLOOKUP($G176,為替!$A:$AX,$I176,FALSE)))</f>
        <v/>
      </c>
      <c r="K176" s="205" t="str">
        <f t="shared" si="18"/>
        <v/>
      </c>
      <c r="L176" s="189" t="str">
        <f t="shared" si="19"/>
        <v/>
      </c>
      <c r="M176" s="204" t="str">
        <f>IF($H176="USD",IF(OR($L176="",$L176="-"),"",VLOOKUP($G176,為替!$A:$AX,$L176,FALSE))+$K$3,IF(OR($L176="",$L176="-"),"",VLOOKUP($G176,為替!$A:$AX,$L176,FALSE)))</f>
        <v/>
      </c>
      <c r="N176" s="205" t="str">
        <f t="shared" si="20"/>
        <v/>
      </c>
      <c r="O176" s="206" t="str">
        <f t="shared" si="16"/>
        <v/>
      </c>
      <c r="P176" s="207" t="str">
        <f t="shared" si="21"/>
        <v/>
      </c>
    </row>
    <row r="177" spans="3:16">
      <c r="C177" s="200"/>
      <c r="D177" s="201"/>
      <c r="E177" s="202"/>
      <c r="F177" s="200"/>
      <c r="H177" s="203"/>
      <c r="I177" s="186" t="str">
        <f t="shared" si="17"/>
        <v/>
      </c>
      <c r="J177" s="204" t="str">
        <f>IF($H177="USD",IF(OR($I177="",$I177="-"),"",VLOOKUP($G177,為替!$A:$AX,$I177,FALSE))+$J$3,IF(OR($I177="",$I177="-"),"",VLOOKUP($G177,為替!$A:$AX,$I177,FALSE)))</f>
        <v/>
      </c>
      <c r="K177" s="205" t="str">
        <f t="shared" si="18"/>
        <v/>
      </c>
      <c r="L177" s="189" t="str">
        <f t="shared" si="19"/>
        <v/>
      </c>
      <c r="M177" s="204" t="str">
        <f>IF($H177="USD",IF(OR($L177="",$L177="-"),"",VLOOKUP($G177,為替!$A:$AX,$L177,FALSE))+$K$3,IF(OR($L177="",$L177="-"),"",VLOOKUP($G177,為替!$A:$AX,$L177,FALSE)))</f>
        <v/>
      </c>
      <c r="N177" s="205" t="str">
        <f t="shared" si="20"/>
        <v/>
      </c>
      <c r="O177" s="206" t="str">
        <f t="shared" si="16"/>
        <v/>
      </c>
      <c r="P177" s="207" t="str">
        <f t="shared" si="21"/>
        <v/>
      </c>
    </row>
    <row r="178" spans="3:16">
      <c r="C178" s="200"/>
      <c r="D178" s="201"/>
      <c r="E178" s="202"/>
      <c r="F178" s="200"/>
      <c r="H178" s="203"/>
      <c r="I178" s="186" t="str">
        <f t="shared" si="17"/>
        <v/>
      </c>
      <c r="J178" s="204" t="str">
        <f>IF($H178="USD",IF(OR($I178="",$I178="-"),"",VLOOKUP($G178,為替!$A:$AX,$I178,FALSE))+$J$3,IF(OR($I178="",$I178="-"),"",VLOOKUP($G178,為替!$A:$AX,$I178,FALSE)))</f>
        <v/>
      </c>
      <c r="K178" s="205" t="str">
        <f t="shared" si="18"/>
        <v/>
      </c>
      <c r="L178" s="189" t="str">
        <f t="shared" si="19"/>
        <v/>
      </c>
      <c r="M178" s="204" t="str">
        <f>IF($H178="USD",IF(OR($L178="",$L178="-"),"",VLOOKUP($G178,為替!$A:$AX,$L178,FALSE))+$K$3,IF(OR($L178="",$L178="-"),"",VLOOKUP($G178,為替!$A:$AX,$L178,FALSE)))</f>
        <v/>
      </c>
      <c r="N178" s="205" t="str">
        <f t="shared" si="20"/>
        <v/>
      </c>
      <c r="O178" s="206" t="str">
        <f t="shared" si="16"/>
        <v/>
      </c>
      <c r="P178" s="207" t="str">
        <f t="shared" si="21"/>
        <v/>
      </c>
    </row>
    <row r="179" spans="3:16">
      <c r="C179" s="200"/>
      <c r="D179" s="201"/>
      <c r="E179" s="202"/>
      <c r="F179" s="200"/>
      <c r="H179" s="203"/>
      <c r="I179" s="186" t="str">
        <f t="shared" si="17"/>
        <v/>
      </c>
      <c r="J179" s="204" t="str">
        <f>IF($H179="USD",IF(OR($I179="",$I179="-"),"",VLOOKUP($G179,為替!$A:$AX,$I179,FALSE))+$J$3,IF(OR($I179="",$I179="-"),"",VLOOKUP($G179,為替!$A:$AX,$I179,FALSE)))</f>
        <v/>
      </c>
      <c r="K179" s="205" t="str">
        <f t="shared" si="18"/>
        <v/>
      </c>
      <c r="L179" s="189" t="str">
        <f t="shared" si="19"/>
        <v/>
      </c>
      <c r="M179" s="204" t="str">
        <f>IF($H179="USD",IF(OR($L179="",$L179="-"),"",VLOOKUP($G179,為替!$A:$AX,$L179,FALSE))+$K$3,IF(OR($L179="",$L179="-"),"",VLOOKUP($G179,為替!$A:$AX,$L179,FALSE)))</f>
        <v/>
      </c>
      <c r="N179" s="205" t="str">
        <f t="shared" si="20"/>
        <v/>
      </c>
      <c r="O179" s="206" t="str">
        <f t="shared" si="16"/>
        <v/>
      </c>
      <c r="P179" s="207" t="str">
        <f t="shared" si="21"/>
        <v/>
      </c>
    </row>
    <row r="180" spans="3:16">
      <c r="C180" s="200"/>
      <c r="D180" s="201"/>
      <c r="E180" s="202"/>
      <c r="F180" s="200"/>
      <c r="H180" s="203"/>
      <c r="I180" s="186" t="str">
        <f t="shared" si="17"/>
        <v/>
      </c>
      <c r="J180" s="204" t="str">
        <f>IF($H180="USD",IF(OR($I180="",$I180="-"),"",VLOOKUP($G180,為替!$A:$AX,$I180,FALSE))+$J$3,IF(OR($I180="",$I180="-"),"",VLOOKUP($G180,為替!$A:$AX,$I180,FALSE)))</f>
        <v/>
      </c>
      <c r="K180" s="205" t="str">
        <f t="shared" si="18"/>
        <v/>
      </c>
      <c r="L180" s="189" t="str">
        <f t="shared" si="19"/>
        <v/>
      </c>
      <c r="M180" s="204" t="str">
        <f>IF($H180="USD",IF(OR($L180="",$L180="-"),"",VLOOKUP($G180,為替!$A:$AX,$L180,FALSE))+$K$3,IF(OR($L180="",$L180="-"),"",VLOOKUP($G180,為替!$A:$AX,$L180,FALSE)))</f>
        <v/>
      </c>
      <c r="N180" s="205" t="str">
        <f t="shared" si="20"/>
        <v/>
      </c>
      <c r="O180" s="206" t="str">
        <f t="shared" si="16"/>
        <v/>
      </c>
      <c r="P180" s="207" t="str">
        <f t="shared" si="21"/>
        <v/>
      </c>
    </row>
    <row r="181" spans="3:16">
      <c r="C181" s="200"/>
      <c r="D181" s="201"/>
      <c r="E181" s="202"/>
      <c r="F181" s="200"/>
      <c r="H181" s="203"/>
      <c r="I181" s="186" t="str">
        <f t="shared" si="17"/>
        <v/>
      </c>
      <c r="J181" s="204" t="str">
        <f>IF($H181="USD",IF(OR($I181="",$I181="-"),"",VLOOKUP($G181,為替!$A:$AX,$I181,FALSE))+$J$3,IF(OR($I181="",$I181="-"),"",VLOOKUP($G181,為替!$A:$AX,$I181,FALSE)))</f>
        <v/>
      </c>
      <c r="K181" s="205" t="str">
        <f t="shared" si="18"/>
        <v/>
      </c>
      <c r="L181" s="189" t="str">
        <f t="shared" si="19"/>
        <v/>
      </c>
      <c r="M181" s="204" t="str">
        <f>IF($H181="USD",IF(OR($L181="",$L181="-"),"",VLOOKUP($G181,為替!$A:$AX,$L181,FALSE))+$K$3,IF(OR($L181="",$L181="-"),"",VLOOKUP($G181,為替!$A:$AX,$L181,FALSE)))</f>
        <v/>
      </c>
      <c r="N181" s="205" t="str">
        <f t="shared" si="20"/>
        <v/>
      </c>
      <c r="O181" s="206" t="str">
        <f t="shared" si="16"/>
        <v/>
      </c>
      <c r="P181" s="207" t="str">
        <f t="shared" si="21"/>
        <v/>
      </c>
    </row>
    <row r="182" spans="3:16">
      <c r="C182" s="200"/>
      <c r="D182" s="201"/>
      <c r="E182" s="202"/>
      <c r="F182" s="200"/>
      <c r="H182" s="203"/>
      <c r="I182" s="186" t="str">
        <f t="shared" si="17"/>
        <v/>
      </c>
      <c r="J182" s="204" t="str">
        <f>IF($H182="USD",IF(OR($I182="",$I182="-"),"",VLOOKUP($G182,為替!$A:$AX,$I182,FALSE))+$J$3,IF(OR($I182="",$I182="-"),"",VLOOKUP($G182,為替!$A:$AX,$I182,FALSE)))</f>
        <v/>
      </c>
      <c r="K182" s="205" t="str">
        <f t="shared" si="18"/>
        <v/>
      </c>
      <c r="L182" s="189" t="str">
        <f t="shared" si="19"/>
        <v/>
      </c>
      <c r="M182" s="204" t="str">
        <f>IF($H182="USD",IF(OR($L182="",$L182="-"),"",VLOOKUP($G182,為替!$A:$AX,$L182,FALSE))+$K$3,IF(OR($L182="",$L182="-"),"",VLOOKUP($G182,為替!$A:$AX,$L182,FALSE)))</f>
        <v/>
      </c>
      <c r="N182" s="205" t="str">
        <f t="shared" si="20"/>
        <v/>
      </c>
      <c r="O182" s="206" t="str">
        <f t="shared" si="16"/>
        <v/>
      </c>
      <c r="P182" s="207" t="str">
        <f t="shared" si="21"/>
        <v/>
      </c>
    </row>
    <row r="183" spans="3:16">
      <c r="C183" s="200"/>
      <c r="D183" s="201"/>
      <c r="E183" s="202"/>
      <c r="F183" s="200"/>
      <c r="H183" s="203"/>
      <c r="I183" s="186" t="str">
        <f t="shared" si="17"/>
        <v/>
      </c>
      <c r="J183" s="204" t="str">
        <f>IF($H183="USD",IF(OR($I183="",$I183="-"),"",VLOOKUP($G183,為替!$A:$AX,$I183,FALSE))+$J$3,IF(OR($I183="",$I183="-"),"",VLOOKUP($G183,為替!$A:$AX,$I183,FALSE)))</f>
        <v/>
      </c>
      <c r="K183" s="205" t="str">
        <f t="shared" si="18"/>
        <v/>
      </c>
      <c r="L183" s="189" t="str">
        <f t="shared" si="19"/>
        <v/>
      </c>
      <c r="M183" s="204" t="str">
        <f>IF($H183="USD",IF(OR($L183="",$L183="-"),"",VLOOKUP($G183,為替!$A:$AX,$L183,FALSE))+$K$3,IF(OR($L183="",$L183="-"),"",VLOOKUP($G183,為替!$A:$AX,$L183,FALSE)))</f>
        <v/>
      </c>
      <c r="N183" s="205" t="str">
        <f t="shared" si="20"/>
        <v/>
      </c>
      <c r="O183" s="206" t="str">
        <f t="shared" si="16"/>
        <v/>
      </c>
      <c r="P183" s="207" t="str">
        <f t="shared" si="21"/>
        <v/>
      </c>
    </row>
    <row r="184" spans="3:16">
      <c r="C184" s="200"/>
      <c r="D184" s="201"/>
      <c r="E184" s="202"/>
      <c r="F184" s="200"/>
      <c r="H184" s="203"/>
      <c r="I184" s="186" t="str">
        <f t="shared" si="17"/>
        <v/>
      </c>
      <c r="J184" s="204" t="str">
        <f>IF($H184="USD",IF(OR($I184="",$I184="-"),"",VLOOKUP($G184,為替!$A:$AX,$I184,FALSE))+$J$3,IF(OR($I184="",$I184="-"),"",VLOOKUP($G184,為替!$A:$AX,$I184,FALSE)))</f>
        <v/>
      </c>
      <c r="K184" s="205" t="str">
        <f t="shared" si="18"/>
        <v/>
      </c>
      <c r="L184" s="189" t="str">
        <f t="shared" si="19"/>
        <v/>
      </c>
      <c r="M184" s="204" t="str">
        <f>IF($H184="USD",IF(OR($L184="",$L184="-"),"",VLOOKUP($G184,為替!$A:$AX,$L184,FALSE))+$K$3,IF(OR($L184="",$L184="-"),"",VLOOKUP($G184,為替!$A:$AX,$L184,FALSE)))</f>
        <v/>
      </c>
      <c r="N184" s="205" t="str">
        <f t="shared" si="20"/>
        <v/>
      </c>
      <c r="O184" s="206" t="str">
        <f t="shared" si="16"/>
        <v/>
      </c>
      <c r="P184" s="207" t="str">
        <f t="shared" si="21"/>
        <v/>
      </c>
    </row>
    <row r="185" spans="3:16">
      <c r="C185" s="200"/>
      <c r="D185" s="201"/>
      <c r="E185" s="202"/>
      <c r="F185" s="200"/>
      <c r="H185" s="203"/>
      <c r="I185" s="186" t="str">
        <f t="shared" si="17"/>
        <v/>
      </c>
      <c r="J185" s="204" t="str">
        <f>IF($H185="USD",IF(OR($I185="",$I185="-"),"",VLOOKUP($G185,為替!$A:$AX,$I185,FALSE))+$J$3,IF(OR($I185="",$I185="-"),"",VLOOKUP($G185,為替!$A:$AX,$I185,FALSE)))</f>
        <v/>
      </c>
      <c r="K185" s="205" t="str">
        <f t="shared" si="18"/>
        <v/>
      </c>
      <c r="L185" s="189" t="str">
        <f t="shared" si="19"/>
        <v/>
      </c>
      <c r="M185" s="204" t="str">
        <f>IF($H185="USD",IF(OR($L185="",$L185="-"),"",VLOOKUP($G185,為替!$A:$AX,$L185,FALSE))+$K$3,IF(OR($L185="",$L185="-"),"",VLOOKUP($G185,為替!$A:$AX,$L185,FALSE)))</f>
        <v/>
      </c>
      <c r="N185" s="205" t="str">
        <f t="shared" si="20"/>
        <v/>
      </c>
      <c r="O185" s="206" t="str">
        <f t="shared" si="16"/>
        <v/>
      </c>
      <c r="P185" s="207" t="str">
        <f t="shared" si="21"/>
        <v/>
      </c>
    </row>
    <row r="186" spans="3:16">
      <c r="C186" s="200"/>
      <c r="D186" s="201"/>
      <c r="E186" s="202"/>
      <c r="F186" s="200"/>
      <c r="H186" s="203"/>
      <c r="I186" s="186" t="str">
        <f t="shared" si="17"/>
        <v/>
      </c>
      <c r="J186" s="204" t="str">
        <f>IF($H186="USD",IF(OR($I186="",$I186="-"),"",VLOOKUP($G186,為替!$A:$AX,$I186,FALSE))+$J$3,IF(OR($I186="",$I186="-"),"",VLOOKUP($G186,為替!$A:$AX,$I186,FALSE)))</f>
        <v/>
      </c>
      <c r="K186" s="205" t="str">
        <f t="shared" si="18"/>
        <v/>
      </c>
      <c r="L186" s="189" t="str">
        <f t="shared" si="19"/>
        <v/>
      </c>
      <c r="M186" s="204" t="str">
        <f>IF($H186="USD",IF(OR($L186="",$L186="-"),"",VLOOKUP($G186,為替!$A:$AX,$L186,FALSE))+$K$3,IF(OR($L186="",$L186="-"),"",VLOOKUP($G186,為替!$A:$AX,$L186,FALSE)))</f>
        <v/>
      </c>
      <c r="N186" s="205" t="str">
        <f t="shared" si="20"/>
        <v/>
      </c>
      <c r="O186" s="206" t="str">
        <f t="shared" si="16"/>
        <v/>
      </c>
      <c r="P186" s="207" t="str">
        <f t="shared" si="21"/>
        <v/>
      </c>
    </row>
    <row r="187" spans="3:16">
      <c r="C187" s="200"/>
      <c r="D187" s="201"/>
      <c r="E187" s="202"/>
      <c r="F187" s="200"/>
      <c r="H187" s="203"/>
      <c r="I187" s="186" t="str">
        <f t="shared" si="17"/>
        <v/>
      </c>
      <c r="J187" s="204" t="str">
        <f>IF($H187="USD",IF(OR($I187="",$I187="-"),"",VLOOKUP($G187,為替!$A:$AX,$I187,FALSE))+$J$3,IF(OR($I187="",$I187="-"),"",VLOOKUP($G187,為替!$A:$AX,$I187,FALSE)))</f>
        <v/>
      </c>
      <c r="K187" s="205" t="str">
        <f t="shared" si="18"/>
        <v/>
      </c>
      <c r="L187" s="189" t="str">
        <f t="shared" si="19"/>
        <v/>
      </c>
      <c r="M187" s="204" t="str">
        <f>IF($H187="USD",IF(OR($L187="",$L187="-"),"",VLOOKUP($G187,為替!$A:$AX,$L187,FALSE))+$K$3,IF(OR($L187="",$L187="-"),"",VLOOKUP($G187,為替!$A:$AX,$L187,FALSE)))</f>
        <v/>
      </c>
      <c r="N187" s="205" t="str">
        <f t="shared" si="20"/>
        <v/>
      </c>
      <c r="O187" s="206" t="str">
        <f t="shared" si="16"/>
        <v/>
      </c>
      <c r="P187" s="207" t="str">
        <f t="shared" si="21"/>
        <v/>
      </c>
    </row>
    <row r="188" spans="3:16">
      <c r="C188" s="200"/>
      <c r="D188" s="201"/>
      <c r="E188" s="202"/>
      <c r="F188" s="200"/>
      <c r="H188" s="203"/>
      <c r="I188" s="186" t="str">
        <f t="shared" si="17"/>
        <v/>
      </c>
      <c r="J188" s="204" t="str">
        <f>IF($H188="USD",IF(OR($I188="",$I188="-"),"",VLOOKUP($G188,為替!$A:$AX,$I188,FALSE))+$J$3,IF(OR($I188="",$I188="-"),"",VLOOKUP($G188,為替!$A:$AX,$I188,FALSE)))</f>
        <v/>
      </c>
      <c r="K188" s="205" t="str">
        <f t="shared" si="18"/>
        <v/>
      </c>
      <c r="L188" s="189" t="str">
        <f t="shared" si="19"/>
        <v/>
      </c>
      <c r="M188" s="204" t="str">
        <f>IF($H188="USD",IF(OR($L188="",$L188="-"),"",VLOOKUP($G188,為替!$A:$AX,$L188,FALSE))+$K$3,IF(OR($L188="",$L188="-"),"",VLOOKUP($G188,為替!$A:$AX,$L188,FALSE)))</f>
        <v/>
      </c>
      <c r="N188" s="205" t="str">
        <f t="shared" si="20"/>
        <v/>
      </c>
      <c r="O188" s="206" t="str">
        <f t="shared" si="16"/>
        <v/>
      </c>
      <c r="P188" s="207" t="str">
        <f t="shared" si="21"/>
        <v/>
      </c>
    </row>
    <row r="189" spans="3:16">
      <c r="C189" s="200"/>
      <c r="D189" s="201"/>
      <c r="E189" s="202"/>
      <c r="F189" s="200"/>
      <c r="H189" s="203"/>
      <c r="I189" s="186" t="str">
        <f t="shared" si="17"/>
        <v/>
      </c>
      <c r="J189" s="204" t="str">
        <f>IF($H189="USD",IF(OR($I189="",$I189="-"),"",VLOOKUP($G189,為替!$A:$AX,$I189,FALSE))+$J$3,IF(OR($I189="",$I189="-"),"",VLOOKUP($G189,為替!$A:$AX,$I189,FALSE)))</f>
        <v/>
      </c>
      <c r="K189" s="205" t="str">
        <f t="shared" si="18"/>
        <v/>
      </c>
      <c r="L189" s="189" t="str">
        <f t="shared" si="19"/>
        <v/>
      </c>
      <c r="M189" s="204" t="str">
        <f>IF($H189="USD",IF(OR($L189="",$L189="-"),"",VLOOKUP($G189,為替!$A:$AX,$L189,FALSE))+$K$3,IF(OR($L189="",$L189="-"),"",VLOOKUP($G189,為替!$A:$AX,$L189,FALSE)))</f>
        <v/>
      </c>
      <c r="N189" s="205" t="str">
        <f t="shared" si="20"/>
        <v/>
      </c>
      <c r="O189" s="206" t="str">
        <f t="shared" si="16"/>
        <v/>
      </c>
      <c r="P189" s="207" t="str">
        <f t="shared" si="21"/>
        <v/>
      </c>
    </row>
    <row r="190" spans="3:16">
      <c r="C190" s="200"/>
      <c r="D190" s="201"/>
      <c r="E190" s="202"/>
      <c r="F190" s="200"/>
      <c r="H190" s="203"/>
      <c r="I190" s="186" t="str">
        <f t="shared" si="17"/>
        <v/>
      </c>
      <c r="J190" s="204" t="str">
        <f>IF($H190="USD",IF(OR($I190="",$I190="-"),"",VLOOKUP($G190,為替!$A:$AX,$I190,FALSE))+$J$3,IF(OR($I190="",$I190="-"),"",VLOOKUP($G190,為替!$A:$AX,$I190,FALSE)))</f>
        <v/>
      </c>
      <c r="K190" s="205" t="str">
        <f t="shared" si="18"/>
        <v/>
      </c>
      <c r="L190" s="189" t="str">
        <f t="shared" si="19"/>
        <v/>
      </c>
      <c r="M190" s="204" t="str">
        <f>IF($H190="USD",IF(OR($L190="",$L190="-"),"",VLOOKUP($G190,為替!$A:$AX,$L190,FALSE))+$K$3,IF(OR($L190="",$L190="-"),"",VLOOKUP($G190,為替!$A:$AX,$L190,FALSE)))</f>
        <v/>
      </c>
      <c r="N190" s="205" t="str">
        <f t="shared" si="20"/>
        <v/>
      </c>
      <c r="O190" s="206" t="str">
        <f t="shared" si="16"/>
        <v/>
      </c>
      <c r="P190" s="207" t="str">
        <f t="shared" si="21"/>
        <v/>
      </c>
    </row>
    <row r="191" spans="3:16">
      <c r="C191" s="200"/>
      <c r="D191" s="201"/>
      <c r="E191" s="202"/>
      <c r="F191" s="200"/>
      <c r="H191" s="203"/>
      <c r="I191" s="186" t="str">
        <f t="shared" si="17"/>
        <v/>
      </c>
      <c r="J191" s="204" t="str">
        <f>IF($H191="USD",IF(OR($I191="",$I191="-"),"",VLOOKUP($G191,為替!$A:$AX,$I191,FALSE))+$J$3,IF(OR($I191="",$I191="-"),"",VLOOKUP($G191,為替!$A:$AX,$I191,FALSE)))</f>
        <v/>
      </c>
      <c r="K191" s="205" t="str">
        <f t="shared" si="18"/>
        <v/>
      </c>
      <c r="L191" s="189" t="str">
        <f t="shared" si="19"/>
        <v/>
      </c>
      <c r="M191" s="204" t="str">
        <f>IF($H191="USD",IF(OR($L191="",$L191="-"),"",VLOOKUP($G191,為替!$A:$AX,$L191,FALSE))+$K$3,IF(OR($L191="",$L191="-"),"",VLOOKUP($G191,為替!$A:$AX,$L191,FALSE)))</f>
        <v/>
      </c>
      <c r="N191" s="205" t="str">
        <f t="shared" si="20"/>
        <v/>
      </c>
      <c r="O191" s="206" t="str">
        <f t="shared" si="16"/>
        <v/>
      </c>
      <c r="P191" s="207" t="str">
        <f t="shared" si="21"/>
        <v/>
      </c>
    </row>
    <row r="192" spans="3:16">
      <c r="C192" s="200"/>
      <c r="D192" s="201"/>
      <c r="E192" s="202"/>
      <c r="F192" s="200"/>
      <c r="H192" s="203"/>
      <c r="I192" s="186" t="str">
        <f t="shared" si="17"/>
        <v/>
      </c>
      <c r="J192" s="204" t="str">
        <f>IF($H192="USD",IF(OR($I192="",$I192="-"),"",VLOOKUP($G192,為替!$A:$AX,$I192,FALSE))+$J$3,IF(OR($I192="",$I192="-"),"",VLOOKUP($G192,為替!$A:$AX,$I192,FALSE)))</f>
        <v/>
      </c>
      <c r="K192" s="205" t="str">
        <f t="shared" si="18"/>
        <v/>
      </c>
      <c r="L192" s="189" t="str">
        <f t="shared" si="19"/>
        <v/>
      </c>
      <c r="M192" s="204" t="str">
        <f>IF($H192="USD",IF(OR($L192="",$L192="-"),"",VLOOKUP($G192,為替!$A:$AX,$L192,FALSE))+$K$3,IF(OR($L192="",$L192="-"),"",VLOOKUP($G192,為替!$A:$AX,$L192,FALSE)))</f>
        <v/>
      </c>
      <c r="N192" s="205" t="str">
        <f t="shared" si="20"/>
        <v/>
      </c>
      <c r="O192" s="206" t="str">
        <f t="shared" si="16"/>
        <v/>
      </c>
      <c r="P192" s="207" t="str">
        <f t="shared" si="21"/>
        <v/>
      </c>
    </row>
    <row r="193" spans="3:16">
      <c r="C193" s="200"/>
      <c r="D193" s="201"/>
      <c r="E193" s="202"/>
      <c r="F193" s="200"/>
      <c r="H193" s="203"/>
      <c r="I193" s="186" t="str">
        <f t="shared" si="17"/>
        <v/>
      </c>
      <c r="J193" s="204" t="str">
        <f>IF($H193="USD",IF(OR($I193="",$I193="-"),"",VLOOKUP($G193,為替!$A:$AX,$I193,FALSE))+$J$3,IF(OR($I193="",$I193="-"),"",VLOOKUP($G193,為替!$A:$AX,$I193,FALSE)))</f>
        <v/>
      </c>
      <c r="K193" s="205" t="str">
        <f t="shared" si="18"/>
        <v/>
      </c>
      <c r="L193" s="189" t="str">
        <f t="shared" si="19"/>
        <v/>
      </c>
      <c r="M193" s="204" t="str">
        <f>IF($H193="USD",IF(OR($L193="",$L193="-"),"",VLOOKUP($G193,為替!$A:$AX,$L193,FALSE))+$K$3,IF(OR($L193="",$L193="-"),"",VLOOKUP($G193,為替!$A:$AX,$L193,FALSE)))</f>
        <v/>
      </c>
      <c r="N193" s="205" t="str">
        <f t="shared" si="20"/>
        <v/>
      </c>
      <c r="O193" s="206" t="str">
        <f t="shared" si="16"/>
        <v/>
      </c>
      <c r="P193" s="207" t="str">
        <f t="shared" si="21"/>
        <v/>
      </c>
    </row>
    <row r="194" spans="3:16">
      <c r="C194" s="200"/>
      <c r="D194" s="201"/>
      <c r="E194" s="202"/>
      <c r="F194" s="200"/>
      <c r="H194" s="203"/>
      <c r="I194" s="186" t="str">
        <f t="shared" si="17"/>
        <v/>
      </c>
      <c r="J194" s="204" t="str">
        <f>IF($H194="USD",IF(OR($I194="",$I194="-"),"",VLOOKUP($G194,為替!$A:$AX,$I194,FALSE))+$J$3,IF(OR($I194="",$I194="-"),"",VLOOKUP($G194,為替!$A:$AX,$I194,FALSE)))</f>
        <v/>
      </c>
      <c r="K194" s="205" t="str">
        <f t="shared" si="18"/>
        <v/>
      </c>
      <c r="L194" s="189" t="str">
        <f t="shared" si="19"/>
        <v/>
      </c>
      <c r="M194" s="204" t="str">
        <f>IF($H194="USD",IF(OR($L194="",$L194="-"),"",VLOOKUP($G194,為替!$A:$AX,$L194,FALSE))+$K$3,IF(OR($L194="",$L194="-"),"",VLOOKUP($G194,為替!$A:$AX,$L194,FALSE)))</f>
        <v/>
      </c>
      <c r="N194" s="205" t="str">
        <f t="shared" si="20"/>
        <v/>
      </c>
      <c r="O194" s="206" t="str">
        <f t="shared" si="16"/>
        <v/>
      </c>
      <c r="P194" s="207" t="str">
        <f t="shared" si="21"/>
        <v/>
      </c>
    </row>
    <row r="195" spans="3:16">
      <c r="C195" s="200"/>
      <c r="D195" s="201"/>
      <c r="E195" s="202"/>
      <c r="F195" s="200"/>
      <c r="H195" s="203"/>
      <c r="I195" s="186" t="str">
        <f t="shared" si="17"/>
        <v/>
      </c>
      <c r="J195" s="204" t="str">
        <f>IF($H195="USD",IF(OR($I195="",$I195="-"),"",VLOOKUP($G195,為替!$A:$AX,$I195,FALSE))+$J$3,IF(OR($I195="",$I195="-"),"",VLOOKUP($G195,為替!$A:$AX,$I195,FALSE)))</f>
        <v/>
      </c>
      <c r="K195" s="205" t="str">
        <f t="shared" si="18"/>
        <v/>
      </c>
      <c r="L195" s="189" t="str">
        <f t="shared" si="19"/>
        <v/>
      </c>
      <c r="M195" s="204" t="str">
        <f>IF($H195="USD",IF(OR($L195="",$L195="-"),"",VLOOKUP($G195,為替!$A:$AX,$L195,FALSE))+$K$3,IF(OR($L195="",$L195="-"),"",VLOOKUP($G195,為替!$A:$AX,$L195,FALSE)))</f>
        <v/>
      </c>
      <c r="N195" s="205" t="str">
        <f t="shared" si="20"/>
        <v/>
      </c>
      <c r="O195" s="206" t="str">
        <f t="shared" si="16"/>
        <v/>
      </c>
      <c r="P195" s="207" t="str">
        <f t="shared" si="21"/>
        <v/>
      </c>
    </row>
    <row r="196" spans="3:16">
      <c r="C196" s="200"/>
      <c r="D196" s="201"/>
      <c r="E196" s="202"/>
      <c r="F196" s="200"/>
      <c r="H196" s="203"/>
      <c r="I196" s="186" t="str">
        <f t="shared" si="17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 t="str">
        <f t="shared" si="18"/>
        <v/>
      </c>
      <c r="L196" s="189" t="str">
        <f t="shared" si="19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 t="str">
        <f t="shared" si="20"/>
        <v/>
      </c>
      <c r="O196" s="206" t="str">
        <f t="shared" si="16"/>
        <v/>
      </c>
      <c r="P196" s="207" t="str">
        <f t="shared" si="21"/>
        <v/>
      </c>
    </row>
    <row r="197" spans="3:16">
      <c r="C197" s="200"/>
      <c r="D197" s="201"/>
      <c r="E197" s="202"/>
      <c r="F197" s="200"/>
      <c r="H197" s="203"/>
      <c r="I197" s="186" t="str">
        <f t="shared" si="17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 t="str">
        <f t="shared" si="18"/>
        <v/>
      </c>
      <c r="L197" s="189" t="str">
        <f t="shared" si="19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 t="str">
        <f t="shared" si="20"/>
        <v/>
      </c>
      <c r="O197" s="206" t="str">
        <f t="shared" si="16"/>
        <v/>
      </c>
      <c r="P197" s="207" t="str">
        <f t="shared" si="21"/>
        <v/>
      </c>
    </row>
    <row r="198" spans="3:16">
      <c r="C198" s="200"/>
      <c r="D198" s="201"/>
      <c r="E198" s="202"/>
      <c r="F198" s="200"/>
      <c r="H198" s="203"/>
      <c r="I198" s="186" t="str">
        <f t="shared" si="17"/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 t="str">
        <f t="shared" si="18"/>
        <v/>
      </c>
      <c r="L198" s="189" t="str">
        <f t="shared" si="19"/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 t="str">
        <f t="shared" si="20"/>
        <v/>
      </c>
      <c r="O198" s="206" t="str">
        <f t="shared" si="16"/>
        <v/>
      </c>
      <c r="P198" s="207" t="str">
        <f t="shared" si="21"/>
        <v/>
      </c>
    </row>
    <row r="199" spans="3:16">
      <c r="C199" s="200"/>
      <c r="D199" s="201"/>
      <c r="E199" s="202"/>
      <c r="F199" s="200"/>
      <c r="H199" s="203"/>
      <c r="I199" s="186" t="str">
        <f t="shared" si="17"/>
        <v/>
      </c>
      <c r="J199" s="204" t="str">
        <f>IF($H199="USD",IF(OR($I199="",$I199="-"),"",VLOOKUP($G199,為替!$A:$AX,$I199,FALSE))+$J$3,IF(OR($I199="",$I199="-"),"",VLOOKUP($G199,為替!$A:$AX,$I199,FALSE)))</f>
        <v/>
      </c>
      <c r="K199" s="205" t="str">
        <f t="shared" si="18"/>
        <v/>
      </c>
      <c r="L199" s="189" t="str">
        <f t="shared" si="19"/>
        <v/>
      </c>
      <c r="M199" s="204" t="str">
        <f>IF($H199="USD",IF(OR($L199="",$L199="-"),"",VLOOKUP($G199,為替!$A:$AX,$L199,FALSE))+$K$3,IF(OR($L199="",$L199="-"),"",VLOOKUP($G199,為替!$A:$AX,$L199,FALSE)))</f>
        <v/>
      </c>
      <c r="N199" s="205" t="str">
        <f t="shared" si="20"/>
        <v/>
      </c>
      <c r="O199" s="206" t="str">
        <f t="shared" si="16"/>
        <v/>
      </c>
      <c r="P199" s="207" t="str">
        <f t="shared" si="21"/>
        <v/>
      </c>
    </row>
    <row r="200" spans="3:16">
      <c r="C200" s="200"/>
      <c r="D200" s="201"/>
      <c r="E200" s="202"/>
      <c r="F200" s="200"/>
      <c r="H200" s="203"/>
      <c r="I200" s="186" t="str">
        <f t="shared" si="17"/>
        <v/>
      </c>
      <c r="J200" s="204" t="str">
        <f>IF($H200="USD",IF(OR($I200="",$I200="-"),"",VLOOKUP($G200,為替!$A:$AX,$I200,FALSE))+$J$3,IF(OR($I200="",$I200="-"),"",VLOOKUP($G200,為替!$A:$AX,$I200,FALSE)))</f>
        <v/>
      </c>
      <c r="K200" s="205" t="str">
        <f t="shared" si="18"/>
        <v/>
      </c>
      <c r="L200" s="189" t="str">
        <f t="shared" si="19"/>
        <v/>
      </c>
      <c r="M200" s="204" t="str">
        <f>IF($H200="USD",IF(OR($L200="",$L200="-"),"",VLOOKUP($G200,為替!$A:$AX,$L200,FALSE))+$K$3,IF(OR($L200="",$L200="-"),"",VLOOKUP($G200,為替!$A:$AX,$L200,FALSE)))</f>
        <v/>
      </c>
      <c r="N200" s="205" t="str">
        <f t="shared" si="20"/>
        <v/>
      </c>
      <c r="O200" s="206" t="str">
        <f t="shared" si="16"/>
        <v/>
      </c>
      <c r="P200" s="207" t="str">
        <f t="shared" si="21"/>
        <v/>
      </c>
    </row>
    <row r="201" spans="3:16">
      <c r="C201" s="200"/>
      <c r="D201" s="201"/>
      <c r="E201" s="202"/>
      <c r="F201" s="200"/>
      <c r="H201" s="203"/>
      <c r="I201" s="186" t="str">
        <f t="shared" si="17"/>
        <v/>
      </c>
      <c r="J201" s="204" t="str">
        <f>IF($H201="USD",IF(OR($I201="",$I201="-"),"",VLOOKUP($G201,為替!$A:$AX,$I201,FALSE))+$J$3,IF(OR($I201="",$I201="-"),"",VLOOKUP($G201,為替!$A:$AX,$I201,FALSE)))</f>
        <v/>
      </c>
      <c r="K201" s="205" t="str">
        <f t="shared" si="18"/>
        <v/>
      </c>
      <c r="L201" s="189" t="str">
        <f t="shared" si="19"/>
        <v/>
      </c>
      <c r="M201" s="204" t="str">
        <f>IF($H201="USD",IF(OR($L201="",$L201="-"),"",VLOOKUP($G201,為替!$A:$AX,$L201,FALSE))+$K$3,IF(OR($L201="",$L201="-"),"",VLOOKUP($G201,為替!$A:$AX,$L201,FALSE)))</f>
        <v/>
      </c>
      <c r="N201" s="205" t="str">
        <f t="shared" si="20"/>
        <v/>
      </c>
      <c r="O201" s="206" t="str">
        <f t="shared" si="16"/>
        <v/>
      </c>
      <c r="P201" s="207" t="str">
        <f t="shared" si="21"/>
        <v/>
      </c>
    </row>
    <row r="202" spans="3:16">
      <c r="C202" s="200"/>
      <c r="D202" s="201"/>
      <c r="E202" s="202"/>
      <c r="F202" s="200"/>
      <c r="H202" s="203"/>
      <c r="I202" s="186" t="str">
        <f t="shared" si="17"/>
        <v/>
      </c>
      <c r="J202" s="204" t="str">
        <f>IF($H202="USD",IF(OR($I202="",$I202="-"),"",VLOOKUP($G202,為替!$A:$AX,$I202,FALSE))+$J$3,IF(OR($I202="",$I202="-"),"",VLOOKUP($G202,為替!$A:$AX,$I202,FALSE)))</f>
        <v/>
      </c>
      <c r="K202" s="205" t="str">
        <f t="shared" si="18"/>
        <v/>
      </c>
      <c r="L202" s="189" t="str">
        <f t="shared" si="19"/>
        <v/>
      </c>
      <c r="M202" s="204" t="str">
        <f>IF($H202="USD",IF(OR($L202="",$L202="-"),"",VLOOKUP($G202,為替!$A:$AX,$L202,FALSE))+$K$3,IF(OR($L202="",$L202="-"),"",VLOOKUP($G202,為替!$A:$AX,$L202,FALSE)))</f>
        <v/>
      </c>
      <c r="N202" s="205" t="str">
        <f t="shared" si="20"/>
        <v/>
      </c>
      <c r="O202" s="206" t="str">
        <f t="shared" si="16"/>
        <v/>
      </c>
      <c r="P202" s="207" t="str">
        <f t="shared" si="21"/>
        <v/>
      </c>
    </row>
    <row r="203" spans="3:16">
      <c r="C203" s="200"/>
      <c r="D203" s="201"/>
      <c r="E203" s="202"/>
      <c r="F203" s="200"/>
      <c r="H203" s="203"/>
      <c r="I203" s="186" t="str">
        <f t="shared" si="17"/>
        <v/>
      </c>
      <c r="J203" s="204" t="str">
        <f>IF($H203="USD",IF(OR($I203="",$I203="-"),"",VLOOKUP($G203,為替!$A:$AX,$I203,FALSE))+$J$3,IF(OR($I203="",$I203="-"),"",VLOOKUP($G203,為替!$A:$AX,$I203,FALSE)))</f>
        <v/>
      </c>
      <c r="K203" s="205" t="str">
        <f t="shared" si="18"/>
        <v/>
      </c>
      <c r="L203" s="189" t="str">
        <f t="shared" si="19"/>
        <v/>
      </c>
      <c r="M203" s="204" t="str">
        <f>IF($H203="USD",IF(OR($L203="",$L203="-"),"",VLOOKUP($G203,為替!$A:$AX,$L203,FALSE))+$K$3,IF(OR($L203="",$L203="-"),"",VLOOKUP($G203,為替!$A:$AX,$L203,FALSE)))</f>
        <v/>
      </c>
      <c r="N203" s="205" t="str">
        <f t="shared" si="20"/>
        <v/>
      </c>
      <c r="O203" s="206" t="str">
        <f t="shared" si="16"/>
        <v/>
      </c>
      <c r="P203" s="207" t="str">
        <f t="shared" si="21"/>
        <v/>
      </c>
    </row>
    <row r="204" spans="3:16">
      <c r="C204" s="200"/>
      <c r="D204" s="201"/>
      <c r="E204" s="202"/>
      <c r="F204" s="200"/>
      <c r="H204" s="203"/>
      <c r="I204" s="186" t="str">
        <f t="shared" si="17"/>
        <v/>
      </c>
      <c r="J204" s="204" t="str">
        <f>IF($H204="USD",IF(OR($I204="",$I204="-"),"",VLOOKUP($G204,為替!$A:$AX,$I204,FALSE))+$J$3,IF(OR($I204="",$I204="-"),"",VLOOKUP($G204,為替!$A:$AX,$I204,FALSE)))</f>
        <v/>
      </c>
      <c r="K204" s="205" t="str">
        <f t="shared" si="18"/>
        <v/>
      </c>
      <c r="L204" s="189" t="str">
        <f t="shared" si="19"/>
        <v/>
      </c>
      <c r="M204" s="204" t="str">
        <f>IF($H204="USD",IF(OR($L204="",$L204="-"),"",VLOOKUP($G204,為替!$A:$AX,$L204,FALSE))+$K$3,IF(OR($L204="",$L204="-"),"",VLOOKUP($G204,為替!$A:$AX,$L204,FALSE)))</f>
        <v/>
      </c>
      <c r="N204" s="205" t="str">
        <f t="shared" si="20"/>
        <v/>
      </c>
      <c r="O204" s="206" t="str">
        <f t="shared" si="16"/>
        <v/>
      </c>
      <c r="P204" s="207" t="str">
        <f t="shared" si="21"/>
        <v/>
      </c>
    </row>
    <row r="205" spans="3:16">
      <c r="C205" s="200"/>
      <c r="D205" s="201"/>
      <c r="E205" s="202"/>
      <c r="F205" s="200"/>
      <c r="H205" s="203"/>
      <c r="I205" s="186" t="str">
        <f t="shared" si="17"/>
        <v/>
      </c>
      <c r="J205" s="204" t="str">
        <f>IF($H205="USD",IF(OR($I205="",$I205="-"),"",VLOOKUP($G205,為替!$A:$AX,$I205,FALSE))+$J$3,IF(OR($I205="",$I205="-"),"",VLOOKUP($G205,為替!$A:$AX,$I205,FALSE)))</f>
        <v/>
      </c>
      <c r="K205" s="205" t="str">
        <f t="shared" si="18"/>
        <v/>
      </c>
      <c r="L205" s="189" t="str">
        <f t="shared" si="19"/>
        <v/>
      </c>
      <c r="M205" s="204" t="str">
        <f>IF($H205="USD",IF(OR($L205="",$L205="-"),"",VLOOKUP($G205,為替!$A:$AX,$L205,FALSE))+$K$3,IF(OR($L205="",$L205="-"),"",VLOOKUP($G205,為替!$A:$AX,$L205,FALSE)))</f>
        <v/>
      </c>
      <c r="N205" s="205" t="str">
        <f t="shared" si="20"/>
        <v/>
      </c>
      <c r="O205" s="206" t="str">
        <f t="shared" si="16"/>
        <v/>
      </c>
      <c r="P205" s="207" t="str">
        <f t="shared" si="21"/>
        <v/>
      </c>
    </row>
    <row r="206" spans="3:16">
      <c r="C206" s="200"/>
      <c r="D206" s="201"/>
      <c r="E206" s="202"/>
      <c r="F206" s="200"/>
      <c r="H206" s="203"/>
      <c r="I206" s="186" t="str">
        <f t="shared" si="17"/>
        <v/>
      </c>
      <c r="J206" s="204" t="str">
        <f>IF($H206="USD",IF(OR($I206="",$I206="-"),"",VLOOKUP($G206,為替!$A:$AX,$I206,FALSE))+$J$3,IF(OR($I206="",$I206="-"),"",VLOOKUP($G206,為替!$A:$AX,$I206,FALSE)))</f>
        <v/>
      </c>
      <c r="K206" s="205" t="str">
        <f t="shared" si="18"/>
        <v/>
      </c>
      <c r="L206" s="189" t="str">
        <f t="shared" si="19"/>
        <v/>
      </c>
      <c r="M206" s="204" t="str">
        <f>IF($H206="USD",IF(OR($L206="",$L206="-"),"",VLOOKUP($G206,為替!$A:$AX,$L206,FALSE))+$K$3,IF(OR($L206="",$L206="-"),"",VLOOKUP($G206,為替!$A:$AX,$L206,FALSE)))</f>
        <v/>
      </c>
      <c r="N206" s="205" t="str">
        <f t="shared" si="20"/>
        <v/>
      </c>
      <c r="O206" s="206" t="str">
        <f t="shared" ref="O206:O269" si="22">IF(OR(K206="",N206=""),"",K206-N206)</f>
        <v/>
      </c>
      <c r="P206" s="207" t="str">
        <f t="shared" si="21"/>
        <v/>
      </c>
    </row>
    <row r="207" spans="3:16">
      <c r="C207" s="200"/>
      <c r="D207" s="201"/>
      <c r="E207" s="202"/>
      <c r="F207" s="200"/>
      <c r="H207" s="203"/>
      <c r="I207" s="186" t="str">
        <f t="shared" ref="I207:I270" si="23">IF(H207="","",IF(H207="JPY","",IF($H207="USD",4, IF(H207="EUR",7,IF(H207="CNY",47,IF(H207="HKD",34))))))</f>
        <v/>
      </c>
      <c r="J207" s="204" t="str">
        <f>IF($H207="USD",IF(OR($I207="",$I207="-"),"",VLOOKUP($G207,為替!$A:$AX,$I207,FALSE))+$J$3,IF(OR($I207="",$I207="-"),"",VLOOKUP($G207,為替!$A:$AX,$I207,FALSE)))</f>
        <v/>
      </c>
      <c r="K207" s="205" t="str">
        <f t="shared" ref="K207:K270" si="24">IF($H207="JPY",$F207,IF($H207="","",$F207*$J207))</f>
        <v/>
      </c>
      <c r="L207" s="189" t="str">
        <f t="shared" ref="L207:L270" si="25">IF(H207="","",IF(H207="JPY","",IF($H207="USD",3, IF(H207="EUR",6,IF(H207="CNY",46,IF(H207="HKD",33))))))</f>
        <v/>
      </c>
      <c r="M207" s="204" t="str">
        <f>IF($H207="USD",IF(OR($L207="",$L207="-"),"",VLOOKUP($G207,為替!$A:$AX,$L207,FALSE))+$K$3,IF(OR($L207="",$L207="-"),"",VLOOKUP($G207,為替!$A:$AX,$L207,FALSE)))</f>
        <v/>
      </c>
      <c r="N207" s="205" t="str">
        <f t="shared" ref="N207:N270" si="26">IF($E207="JPY",($C207+$D207),IF($E207="","",($C207+$D207)*$M207))</f>
        <v/>
      </c>
      <c r="O207" s="206" t="str">
        <f t="shared" si="22"/>
        <v/>
      </c>
      <c r="P207" s="207" t="str">
        <f t="shared" ref="P207:P270" si="27">IF(OR(K207="",O207=""),"",O207/K207)</f>
        <v/>
      </c>
    </row>
    <row r="208" spans="3:16">
      <c r="C208" s="200"/>
      <c r="D208" s="201"/>
      <c r="E208" s="202"/>
      <c r="F208" s="200"/>
      <c r="H208" s="203"/>
      <c r="I208" s="186" t="str">
        <f t="shared" si="23"/>
        <v/>
      </c>
      <c r="J208" s="204" t="str">
        <f>IF($H208="USD",IF(OR($I208="",$I208="-"),"",VLOOKUP($G208,為替!$A:$AX,$I208,FALSE))+$J$3,IF(OR($I208="",$I208="-"),"",VLOOKUP($G208,為替!$A:$AX,$I208,FALSE)))</f>
        <v/>
      </c>
      <c r="K208" s="205" t="str">
        <f t="shared" si="24"/>
        <v/>
      </c>
      <c r="L208" s="189" t="str">
        <f t="shared" si="25"/>
        <v/>
      </c>
      <c r="M208" s="204" t="str">
        <f>IF($H208="USD",IF(OR($L208="",$L208="-"),"",VLOOKUP($G208,為替!$A:$AX,$L208,FALSE))+$K$3,IF(OR($L208="",$L208="-"),"",VLOOKUP($G208,為替!$A:$AX,$L208,FALSE)))</f>
        <v/>
      </c>
      <c r="N208" s="205" t="str">
        <f t="shared" si="26"/>
        <v/>
      </c>
      <c r="O208" s="206" t="str">
        <f t="shared" si="22"/>
        <v/>
      </c>
      <c r="P208" s="207" t="str">
        <f t="shared" si="27"/>
        <v/>
      </c>
    </row>
    <row r="209" spans="3:16">
      <c r="C209" s="200"/>
      <c r="D209" s="201"/>
      <c r="E209" s="202"/>
      <c r="F209" s="200"/>
      <c r="H209" s="203"/>
      <c r="I209" s="186" t="str">
        <f t="shared" si="23"/>
        <v/>
      </c>
      <c r="J209" s="204" t="str">
        <f>IF($H209="USD",IF(OR($I209="",$I209="-"),"",VLOOKUP($G209,為替!$A:$AX,$I209,FALSE))+$J$3,IF(OR($I209="",$I209="-"),"",VLOOKUP($G209,為替!$A:$AX,$I209,FALSE)))</f>
        <v/>
      </c>
      <c r="K209" s="205" t="str">
        <f t="shared" si="24"/>
        <v/>
      </c>
      <c r="L209" s="189" t="str">
        <f t="shared" si="25"/>
        <v/>
      </c>
      <c r="M209" s="204" t="str">
        <f>IF($H209="USD",IF(OR($L209="",$L209="-"),"",VLOOKUP($G209,為替!$A:$AX,$L209,FALSE))+$K$3,IF(OR($L209="",$L209="-"),"",VLOOKUP($G209,為替!$A:$AX,$L209,FALSE)))</f>
        <v/>
      </c>
      <c r="N209" s="205" t="str">
        <f t="shared" si="26"/>
        <v/>
      </c>
      <c r="O209" s="206" t="str">
        <f t="shared" si="22"/>
        <v/>
      </c>
      <c r="P209" s="207" t="str">
        <f t="shared" si="27"/>
        <v/>
      </c>
    </row>
    <row r="210" spans="3:16">
      <c r="C210" s="200"/>
      <c r="D210" s="201"/>
      <c r="E210" s="202"/>
      <c r="F210" s="200"/>
      <c r="H210" s="203"/>
      <c r="I210" s="186" t="str">
        <f t="shared" si="23"/>
        <v/>
      </c>
      <c r="J210" s="204" t="str">
        <f>IF($H210="USD",IF(OR($I210="",$I210="-"),"",VLOOKUP($G210,為替!$A:$AX,$I210,FALSE))+$J$3,IF(OR($I210="",$I210="-"),"",VLOOKUP($G210,為替!$A:$AX,$I210,FALSE)))</f>
        <v/>
      </c>
      <c r="K210" s="205" t="str">
        <f t="shared" si="24"/>
        <v/>
      </c>
      <c r="L210" s="189" t="str">
        <f t="shared" si="25"/>
        <v/>
      </c>
      <c r="M210" s="204" t="str">
        <f>IF($H210="USD",IF(OR($L210="",$L210="-"),"",VLOOKUP($G210,為替!$A:$AX,$L210,FALSE))+$K$3,IF(OR($L210="",$L210="-"),"",VLOOKUP($G210,為替!$A:$AX,$L210,FALSE)))</f>
        <v/>
      </c>
      <c r="N210" s="205" t="str">
        <f t="shared" si="26"/>
        <v/>
      </c>
      <c r="O210" s="206" t="str">
        <f t="shared" si="22"/>
        <v/>
      </c>
      <c r="P210" s="207" t="str">
        <f t="shared" si="27"/>
        <v/>
      </c>
    </row>
    <row r="211" spans="3:16">
      <c r="C211" s="200"/>
      <c r="D211" s="201"/>
      <c r="E211" s="202"/>
      <c r="F211" s="200"/>
      <c r="H211" s="203"/>
      <c r="I211" s="186" t="str">
        <f t="shared" si="23"/>
        <v/>
      </c>
      <c r="J211" s="204" t="str">
        <f>IF($H211="USD",IF(OR($I211="",$I211="-"),"",VLOOKUP($G211,為替!$A:$AX,$I211,FALSE))+$J$3,IF(OR($I211="",$I211="-"),"",VLOOKUP($G211,為替!$A:$AX,$I211,FALSE)))</f>
        <v/>
      </c>
      <c r="K211" s="205" t="str">
        <f t="shared" si="24"/>
        <v/>
      </c>
      <c r="L211" s="189" t="str">
        <f t="shared" si="25"/>
        <v/>
      </c>
      <c r="M211" s="204" t="str">
        <f>IF($H211="USD",IF(OR($L211="",$L211="-"),"",VLOOKUP($G211,為替!$A:$AX,$L211,FALSE))+$K$3,IF(OR($L211="",$L211="-"),"",VLOOKUP($G211,為替!$A:$AX,$L211,FALSE)))</f>
        <v/>
      </c>
      <c r="N211" s="205" t="str">
        <f t="shared" si="26"/>
        <v/>
      </c>
      <c r="O211" s="206" t="str">
        <f t="shared" si="22"/>
        <v/>
      </c>
      <c r="P211" s="207" t="str">
        <f t="shared" si="27"/>
        <v/>
      </c>
    </row>
    <row r="212" spans="3:16">
      <c r="C212" s="200"/>
      <c r="D212" s="201"/>
      <c r="E212" s="202"/>
      <c r="F212" s="200"/>
      <c r="H212" s="203"/>
      <c r="I212" s="186" t="str">
        <f t="shared" si="23"/>
        <v/>
      </c>
      <c r="J212" s="204" t="str">
        <f>IF($H212="USD",IF(OR($I212="",$I212="-"),"",VLOOKUP($G212,為替!$A:$AX,$I212,FALSE))+$J$3,IF(OR($I212="",$I212="-"),"",VLOOKUP($G212,為替!$A:$AX,$I212,FALSE)))</f>
        <v/>
      </c>
      <c r="K212" s="205" t="str">
        <f t="shared" si="24"/>
        <v/>
      </c>
      <c r="L212" s="189" t="str">
        <f t="shared" si="25"/>
        <v/>
      </c>
      <c r="M212" s="204" t="str">
        <f>IF($H212="USD",IF(OR($L212="",$L212="-"),"",VLOOKUP($G212,為替!$A:$AX,$L212,FALSE))+$K$3,IF(OR($L212="",$L212="-"),"",VLOOKUP($G212,為替!$A:$AX,$L212,FALSE)))</f>
        <v/>
      </c>
      <c r="N212" s="205" t="str">
        <f t="shared" si="26"/>
        <v/>
      </c>
      <c r="O212" s="206" t="str">
        <f t="shared" si="22"/>
        <v/>
      </c>
      <c r="P212" s="207" t="str">
        <f t="shared" si="27"/>
        <v/>
      </c>
    </row>
    <row r="213" spans="3:16">
      <c r="C213" s="200"/>
      <c r="D213" s="201"/>
      <c r="E213" s="202"/>
      <c r="F213" s="200"/>
      <c r="H213" s="203"/>
      <c r="I213" s="186" t="str">
        <f t="shared" si="23"/>
        <v/>
      </c>
      <c r="J213" s="204" t="str">
        <f>IF($H213="USD",IF(OR($I213="",$I213="-"),"",VLOOKUP($G213,為替!$A:$AX,$I213,FALSE))+$J$3,IF(OR($I213="",$I213="-"),"",VLOOKUP($G213,為替!$A:$AX,$I213,FALSE)))</f>
        <v/>
      </c>
      <c r="K213" s="205" t="str">
        <f t="shared" si="24"/>
        <v/>
      </c>
      <c r="L213" s="189" t="str">
        <f t="shared" si="25"/>
        <v/>
      </c>
      <c r="M213" s="204" t="str">
        <f>IF($H213="USD",IF(OR($L213="",$L213="-"),"",VLOOKUP($G213,為替!$A:$AX,$L213,FALSE))+$K$3,IF(OR($L213="",$L213="-"),"",VLOOKUP($G213,為替!$A:$AX,$L213,FALSE)))</f>
        <v/>
      </c>
      <c r="N213" s="205" t="str">
        <f t="shared" si="26"/>
        <v/>
      </c>
      <c r="O213" s="206" t="str">
        <f t="shared" si="22"/>
        <v/>
      </c>
      <c r="P213" s="207" t="str">
        <f t="shared" si="27"/>
        <v/>
      </c>
    </row>
    <row r="214" spans="3:16">
      <c r="C214" s="200"/>
      <c r="D214" s="201"/>
      <c r="E214" s="202"/>
      <c r="F214" s="200"/>
      <c r="H214" s="203"/>
      <c r="I214" s="186" t="str">
        <f t="shared" si="23"/>
        <v/>
      </c>
      <c r="J214" s="204" t="str">
        <f>IF($H214="USD",IF(OR($I214="",$I214="-"),"",VLOOKUP($G214,為替!$A:$AX,$I214,FALSE))+$J$3,IF(OR($I214="",$I214="-"),"",VLOOKUP($G214,為替!$A:$AX,$I214,FALSE)))</f>
        <v/>
      </c>
      <c r="K214" s="205" t="str">
        <f t="shared" si="24"/>
        <v/>
      </c>
      <c r="L214" s="189" t="str">
        <f t="shared" si="25"/>
        <v/>
      </c>
      <c r="M214" s="204" t="str">
        <f>IF($H214="USD",IF(OR($L214="",$L214="-"),"",VLOOKUP($G214,為替!$A:$AX,$L214,FALSE))+$K$3,IF(OR($L214="",$L214="-"),"",VLOOKUP($G214,為替!$A:$AX,$L214,FALSE)))</f>
        <v/>
      </c>
      <c r="N214" s="205" t="str">
        <f t="shared" si="26"/>
        <v/>
      </c>
      <c r="O214" s="206" t="str">
        <f t="shared" si="22"/>
        <v/>
      </c>
      <c r="P214" s="207" t="str">
        <f t="shared" si="27"/>
        <v/>
      </c>
    </row>
    <row r="215" spans="3:16">
      <c r="C215" s="200"/>
      <c r="D215" s="201"/>
      <c r="E215" s="202"/>
      <c r="F215" s="200"/>
      <c r="H215" s="203"/>
      <c r="I215" s="186" t="str">
        <f t="shared" si="23"/>
        <v/>
      </c>
      <c r="J215" s="204" t="str">
        <f>IF($H215="USD",IF(OR($I215="",$I215="-"),"",VLOOKUP($G215,為替!$A:$AX,$I215,FALSE))+$J$3,IF(OR($I215="",$I215="-"),"",VLOOKUP($G215,為替!$A:$AX,$I215,FALSE)))</f>
        <v/>
      </c>
      <c r="K215" s="205" t="str">
        <f t="shared" si="24"/>
        <v/>
      </c>
      <c r="L215" s="189" t="str">
        <f t="shared" si="25"/>
        <v/>
      </c>
      <c r="M215" s="204" t="str">
        <f>IF($H215="USD",IF(OR($L215="",$L215="-"),"",VLOOKUP($G215,為替!$A:$AX,$L215,FALSE))+$K$3,IF(OR($L215="",$L215="-"),"",VLOOKUP($G215,為替!$A:$AX,$L215,FALSE)))</f>
        <v/>
      </c>
      <c r="N215" s="205" t="str">
        <f t="shared" si="26"/>
        <v/>
      </c>
      <c r="O215" s="206" t="str">
        <f t="shared" si="22"/>
        <v/>
      </c>
      <c r="P215" s="207" t="str">
        <f t="shared" si="27"/>
        <v/>
      </c>
    </row>
    <row r="216" spans="3:16">
      <c r="C216" s="200"/>
      <c r="D216" s="201"/>
      <c r="E216" s="202"/>
      <c r="F216" s="200"/>
      <c r="H216" s="203"/>
      <c r="I216" s="186" t="str">
        <f t="shared" si="23"/>
        <v/>
      </c>
      <c r="J216" s="204" t="str">
        <f>IF($H216="USD",IF(OR($I216="",$I216="-"),"",VLOOKUP($G216,為替!$A:$AX,$I216,FALSE))+$J$3,IF(OR($I216="",$I216="-"),"",VLOOKUP($G216,為替!$A:$AX,$I216,FALSE)))</f>
        <v/>
      </c>
      <c r="K216" s="205" t="str">
        <f t="shared" si="24"/>
        <v/>
      </c>
      <c r="L216" s="189" t="str">
        <f t="shared" si="25"/>
        <v/>
      </c>
      <c r="M216" s="204" t="str">
        <f>IF($H216="USD",IF(OR($L216="",$L216="-"),"",VLOOKUP($G216,為替!$A:$AX,$L216,FALSE))+$K$3,IF(OR($L216="",$L216="-"),"",VLOOKUP($G216,為替!$A:$AX,$L216,FALSE)))</f>
        <v/>
      </c>
      <c r="N216" s="205" t="str">
        <f t="shared" si="26"/>
        <v/>
      </c>
      <c r="O216" s="206" t="str">
        <f t="shared" si="22"/>
        <v/>
      </c>
      <c r="P216" s="207" t="str">
        <f t="shared" si="27"/>
        <v/>
      </c>
    </row>
    <row r="217" spans="3:16">
      <c r="C217" s="200"/>
      <c r="D217" s="201"/>
      <c r="E217" s="202"/>
      <c r="F217" s="200"/>
      <c r="H217" s="203"/>
      <c r="I217" s="186" t="str">
        <f t="shared" si="23"/>
        <v/>
      </c>
      <c r="J217" s="204" t="str">
        <f>IF($H217="USD",IF(OR($I217="",$I217="-"),"",VLOOKUP($G217,為替!$A:$AX,$I217,FALSE))+$J$3,IF(OR($I217="",$I217="-"),"",VLOOKUP($G217,為替!$A:$AX,$I217,FALSE)))</f>
        <v/>
      </c>
      <c r="K217" s="205" t="str">
        <f t="shared" si="24"/>
        <v/>
      </c>
      <c r="L217" s="189" t="str">
        <f t="shared" si="25"/>
        <v/>
      </c>
      <c r="M217" s="204" t="str">
        <f>IF($H217="USD",IF(OR($L217="",$L217="-"),"",VLOOKUP($G217,為替!$A:$AX,$L217,FALSE))+$K$3,IF(OR($L217="",$L217="-"),"",VLOOKUP($G217,為替!$A:$AX,$L217,FALSE)))</f>
        <v/>
      </c>
      <c r="N217" s="205" t="str">
        <f t="shared" si="26"/>
        <v/>
      </c>
      <c r="O217" s="206" t="str">
        <f t="shared" si="22"/>
        <v/>
      </c>
      <c r="P217" s="207" t="str">
        <f t="shared" si="27"/>
        <v/>
      </c>
    </row>
    <row r="218" spans="3:16">
      <c r="C218" s="200"/>
      <c r="D218" s="201"/>
      <c r="E218" s="202"/>
      <c r="F218" s="200"/>
      <c r="H218" s="203"/>
      <c r="I218" s="186" t="str">
        <f t="shared" si="23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 t="str">
        <f t="shared" si="24"/>
        <v/>
      </c>
      <c r="L218" s="189" t="str">
        <f t="shared" si="25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 t="str">
        <f t="shared" si="26"/>
        <v/>
      </c>
      <c r="O218" s="206" t="str">
        <f t="shared" si="22"/>
        <v/>
      </c>
      <c r="P218" s="207" t="str">
        <f t="shared" si="27"/>
        <v/>
      </c>
    </row>
    <row r="219" spans="3:16">
      <c r="C219" s="200"/>
      <c r="D219" s="201"/>
      <c r="E219" s="202"/>
      <c r="F219" s="200"/>
      <c r="H219" s="203"/>
      <c r="I219" s="186" t="str">
        <f t="shared" si="23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 t="str">
        <f t="shared" si="24"/>
        <v/>
      </c>
      <c r="L219" s="189" t="str">
        <f t="shared" si="25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 t="str">
        <f t="shared" si="26"/>
        <v/>
      </c>
      <c r="O219" s="206" t="str">
        <f t="shared" si="22"/>
        <v/>
      </c>
      <c r="P219" s="207" t="str">
        <f t="shared" si="27"/>
        <v/>
      </c>
    </row>
    <row r="220" spans="3:16">
      <c r="C220" s="200"/>
      <c r="D220" s="201"/>
      <c r="E220" s="202"/>
      <c r="F220" s="200"/>
      <c r="H220" s="203"/>
      <c r="I220" s="186" t="str">
        <f t="shared" si="23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 t="str">
        <f t="shared" si="24"/>
        <v/>
      </c>
      <c r="L220" s="189" t="str">
        <f t="shared" si="25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 t="str">
        <f t="shared" si="26"/>
        <v/>
      </c>
      <c r="O220" s="206" t="str">
        <f t="shared" si="22"/>
        <v/>
      </c>
      <c r="P220" s="207" t="str">
        <f t="shared" si="27"/>
        <v/>
      </c>
    </row>
    <row r="221" spans="3:16">
      <c r="C221" s="200"/>
      <c r="D221" s="201"/>
      <c r="E221" s="202"/>
      <c r="F221" s="200"/>
      <c r="H221" s="203"/>
      <c r="I221" s="186" t="str">
        <f t="shared" si="23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4"/>
        <v/>
      </c>
      <c r="L221" s="189" t="str">
        <f t="shared" si="25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6"/>
        <v/>
      </c>
      <c r="O221" s="206" t="str">
        <f t="shared" si="22"/>
        <v/>
      </c>
      <c r="P221" s="207" t="str">
        <f t="shared" si="27"/>
        <v/>
      </c>
    </row>
    <row r="222" spans="3:16">
      <c r="C222" s="200"/>
      <c r="D222" s="201"/>
      <c r="E222" s="202"/>
      <c r="F222" s="200"/>
      <c r="H222" s="203"/>
      <c r="I222" s="186" t="str">
        <f t="shared" si="23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4"/>
        <v/>
      </c>
      <c r="L222" s="189" t="str">
        <f t="shared" si="25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6"/>
        <v/>
      </c>
      <c r="O222" s="206" t="str">
        <f t="shared" si="22"/>
        <v/>
      </c>
      <c r="P222" s="207" t="str">
        <f t="shared" si="27"/>
        <v/>
      </c>
    </row>
    <row r="223" spans="3:16">
      <c r="C223" s="200"/>
      <c r="D223" s="201"/>
      <c r="E223" s="202"/>
      <c r="F223" s="200"/>
      <c r="H223" s="203"/>
      <c r="I223" s="186" t="str">
        <f t="shared" si="23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4"/>
        <v/>
      </c>
      <c r="L223" s="189" t="str">
        <f t="shared" si="25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6"/>
        <v/>
      </c>
      <c r="O223" s="206" t="str">
        <f t="shared" si="22"/>
        <v/>
      </c>
      <c r="P223" s="207" t="str">
        <f t="shared" si="27"/>
        <v/>
      </c>
    </row>
    <row r="224" spans="3:16">
      <c r="C224" s="200"/>
      <c r="D224" s="201"/>
      <c r="E224" s="202"/>
      <c r="F224" s="200"/>
      <c r="H224" s="203"/>
      <c r="I224" s="186" t="str">
        <f t="shared" si="23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4"/>
        <v/>
      </c>
      <c r="L224" s="189" t="str">
        <f t="shared" si="25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6"/>
        <v/>
      </c>
      <c r="O224" s="206" t="str">
        <f t="shared" si="22"/>
        <v/>
      </c>
      <c r="P224" s="207" t="str">
        <f t="shared" si="27"/>
        <v/>
      </c>
    </row>
    <row r="225" spans="3:16">
      <c r="C225" s="200"/>
      <c r="D225" s="201"/>
      <c r="E225" s="202"/>
      <c r="F225" s="200"/>
      <c r="H225" s="203"/>
      <c r="I225" s="186" t="str">
        <f t="shared" si="23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4"/>
        <v/>
      </c>
      <c r="L225" s="189" t="str">
        <f t="shared" si="25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6"/>
        <v/>
      </c>
      <c r="O225" s="206" t="str">
        <f t="shared" si="22"/>
        <v/>
      </c>
      <c r="P225" s="207" t="str">
        <f t="shared" si="27"/>
        <v/>
      </c>
    </row>
    <row r="226" spans="3:16">
      <c r="C226" s="200"/>
      <c r="D226" s="201"/>
      <c r="E226" s="202"/>
      <c r="F226" s="200"/>
      <c r="H226" s="203"/>
      <c r="I226" s="186" t="str">
        <f t="shared" si="23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4"/>
        <v/>
      </c>
      <c r="L226" s="189" t="str">
        <f t="shared" si="25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6"/>
        <v/>
      </c>
      <c r="O226" s="206" t="str">
        <f t="shared" si="22"/>
        <v/>
      </c>
      <c r="P226" s="207" t="str">
        <f t="shared" si="27"/>
        <v/>
      </c>
    </row>
    <row r="227" spans="3:16">
      <c r="C227" s="200"/>
      <c r="D227" s="201"/>
      <c r="E227" s="202"/>
      <c r="F227" s="200"/>
      <c r="H227" s="203"/>
      <c r="I227" s="186" t="str">
        <f t="shared" si="23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4"/>
        <v/>
      </c>
      <c r="L227" s="189" t="str">
        <f t="shared" si="25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6"/>
        <v/>
      </c>
      <c r="O227" s="206" t="str">
        <f t="shared" si="22"/>
        <v/>
      </c>
      <c r="P227" s="207" t="str">
        <f t="shared" si="27"/>
        <v/>
      </c>
    </row>
    <row r="228" spans="3:16">
      <c r="C228" s="200"/>
      <c r="D228" s="201"/>
      <c r="E228" s="202"/>
      <c r="F228" s="200"/>
      <c r="H228" s="203"/>
      <c r="I228" s="186" t="str">
        <f t="shared" si="23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4"/>
        <v/>
      </c>
      <c r="L228" s="189" t="str">
        <f t="shared" si="25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6"/>
        <v/>
      </c>
      <c r="O228" s="206" t="str">
        <f t="shared" si="22"/>
        <v/>
      </c>
      <c r="P228" s="207" t="str">
        <f t="shared" si="27"/>
        <v/>
      </c>
    </row>
    <row r="229" spans="3:16">
      <c r="C229" s="200"/>
      <c r="D229" s="201"/>
      <c r="E229" s="202"/>
      <c r="F229" s="200"/>
      <c r="H229" s="203"/>
      <c r="I229" s="186" t="str">
        <f t="shared" si="23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4"/>
        <v/>
      </c>
      <c r="L229" s="189" t="str">
        <f t="shared" si="25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6"/>
        <v/>
      </c>
      <c r="O229" s="206" t="str">
        <f t="shared" si="22"/>
        <v/>
      </c>
      <c r="P229" s="207" t="str">
        <f t="shared" si="27"/>
        <v/>
      </c>
    </row>
    <row r="230" spans="3:16">
      <c r="C230" s="200"/>
      <c r="D230" s="201"/>
      <c r="E230" s="202"/>
      <c r="F230" s="200"/>
      <c r="H230" s="203"/>
      <c r="I230" s="186" t="str">
        <f t="shared" si="23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4"/>
        <v/>
      </c>
      <c r="L230" s="189" t="str">
        <f t="shared" si="25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6"/>
        <v/>
      </c>
      <c r="O230" s="206" t="str">
        <f t="shared" si="22"/>
        <v/>
      </c>
      <c r="P230" s="207" t="str">
        <f t="shared" si="27"/>
        <v/>
      </c>
    </row>
    <row r="231" spans="3:16">
      <c r="C231" s="200"/>
      <c r="D231" s="201"/>
      <c r="E231" s="202"/>
      <c r="F231" s="200"/>
      <c r="H231" s="203"/>
      <c r="I231" s="186" t="str">
        <f t="shared" si="23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4"/>
        <v/>
      </c>
      <c r="L231" s="189" t="str">
        <f t="shared" si="25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6"/>
        <v/>
      </c>
      <c r="O231" s="206" t="str">
        <f t="shared" si="22"/>
        <v/>
      </c>
      <c r="P231" s="207" t="str">
        <f t="shared" si="27"/>
        <v/>
      </c>
    </row>
    <row r="232" spans="3:16">
      <c r="C232" s="200"/>
      <c r="D232" s="201"/>
      <c r="E232" s="202"/>
      <c r="F232" s="200"/>
      <c r="H232" s="203"/>
      <c r="I232" s="186" t="str">
        <f t="shared" si="23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4"/>
        <v/>
      </c>
      <c r="L232" s="189" t="str">
        <f t="shared" si="25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6"/>
        <v/>
      </c>
      <c r="O232" s="206" t="str">
        <f t="shared" si="22"/>
        <v/>
      </c>
      <c r="P232" s="207" t="str">
        <f t="shared" si="27"/>
        <v/>
      </c>
    </row>
    <row r="233" spans="3:16">
      <c r="C233" s="200"/>
      <c r="D233" s="201"/>
      <c r="E233" s="202"/>
      <c r="F233" s="200"/>
      <c r="H233" s="203"/>
      <c r="I233" s="186" t="str">
        <f t="shared" si="23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4"/>
        <v/>
      </c>
      <c r="L233" s="189" t="str">
        <f t="shared" si="25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6"/>
        <v/>
      </c>
      <c r="O233" s="206" t="str">
        <f t="shared" si="22"/>
        <v/>
      </c>
      <c r="P233" s="207" t="str">
        <f t="shared" si="27"/>
        <v/>
      </c>
    </row>
    <row r="234" spans="3:16">
      <c r="C234" s="200"/>
      <c r="D234" s="201"/>
      <c r="E234" s="202"/>
      <c r="F234" s="200"/>
      <c r="H234" s="203"/>
      <c r="I234" s="186" t="str">
        <f t="shared" si="23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4"/>
        <v/>
      </c>
      <c r="L234" s="189" t="str">
        <f t="shared" si="25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6"/>
        <v/>
      </c>
      <c r="O234" s="206" t="str">
        <f t="shared" si="22"/>
        <v/>
      </c>
      <c r="P234" s="207" t="str">
        <f t="shared" si="27"/>
        <v/>
      </c>
    </row>
    <row r="235" spans="3:16">
      <c r="C235" s="200"/>
      <c r="D235" s="201"/>
      <c r="E235" s="202"/>
      <c r="F235" s="200"/>
      <c r="H235" s="203"/>
      <c r="I235" s="186" t="str">
        <f t="shared" si="23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4"/>
        <v/>
      </c>
      <c r="L235" s="189" t="str">
        <f t="shared" si="25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6"/>
        <v/>
      </c>
      <c r="O235" s="206" t="str">
        <f t="shared" si="22"/>
        <v/>
      </c>
      <c r="P235" s="207" t="str">
        <f t="shared" si="27"/>
        <v/>
      </c>
    </row>
    <row r="236" spans="3:16">
      <c r="C236" s="200"/>
      <c r="D236" s="201"/>
      <c r="E236" s="202"/>
      <c r="F236" s="200"/>
      <c r="H236" s="203"/>
      <c r="I236" s="186" t="str">
        <f t="shared" si="23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4"/>
        <v/>
      </c>
      <c r="L236" s="189" t="str">
        <f t="shared" si="25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6"/>
        <v/>
      </c>
      <c r="O236" s="206" t="str">
        <f t="shared" si="22"/>
        <v/>
      </c>
      <c r="P236" s="207" t="str">
        <f t="shared" si="27"/>
        <v/>
      </c>
    </row>
    <row r="237" spans="3:16">
      <c r="C237" s="200"/>
      <c r="D237" s="201"/>
      <c r="E237" s="202"/>
      <c r="F237" s="200"/>
      <c r="H237" s="203"/>
      <c r="I237" s="186" t="str">
        <f t="shared" si="23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4"/>
        <v/>
      </c>
      <c r="L237" s="189" t="str">
        <f t="shared" si="25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6"/>
        <v/>
      </c>
      <c r="O237" s="206" t="str">
        <f t="shared" si="22"/>
        <v/>
      </c>
      <c r="P237" s="207" t="str">
        <f t="shared" si="27"/>
        <v/>
      </c>
    </row>
    <row r="238" spans="3:16">
      <c r="C238" s="200"/>
      <c r="D238" s="201"/>
      <c r="E238" s="202"/>
      <c r="F238" s="200"/>
      <c r="H238" s="203"/>
      <c r="I238" s="186" t="str">
        <f t="shared" si="23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4"/>
        <v/>
      </c>
      <c r="L238" s="189" t="str">
        <f t="shared" si="25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6"/>
        <v/>
      </c>
      <c r="O238" s="206" t="str">
        <f t="shared" si="22"/>
        <v/>
      </c>
      <c r="P238" s="207" t="str">
        <f t="shared" si="27"/>
        <v/>
      </c>
    </row>
    <row r="239" spans="3:16">
      <c r="C239" s="200"/>
      <c r="D239" s="201"/>
      <c r="E239" s="202"/>
      <c r="F239" s="200"/>
      <c r="H239" s="203"/>
      <c r="I239" s="186" t="str">
        <f t="shared" si="23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4"/>
        <v/>
      </c>
      <c r="L239" s="189" t="str">
        <f t="shared" si="25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6"/>
        <v/>
      </c>
      <c r="O239" s="206" t="str">
        <f t="shared" si="22"/>
        <v/>
      </c>
      <c r="P239" s="207" t="str">
        <f t="shared" si="27"/>
        <v/>
      </c>
    </row>
    <row r="240" spans="3:16">
      <c r="C240" s="200"/>
      <c r="D240" s="201"/>
      <c r="E240" s="202"/>
      <c r="F240" s="200"/>
      <c r="H240" s="203"/>
      <c r="I240" s="186" t="str">
        <f t="shared" si="23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4"/>
        <v/>
      </c>
      <c r="L240" s="189" t="str">
        <f t="shared" si="25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6"/>
        <v/>
      </c>
      <c r="O240" s="206" t="str">
        <f t="shared" si="22"/>
        <v/>
      </c>
      <c r="P240" s="207" t="str">
        <f t="shared" si="27"/>
        <v/>
      </c>
    </row>
    <row r="241" spans="3:16">
      <c r="C241" s="200"/>
      <c r="D241" s="201"/>
      <c r="E241" s="202"/>
      <c r="F241" s="200"/>
      <c r="H241" s="203"/>
      <c r="I241" s="186" t="str">
        <f t="shared" si="23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4"/>
        <v/>
      </c>
      <c r="L241" s="189" t="str">
        <f t="shared" si="25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6"/>
        <v/>
      </c>
      <c r="O241" s="206" t="str">
        <f t="shared" si="22"/>
        <v/>
      </c>
      <c r="P241" s="207" t="str">
        <f t="shared" si="27"/>
        <v/>
      </c>
    </row>
    <row r="242" spans="3:16">
      <c r="C242" s="200"/>
      <c r="D242" s="201"/>
      <c r="E242" s="202"/>
      <c r="F242" s="200"/>
      <c r="H242" s="203"/>
      <c r="I242" s="186" t="str">
        <f t="shared" si="23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4"/>
        <v/>
      </c>
      <c r="L242" s="189" t="str">
        <f t="shared" si="25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6"/>
        <v/>
      </c>
      <c r="O242" s="206" t="str">
        <f t="shared" si="22"/>
        <v/>
      </c>
      <c r="P242" s="207" t="str">
        <f t="shared" si="27"/>
        <v/>
      </c>
    </row>
    <row r="243" spans="3:16">
      <c r="C243" s="200"/>
      <c r="D243" s="201"/>
      <c r="E243" s="202"/>
      <c r="F243" s="200"/>
      <c r="H243" s="203"/>
      <c r="I243" s="186" t="str">
        <f t="shared" si="23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4"/>
        <v/>
      </c>
      <c r="L243" s="189" t="str">
        <f t="shared" si="25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6"/>
        <v/>
      </c>
      <c r="O243" s="206" t="str">
        <f t="shared" si="22"/>
        <v/>
      </c>
      <c r="P243" s="207" t="str">
        <f t="shared" si="27"/>
        <v/>
      </c>
    </row>
    <row r="244" spans="3:16">
      <c r="C244" s="200"/>
      <c r="D244" s="201"/>
      <c r="E244" s="202"/>
      <c r="F244" s="200"/>
      <c r="H244" s="203"/>
      <c r="I244" s="186" t="str">
        <f t="shared" si="23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4"/>
        <v/>
      </c>
      <c r="L244" s="189" t="str">
        <f t="shared" si="25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6"/>
        <v/>
      </c>
      <c r="O244" s="206" t="str">
        <f t="shared" si="22"/>
        <v/>
      </c>
      <c r="P244" s="207" t="str">
        <f t="shared" si="27"/>
        <v/>
      </c>
    </row>
    <row r="245" spans="3:16">
      <c r="C245" s="200"/>
      <c r="D245" s="201"/>
      <c r="E245" s="202"/>
      <c r="F245" s="200"/>
      <c r="H245" s="203"/>
      <c r="I245" s="186" t="str">
        <f t="shared" si="23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4"/>
        <v/>
      </c>
      <c r="L245" s="189" t="str">
        <f t="shared" si="25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6"/>
        <v/>
      </c>
      <c r="O245" s="206" t="str">
        <f t="shared" si="22"/>
        <v/>
      </c>
      <c r="P245" s="207" t="str">
        <f t="shared" si="27"/>
        <v/>
      </c>
    </row>
    <row r="246" spans="3:16">
      <c r="C246" s="200"/>
      <c r="D246" s="201"/>
      <c r="E246" s="202"/>
      <c r="F246" s="200"/>
      <c r="H246" s="203"/>
      <c r="I246" s="186" t="str">
        <f t="shared" si="23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4"/>
        <v/>
      </c>
      <c r="L246" s="189" t="str">
        <f t="shared" si="25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6"/>
        <v/>
      </c>
      <c r="O246" s="206" t="str">
        <f t="shared" si="22"/>
        <v/>
      </c>
      <c r="P246" s="207" t="str">
        <f t="shared" si="27"/>
        <v/>
      </c>
    </row>
    <row r="247" spans="3:16">
      <c r="C247" s="200"/>
      <c r="D247" s="201"/>
      <c r="E247" s="202"/>
      <c r="F247" s="200"/>
      <c r="H247" s="203"/>
      <c r="I247" s="186" t="str">
        <f t="shared" si="23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4"/>
        <v/>
      </c>
      <c r="L247" s="189" t="str">
        <f t="shared" si="25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6"/>
        <v/>
      </c>
      <c r="O247" s="206" t="str">
        <f t="shared" si="22"/>
        <v/>
      </c>
      <c r="P247" s="207" t="str">
        <f t="shared" si="27"/>
        <v/>
      </c>
    </row>
    <row r="248" spans="3:16">
      <c r="C248" s="200"/>
      <c r="D248" s="201"/>
      <c r="E248" s="202"/>
      <c r="F248" s="200"/>
      <c r="H248" s="203"/>
      <c r="I248" s="186" t="str">
        <f t="shared" si="23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4"/>
        <v/>
      </c>
      <c r="L248" s="189" t="str">
        <f t="shared" si="25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6"/>
        <v/>
      </c>
      <c r="O248" s="206" t="str">
        <f t="shared" si="22"/>
        <v/>
      </c>
      <c r="P248" s="207" t="str">
        <f t="shared" si="27"/>
        <v/>
      </c>
    </row>
    <row r="249" spans="3:16">
      <c r="C249" s="200"/>
      <c r="D249" s="201"/>
      <c r="E249" s="202"/>
      <c r="F249" s="200"/>
      <c r="H249" s="203"/>
      <c r="I249" s="186" t="str">
        <f t="shared" si="23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4"/>
        <v/>
      </c>
      <c r="L249" s="189" t="str">
        <f t="shared" si="25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6"/>
        <v/>
      </c>
      <c r="O249" s="206" t="str">
        <f t="shared" si="22"/>
        <v/>
      </c>
      <c r="P249" s="207" t="str">
        <f t="shared" si="27"/>
        <v/>
      </c>
    </row>
    <row r="250" spans="3:16">
      <c r="C250" s="200"/>
      <c r="D250" s="201"/>
      <c r="E250" s="202"/>
      <c r="F250" s="200"/>
      <c r="H250" s="203"/>
      <c r="I250" s="186" t="str">
        <f t="shared" si="23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4"/>
        <v/>
      </c>
      <c r="L250" s="189" t="str">
        <f t="shared" si="25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6"/>
        <v/>
      </c>
      <c r="O250" s="206" t="str">
        <f t="shared" si="22"/>
        <v/>
      </c>
      <c r="P250" s="207" t="str">
        <f t="shared" si="27"/>
        <v/>
      </c>
    </row>
    <row r="251" spans="3:16">
      <c r="C251" s="200"/>
      <c r="D251" s="201"/>
      <c r="E251" s="202"/>
      <c r="F251" s="200"/>
      <c r="H251" s="203"/>
      <c r="I251" s="186" t="str">
        <f t="shared" si="23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4"/>
        <v/>
      </c>
      <c r="L251" s="189" t="str">
        <f t="shared" si="25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6"/>
        <v/>
      </c>
      <c r="O251" s="206" t="str">
        <f t="shared" si="22"/>
        <v/>
      </c>
      <c r="P251" s="207" t="str">
        <f t="shared" si="27"/>
        <v/>
      </c>
    </row>
    <row r="252" spans="3:16">
      <c r="C252" s="200"/>
      <c r="D252" s="201"/>
      <c r="E252" s="202"/>
      <c r="F252" s="200"/>
      <c r="H252" s="203"/>
      <c r="I252" s="186" t="str">
        <f t="shared" si="23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4"/>
        <v/>
      </c>
      <c r="L252" s="189" t="str">
        <f t="shared" si="25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6"/>
        <v/>
      </c>
      <c r="O252" s="206" t="str">
        <f t="shared" si="22"/>
        <v/>
      </c>
      <c r="P252" s="207" t="str">
        <f t="shared" si="27"/>
        <v/>
      </c>
    </row>
    <row r="253" spans="3:16">
      <c r="C253" s="200"/>
      <c r="D253" s="201"/>
      <c r="E253" s="202"/>
      <c r="F253" s="200"/>
      <c r="H253" s="203"/>
      <c r="I253" s="186" t="str">
        <f t="shared" si="23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4"/>
        <v/>
      </c>
      <c r="L253" s="189" t="str">
        <f t="shared" si="25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6"/>
        <v/>
      </c>
      <c r="O253" s="206" t="str">
        <f t="shared" si="22"/>
        <v/>
      </c>
      <c r="P253" s="207" t="str">
        <f t="shared" si="27"/>
        <v/>
      </c>
    </row>
    <row r="254" spans="3:16">
      <c r="C254" s="200"/>
      <c r="D254" s="201"/>
      <c r="E254" s="202"/>
      <c r="F254" s="200"/>
      <c r="H254" s="203"/>
      <c r="I254" s="186" t="str">
        <f t="shared" si="23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4"/>
        <v/>
      </c>
      <c r="L254" s="189" t="str">
        <f t="shared" si="25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6"/>
        <v/>
      </c>
      <c r="O254" s="206" t="str">
        <f t="shared" si="22"/>
        <v/>
      </c>
      <c r="P254" s="207" t="str">
        <f t="shared" si="27"/>
        <v/>
      </c>
    </row>
    <row r="255" spans="3:16">
      <c r="C255" s="200"/>
      <c r="D255" s="201"/>
      <c r="E255" s="202"/>
      <c r="F255" s="200"/>
      <c r="H255" s="203"/>
      <c r="I255" s="186" t="str">
        <f t="shared" si="23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4"/>
        <v/>
      </c>
      <c r="L255" s="189" t="str">
        <f t="shared" si="25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6"/>
        <v/>
      </c>
      <c r="O255" s="206" t="str">
        <f t="shared" si="22"/>
        <v/>
      </c>
      <c r="P255" s="207" t="str">
        <f t="shared" si="27"/>
        <v/>
      </c>
    </row>
    <row r="256" spans="3:16">
      <c r="C256" s="200"/>
      <c r="D256" s="201"/>
      <c r="E256" s="202"/>
      <c r="F256" s="200"/>
      <c r="H256" s="203"/>
      <c r="I256" s="186" t="str">
        <f t="shared" si="23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4"/>
        <v/>
      </c>
      <c r="L256" s="189" t="str">
        <f t="shared" si="25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6"/>
        <v/>
      </c>
      <c r="O256" s="206" t="str">
        <f t="shared" si="22"/>
        <v/>
      </c>
      <c r="P256" s="207" t="str">
        <f t="shared" si="27"/>
        <v/>
      </c>
    </row>
    <row r="257" spans="3:16">
      <c r="C257" s="200"/>
      <c r="D257" s="201"/>
      <c r="E257" s="202"/>
      <c r="F257" s="200"/>
      <c r="H257" s="203"/>
      <c r="I257" s="186" t="str">
        <f t="shared" si="23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4"/>
        <v/>
      </c>
      <c r="L257" s="189" t="str">
        <f t="shared" si="25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6"/>
        <v/>
      </c>
      <c r="O257" s="206" t="str">
        <f t="shared" si="22"/>
        <v/>
      </c>
      <c r="P257" s="207" t="str">
        <f t="shared" si="27"/>
        <v/>
      </c>
    </row>
    <row r="258" spans="3:16">
      <c r="C258" s="200"/>
      <c r="D258" s="201"/>
      <c r="E258" s="202"/>
      <c r="F258" s="200"/>
      <c r="H258" s="203"/>
      <c r="I258" s="186" t="str">
        <f t="shared" si="23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4"/>
        <v/>
      </c>
      <c r="L258" s="189" t="str">
        <f t="shared" si="25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6"/>
        <v/>
      </c>
      <c r="O258" s="206" t="str">
        <f t="shared" si="22"/>
        <v/>
      </c>
      <c r="P258" s="207" t="str">
        <f t="shared" si="27"/>
        <v/>
      </c>
    </row>
    <row r="259" spans="3:16">
      <c r="C259" s="200"/>
      <c r="D259" s="201"/>
      <c r="E259" s="202"/>
      <c r="F259" s="200"/>
      <c r="H259" s="203"/>
      <c r="I259" s="186" t="str">
        <f t="shared" si="23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4"/>
        <v/>
      </c>
      <c r="L259" s="189" t="str">
        <f t="shared" si="25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6"/>
        <v/>
      </c>
      <c r="O259" s="206" t="str">
        <f t="shared" si="22"/>
        <v/>
      </c>
      <c r="P259" s="207" t="str">
        <f t="shared" si="27"/>
        <v/>
      </c>
    </row>
    <row r="260" spans="3:16">
      <c r="C260" s="200"/>
      <c r="D260" s="201"/>
      <c r="E260" s="202"/>
      <c r="F260" s="200"/>
      <c r="H260" s="203"/>
      <c r="I260" s="186" t="str">
        <f t="shared" si="23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4"/>
        <v/>
      </c>
      <c r="L260" s="189" t="str">
        <f t="shared" si="25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6"/>
        <v/>
      </c>
      <c r="O260" s="206" t="str">
        <f t="shared" si="22"/>
        <v/>
      </c>
      <c r="P260" s="207" t="str">
        <f t="shared" si="27"/>
        <v/>
      </c>
    </row>
    <row r="261" spans="3:16">
      <c r="C261" s="200"/>
      <c r="D261" s="201"/>
      <c r="E261" s="202"/>
      <c r="F261" s="200"/>
      <c r="H261" s="203"/>
      <c r="I261" s="186" t="str">
        <f t="shared" si="23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4"/>
        <v/>
      </c>
      <c r="L261" s="189" t="str">
        <f t="shared" si="25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6"/>
        <v/>
      </c>
      <c r="O261" s="206" t="str">
        <f t="shared" si="22"/>
        <v/>
      </c>
      <c r="P261" s="207" t="str">
        <f t="shared" si="27"/>
        <v/>
      </c>
    </row>
    <row r="262" spans="3:16">
      <c r="C262" s="200"/>
      <c r="D262" s="201"/>
      <c r="E262" s="202"/>
      <c r="F262" s="200"/>
      <c r="H262" s="203"/>
      <c r="I262" s="186" t="str">
        <f t="shared" si="23"/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si="24"/>
        <v/>
      </c>
      <c r="L262" s="189" t="str">
        <f t="shared" si="25"/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si="26"/>
        <v/>
      </c>
      <c r="O262" s="206" t="str">
        <f t="shared" si="22"/>
        <v/>
      </c>
      <c r="P262" s="207" t="str">
        <f t="shared" si="27"/>
        <v/>
      </c>
    </row>
    <row r="263" spans="3:16">
      <c r="C263" s="200"/>
      <c r="D263" s="201"/>
      <c r="E263" s="202"/>
      <c r="F263" s="200"/>
      <c r="H263" s="203"/>
      <c r="I263" s="186" t="str">
        <f t="shared" si="23"/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si="24"/>
        <v/>
      </c>
      <c r="L263" s="189" t="str">
        <f t="shared" si="25"/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si="26"/>
        <v/>
      </c>
      <c r="O263" s="206" t="str">
        <f t="shared" si="22"/>
        <v/>
      </c>
      <c r="P263" s="207" t="str">
        <f t="shared" si="27"/>
        <v/>
      </c>
    </row>
    <row r="264" spans="3:16">
      <c r="C264" s="200"/>
      <c r="D264" s="201"/>
      <c r="E264" s="202"/>
      <c r="F264" s="200"/>
      <c r="H264" s="203"/>
      <c r="I264" s="186" t="str">
        <f t="shared" si="23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4"/>
        <v/>
      </c>
      <c r="L264" s="189" t="str">
        <f t="shared" si="25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26"/>
        <v/>
      </c>
      <c r="O264" s="206" t="str">
        <f t="shared" si="22"/>
        <v/>
      </c>
      <c r="P264" s="207" t="str">
        <f t="shared" si="27"/>
        <v/>
      </c>
    </row>
    <row r="265" spans="3:16">
      <c r="C265" s="200"/>
      <c r="D265" s="201"/>
      <c r="E265" s="202"/>
      <c r="F265" s="200"/>
      <c r="H265" s="203"/>
      <c r="I265" s="186" t="str">
        <f t="shared" si="23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4"/>
        <v/>
      </c>
      <c r="L265" s="189" t="str">
        <f t="shared" si="25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26"/>
        <v/>
      </c>
      <c r="O265" s="206" t="str">
        <f t="shared" si="22"/>
        <v/>
      </c>
      <c r="P265" s="207" t="str">
        <f t="shared" si="27"/>
        <v/>
      </c>
    </row>
    <row r="266" spans="3:16">
      <c r="C266" s="200"/>
      <c r="D266" s="201"/>
      <c r="E266" s="202"/>
      <c r="F266" s="200"/>
      <c r="H266" s="203"/>
      <c r="I266" s="186" t="str">
        <f t="shared" si="23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4"/>
        <v/>
      </c>
      <c r="L266" s="189" t="str">
        <f t="shared" si="25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26"/>
        <v/>
      </c>
      <c r="O266" s="206" t="str">
        <f t="shared" si="22"/>
        <v/>
      </c>
      <c r="P266" s="207" t="str">
        <f t="shared" si="27"/>
        <v/>
      </c>
    </row>
    <row r="267" spans="3:16">
      <c r="C267" s="200"/>
      <c r="D267" s="201"/>
      <c r="E267" s="202"/>
      <c r="F267" s="200"/>
      <c r="H267" s="203"/>
      <c r="I267" s="186" t="str">
        <f t="shared" si="23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4"/>
        <v/>
      </c>
      <c r="L267" s="189" t="str">
        <f t="shared" si="25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26"/>
        <v/>
      </c>
      <c r="O267" s="206" t="str">
        <f t="shared" si="22"/>
        <v/>
      </c>
      <c r="P267" s="207" t="str">
        <f t="shared" si="27"/>
        <v/>
      </c>
    </row>
    <row r="268" spans="3:16">
      <c r="C268" s="200"/>
      <c r="D268" s="201"/>
      <c r="E268" s="202"/>
      <c r="F268" s="200"/>
      <c r="H268" s="203"/>
      <c r="I268" s="186" t="str">
        <f t="shared" si="23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4"/>
        <v/>
      </c>
      <c r="L268" s="189" t="str">
        <f t="shared" si="25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26"/>
        <v/>
      </c>
      <c r="O268" s="206" t="str">
        <f t="shared" si="22"/>
        <v/>
      </c>
      <c r="P268" s="207" t="str">
        <f t="shared" si="27"/>
        <v/>
      </c>
    </row>
    <row r="269" spans="3:16">
      <c r="C269" s="200"/>
      <c r="D269" s="201"/>
      <c r="E269" s="202"/>
      <c r="F269" s="200"/>
      <c r="H269" s="203"/>
      <c r="I269" s="186" t="str">
        <f t="shared" si="23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4"/>
        <v/>
      </c>
      <c r="L269" s="189" t="str">
        <f t="shared" si="25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26"/>
        <v/>
      </c>
      <c r="O269" s="206" t="str">
        <f t="shared" si="22"/>
        <v/>
      </c>
      <c r="P269" s="207" t="str">
        <f t="shared" si="27"/>
        <v/>
      </c>
    </row>
    <row r="270" spans="3:16">
      <c r="C270" s="200"/>
      <c r="D270" s="201"/>
      <c r="E270" s="202"/>
      <c r="F270" s="200"/>
      <c r="H270" s="203"/>
      <c r="I270" s="186" t="str">
        <f t="shared" si="23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4"/>
        <v/>
      </c>
      <c r="L270" s="189" t="str">
        <f t="shared" si="25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26"/>
        <v/>
      </c>
      <c r="O270" s="206" t="str">
        <f t="shared" ref="O270:O333" si="28">IF(OR(K270="",N270=""),"",K270-N270)</f>
        <v/>
      </c>
      <c r="P270" s="207" t="str">
        <f t="shared" si="27"/>
        <v/>
      </c>
    </row>
    <row r="271" spans="3:16">
      <c r="C271" s="200"/>
      <c r="D271" s="201"/>
      <c r="E271" s="202"/>
      <c r="F271" s="200"/>
      <c r="H271" s="203"/>
      <c r="I271" s="186" t="str">
        <f t="shared" ref="I271:I334" si="29">IF(H271="","",IF(H271="JPY","",IF($H271="USD",4, IF(H271="EUR",7,IF(H271="CNY",47,IF(H271="HKD",34))))))</f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ref="K271:K334" si="30">IF($H271="JPY",$F271,IF($H271="","",$F271*$J271))</f>
        <v/>
      </c>
      <c r="L271" s="189" t="str">
        <f t="shared" ref="L271:L334" si="31">IF(H271="","",IF(H271="JPY","",IF($H271="USD",3, IF(H271="EUR",6,IF(H271="CNY",46,IF(H271="HKD",33))))))</f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ref="N271:N334" si="32">IF($E271="JPY",($C271+$D271),IF($E271="","",($C271+$D271)*$M271))</f>
        <v/>
      </c>
      <c r="O271" s="206" t="str">
        <f t="shared" si="28"/>
        <v/>
      </c>
      <c r="P271" s="207" t="str">
        <f t="shared" ref="P271:P334" si="33">IF(OR(K271="",O271=""),"",O271/K271)</f>
        <v/>
      </c>
    </row>
    <row r="272" spans="3:16">
      <c r="C272" s="200"/>
      <c r="D272" s="201"/>
      <c r="E272" s="202"/>
      <c r="F272" s="200"/>
      <c r="H272" s="203"/>
      <c r="I272" s="186" t="str">
        <f t="shared" si="29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30"/>
        <v/>
      </c>
      <c r="L272" s="189" t="str">
        <f t="shared" si="31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32"/>
        <v/>
      </c>
      <c r="O272" s="206" t="str">
        <f t="shared" si="28"/>
        <v/>
      </c>
      <c r="P272" s="207" t="str">
        <f t="shared" si="33"/>
        <v/>
      </c>
    </row>
    <row r="273" spans="3:16">
      <c r="C273" s="200"/>
      <c r="D273" s="201"/>
      <c r="E273" s="202"/>
      <c r="F273" s="200"/>
      <c r="H273" s="203"/>
      <c r="I273" s="186" t="str">
        <f t="shared" si="29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30"/>
        <v/>
      </c>
      <c r="L273" s="189" t="str">
        <f t="shared" si="31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32"/>
        <v/>
      </c>
      <c r="O273" s="206" t="str">
        <f t="shared" si="28"/>
        <v/>
      </c>
      <c r="P273" s="207" t="str">
        <f t="shared" si="33"/>
        <v/>
      </c>
    </row>
    <row r="274" spans="3:16">
      <c r="C274" s="200"/>
      <c r="D274" s="201"/>
      <c r="E274" s="202"/>
      <c r="F274" s="200"/>
      <c r="H274" s="203"/>
      <c r="I274" s="186" t="str">
        <f t="shared" si="29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30"/>
        <v/>
      </c>
      <c r="L274" s="189" t="str">
        <f t="shared" si="31"/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32"/>
        <v/>
      </c>
      <c r="O274" s="206" t="str">
        <f t="shared" si="28"/>
        <v/>
      </c>
      <c r="P274" s="207" t="str">
        <f t="shared" si="33"/>
        <v/>
      </c>
    </row>
    <row r="275" spans="3:16">
      <c r="C275" s="200"/>
      <c r="D275" s="201"/>
      <c r="E275" s="202"/>
      <c r="F275" s="200"/>
      <c r="H275" s="203"/>
      <c r="I275" s="186" t="str">
        <f t="shared" si="29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30"/>
        <v/>
      </c>
      <c r="L275" s="189" t="str">
        <f t="shared" si="31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32"/>
        <v/>
      </c>
      <c r="O275" s="206" t="str">
        <f t="shared" si="28"/>
        <v/>
      </c>
      <c r="P275" s="207" t="str">
        <f t="shared" si="33"/>
        <v/>
      </c>
    </row>
    <row r="276" spans="3:16">
      <c r="C276" s="200"/>
      <c r="D276" s="201"/>
      <c r="E276" s="202"/>
      <c r="F276" s="200"/>
      <c r="H276" s="203"/>
      <c r="I276" s="186" t="str">
        <f t="shared" si="29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30"/>
        <v/>
      </c>
      <c r="L276" s="189" t="str">
        <f t="shared" si="31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32"/>
        <v/>
      </c>
      <c r="O276" s="206" t="str">
        <f t="shared" si="28"/>
        <v/>
      </c>
      <c r="P276" s="207" t="str">
        <f t="shared" si="33"/>
        <v/>
      </c>
    </row>
    <row r="277" spans="3:16">
      <c r="C277" s="200"/>
      <c r="D277" s="201"/>
      <c r="E277" s="202"/>
      <c r="F277" s="200"/>
      <c r="H277" s="203"/>
      <c r="I277" s="186" t="str">
        <f t="shared" si="29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30"/>
        <v/>
      </c>
      <c r="L277" s="189" t="str">
        <f t="shared" si="31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32"/>
        <v/>
      </c>
      <c r="O277" s="206" t="str">
        <f t="shared" si="28"/>
        <v/>
      </c>
      <c r="P277" s="207" t="str">
        <f t="shared" si="33"/>
        <v/>
      </c>
    </row>
    <row r="278" spans="3:16">
      <c r="C278" s="200"/>
      <c r="D278" s="201"/>
      <c r="E278" s="202"/>
      <c r="F278" s="200"/>
      <c r="H278" s="203"/>
      <c r="I278" s="186" t="str">
        <f t="shared" si="29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30"/>
        <v/>
      </c>
      <c r="L278" s="189" t="str">
        <f t="shared" si="31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32"/>
        <v/>
      </c>
      <c r="O278" s="206" t="str">
        <f t="shared" si="28"/>
        <v/>
      </c>
      <c r="P278" s="207" t="str">
        <f t="shared" si="33"/>
        <v/>
      </c>
    </row>
    <row r="279" spans="3:16">
      <c r="C279" s="200"/>
      <c r="D279" s="201"/>
      <c r="E279" s="202"/>
      <c r="F279" s="200"/>
      <c r="H279" s="203"/>
      <c r="I279" s="186" t="str">
        <f t="shared" si="29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30"/>
        <v/>
      </c>
      <c r="L279" s="189" t="str">
        <f t="shared" si="31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32"/>
        <v/>
      </c>
      <c r="O279" s="206" t="str">
        <f t="shared" si="28"/>
        <v/>
      </c>
      <c r="P279" s="207" t="str">
        <f t="shared" si="33"/>
        <v/>
      </c>
    </row>
    <row r="280" spans="3:16">
      <c r="C280" s="200"/>
      <c r="D280" s="201"/>
      <c r="E280" s="202"/>
      <c r="F280" s="200"/>
      <c r="H280" s="203"/>
      <c r="I280" s="186" t="str">
        <f t="shared" si="29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30"/>
        <v/>
      </c>
      <c r="L280" s="189" t="str">
        <f t="shared" si="31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32"/>
        <v/>
      </c>
      <c r="O280" s="206" t="str">
        <f t="shared" si="28"/>
        <v/>
      </c>
      <c r="P280" s="207" t="str">
        <f t="shared" si="33"/>
        <v/>
      </c>
    </row>
    <row r="281" spans="3:16">
      <c r="C281" s="200"/>
      <c r="D281" s="201"/>
      <c r="E281" s="202"/>
      <c r="F281" s="200"/>
      <c r="H281" s="203"/>
      <c r="I281" s="186" t="str">
        <f t="shared" si="29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30"/>
        <v/>
      </c>
      <c r="L281" s="189" t="str">
        <f t="shared" si="31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32"/>
        <v/>
      </c>
      <c r="O281" s="206" t="str">
        <f t="shared" si="28"/>
        <v/>
      </c>
      <c r="P281" s="207" t="str">
        <f t="shared" si="33"/>
        <v/>
      </c>
    </row>
    <row r="282" spans="3:16">
      <c r="C282" s="200"/>
      <c r="D282" s="201"/>
      <c r="E282" s="202"/>
      <c r="F282" s="200"/>
      <c r="H282" s="203"/>
      <c r="I282" s="186" t="str">
        <f t="shared" si="29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30"/>
        <v/>
      </c>
      <c r="L282" s="189" t="str">
        <f t="shared" si="31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32"/>
        <v/>
      </c>
      <c r="O282" s="206" t="str">
        <f t="shared" si="28"/>
        <v/>
      </c>
      <c r="P282" s="207" t="str">
        <f t="shared" si="33"/>
        <v/>
      </c>
    </row>
    <row r="283" spans="3:16">
      <c r="C283" s="200"/>
      <c r="D283" s="201"/>
      <c r="E283" s="202"/>
      <c r="F283" s="200"/>
      <c r="H283" s="203"/>
      <c r="I283" s="186" t="str">
        <f t="shared" si="29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30"/>
        <v/>
      </c>
      <c r="L283" s="189" t="str">
        <f t="shared" si="31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32"/>
        <v/>
      </c>
      <c r="O283" s="206" t="str">
        <f t="shared" si="28"/>
        <v/>
      </c>
      <c r="P283" s="207" t="str">
        <f t="shared" si="33"/>
        <v/>
      </c>
    </row>
    <row r="284" spans="3:16">
      <c r="C284" s="200"/>
      <c r="D284" s="201"/>
      <c r="E284" s="202"/>
      <c r="F284" s="200"/>
      <c r="H284" s="203"/>
      <c r="I284" s="186" t="str">
        <f t="shared" si="29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30"/>
        <v/>
      </c>
      <c r="L284" s="189" t="str">
        <f t="shared" si="31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32"/>
        <v/>
      </c>
      <c r="O284" s="206" t="str">
        <f t="shared" si="28"/>
        <v/>
      </c>
      <c r="P284" s="207" t="str">
        <f t="shared" si="33"/>
        <v/>
      </c>
    </row>
    <row r="285" spans="3:16">
      <c r="C285" s="200"/>
      <c r="D285" s="201"/>
      <c r="E285" s="202"/>
      <c r="F285" s="200"/>
      <c r="H285" s="203"/>
      <c r="I285" s="186" t="str">
        <f t="shared" si="29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30"/>
        <v/>
      </c>
      <c r="L285" s="189" t="str">
        <f t="shared" si="31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32"/>
        <v/>
      </c>
      <c r="O285" s="206" t="str">
        <f t="shared" si="28"/>
        <v/>
      </c>
      <c r="P285" s="207" t="str">
        <f t="shared" si="33"/>
        <v/>
      </c>
    </row>
    <row r="286" spans="3:16">
      <c r="C286" s="200"/>
      <c r="D286" s="201"/>
      <c r="E286" s="202"/>
      <c r="F286" s="200"/>
      <c r="H286" s="203"/>
      <c r="I286" s="186" t="str">
        <f t="shared" si="29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30"/>
        <v/>
      </c>
      <c r="L286" s="189" t="str">
        <f t="shared" si="31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32"/>
        <v/>
      </c>
      <c r="O286" s="206" t="str">
        <f t="shared" si="28"/>
        <v/>
      </c>
      <c r="P286" s="207" t="str">
        <f t="shared" si="33"/>
        <v/>
      </c>
    </row>
    <row r="287" spans="3:16">
      <c r="C287" s="200"/>
      <c r="D287" s="201"/>
      <c r="E287" s="202"/>
      <c r="F287" s="200"/>
      <c r="H287" s="203"/>
      <c r="I287" s="186" t="str">
        <f t="shared" si="29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30"/>
        <v/>
      </c>
      <c r="L287" s="189" t="str">
        <f t="shared" si="31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32"/>
        <v/>
      </c>
      <c r="O287" s="206" t="str">
        <f t="shared" si="28"/>
        <v/>
      </c>
      <c r="P287" s="207" t="str">
        <f t="shared" si="33"/>
        <v/>
      </c>
    </row>
    <row r="288" spans="3:16">
      <c r="C288" s="200"/>
      <c r="D288" s="201"/>
      <c r="E288" s="202"/>
      <c r="F288" s="200"/>
      <c r="H288" s="203"/>
      <c r="I288" s="186" t="str">
        <f t="shared" si="29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30"/>
        <v/>
      </c>
      <c r="L288" s="189" t="str">
        <f t="shared" si="31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32"/>
        <v/>
      </c>
      <c r="O288" s="206" t="str">
        <f t="shared" si="28"/>
        <v/>
      </c>
      <c r="P288" s="207" t="str">
        <f t="shared" si="33"/>
        <v/>
      </c>
    </row>
    <row r="289" spans="3:16">
      <c r="C289" s="200"/>
      <c r="D289" s="201"/>
      <c r="E289" s="202"/>
      <c r="F289" s="200"/>
      <c r="H289" s="203"/>
      <c r="I289" s="186" t="str">
        <f t="shared" si="29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30"/>
        <v/>
      </c>
      <c r="L289" s="189" t="str">
        <f t="shared" si="31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32"/>
        <v/>
      </c>
      <c r="O289" s="206" t="str">
        <f t="shared" si="28"/>
        <v/>
      </c>
      <c r="P289" s="207" t="str">
        <f t="shared" si="33"/>
        <v/>
      </c>
    </row>
    <row r="290" spans="3:16">
      <c r="C290" s="200"/>
      <c r="D290" s="201"/>
      <c r="E290" s="202"/>
      <c r="F290" s="200"/>
      <c r="H290" s="203"/>
      <c r="I290" s="186" t="str">
        <f t="shared" si="29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30"/>
        <v/>
      </c>
      <c r="L290" s="189" t="str">
        <f t="shared" si="31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32"/>
        <v/>
      </c>
      <c r="O290" s="206" t="str">
        <f t="shared" si="28"/>
        <v/>
      </c>
      <c r="P290" s="207" t="str">
        <f t="shared" si="33"/>
        <v/>
      </c>
    </row>
    <row r="291" spans="3:16">
      <c r="C291" s="200"/>
      <c r="D291" s="201"/>
      <c r="E291" s="202"/>
      <c r="F291" s="200"/>
      <c r="H291" s="203"/>
      <c r="I291" s="186" t="str">
        <f t="shared" si="29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30"/>
        <v/>
      </c>
      <c r="L291" s="189" t="str">
        <f t="shared" si="31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32"/>
        <v/>
      </c>
      <c r="O291" s="206" t="str">
        <f t="shared" si="28"/>
        <v/>
      </c>
      <c r="P291" s="207" t="str">
        <f t="shared" si="33"/>
        <v/>
      </c>
    </row>
    <row r="292" spans="3:16">
      <c r="C292" s="200"/>
      <c r="D292" s="201"/>
      <c r="E292" s="202"/>
      <c r="F292" s="200"/>
      <c r="H292" s="203"/>
      <c r="I292" s="186" t="str">
        <f t="shared" si="29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30"/>
        <v/>
      </c>
      <c r="L292" s="189" t="str">
        <f t="shared" si="31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32"/>
        <v/>
      </c>
      <c r="O292" s="206" t="str">
        <f t="shared" si="28"/>
        <v/>
      </c>
      <c r="P292" s="207" t="str">
        <f t="shared" si="33"/>
        <v/>
      </c>
    </row>
    <row r="293" spans="3:16">
      <c r="C293" s="200"/>
      <c r="D293" s="201"/>
      <c r="E293" s="202"/>
      <c r="F293" s="200"/>
      <c r="H293" s="203"/>
      <c r="I293" s="186" t="str">
        <f t="shared" si="29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30"/>
        <v/>
      </c>
      <c r="L293" s="189" t="str">
        <f t="shared" si="31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32"/>
        <v/>
      </c>
      <c r="O293" s="206" t="str">
        <f t="shared" si="28"/>
        <v/>
      </c>
      <c r="P293" s="207" t="str">
        <f t="shared" si="33"/>
        <v/>
      </c>
    </row>
    <row r="294" spans="3:16">
      <c r="C294" s="200"/>
      <c r="D294" s="201"/>
      <c r="E294" s="202"/>
      <c r="F294" s="200"/>
      <c r="H294" s="203"/>
      <c r="I294" s="186" t="str">
        <f t="shared" si="29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30"/>
        <v/>
      </c>
      <c r="L294" s="189" t="str">
        <f t="shared" si="31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32"/>
        <v/>
      </c>
      <c r="O294" s="206" t="str">
        <f t="shared" si="28"/>
        <v/>
      </c>
      <c r="P294" s="207" t="str">
        <f t="shared" si="33"/>
        <v/>
      </c>
    </row>
    <row r="295" spans="3:16">
      <c r="C295" s="200"/>
      <c r="D295" s="201"/>
      <c r="E295" s="202"/>
      <c r="F295" s="200"/>
      <c r="H295" s="203"/>
      <c r="I295" s="186" t="str">
        <f t="shared" si="29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30"/>
        <v/>
      </c>
      <c r="L295" s="189" t="str">
        <f t="shared" si="31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32"/>
        <v/>
      </c>
      <c r="O295" s="206" t="str">
        <f t="shared" si="28"/>
        <v/>
      </c>
      <c r="P295" s="207" t="str">
        <f t="shared" si="33"/>
        <v/>
      </c>
    </row>
    <row r="296" spans="3:16">
      <c r="C296" s="200"/>
      <c r="D296" s="201"/>
      <c r="E296" s="202"/>
      <c r="F296" s="200"/>
      <c r="H296" s="203"/>
      <c r="I296" s="186" t="str">
        <f t="shared" si="29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30"/>
        <v/>
      </c>
      <c r="L296" s="189" t="str">
        <f t="shared" si="31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32"/>
        <v/>
      </c>
      <c r="O296" s="206" t="str">
        <f t="shared" si="28"/>
        <v/>
      </c>
      <c r="P296" s="207" t="str">
        <f t="shared" si="33"/>
        <v/>
      </c>
    </row>
    <row r="297" spans="3:16">
      <c r="C297" s="200"/>
      <c r="D297" s="201"/>
      <c r="E297" s="202"/>
      <c r="F297" s="200"/>
      <c r="H297" s="203"/>
      <c r="I297" s="186" t="str">
        <f t="shared" si="29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30"/>
        <v/>
      </c>
      <c r="L297" s="189" t="str">
        <f t="shared" si="31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32"/>
        <v/>
      </c>
      <c r="O297" s="206" t="str">
        <f t="shared" si="28"/>
        <v/>
      </c>
      <c r="P297" s="207" t="str">
        <f t="shared" si="33"/>
        <v/>
      </c>
    </row>
    <row r="298" spans="3:16">
      <c r="C298" s="200"/>
      <c r="D298" s="201"/>
      <c r="E298" s="202"/>
      <c r="F298" s="200"/>
      <c r="H298" s="203"/>
      <c r="I298" s="186" t="str">
        <f t="shared" si="29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30"/>
        <v/>
      </c>
      <c r="L298" s="189" t="str">
        <f t="shared" si="31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32"/>
        <v/>
      </c>
      <c r="O298" s="206" t="str">
        <f t="shared" si="28"/>
        <v/>
      </c>
      <c r="P298" s="207" t="str">
        <f t="shared" si="33"/>
        <v/>
      </c>
    </row>
    <row r="299" spans="3:16">
      <c r="C299" s="200"/>
      <c r="D299" s="201"/>
      <c r="E299" s="202"/>
      <c r="F299" s="200"/>
      <c r="H299" s="203"/>
      <c r="I299" s="186" t="str">
        <f t="shared" si="29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30"/>
        <v/>
      </c>
      <c r="L299" s="189" t="str">
        <f t="shared" si="31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32"/>
        <v/>
      </c>
      <c r="O299" s="206" t="str">
        <f t="shared" si="28"/>
        <v/>
      </c>
      <c r="P299" s="207" t="str">
        <f t="shared" si="33"/>
        <v/>
      </c>
    </row>
    <row r="300" spans="3:16">
      <c r="C300" s="200"/>
      <c r="D300" s="201"/>
      <c r="E300" s="202"/>
      <c r="F300" s="200"/>
      <c r="H300" s="203"/>
      <c r="I300" s="186" t="str">
        <f t="shared" si="29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30"/>
        <v/>
      </c>
      <c r="L300" s="189" t="str">
        <f t="shared" si="31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32"/>
        <v/>
      </c>
      <c r="O300" s="206" t="str">
        <f t="shared" si="28"/>
        <v/>
      </c>
      <c r="P300" s="207" t="str">
        <f t="shared" si="33"/>
        <v/>
      </c>
    </row>
    <row r="301" spans="3:16">
      <c r="C301" s="200"/>
      <c r="D301" s="201"/>
      <c r="E301" s="202"/>
      <c r="F301" s="200"/>
      <c r="H301" s="203"/>
      <c r="I301" s="186" t="str">
        <f t="shared" si="29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30"/>
        <v/>
      </c>
      <c r="L301" s="189" t="str">
        <f t="shared" si="31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32"/>
        <v/>
      </c>
      <c r="O301" s="206" t="str">
        <f t="shared" si="28"/>
        <v/>
      </c>
      <c r="P301" s="207" t="str">
        <f t="shared" si="33"/>
        <v/>
      </c>
    </row>
    <row r="302" spans="3:16">
      <c r="C302" s="200"/>
      <c r="D302" s="201"/>
      <c r="E302" s="202"/>
      <c r="F302" s="200"/>
      <c r="H302" s="203"/>
      <c r="I302" s="186" t="str">
        <f t="shared" si="29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30"/>
        <v/>
      </c>
      <c r="L302" s="189" t="str">
        <f t="shared" si="31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32"/>
        <v/>
      </c>
      <c r="O302" s="206" t="str">
        <f t="shared" si="28"/>
        <v/>
      </c>
      <c r="P302" s="207" t="str">
        <f t="shared" si="33"/>
        <v/>
      </c>
    </row>
    <row r="303" spans="3:16">
      <c r="C303" s="200"/>
      <c r="D303" s="201"/>
      <c r="E303" s="202"/>
      <c r="F303" s="200"/>
      <c r="H303" s="203"/>
      <c r="I303" s="186" t="str">
        <f t="shared" si="29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30"/>
        <v/>
      </c>
      <c r="L303" s="189" t="str">
        <f t="shared" si="31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32"/>
        <v/>
      </c>
      <c r="O303" s="206" t="str">
        <f t="shared" si="28"/>
        <v/>
      </c>
      <c r="P303" s="207" t="str">
        <f t="shared" si="33"/>
        <v/>
      </c>
    </row>
    <row r="304" spans="3:16">
      <c r="C304" s="200"/>
      <c r="D304" s="201"/>
      <c r="E304" s="202"/>
      <c r="F304" s="200"/>
      <c r="H304" s="203"/>
      <c r="I304" s="186" t="str">
        <f t="shared" si="29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30"/>
        <v/>
      </c>
      <c r="L304" s="189" t="str">
        <f t="shared" si="31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32"/>
        <v/>
      </c>
      <c r="O304" s="206" t="str">
        <f t="shared" si="28"/>
        <v/>
      </c>
      <c r="P304" s="207" t="str">
        <f t="shared" si="33"/>
        <v/>
      </c>
    </row>
    <row r="305" spans="3:16">
      <c r="C305" s="200"/>
      <c r="D305" s="201"/>
      <c r="E305" s="202"/>
      <c r="F305" s="200"/>
      <c r="H305" s="203"/>
      <c r="I305" s="186" t="str">
        <f t="shared" si="29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30"/>
        <v/>
      </c>
      <c r="L305" s="189" t="str">
        <f t="shared" si="31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32"/>
        <v/>
      </c>
      <c r="O305" s="206" t="str">
        <f t="shared" si="28"/>
        <v/>
      </c>
      <c r="P305" s="207" t="str">
        <f t="shared" si="33"/>
        <v/>
      </c>
    </row>
    <row r="306" spans="3:16">
      <c r="C306" s="200"/>
      <c r="D306" s="201"/>
      <c r="E306" s="202"/>
      <c r="F306" s="200"/>
      <c r="H306" s="203"/>
      <c r="I306" s="186" t="str">
        <f t="shared" si="29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30"/>
        <v/>
      </c>
      <c r="L306" s="189" t="str">
        <f t="shared" si="31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32"/>
        <v/>
      </c>
      <c r="O306" s="206" t="str">
        <f t="shared" si="28"/>
        <v/>
      </c>
      <c r="P306" s="207" t="str">
        <f t="shared" si="33"/>
        <v/>
      </c>
    </row>
    <row r="307" spans="3:16">
      <c r="C307" s="200"/>
      <c r="D307" s="201"/>
      <c r="E307" s="202"/>
      <c r="F307" s="200"/>
      <c r="H307" s="203"/>
      <c r="I307" s="186" t="str">
        <f t="shared" si="29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30"/>
        <v/>
      </c>
      <c r="L307" s="189" t="str">
        <f t="shared" si="31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32"/>
        <v/>
      </c>
      <c r="O307" s="206" t="str">
        <f t="shared" si="28"/>
        <v/>
      </c>
      <c r="P307" s="207" t="str">
        <f t="shared" si="33"/>
        <v/>
      </c>
    </row>
    <row r="308" spans="3:16">
      <c r="C308" s="200"/>
      <c r="D308" s="201"/>
      <c r="E308" s="202"/>
      <c r="F308" s="200"/>
      <c r="H308" s="203"/>
      <c r="I308" s="186" t="str">
        <f t="shared" si="29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30"/>
        <v/>
      </c>
      <c r="L308" s="189" t="str">
        <f t="shared" si="31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32"/>
        <v/>
      </c>
      <c r="O308" s="206" t="str">
        <f t="shared" si="28"/>
        <v/>
      </c>
      <c r="P308" s="207" t="str">
        <f t="shared" si="33"/>
        <v/>
      </c>
    </row>
    <row r="309" spans="3:16">
      <c r="C309" s="200"/>
      <c r="D309" s="201"/>
      <c r="E309" s="202"/>
      <c r="F309" s="200"/>
      <c r="H309" s="203"/>
      <c r="I309" s="186" t="str">
        <f t="shared" si="29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30"/>
        <v/>
      </c>
      <c r="L309" s="189" t="str">
        <f t="shared" si="31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32"/>
        <v/>
      </c>
      <c r="O309" s="206" t="str">
        <f t="shared" si="28"/>
        <v/>
      </c>
      <c r="P309" s="207" t="str">
        <f t="shared" si="33"/>
        <v/>
      </c>
    </row>
    <row r="310" spans="3:16">
      <c r="C310" s="200"/>
      <c r="D310" s="201"/>
      <c r="E310" s="202"/>
      <c r="F310" s="200"/>
      <c r="H310" s="203"/>
      <c r="I310" s="186" t="str">
        <f t="shared" si="29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30"/>
        <v/>
      </c>
      <c r="L310" s="189" t="str">
        <f t="shared" si="31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32"/>
        <v/>
      </c>
      <c r="O310" s="206" t="str">
        <f t="shared" si="28"/>
        <v/>
      </c>
      <c r="P310" s="207" t="str">
        <f t="shared" si="33"/>
        <v/>
      </c>
    </row>
    <row r="311" spans="3:16">
      <c r="C311" s="200"/>
      <c r="D311" s="201"/>
      <c r="E311" s="202"/>
      <c r="F311" s="200"/>
      <c r="H311" s="203"/>
      <c r="I311" s="186" t="str">
        <f t="shared" si="29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30"/>
        <v/>
      </c>
      <c r="L311" s="189" t="str">
        <f t="shared" si="31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32"/>
        <v/>
      </c>
      <c r="O311" s="206" t="str">
        <f t="shared" si="28"/>
        <v/>
      </c>
      <c r="P311" s="207" t="str">
        <f t="shared" si="33"/>
        <v/>
      </c>
    </row>
    <row r="312" spans="3:16">
      <c r="C312" s="200"/>
      <c r="D312" s="201"/>
      <c r="E312" s="202"/>
      <c r="F312" s="200"/>
      <c r="H312" s="203"/>
      <c r="I312" s="186" t="str">
        <f t="shared" si="29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30"/>
        <v/>
      </c>
      <c r="L312" s="189" t="str">
        <f t="shared" si="31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32"/>
        <v/>
      </c>
      <c r="O312" s="206" t="str">
        <f t="shared" si="28"/>
        <v/>
      </c>
      <c r="P312" s="207" t="str">
        <f t="shared" si="33"/>
        <v/>
      </c>
    </row>
    <row r="313" spans="3:16">
      <c r="C313" s="200"/>
      <c r="D313" s="201"/>
      <c r="E313" s="202"/>
      <c r="F313" s="200"/>
      <c r="H313" s="203"/>
      <c r="I313" s="186" t="str">
        <f t="shared" si="29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30"/>
        <v/>
      </c>
      <c r="L313" s="189" t="str">
        <f t="shared" si="31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32"/>
        <v/>
      </c>
      <c r="O313" s="206" t="str">
        <f t="shared" si="28"/>
        <v/>
      </c>
      <c r="P313" s="207" t="str">
        <f t="shared" si="33"/>
        <v/>
      </c>
    </row>
    <row r="314" spans="3:16">
      <c r="C314" s="200"/>
      <c r="D314" s="201"/>
      <c r="E314" s="202"/>
      <c r="F314" s="200"/>
      <c r="H314" s="203"/>
      <c r="I314" s="186" t="str">
        <f t="shared" si="29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30"/>
        <v/>
      </c>
      <c r="L314" s="189" t="str">
        <f t="shared" si="31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32"/>
        <v/>
      </c>
      <c r="O314" s="206" t="str">
        <f t="shared" si="28"/>
        <v/>
      </c>
      <c r="P314" s="207" t="str">
        <f t="shared" si="33"/>
        <v/>
      </c>
    </row>
    <row r="315" spans="3:16">
      <c r="C315" s="200"/>
      <c r="D315" s="201"/>
      <c r="E315" s="202"/>
      <c r="F315" s="200"/>
      <c r="H315" s="203"/>
      <c r="I315" s="186" t="str">
        <f t="shared" si="29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30"/>
        <v/>
      </c>
      <c r="L315" s="189" t="str">
        <f t="shared" si="31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32"/>
        <v/>
      </c>
      <c r="O315" s="206" t="str">
        <f t="shared" si="28"/>
        <v/>
      </c>
      <c r="P315" s="207" t="str">
        <f t="shared" si="33"/>
        <v/>
      </c>
    </row>
    <row r="316" spans="3:16">
      <c r="C316" s="200"/>
      <c r="D316" s="201"/>
      <c r="E316" s="202"/>
      <c r="F316" s="200"/>
      <c r="H316" s="203"/>
      <c r="I316" s="186" t="str">
        <f t="shared" si="29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30"/>
        <v/>
      </c>
      <c r="L316" s="189" t="str">
        <f t="shared" si="31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32"/>
        <v/>
      </c>
      <c r="O316" s="206" t="str">
        <f t="shared" si="28"/>
        <v/>
      </c>
      <c r="P316" s="207" t="str">
        <f t="shared" si="33"/>
        <v/>
      </c>
    </row>
    <row r="317" spans="3:16">
      <c r="C317" s="200"/>
      <c r="D317" s="201"/>
      <c r="E317" s="202"/>
      <c r="F317" s="200"/>
      <c r="H317" s="203"/>
      <c r="I317" s="186" t="str">
        <f t="shared" si="29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30"/>
        <v/>
      </c>
      <c r="L317" s="189" t="str">
        <f t="shared" si="31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32"/>
        <v/>
      </c>
      <c r="O317" s="206" t="str">
        <f t="shared" si="28"/>
        <v/>
      </c>
      <c r="P317" s="207" t="str">
        <f t="shared" si="33"/>
        <v/>
      </c>
    </row>
    <row r="318" spans="3:16">
      <c r="C318" s="200"/>
      <c r="D318" s="201"/>
      <c r="E318" s="202"/>
      <c r="F318" s="200"/>
      <c r="H318" s="203"/>
      <c r="I318" s="186" t="str">
        <f t="shared" si="29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30"/>
        <v/>
      </c>
      <c r="L318" s="189" t="str">
        <f t="shared" si="31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32"/>
        <v/>
      </c>
      <c r="O318" s="206" t="str">
        <f t="shared" si="28"/>
        <v/>
      </c>
      <c r="P318" s="207" t="str">
        <f t="shared" si="33"/>
        <v/>
      </c>
    </row>
    <row r="319" spans="3:16">
      <c r="C319" s="200"/>
      <c r="D319" s="201"/>
      <c r="E319" s="202"/>
      <c r="F319" s="200"/>
      <c r="H319" s="203"/>
      <c r="I319" s="186" t="str">
        <f t="shared" si="29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30"/>
        <v/>
      </c>
      <c r="L319" s="189" t="str">
        <f t="shared" si="31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32"/>
        <v/>
      </c>
      <c r="O319" s="206" t="str">
        <f t="shared" si="28"/>
        <v/>
      </c>
      <c r="P319" s="207" t="str">
        <f t="shared" si="33"/>
        <v/>
      </c>
    </row>
    <row r="320" spans="3:16">
      <c r="C320" s="200"/>
      <c r="D320" s="201"/>
      <c r="E320" s="202"/>
      <c r="F320" s="200"/>
      <c r="H320" s="203"/>
      <c r="I320" s="186" t="str">
        <f t="shared" si="29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30"/>
        <v/>
      </c>
      <c r="L320" s="189" t="str">
        <f t="shared" si="31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32"/>
        <v/>
      </c>
      <c r="O320" s="206" t="str">
        <f t="shared" si="28"/>
        <v/>
      </c>
      <c r="P320" s="207" t="str">
        <f t="shared" si="33"/>
        <v/>
      </c>
    </row>
    <row r="321" spans="3:16">
      <c r="C321" s="200"/>
      <c r="D321" s="201"/>
      <c r="E321" s="202"/>
      <c r="F321" s="200"/>
      <c r="H321" s="203"/>
      <c r="I321" s="186" t="str">
        <f t="shared" si="29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30"/>
        <v/>
      </c>
      <c r="L321" s="189" t="str">
        <f t="shared" si="31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32"/>
        <v/>
      </c>
      <c r="O321" s="206" t="str">
        <f t="shared" si="28"/>
        <v/>
      </c>
      <c r="P321" s="207" t="str">
        <f t="shared" si="33"/>
        <v/>
      </c>
    </row>
    <row r="322" spans="3:16">
      <c r="C322" s="200"/>
      <c r="D322" s="201"/>
      <c r="E322" s="202"/>
      <c r="F322" s="200"/>
      <c r="H322" s="203"/>
      <c r="I322" s="186" t="str">
        <f t="shared" si="29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30"/>
        <v/>
      </c>
      <c r="L322" s="189" t="str">
        <f t="shared" si="31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32"/>
        <v/>
      </c>
      <c r="O322" s="206" t="str">
        <f t="shared" si="28"/>
        <v/>
      </c>
      <c r="P322" s="207" t="str">
        <f t="shared" si="33"/>
        <v/>
      </c>
    </row>
    <row r="323" spans="3:16">
      <c r="C323" s="200"/>
      <c r="D323" s="201"/>
      <c r="E323" s="202"/>
      <c r="F323" s="200"/>
      <c r="H323" s="203"/>
      <c r="I323" s="186" t="str">
        <f t="shared" si="29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30"/>
        <v/>
      </c>
      <c r="L323" s="189" t="str">
        <f t="shared" si="31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32"/>
        <v/>
      </c>
      <c r="O323" s="206" t="str">
        <f t="shared" si="28"/>
        <v/>
      </c>
      <c r="P323" s="207" t="str">
        <f t="shared" si="33"/>
        <v/>
      </c>
    </row>
    <row r="324" spans="3:16">
      <c r="C324" s="200"/>
      <c r="D324" s="201"/>
      <c r="E324" s="202"/>
      <c r="F324" s="200"/>
      <c r="H324" s="203"/>
      <c r="I324" s="186" t="str">
        <f t="shared" si="29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30"/>
        <v/>
      </c>
      <c r="L324" s="189" t="str">
        <f t="shared" si="31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32"/>
        <v/>
      </c>
      <c r="O324" s="206" t="str">
        <f t="shared" si="28"/>
        <v/>
      </c>
      <c r="P324" s="207" t="str">
        <f t="shared" si="33"/>
        <v/>
      </c>
    </row>
    <row r="325" spans="3:16">
      <c r="C325" s="200"/>
      <c r="D325" s="201"/>
      <c r="E325" s="202"/>
      <c r="F325" s="200"/>
      <c r="H325" s="203"/>
      <c r="I325" s="186" t="str">
        <f t="shared" si="29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30"/>
        <v/>
      </c>
      <c r="L325" s="189" t="str">
        <f t="shared" si="31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32"/>
        <v/>
      </c>
      <c r="O325" s="206" t="str">
        <f t="shared" si="28"/>
        <v/>
      </c>
      <c r="P325" s="207" t="str">
        <f t="shared" si="33"/>
        <v/>
      </c>
    </row>
    <row r="326" spans="3:16">
      <c r="C326" s="200"/>
      <c r="D326" s="201"/>
      <c r="E326" s="202"/>
      <c r="F326" s="200"/>
      <c r="H326" s="203"/>
      <c r="I326" s="186" t="str">
        <f t="shared" si="29"/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si="30"/>
        <v/>
      </c>
      <c r="L326" s="189" t="str">
        <f t="shared" si="31"/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si="32"/>
        <v/>
      </c>
      <c r="O326" s="206" t="str">
        <f t="shared" si="28"/>
        <v/>
      </c>
      <c r="P326" s="207" t="str">
        <f t="shared" si="33"/>
        <v/>
      </c>
    </row>
    <row r="327" spans="3:16">
      <c r="C327" s="200"/>
      <c r="D327" s="201"/>
      <c r="E327" s="202"/>
      <c r="F327" s="200"/>
      <c r="H327" s="203"/>
      <c r="I327" s="186" t="str">
        <f t="shared" si="29"/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si="30"/>
        <v/>
      </c>
      <c r="L327" s="189" t="str">
        <f t="shared" si="31"/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si="32"/>
        <v/>
      </c>
      <c r="O327" s="206" t="str">
        <f t="shared" si="28"/>
        <v/>
      </c>
      <c r="P327" s="207" t="str">
        <f t="shared" si="33"/>
        <v/>
      </c>
    </row>
    <row r="328" spans="3:16">
      <c r="C328" s="200"/>
      <c r="D328" s="201"/>
      <c r="E328" s="202"/>
      <c r="F328" s="200"/>
      <c r="H328" s="203"/>
      <c r="I328" s="186" t="str">
        <f t="shared" si="29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0"/>
        <v/>
      </c>
      <c r="L328" s="189" t="str">
        <f t="shared" si="31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2"/>
        <v/>
      </c>
      <c r="O328" s="206" t="str">
        <f t="shared" si="28"/>
        <v/>
      </c>
      <c r="P328" s="207" t="str">
        <f t="shared" si="33"/>
        <v/>
      </c>
    </row>
    <row r="329" spans="3:16">
      <c r="C329" s="200"/>
      <c r="D329" s="201"/>
      <c r="E329" s="202"/>
      <c r="F329" s="200"/>
      <c r="H329" s="203"/>
      <c r="I329" s="186" t="str">
        <f t="shared" si="29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0"/>
        <v/>
      </c>
      <c r="L329" s="189" t="str">
        <f t="shared" si="31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2"/>
        <v/>
      </c>
      <c r="O329" s="206" t="str">
        <f t="shared" si="28"/>
        <v/>
      </c>
      <c r="P329" s="207" t="str">
        <f t="shared" si="33"/>
        <v/>
      </c>
    </row>
    <row r="330" spans="3:16">
      <c r="C330" s="200"/>
      <c r="D330" s="201"/>
      <c r="E330" s="202"/>
      <c r="F330" s="200"/>
      <c r="H330" s="203"/>
      <c r="I330" s="186" t="str">
        <f t="shared" si="29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0"/>
        <v/>
      </c>
      <c r="L330" s="189" t="str">
        <f t="shared" si="31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2"/>
        <v/>
      </c>
      <c r="O330" s="206" t="str">
        <f t="shared" si="28"/>
        <v/>
      </c>
      <c r="P330" s="207" t="str">
        <f t="shared" si="33"/>
        <v/>
      </c>
    </row>
    <row r="331" spans="3:16">
      <c r="C331" s="200"/>
      <c r="D331" s="201"/>
      <c r="E331" s="202"/>
      <c r="F331" s="200"/>
      <c r="H331" s="203"/>
      <c r="I331" s="186" t="str">
        <f t="shared" si="29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0"/>
        <v/>
      </c>
      <c r="L331" s="189" t="str">
        <f t="shared" si="31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2"/>
        <v/>
      </c>
      <c r="O331" s="206" t="str">
        <f t="shared" si="28"/>
        <v/>
      </c>
      <c r="P331" s="207" t="str">
        <f t="shared" si="33"/>
        <v/>
      </c>
    </row>
    <row r="332" spans="3:16">
      <c r="C332" s="200"/>
      <c r="D332" s="201"/>
      <c r="E332" s="202"/>
      <c r="F332" s="200"/>
      <c r="H332" s="203"/>
      <c r="I332" s="186" t="str">
        <f t="shared" si="29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0"/>
        <v/>
      </c>
      <c r="L332" s="189" t="str">
        <f t="shared" si="31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2"/>
        <v/>
      </c>
      <c r="O332" s="206" t="str">
        <f t="shared" si="28"/>
        <v/>
      </c>
      <c r="P332" s="207" t="str">
        <f t="shared" si="33"/>
        <v/>
      </c>
    </row>
    <row r="333" spans="3:16">
      <c r="C333" s="200"/>
      <c r="D333" s="201"/>
      <c r="E333" s="202"/>
      <c r="F333" s="200"/>
      <c r="H333" s="203"/>
      <c r="I333" s="186" t="str">
        <f t="shared" si="29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0"/>
        <v/>
      </c>
      <c r="L333" s="189" t="str">
        <f t="shared" si="31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2"/>
        <v/>
      </c>
      <c r="O333" s="206" t="str">
        <f t="shared" si="28"/>
        <v/>
      </c>
      <c r="P333" s="207" t="str">
        <f t="shared" si="33"/>
        <v/>
      </c>
    </row>
    <row r="334" spans="3:16">
      <c r="C334" s="200"/>
      <c r="D334" s="201"/>
      <c r="E334" s="202"/>
      <c r="F334" s="200"/>
      <c r="H334" s="203"/>
      <c r="I334" s="186" t="str">
        <f t="shared" si="29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0"/>
        <v/>
      </c>
      <c r="L334" s="189" t="str">
        <f t="shared" si="31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2"/>
        <v/>
      </c>
      <c r="O334" s="206" t="str">
        <f t="shared" ref="O334:O397" si="34">IF(OR(K334="",N334=""),"",K334-N334)</f>
        <v/>
      </c>
      <c r="P334" s="207" t="str">
        <f t="shared" si="33"/>
        <v/>
      </c>
    </row>
    <row r="335" spans="3:16">
      <c r="C335" s="200"/>
      <c r="D335" s="201"/>
      <c r="E335" s="202"/>
      <c r="F335" s="200"/>
      <c r="H335" s="203"/>
      <c r="I335" s="186" t="str">
        <f t="shared" ref="I335:I398" si="35">IF(H335="","",IF(H335="JPY","",IF($H335="USD",4, IF(H335="EUR",7,IF(H335="CNY",47,IF(H335="HKD",34))))))</f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ref="K335:K398" si="36">IF($H335="JPY",$F335,IF($H335="","",$F335*$J335))</f>
        <v/>
      </c>
      <c r="L335" s="189" t="str">
        <f t="shared" ref="L335:L398" si="37">IF(H335="","",IF(H335="JPY","",IF($H335="USD",3, IF(H335="EUR",6,IF(H335="CNY",46,IF(H335="HKD",33))))))</f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ref="N335:N398" si="38">IF($E335="JPY",($C335+$D335),IF($E335="","",($C335+$D335)*$M335))</f>
        <v/>
      </c>
      <c r="O335" s="206" t="str">
        <f t="shared" si="34"/>
        <v/>
      </c>
      <c r="P335" s="207" t="str">
        <f t="shared" ref="P335:P398" si="39">IF(OR(K335="",O335=""),"",O335/K335)</f>
        <v/>
      </c>
    </row>
    <row r="336" spans="3:16">
      <c r="C336" s="200"/>
      <c r="D336" s="201"/>
      <c r="E336" s="202"/>
      <c r="F336" s="200"/>
      <c r="H336" s="203"/>
      <c r="I336" s="186" t="str">
        <f t="shared" si="35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6"/>
        <v/>
      </c>
      <c r="L336" s="189" t="str">
        <f t="shared" si="37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8"/>
        <v/>
      </c>
      <c r="O336" s="206" t="str">
        <f t="shared" si="34"/>
        <v/>
      </c>
      <c r="P336" s="207" t="str">
        <f t="shared" si="39"/>
        <v/>
      </c>
    </row>
    <row r="337" spans="3:16">
      <c r="C337" s="200"/>
      <c r="D337" s="201"/>
      <c r="E337" s="202"/>
      <c r="F337" s="200"/>
      <c r="H337" s="203"/>
      <c r="I337" s="186" t="str">
        <f t="shared" si="35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6"/>
        <v/>
      </c>
      <c r="L337" s="189" t="str">
        <f t="shared" si="37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8"/>
        <v/>
      </c>
      <c r="O337" s="206" t="str">
        <f t="shared" si="34"/>
        <v/>
      </c>
      <c r="P337" s="207" t="str">
        <f t="shared" si="39"/>
        <v/>
      </c>
    </row>
    <row r="338" spans="3:16">
      <c r="C338" s="200"/>
      <c r="D338" s="201"/>
      <c r="E338" s="202"/>
      <c r="F338" s="200"/>
      <c r="H338" s="203"/>
      <c r="I338" s="186" t="str">
        <f t="shared" si="35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6"/>
        <v/>
      </c>
      <c r="L338" s="189" t="str">
        <f t="shared" si="37"/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8"/>
        <v/>
      </c>
      <c r="O338" s="206" t="str">
        <f t="shared" si="34"/>
        <v/>
      </c>
      <c r="P338" s="207" t="str">
        <f t="shared" si="39"/>
        <v/>
      </c>
    </row>
    <row r="339" spans="3:16">
      <c r="C339" s="200"/>
      <c r="D339" s="201"/>
      <c r="E339" s="202"/>
      <c r="F339" s="200"/>
      <c r="H339" s="203"/>
      <c r="I339" s="186" t="str">
        <f t="shared" si="35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6"/>
        <v/>
      </c>
      <c r="L339" s="189" t="str">
        <f t="shared" si="37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8"/>
        <v/>
      </c>
      <c r="O339" s="206" t="str">
        <f t="shared" si="34"/>
        <v/>
      </c>
      <c r="P339" s="207" t="str">
        <f t="shared" si="39"/>
        <v/>
      </c>
    </row>
    <row r="340" spans="3:16">
      <c r="C340" s="200"/>
      <c r="D340" s="201"/>
      <c r="E340" s="202"/>
      <c r="F340" s="200"/>
      <c r="H340" s="203"/>
      <c r="I340" s="186" t="str">
        <f t="shared" si="35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6"/>
        <v/>
      </c>
      <c r="L340" s="189" t="str">
        <f t="shared" si="37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8"/>
        <v/>
      </c>
      <c r="O340" s="206" t="str">
        <f t="shared" si="34"/>
        <v/>
      </c>
      <c r="P340" s="207" t="str">
        <f t="shared" si="39"/>
        <v/>
      </c>
    </row>
    <row r="341" spans="3:16">
      <c r="C341" s="200"/>
      <c r="D341" s="201"/>
      <c r="E341" s="202"/>
      <c r="F341" s="200"/>
      <c r="H341" s="203"/>
      <c r="I341" s="186" t="str">
        <f t="shared" si="35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6"/>
        <v/>
      </c>
      <c r="L341" s="189" t="str">
        <f t="shared" si="37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8"/>
        <v/>
      </c>
      <c r="O341" s="206" t="str">
        <f t="shared" si="34"/>
        <v/>
      </c>
      <c r="P341" s="207" t="str">
        <f t="shared" si="39"/>
        <v/>
      </c>
    </row>
    <row r="342" spans="3:16">
      <c r="C342" s="200"/>
      <c r="D342" s="201"/>
      <c r="E342" s="202"/>
      <c r="F342" s="200"/>
      <c r="H342" s="203"/>
      <c r="I342" s="186" t="str">
        <f t="shared" si="35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6"/>
        <v/>
      </c>
      <c r="L342" s="189" t="str">
        <f t="shared" si="37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8"/>
        <v/>
      </c>
      <c r="O342" s="206" t="str">
        <f t="shared" si="34"/>
        <v/>
      </c>
      <c r="P342" s="207" t="str">
        <f t="shared" si="39"/>
        <v/>
      </c>
    </row>
    <row r="343" spans="3:16">
      <c r="C343" s="200"/>
      <c r="D343" s="201"/>
      <c r="E343" s="202"/>
      <c r="F343" s="200"/>
      <c r="H343" s="203"/>
      <c r="I343" s="186" t="str">
        <f t="shared" si="35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6"/>
        <v/>
      </c>
      <c r="L343" s="189" t="str">
        <f t="shared" si="37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8"/>
        <v/>
      </c>
      <c r="O343" s="206" t="str">
        <f t="shared" si="34"/>
        <v/>
      </c>
      <c r="P343" s="207" t="str">
        <f t="shared" si="39"/>
        <v/>
      </c>
    </row>
    <row r="344" spans="3:16">
      <c r="C344" s="200"/>
      <c r="D344" s="201"/>
      <c r="E344" s="202"/>
      <c r="F344" s="200"/>
      <c r="H344" s="203"/>
      <c r="I344" s="186" t="str">
        <f t="shared" si="35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6"/>
        <v/>
      </c>
      <c r="L344" s="189" t="str">
        <f t="shared" si="37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8"/>
        <v/>
      </c>
      <c r="O344" s="206" t="str">
        <f t="shared" si="34"/>
        <v/>
      </c>
      <c r="P344" s="207" t="str">
        <f t="shared" si="39"/>
        <v/>
      </c>
    </row>
    <row r="345" spans="3:16">
      <c r="C345" s="200"/>
      <c r="D345" s="201"/>
      <c r="E345" s="202"/>
      <c r="F345" s="200"/>
      <c r="H345" s="203"/>
      <c r="I345" s="186" t="str">
        <f t="shared" si="35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6"/>
        <v/>
      </c>
      <c r="L345" s="189" t="str">
        <f t="shared" si="37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8"/>
        <v/>
      </c>
      <c r="O345" s="206" t="str">
        <f t="shared" si="34"/>
        <v/>
      </c>
      <c r="P345" s="207" t="str">
        <f t="shared" si="39"/>
        <v/>
      </c>
    </row>
    <row r="346" spans="3:16">
      <c r="C346" s="200"/>
      <c r="D346" s="201"/>
      <c r="E346" s="202"/>
      <c r="F346" s="200"/>
      <c r="H346" s="203"/>
      <c r="I346" s="186" t="str">
        <f t="shared" si="35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6"/>
        <v/>
      </c>
      <c r="L346" s="189" t="str">
        <f t="shared" si="37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8"/>
        <v/>
      </c>
      <c r="O346" s="206" t="str">
        <f t="shared" si="34"/>
        <v/>
      </c>
      <c r="P346" s="207" t="str">
        <f t="shared" si="39"/>
        <v/>
      </c>
    </row>
    <row r="347" spans="3:16">
      <c r="C347" s="200"/>
      <c r="D347" s="201"/>
      <c r="E347" s="202"/>
      <c r="F347" s="200"/>
      <c r="H347" s="203"/>
      <c r="I347" s="186" t="str">
        <f t="shared" si="35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6"/>
        <v/>
      </c>
      <c r="L347" s="189" t="str">
        <f t="shared" si="37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8"/>
        <v/>
      </c>
      <c r="O347" s="206" t="str">
        <f t="shared" si="34"/>
        <v/>
      </c>
      <c r="P347" s="207" t="str">
        <f t="shared" si="39"/>
        <v/>
      </c>
    </row>
    <row r="348" spans="3:16">
      <c r="C348" s="200"/>
      <c r="D348" s="201"/>
      <c r="E348" s="202"/>
      <c r="F348" s="200"/>
      <c r="H348" s="203"/>
      <c r="I348" s="186" t="str">
        <f t="shared" si="35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6"/>
        <v/>
      </c>
      <c r="L348" s="189" t="str">
        <f t="shared" si="37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8"/>
        <v/>
      </c>
      <c r="O348" s="206" t="str">
        <f t="shared" si="34"/>
        <v/>
      </c>
      <c r="P348" s="207" t="str">
        <f t="shared" si="39"/>
        <v/>
      </c>
    </row>
    <row r="349" spans="3:16">
      <c r="C349" s="200"/>
      <c r="D349" s="201"/>
      <c r="E349" s="202"/>
      <c r="F349" s="200"/>
      <c r="H349" s="203"/>
      <c r="I349" s="186" t="str">
        <f t="shared" si="35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6"/>
        <v/>
      </c>
      <c r="L349" s="189" t="str">
        <f t="shared" si="37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8"/>
        <v/>
      </c>
      <c r="O349" s="206" t="str">
        <f t="shared" si="34"/>
        <v/>
      </c>
      <c r="P349" s="207" t="str">
        <f t="shared" si="39"/>
        <v/>
      </c>
    </row>
    <row r="350" spans="3:16">
      <c r="C350" s="200"/>
      <c r="D350" s="201"/>
      <c r="E350" s="202"/>
      <c r="F350" s="200"/>
      <c r="H350" s="203"/>
      <c r="I350" s="186" t="str">
        <f t="shared" si="35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6"/>
        <v/>
      </c>
      <c r="L350" s="189" t="str">
        <f t="shared" si="37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8"/>
        <v/>
      </c>
      <c r="O350" s="206" t="str">
        <f t="shared" si="34"/>
        <v/>
      </c>
      <c r="P350" s="207" t="str">
        <f t="shared" si="39"/>
        <v/>
      </c>
    </row>
    <row r="351" spans="3:16">
      <c r="C351" s="200"/>
      <c r="D351" s="201"/>
      <c r="E351" s="202"/>
      <c r="F351" s="200"/>
      <c r="H351" s="203"/>
      <c r="I351" s="186" t="str">
        <f t="shared" si="35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6"/>
        <v/>
      </c>
      <c r="L351" s="189" t="str">
        <f t="shared" si="37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8"/>
        <v/>
      </c>
      <c r="O351" s="206" t="str">
        <f t="shared" si="34"/>
        <v/>
      </c>
      <c r="P351" s="207" t="str">
        <f t="shared" si="39"/>
        <v/>
      </c>
    </row>
    <row r="352" spans="3:16">
      <c r="C352" s="200"/>
      <c r="D352" s="201"/>
      <c r="E352" s="202"/>
      <c r="F352" s="200"/>
      <c r="H352" s="203"/>
      <c r="I352" s="186" t="str">
        <f t="shared" si="35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6"/>
        <v/>
      </c>
      <c r="L352" s="189" t="str">
        <f t="shared" si="37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8"/>
        <v/>
      </c>
      <c r="O352" s="206" t="str">
        <f t="shared" si="34"/>
        <v/>
      </c>
      <c r="P352" s="207" t="str">
        <f t="shared" si="39"/>
        <v/>
      </c>
    </row>
    <row r="353" spans="3:16">
      <c r="C353" s="200"/>
      <c r="D353" s="201"/>
      <c r="E353" s="202"/>
      <c r="F353" s="200"/>
      <c r="H353" s="203"/>
      <c r="I353" s="186" t="str">
        <f t="shared" si="35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6"/>
        <v/>
      </c>
      <c r="L353" s="189" t="str">
        <f t="shared" si="37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8"/>
        <v/>
      </c>
      <c r="O353" s="206" t="str">
        <f t="shared" si="34"/>
        <v/>
      </c>
      <c r="P353" s="207" t="str">
        <f t="shared" si="39"/>
        <v/>
      </c>
    </row>
    <row r="354" spans="3:16">
      <c r="C354" s="200"/>
      <c r="D354" s="201"/>
      <c r="E354" s="202"/>
      <c r="F354" s="200"/>
      <c r="H354" s="203"/>
      <c r="I354" s="186" t="str">
        <f t="shared" si="35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6"/>
        <v/>
      </c>
      <c r="L354" s="189" t="str">
        <f t="shared" si="37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8"/>
        <v/>
      </c>
      <c r="O354" s="206" t="str">
        <f t="shared" si="34"/>
        <v/>
      </c>
      <c r="P354" s="207" t="str">
        <f t="shared" si="39"/>
        <v/>
      </c>
    </row>
    <row r="355" spans="3:16">
      <c r="C355" s="200"/>
      <c r="D355" s="201"/>
      <c r="E355" s="202"/>
      <c r="F355" s="200"/>
      <c r="H355" s="203"/>
      <c r="I355" s="186" t="str">
        <f t="shared" si="35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6"/>
        <v/>
      </c>
      <c r="L355" s="189" t="str">
        <f t="shared" si="37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8"/>
        <v/>
      </c>
      <c r="O355" s="206" t="str">
        <f t="shared" si="34"/>
        <v/>
      </c>
      <c r="P355" s="207" t="str">
        <f t="shared" si="39"/>
        <v/>
      </c>
    </row>
    <row r="356" spans="3:16">
      <c r="C356" s="200"/>
      <c r="D356" s="201"/>
      <c r="E356" s="202"/>
      <c r="F356" s="200"/>
      <c r="H356" s="203"/>
      <c r="I356" s="186" t="str">
        <f t="shared" si="35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6"/>
        <v/>
      </c>
      <c r="L356" s="189" t="str">
        <f t="shared" si="37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8"/>
        <v/>
      </c>
      <c r="O356" s="206" t="str">
        <f t="shared" si="34"/>
        <v/>
      </c>
      <c r="P356" s="207" t="str">
        <f t="shared" si="39"/>
        <v/>
      </c>
    </row>
    <row r="357" spans="3:16">
      <c r="C357" s="200"/>
      <c r="D357" s="201"/>
      <c r="E357" s="202"/>
      <c r="F357" s="200"/>
      <c r="H357" s="203"/>
      <c r="I357" s="186" t="str">
        <f t="shared" si="35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6"/>
        <v/>
      </c>
      <c r="L357" s="189" t="str">
        <f t="shared" si="37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8"/>
        <v/>
      </c>
      <c r="O357" s="206" t="str">
        <f t="shared" si="34"/>
        <v/>
      </c>
      <c r="P357" s="207" t="str">
        <f t="shared" si="39"/>
        <v/>
      </c>
    </row>
    <row r="358" spans="3:16">
      <c r="C358" s="200"/>
      <c r="D358" s="201"/>
      <c r="E358" s="202"/>
      <c r="F358" s="200"/>
      <c r="H358" s="203"/>
      <c r="I358" s="186" t="str">
        <f t="shared" si="35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6"/>
        <v/>
      </c>
      <c r="L358" s="189" t="str">
        <f t="shared" si="37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8"/>
        <v/>
      </c>
      <c r="O358" s="206" t="str">
        <f t="shared" si="34"/>
        <v/>
      </c>
      <c r="P358" s="207" t="str">
        <f t="shared" si="39"/>
        <v/>
      </c>
    </row>
    <row r="359" spans="3:16">
      <c r="C359" s="200"/>
      <c r="D359" s="201"/>
      <c r="E359" s="202"/>
      <c r="F359" s="200"/>
      <c r="H359" s="203"/>
      <c r="I359" s="186" t="str">
        <f t="shared" si="35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6"/>
        <v/>
      </c>
      <c r="L359" s="189" t="str">
        <f t="shared" si="37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8"/>
        <v/>
      </c>
      <c r="O359" s="206" t="str">
        <f t="shared" si="34"/>
        <v/>
      </c>
      <c r="P359" s="207" t="str">
        <f t="shared" si="39"/>
        <v/>
      </c>
    </row>
    <row r="360" spans="3:16">
      <c r="C360" s="200"/>
      <c r="D360" s="201"/>
      <c r="E360" s="202"/>
      <c r="F360" s="200"/>
      <c r="H360" s="203"/>
      <c r="I360" s="186" t="str">
        <f t="shared" si="35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6"/>
        <v/>
      </c>
      <c r="L360" s="189" t="str">
        <f t="shared" si="37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8"/>
        <v/>
      </c>
      <c r="O360" s="206" t="str">
        <f t="shared" si="34"/>
        <v/>
      </c>
      <c r="P360" s="207" t="str">
        <f t="shared" si="39"/>
        <v/>
      </c>
    </row>
    <row r="361" spans="3:16">
      <c r="C361" s="200"/>
      <c r="D361" s="201"/>
      <c r="E361" s="202"/>
      <c r="F361" s="200"/>
      <c r="H361" s="203"/>
      <c r="I361" s="186" t="str">
        <f t="shared" si="35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6"/>
        <v/>
      </c>
      <c r="L361" s="189" t="str">
        <f t="shared" si="37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8"/>
        <v/>
      </c>
      <c r="O361" s="206" t="str">
        <f t="shared" si="34"/>
        <v/>
      </c>
      <c r="P361" s="207" t="str">
        <f t="shared" si="39"/>
        <v/>
      </c>
    </row>
    <row r="362" spans="3:16">
      <c r="C362" s="200"/>
      <c r="D362" s="201"/>
      <c r="E362" s="202"/>
      <c r="F362" s="200"/>
      <c r="H362" s="203"/>
      <c r="I362" s="186" t="str">
        <f t="shared" si="35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6"/>
        <v/>
      </c>
      <c r="L362" s="189" t="str">
        <f t="shared" si="37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8"/>
        <v/>
      </c>
      <c r="O362" s="206" t="str">
        <f t="shared" si="34"/>
        <v/>
      </c>
      <c r="P362" s="207" t="str">
        <f t="shared" si="39"/>
        <v/>
      </c>
    </row>
    <row r="363" spans="3:16">
      <c r="C363" s="200"/>
      <c r="D363" s="201"/>
      <c r="E363" s="202"/>
      <c r="F363" s="200"/>
      <c r="H363" s="203"/>
      <c r="I363" s="186" t="str">
        <f t="shared" si="35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6"/>
        <v/>
      </c>
      <c r="L363" s="189" t="str">
        <f t="shared" si="37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8"/>
        <v/>
      </c>
      <c r="O363" s="206" t="str">
        <f t="shared" si="34"/>
        <v/>
      </c>
      <c r="P363" s="207" t="str">
        <f t="shared" si="39"/>
        <v/>
      </c>
    </row>
    <row r="364" spans="3:16">
      <c r="C364" s="200"/>
      <c r="D364" s="201"/>
      <c r="E364" s="202"/>
      <c r="F364" s="200"/>
      <c r="H364" s="203"/>
      <c r="I364" s="186" t="str">
        <f t="shared" si="35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6"/>
        <v/>
      </c>
      <c r="L364" s="189" t="str">
        <f t="shared" si="37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8"/>
        <v/>
      </c>
      <c r="O364" s="206" t="str">
        <f t="shared" si="34"/>
        <v/>
      </c>
      <c r="P364" s="207" t="str">
        <f t="shared" si="39"/>
        <v/>
      </c>
    </row>
    <row r="365" spans="3:16">
      <c r="C365" s="200"/>
      <c r="D365" s="201"/>
      <c r="E365" s="202"/>
      <c r="F365" s="200"/>
      <c r="H365" s="203"/>
      <c r="I365" s="186" t="str">
        <f t="shared" si="35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6"/>
        <v/>
      </c>
      <c r="L365" s="189" t="str">
        <f t="shared" si="37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8"/>
        <v/>
      </c>
      <c r="O365" s="206" t="str">
        <f t="shared" si="34"/>
        <v/>
      </c>
      <c r="P365" s="207" t="str">
        <f t="shared" si="39"/>
        <v/>
      </c>
    </row>
    <row r="366" spans="3:16">
      <c r="C366" s="200"/>
      <c r="D366" s="201"/>
      <c r="E366" s="202"/>
      <c r="F366" s="200"/>
      <c r="H366" s="203"/>
      <c r="I366" s="186" t="str">
        <f t="shared" si="35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6"/>
        <v/>
      </c>
      <c r="L366" s="189" t="str">
        <f t="shared" si="37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8"/>
        <v/>
      </c>
      <c r="O366" s="206" t="str">
        <f t="shared" si="34"/>
        <v/>
      </c>
      <c r="P366" s="207" t="str">
        <f t="shared" si="39"/>
        <v/>
      </c>
    </row>
    <row r="367" spans="3:16">
      <c r="C367" s="200"/>
      <c r="D367" s="201"/>
      <c r="E367" s="202"/>
      <c r="F367" s="200"/>
      <c r="H367" s="203"/>
      <c r="I367" s="186" t="str">
        <f t="shared" si="35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6"/>
        <v/>
      </c>
      <c r="L367" s="189" t="str">
        <f t="shared" si="37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8"/>
        <v/>
      </c>
      <c r="O367" s="206" t="str">
        <f t="shared" si="34"/>
        <v/>
      </c>
      <c r="P367" s="207" t="str">
        <f t="shared" si="39"/>
        <v/>
      </c>
    </row>
    <row r="368" spans="3:16">
      <c r="C368" s="200"/>
      <c r="D368" s="201"/>
      <c r="E368" s="202"/>
      <c r="F368" s="200"/>
      <c r="H368" s="203"/>
      <c r="I368" s="186" t="str">
        <f t="shared" si="35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6"/>
        <v/>
      </c>
      <c r="L368" s="189" t="str">
        <f t="shared" si="37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8"/>
        <v/>
      </c>
      <c r="O368" s="206" t="str">
        <f t="shared" si="34"/>
        <v/>
      </c>
      <c r="P368" s="207" t="str">
        <f t="shared" si="39"/>
        <v/>
      </c>
    </row>
    <row r="369" spans="3:16">
      <c r="C369" s="200"/>
      <c r="D369" s="201"/>
      <c r="E369" s="202"/>
      <c r="F369" s="200"/>
      <c r="H369" s="203"/>
      <c r="I369" s="186" t="str">
        <f t="shared" si="35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6"/>
        <v/>
      </c>
      <c r="L369" s="189" t="str">
        <f t="shared" si="37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8"/>
        <v/>
      </c>
      <c r="O369" s="206" t="str">
        <f t="shared" si="34"/>
        <v/>
      </c>
      <c r="P369" s="207" t="str">
        <f t="shared" si="39"/>
        <v/>
      </c>
    </row>
    <row r="370" spans="3:16">
      <c r="C370" s="200"/>
      <c r="D370" s="201"/>
      <c r="E370" s="202"/>
      <c r="F370" s="200"/>
      <c r="H370" s="203"/>
      <c r="I370" s="186" t="str">
        <f t="shared" si="35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6"/>
        <v/>
      </c>
      <c r="L370" s="189" t="str">
        <f t="shared" si="37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8"/>
        <v/>
      </c>
      <c r="O370" s="206" t="str">
        <f t="shared" si="34"/>
        <v/>
      </c>
      <c r="P370" s="207" t="str">
        <f t="shared" si="39"/>
        <v/>
      </c>
    </row>
    <row r="371" spans="3:16">
      <c r="C371" s="200"/>
      <c r="D371" s="201"/>
      <c r="E371" s="202"/>
      <c r="F371" s="200"/>
      <c r="H371" s="203"/>
      <c r="I371" s="186" t="str">
        <f t="shared" si="35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6"/>
        <v/>
      </c>
      <c r="L371" s="189" t="str">
        <f t="shared" si="37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8"/>
        <v/>
      </c>
      <c r="O371" s="206" t="str">
        <f t="shared" si="34"/>
        <v/>
      </c>
      <c r="P371" s="207" t="str">
        <f t="shared" si="39"/>
        <v/>
      </c>
    </row>
    <row r="372" spans="3:16">
      <c r="C372" s="200"/>
      <c r="D372" s="201"/>
      <c r="E372" s="202"/>
      <c r="F372" s="200"/>
      <c r="H372" s="203"/>
      <c r="I372" s="186" t="str">
        <f t="shared" si="35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6"/>
        <v/>
      </c>
      <c r="L372" s="189" t="str">
        <f t="shared" si="37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8"/>
        <v/>
      </c>
      <c r="O372" s="206" t="str">
        <f t="shared" si="34"/>
        <v/>
      </c>
      <c r="P372" s="207" t="str">
        <f t="shared" si="39"/>
        <v/>
      </c>
    </row>
    <row r="373" spans="3:16">
      <c r="C373" s="200"/>
      <c r="D373" s="201"/>
      <c r="E373" s="202"/>
      <c r="F373" s="200"/>
      <c r="H373" s="203"/>
      <c r="I373" s="186" t="str">
        <f t="shared" si="35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6"/>
        <v/>
      </c>
      <c r="L373" s="189" t="str">
        <f t="shared" si="37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8"/>
        <v/>
      </c>
      <c r="O373" s="206" t="str">
        <f t="shared" si="34"/>
        <v/>
      </c>
      <c r="P373" s="207" t="str">
        <f t="shared" si="39"/>
        <v/>
      </c>
    </row>
    <row r="374" spans="3:16">
      <c r="C374" s="200"/>
      <c r="D374" s="201"/>
      <c r="E374" s="202"/>
      <c r="F374" s="200"/>
      <c r="H374" s="203"/>
      <c r="I374" s="186" t="str">
        <f t="shared" si="35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6"/>
        <v/>
      </c>
      <c r="L374" s="189" t="str">
        <f t="shared" si="37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8"/>
        <v/>
      </c>
      <c r="O374" s="206" t="str">
        <f t="shared" si="34"/>
        <v/>
      </c>
      <c r="P374" s="207" t="str">
        <f t="shared" si="39"/>
        <v/>
      </c>
    </row>
    <row r="375" spans="3:16">
      <c r="C375" s="200"/>
      <c r="D375" s="201"/>
      <c r="E375" s="202"/>
      <c r="F375" s="200"/>
      <c r="H375" s="203"/>
      <c r="I375" s="186" t="str">
        <f t="shared" si="35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6"/>
        <v/>
      </c>
      <c r="L375" s="189" t="str">
        <f t="shared" si="37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8"/>
        <v/>
      </c>
      <c r="O375" s="206" t="str">
        <f t="shared" si="34"/>
        <v/>
      </c>
      <c r="P375" s="207" t="str">
        <f t="shared" si="39"/>
        <v/>
      </c>
    </row>
    <row r="376" spans="3:16">
      <c r="C376" s="200"/>
      <c r="D376" s="201"/>
      <c r="E376" s="202"/>
      <c r="F376" s="200"/>
      <c r="H376" s="203"/>
      <c r="I376" s="186" t="str">
        <f t="shared" si="35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6"/>
        <v/>
      </c>
      <c r="L376" s="189" t="str">
        <f t="shared" si="37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8"/>
        <v/>
      </c>
      <c r="O376" s="206" t="str">
        <f t="shared" si="34"/>
        <v/>
      </c>
      <c r="P376" s="207" t="str">
        <f t="shared" si="39"/>
        <v/>
      </c>
    </row>
    <row r="377" spans="3:16">
      <c r="C377" s="200"/>
      <c r="D377" s="201"/>
      <c r="E377" s="202"/>
      <c r="F377" s="200"/>
      <c r="H377" s="203"/>
      <c r="I377" s="186" t="str">
        <f t="shared" si="35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6"/>
        <v/>
      </c>
      <c r="L377" s="189" t="str">
        <f t="shared" si="37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8"/>
        <v/>
      </c>
      <c r="O377" s="206" t="str">
        <f t="shared" si="34"/>
        <v/>
      </c>
      <c r="P377" s="207" t="str">
        <f t="shared" si="39"/>
        <v/>
      </c>
    </row>
    <row r="378" spans="3:16">
      <c r="C378" s="200"/>
      <c r="D378" s="201"/>
      <c r="E378" s="202"/>
      <c r="F378" s="200"/>
      <c r="H378" s="203"/>
      <c r="I378" s="186" t="str">
        <f t="shared" si="35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6"/>
        <v/>
      </c>
      <c r="L378" s="189" t="str">
        <f t="shared" si="37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8"/>
        <v/>
      </c>
      <c r="O378" s="206" t="str">
        <f t="shared" si="34"/>
        <v/>
      </c>
      <c r="P378" s="207" t="str">
        <f t="shared" si="39"/>
        <v/>
      </c>
    </row>
    <row r="379" spans="3:16">
      <c r="C379" s="200"/>
      <c r="D379" s="201"/>
      <c r="E379" s="202"/>
      <c r="F379" s="200"/>
      <c r="H379" s="203"/>
      <c r="I379" s="186" t="str">
        <f t="shared" si="35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6"/>
        <v/>
      </c>
      <c r="L379" s="189" t="str">
        <f t="shared" si="37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8"/>
        <v/>
      </c>
      <c r="O379" s="206" t="str">
        <f t="shared" si="34"/>
        <v/>
      </c>
      <c r="P379" s="207" t="str">
        <f t="shared" si="39"/>
        <v/>
      </c>
    </row>
    <row r="380" spans="3:16">
      <c r="C380" s="200"/>
      <c r="D380" s="201"/>
      <c r="E380" s="202"/>
      <c r="F380" s="200"/>
      <c r="H380" s="203"/>
      <c r="I380" s="186" t="str">
        <f t="shared" si="35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6"/>
        <v/>
      </c>
      <c r="L380" s="189" t="str">
        <f t="shared" si="37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8"/>
        <v/>
      </c>
      <c r="O380" s="206" t="str">
        <f t="shared" si="34"/>
        <v/>
      </c>
      <c r="P380" s="207" t="str">
        <f t="shared" si="39"/>
        <v/>
      </c>
    </row>
    <row r="381" spans="3:16">
      <c r="C381" s="200"/>
      <c r="D381" s="201"/>
      <c r="E381" s="202"/>
      <c r="F381" s="200"/>
      <c r="H381" s="203"/>
      <c r="I381" s="186" t="str">
        <f t="shared" si="35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6"/>
        <v/>
      </c>
      <c r="L381" s="189" t="str">
        <f t="shared" si="37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8"/>
        <v/>
      </c>
      <c r="O381" s="206" t="str">
        <f t="shared" si="34"/>
        <v/>
      </c>
      <c r="P381" s="207" t="str">
        <f t="shared" si="39"/>
        <v/>
      </c>
    </row>
    <row r="382" spans="3:16">
      <c r="C382" s="200"/>
      <c r="D382" s="201"/>
      <c r="E382" s="202"/>
      <c r="F382" s="200"/>
      <c r="H382" s="203"/>
      <c r="I382" s="186" t="str">
        <f t="shared" si="35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6"/>
        <v/>
      </c>
      <c r="L382" s="189" t="str">
        <f t="shared" si="37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8"/>
        <v/>
      </c>
      <c r="O382" s="206" t="str">
        <f t="shared" si="34"/>
        <v/>
      </c>
      <c r="P382" s="207" t="str">
        <f t="shared" si="39"/>
        <v/>
      </c>
    </row>
    <row r="383" spans="3:16">
      <c r="C383" s="200"/>
      <c r="D383" s="201"/>
      <c r="E383" s="202"/>
      <c r="F383" s="200"/>
      <c r="H383" s="203"/>
      <c r="I383" s="186" t="str">
        <f t="shared" si="35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6"/>
        <v/>
      </c>
      <c r="L383" s="189" t="str">
        <f t="shared" si="37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8"/>
        <v/>
      </c>
      <c r="O383" s="206" t="str">
        <f t="shared" si="34"/>
        <v/>
      </c>
      <c r="P383" s="207" t="str">
        <f t="shared" si="39"/>
        <v/>
      </c>
    </row>
    <row r="384" spans="3:16">
      <c r="C384" s="200"/>
      <c r="D384" s="201"/>
      <c r="E384" s="202"/>
      <c r="F384" s="200"/>
      <c r="H384" s="203"/>
      <c r="I384" s="186" t="str">
        <f t="shared" si="35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6"/>
        <v/>
      </c>
      <c r="L384" s="189" t="str">
        <f t="shared" si="37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8"/>
        <v/>
      </c>
      <c r="O384" s="206" t="str">
        <f t="shared" si="34"/>
        <v/>
      </c>
      <c r="P384" s="207" t="str">
        <f t="shared" si="39"/>
        <v/>
      </c>
    </row>
    <row r="385" spans="3:16">
      <c r="C385" s="200"/>
      <c r="D385" s="201"/>
      <c r="E385" s="202"/>
      <c r="F385" s="200"/>
      <c r="H385" s="203"/>
      <c r="I385" s="186" t="str">
        <f t="shared" si="35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6"/>
        <v/>
      </c>
      <c r="L385" s="189" t="str">
        <f t="shared" si="37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8"/>
        <v/>
      </c>
      <c r="O385" s="206" t="str">
        <f t="shared" si="34"/>
        <v/>
      </c>
      <c r="P385" s="207" t="str">
        <f t="shared" si="39"/>
        <v/>
      </c>
    </row>
    <row r="386" spans="3:16">
      <c r="C386" s="200"/>
      <c r="D386" s="201"/>
      <c r="E386" s="202"/>
      <c r="F386" s="200"/>
      <c r="H386" s="203"/>
      <c r="I386" s="186" t="str">
        <f t="shared" si="35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6"/>
        <v/>
      </c>
      <c r="L386" s="189" t="str">
        <f t="shared" si="37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8"/>
        <v/>
      </c>
      <c r="O386" s="206" t="str">
        <f t="shared" si="34"/>
        <v/>
      </c>
      <c r="P386" s="207" t="str">
        <f t="shared" si="39"/>
        <v/>
      </c>
    </row>
    <row r="387" spans="3:16">
      <c r="C387" s="200"/>
      <c r="D387" s="201"/>
      <c r="E387" s="202"/>
      <c r="F387" s="200"/>
      <c r="H387" s="203"/>
      <c r="I387" s="186" t="str">
        <f t="shared" si="35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6"/>
        <v/>
      </c>
      <c r="L387" s="189" t="str">
        <f t="shared" si="37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8"/>
        <v/>
      </c>
      <c r="O387" s="206" t="str">
        <f t="shared" si="34"/>
        <v/>
      </c>
      <c r="P387" s="207" t="str">
        <f t="shared" si="39"/>
        <v/>
      </c>
    </row>
    <row r="388" spans="3:16">
      <c r="C388" s="200"/>
      <c r="D388" s="201"/>
      <c r="E388" s="202"/>
      <c r="F388" s="200"/>
      <c r="H388" s="203"/>
      <c r="I388" s="186" t="str">
        <f t="shared" si="35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6"/>
        <v/>
      </c>
      <c r="L388" s="189" t="str">
        <f t="shared" si="37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8"/>
        <v/>
      </c>
      <c r="O388" s="206" t="str">
        <f t="shared" si="34"/>
        <v/>
      </c>
      <c r="P388" s="207" t="str">
        <f t="shared" si="39"/>
        <v/>
      </c>
    </row>
    <row r="389" spans="3:16">
      <c r="C389" s="200"/>
      <c r="D389" s="201"/>
      <c r="E389" s="202"/>
      <c r="F389" s="200"/>
      <c r="H389" s="203"/>
      <c r="I389" s="186" t="str">
        <f t="shared" si="35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6"/>
        <v/>
      </c>
      <c r="L389" s="189" t="str">
        <f t="shared" si="37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8"/>
        <v/>
      </c>
      <c r="O389" s="206" t="str">
        <f t="shared" si="34"/>
        <v/>
      </c>
      <c r="P389" s="207" t="str">
        <f t="shared" si="39"/>
        <v/>
      </c>
    </row>
    <row r="390" spans="3:16">
      <c r="C390" s="200"/>
      <c r="D390" s="201"/>
      <c r="E390" s="202"/>
      <c r="F390" s="200"/>
      <c r="H390" s="203"/>
      <c r="I390" s="186" t="str">
        <f t="shared" si="35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36"/>
        <v/>
      </c>
      <c r="L390" s="189" t="str">
        <f t="shared" si="37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38"/>
        <v/>
      </c>
      <c r="O390" s="206" t="str">
        <f t="shared" si="34"/>
        <v/>
      </c>
      <c r="P390" s="207" t="str">
        <f t="shared" si="39"/>
        <v/>
      </c>
    </row>
    <row r="391" spans="3:16">
      <c r="C391" s="200"/>
      <c r="D391" s="201"/>
      <c r="E391" s="202"/>
      <c r="F391" s="200"/>
      <c r="H391" s="203"/>
      <c r="I391" s="186" t="str">
        <f t="shared" si="35"/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si="36"/>
        <v/>
      </c>
      <c r="L391" s="189" t="str">
        <f t="shared" si="37"/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si="38"/>
        <v/>
      </c>
      <c r="O391" s="206" t="str">
        <f t="shared" si="34"/>
        <v/>
      </c>
      <c r="P391" s="207" t="str">
        <f t="shared" si="39"/>
        <v/>
      </c>
    </row>
    <row r="392" spans="3:16">
      <c r="C392" s="200"/>
      <c r="D392" s="201"/>
      <c r="E392" s="202"/>
      <c r="F392" s="200"/>
      <c r="H392" s="203"/>
      <c r="I392" s="186" t="str">
        <f t="shared" si="35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36"/>
        <v/>
      </c>
      <c r="L392" s="189" t="str">
        <f t="shared" si="37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38"/>
        <v/>
      </c>
      <c r="O392" s="206" t="str">
        <f t="shared" si="34"/>
        <v/>
      </c>
      <c r="P392" s="207" t="str">
        <f t="shared" si="39"/>
        <v/>
      </c>
    </row>
    <row r="393" spans="3:16">
      <c r="C393" s="200"/>
      <c r="D393" s="201"/>
      <c r="E393" s="202"/>
      <c r="F393" s="200"/>
      <c r="H393" s="203"/>
      <c r="I393" s="186" t="str">
        <f t="shared" si="35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36"/>
        <v/>
      </c>
      <c r="L393" s="189" t="str">
        <f t="shared" si="37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38"/>
        <v/>
      </c>
      <c r="O393" s="206" t="str">
        <f t="shared" si="34"/>
        <v/>
      </c>
      <c r="P393" s="207" t="str">
        <f t="shared" si="39"/>
        <v/>
      </c>
    </row>
    <row r="394" spans="3:16">
      <c r="C394" s="200"/>
      <c r="D394" s="201"/>
      <c r="E394" s="202"/>
      <c r="F394" s="200"/>
      <c r="H394" s="203"/>
      <c r="I394" s="186" t="str">
        <f t="shared" si="35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36"/>
        <v/>
      </c>
      <c r="L394" s="189" t="str">
        <f t="shared" si="37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38"/>
        <v/>
      </c>
      <c r="O394" s="206" t="str">
        <f t="shared" si="34"/>
        <v/>
      </c>
      <c r="P394" s="207" t="str">
        <f t="shared" si="39"/>
        <v/>
      </c>
    </row>
    <row r="395" spans="3:16">
      <c r="C395" s="200"/>
      <c r="D395" s="201"/>
      <c r="E395" s="202"/>
      <c r="F395" s="200"/>
      <c r="H395" s="203"/>
      <c r="I395" s="186" t="str">
        <f t="shared" si="35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36"/>
        <v/>
      </c>
      <c r="L395" s="189" t="str">
        <f t="shared" si="37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38"/>
        <v/>
      </c>
      <c r="O395" s="206" t="str">
        <f t="shared" si="34"/>
        <v/>
      </c>
      <c r="P395" s="207" t="str">
        <f t="shared" si="39"/>
        <v/>
      </c>
    </row>
    <row r="396" spans="3:16">
      <c r="C396" s="200"/>
      <c r="D396" s="201"/>
      <c r="E396" s="202"/>
      <c r="F396" s="200"/>
      <c r="H396" s="203"/>
      <c r="I396" s="186" t="str">
        <f t="shared" si="35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36"/>
        <v/>
      </c>
      <c r="L396" s="189" t="str">
        <f t="shared" si="37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38"/>
        <v/>
      </c>
      <c r="O396" s="206" t="str">
        <f t="shared" si="34"/>
        <v/>
      </c>
      <c r="P396" s="207" t="str">
        <f t="shared" si="39"/>
        <v/>
      </c>
    </row>
    <row r="397" spans="3:16">
      <c r="C397" s="200"/>
      <c r="D397" s="201"/>
      <c r="E397" s="202"/>
      <c r="F397" s="200"/>
      <c r="H397" s="203"/>
      <c r="I397" s="186" t="str">
        <f t="shared" si="35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36"/>
        <v/>
      </c>
      <c r="L397" s="189" t="str">
        <f t="shared" si="37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38"/>
        <v/>
      </c>
      <c r="O397" s="206" t="str">
        <f t="shared" si="34"/>
        <v/>
      </c>
      <c r="P397" s="207" t="str">
        <f t="shared" si="39"/>
        <v/>
      </c>
    </row>
    <row r="398" spans="3:16">
      <c r="C398" s="200"/>
      <c r="D398" s="201"/>
      <c r="E398" s="202"/>
      <c r="F398" s="200"/>
      <c r="H398" s="203"/>
      <c r="I398" s="186" t="str">
        <f t="shared" si="35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36"/>
        <v/>
      </c>
      <c r="L398" s="189" t="str">
        <f t="shared" si="37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38"/>
        <v/>
      </c>
      <c r="O398" s="206" t="str">
        <f t="shared" ref="O398:O408" si="40">IF(OR(K398="",N398=""),"",K398-N398)</f>
        <v/>
      </c>
      <c r="P398" s="207" t="str">
        <f t="shared" si="39"/>
        <v/>
      </c>
    </row>
    <row r="399" spans="3:16">
      <c r="C399" s="200"/>
      <c r="D399" s="201"/>
      <c r="E399" s="202"/>
      <c r="F399" s="200"/>
      <c r="H399" s="203"/>
      <c r="I399" s="186" t="str">
        <f t="shared" ref="I399:I408" si="41">IF(H399="","",IF(H399="JPY","",IF($H399="USD",4, IF(H399="EUR",7,IF(H399="CNY",47,IF(H399="HKD",34))))))</f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ref="K399:K408" si="42">IF($H399="JPY",$F399,IF($H399="","",$F399*$J399))</f>
        <v/>
      </c>
      <c r="L399" s="189" t="str">
        <f t="shared" ref="L399:L408" si="43">IF(H399="","",IF(H399="JPY","",IF($H399="USD",3, IF(H399="EUR",6,IF(H399="CNY",46,IF(H399="HKD",33))))))</f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ref="N399:N408" si="44">IF($E399="JPY",($C399+$D399),IF($E399="","",($C399+$D399)*$M399))</f>
        <v/>
      </c>
      <c r="O399" s="206" t="str">
        <f t="shared" si="40"/>
        <v/>
      </c>
      <c r="P399" s="207" t="str">
        <f t="shared" ref="P399:P408" si="45">IF(OR(K399="",O399=""),"",O399/K399)</f>
        <v/>
      </c>
    </row>
    <row r="400" spans="3:16">
      <c r="C400" s="200"/>
      <c r="D400" s="201"/>
      <c r="E400" s="202"/>
      <c r="F400" s="200"/>
      <c r="H400" s="203"/>
      <c r="I400" s="186" t="str">
        <f t="shared" si="41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42"/>
        <v/>
      </c>
      <c r="L400" s="189" t="str">
        <f t="shared" si="43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44"/>
        <v/>
      </c>
      <c r="O400" s="206" t="str">
        <f t="shared" si="40"/>
        <v/>
      </c>
      <c r="P400" s="207" t="str">
        <f t="shared" si="45"/>
        <v/>
      </c>
    </row>
    <row r="401" spans="3:16">
      <c r="C401" s="200"/>
      <c r="D401" s="201"/>
      <c r="E401" s="202"/>
      <c r="F401" s="200"/>
      <c r="H401" s="203"/>
      <c r="I401" s="186" t="str">
        <f t="shared" si="41"/>
        <v/>
      </c>
      <c r="J401" s="204" t="str">
        <f>IF($H401="USD",IF(OR($I401="",$I401="-"),"",VLOOKUP($G401,為替!$A:$AX,$I401,FALSE))+$J$3,IF(OR($I401="",$I401="-"),"",VLOOKUP($G401,為替!$A:$AX,$I401,FALSE)))</f>
        <v/>
      </c>
      <c r="K401" s="205" t="str">
        <f t="shared" si="42"/>
        <v/>
      </c>
      <c r="L401" s="189" t="str">
        <f t="shared" si="43"/>
        <v/>
      </c>
      <c r="M401" s="204" t="str">
        <f>IF($H401="USD",IF(OR($L401="",$L401="-"),"",VLOOKUP($G401,為替!$A:$AX,$L401,FALSE))+$K$3,IF(OR($L401="",$L401="-"),"",VLOOKUP($G401,為替!$A:$AX,$L401,FALSE)))</f>
        <v/>
      </c>
      <c r="N401" s="205" t="str">
        <f t="shared" si="44"/>
        <v/>
      </c>
      <c r="O401" s="206" t="str">
        <f t="shared" si="40"/>
        <v/>
      </c>
      <c r="P401" s="207" t="str">
        <f t="shared" si="45"/>
        <v/>
      </c>
    </row>
    <row r="402" spans="3:16">
      <c r="C402" s="200"/>
      <c r="D402" s="201"/>
      <c r="E402" s="202"/>
      <c r="F402" s="200"/>
      <c r="H402" s="203"/>
      <c r="I402" s="186" t="str">
        <f t="shared" si="41"/>
        <v/>
      </c>
      <c r="J402" s="204" t="str">
        <f>IF($H402="USD",IF(OR($I402="",$I402="-"),"",VLOOKUP($G402,為替!$A:$AX,$I402,FALSE))+$J$3,IF(OR($I402="",$I402="-"),"",VLOOKUP($G402,為替!$A:$AX,$I402,FALSE)))</f>
        <v/>
      </c>
      <c r="K402" s="205" t="str">
        <f t="shared" si="42"/>
        <v/>
      </c>
      <c r="L402" s="189" t="str">
        <f t="shared" si="43"/>
        <v/>
      </c>
      <c r="M402" s="204" t="str">
        <f>IF($H402="USD",IF(OR($L402="",$L402="-"),"",VLOOKUP($G402,為替!$A:$AX,$L402,FALSE))+$K$3,IF(OR($L402="",$L402="-"),"",VLOOKUP($G402,為替!$A:$AX,$L402,FALSE)))</f>
        <v/>
      </c>
      <c r="N402" s="205" t="str">
        <f t="shared" si="44"/>
        <v/>
      </c>
      <c r="O402" s="206" t="str">
        <f t="shared" si="40"/>
        <v/>
      </c>
      <c r="P402" s="207" t="str">
        <f t="shared" si="45"/>
        <v/>
      </c>
    </row>
    <row r="403" spans="3:16">
      <c r="C403" s="200"/>
      <c r="D403" s="201"/>
      <c r="E403" s="202"/>
      <c r="F403" s="200"/>
      <c r="H403" s="203"/>
      <c r="I403" s="186" t="str">
        <f t="shared" si="41"/>
        <v/>
      </c>
      <c r="J403" s="204" t="str">
        <f>IF($H403="USD",IF(OR($I403="",$I403="-"),"",VLOOKUP($G403,為替!$A:$AX,$I403,FALSE))+$J$3,IF(OR($I403="",$I403="-"),"",VLOOKUP($G403,為替!$A:$AX,$I403,FALSE)))</f>
        <v/>
      </c>
      <c r="K403" s="205" t="str">
        <f t="shared" si="42"/>
        <v/>
      </c>
      <c r="L403" s="189" t="str">
        <f t="shared" si="43"/>
        <v/>
      </c>
      <c r="M403" s="204" t="str">
        <f>IF($H403="USD",IF(OR($L403="",$L403="-"),"",VLOOKUP($G403,為替!$A:$AX,$L403,FALSE))+$K$3,IF(OR($L403="",$L403="-"),"",VLOOKUP($G403,為替!$A:$AX,$L403,FALSE)))</f>
        <v/>
      </c>
      <c r="N403" s="205" t="str">
        <f t="shared" si="44"/>
        <v/>
      </c>
      <c r="O403" s="206" t="str">
        <f t="shared" si="40"/>
        <v/>
      </c>
      <c r="P403" s="207" t="str">
        <f t="shared" si="45"/>
        <v/>
      </c>
    </row>
    <row r="404" spans="3:16">
      <c r="C404" s="200"/>
      <c r="D404" s="201"/>
      <c r="E404" s="202"/>
      <c r="F404" s="200"/>
      <c r="H404" s="203"/>
      <c r="I404" s="186" t="str">
        <f t="shared" si="41"/>
        <v/>
      </c>
      <c r="J404" s="204" t="str">
        <f>IF($H404="USD",IF(OR($I404="",$I404="-"),"",VLOOKUP($G404,為替!$A:$AX,$I404,FALSE))+$J$3,IF(OR($I404="",$I404="-"),"",VLOOKUP($G404,為替!$A:$AX,$I404,FALSE)))</f>
        <v/>
      </c>
      <c r="K404" s="205" t="str">
        <f t="shared" si="42"/>
        <v/>
      </c>
      <c r="L404" s="189" t="str">
        <f t="shared" si="43"/>
        <v/>
      </c>
      <c r="M404" s="204" t="str">
        <f>IF($H404="USD",IF(OR($L404="",$L404="-"),"",VLOOKUP($G404,為替!$A:$AX,$L404,FALSE))+$K$3,IF(OR($L404="",$L404="-"),"",VLOOKUP($G404,為替!$A:$AX,$L404,FALSE)))</f>
        <v/>
      </c>
      <c r="N404" s="205" t="str">
        <f t="shared" si="44"/>
        <v/>
      </c>
      <c r="O404" s="206" t="str">
        <f t="shared" si="40"/>
        <v/>
      </c>
      <c r="P404" s="207" t="str">
        <f t="shared" si="45"/>
        <v/>
      </c>
    </row>
    <row r="405" spans="3:16">
      <c r="C405" s="200"/>
      <c r="D405" s="201"/>
      <c r="E405" s="202"/>
      <c r="F405" s="200"/>
      <c r="H405" s="203"/>
      <c r="I405" s="186" t="str">
        <f t="shared" si="41"/>
        <v/>
      </c>
      <c r="J405" s="204" t="str">
        <f>IF($H405="USD",IF(OR($I405="",$I405="-"),"",VLOOKUP($G405,為替!$A:$AX,$I405,FALSE))+$J$3,IF(OR($I405="",$I405="-"),"",VLOOKUP($G405,為替!$A:$AX,$I405,FALSE)))</f>
        <v/>
      </c>
      <c r="K405" s="205" t="str">
        <f t="shared" si="42"/>
        <v/>
      </c>
      <c r="L405" s="189" t="str">
        <f t="shared" si="43"/>
        <v/>
      </c>
      <c r="M405" s="204" t="str">
        <f>IF($H405="USD",IF(OR($L405="",$L405="-"),"",VLOOKUP($G405,為替!$A:$AX,$L405,FALSE))+$K$3,IF(OR($L405="",$L405="-"),"",VLOOKUP($G405,為替!$A:$AX,$L405,FALSE)))</f>
        <v/>
      </c>
      <c r="N405" s="205" t="str">
        <f t="shared" si="44"/>
        <v/>
      </c>
      <c r="O405" s="206" t="str">
        <f t="shared" si="40"/>
        <v/>
      </c>
      <c r="P405" s="207" t="str">
        <f t="shared" si="45"/>
        <v/>
      </c>
    </row>
    <row r="406" spans="3:16">
      <c r="C406" s="200"/>
      <c r="D406" s="201"/>
      <c r="E406" s="202"/>
      <c r="F406" s="200"/>
      <c r="H406" s="203"/>
      <c r="I406" s="186" t="str">
        <f t="shared" si="41"/>
        <v/>
      </c>
      <c r="J406" s="204" t="str">
        <f>IF($H406="USD",IF(OR($I406="",$I406="-"),"",VLOOKUP($G406,為替!$A:$AX,$I406,FALSE))+$J$3,IF(OR($I406="",$I406="-"),"",VLOOKUP($G406,為替!$A:$AX,$I406,FALSE)))</f>
        <v/>
      </c>
      <c r="K406" s="205" t="str">
        <f t="shared" si="42"/>
        <v/>
      </c>
      <c r="L406" s="189" t="str">
        <f t="shared" si="43"/>
        <v/>
      </c>
      <c r="M406" s="204" t="str">
        <f>IF($H406="USD",IF(OR($L406="",$L406="-"),"",VLOOKUP($G406,為替!$A:$AX,$L406,FALSE))+$K$3,IF(OR($L406="",$L406="-"),"",VLOOKUP($G406,為替!$A:$AX,$L406,FALSE)))</f>
        <v/>
      </c>
      <c r="N406" s="205" t="str">
        <f t="shared" si="44"/>
        <v/>
      </c>
      <c r="O406" s="206" t="str">
        <f t="shared" si="40"/>
        <v/>
      </c>
      <c r="P406" s="207" t="str">
        <f t="shared" si="45"/>
        <v/>
      </c>
    </row>
    <row r="407" spans="3:16">
      <c r="C407" s="200"/>
      <c r="D407" s="201"/>
      <c r="E407" s="202"/>
      <c r="F407" s="200"/>
      <c r="H407" s="203"/>
      <c r="I407" s="186" t="str">
        <f t="shared" si="41"/>
        <v/>
      </c>
      <c r="J407" s="204" t="str">
        <f>IF($H407="USD",IF(OR($I407="",$I407="-"),"",VLOOKUP($G407,為替!$A:$AX,$I407,FALSE))+$J$3,IF(OR($I407="",$I407="-"),"",VLOOKUP($G407,為替!$A:$AX,$I407,FALSE)))</f>
        <v/>
      </c>
      <c r="K407" s="205" t="str">
        <f t="shared" si="42"/>
        <v/>
      </c>
      <c r="L407" s="189" t="str">
        <f t="shared" si="43"/>
        <v/>
      </c>
      <c r="M407" s="204" t="str">
        <f>IF($H407="USD",IF(OR($L407="",$L407="-"),"",VLOOKUP($G407,為替!$A:$AX,$L407,FALSE))+$K$3,IF(OR($L407="",$L407="-"),"",VLOOKUP($G407,為替!$A:$AX,$L407,FALSE)))</f>
        <v/>
      </c>
      <c r="N407" s="205" t="str">
        <f t="shared" si="44"/>
        <v/>
      </c>
      <c r="O407" s="206" t="str">
        <f t="shared" si="40"/>
        <v/>
      </c>
      <c r="P407" s="207" t="str">
        <f t="shared" si="45"/>
        <v/>
      </c>
    </row>
    <row r="408" spans="3:16">
      <c r="C408" s="200"/>
      <c r="D408" s="201"/>
      <c r="E408" s="202"/>
      <c r="F408" s="200"/>
      <c r="H408" s="203"/>
      <c r="I408" s="186" t="str">
        <f t="shared" si="41"/>
        <v/>
      </c>
      <c r="J408" s="204" t="str">
        <f>IF($H408="USD",IF(OR($I408="",$I408="-"),"",VLOOKUP($G408,為替!$A:$AX,$I408,FALSE))+$J$3,IF(OR($I408="",$I408="-"),"",VLOOKUP($G408,為替!$A:$AX,$I408,FALSE)))</f>
        <v/>
      </c>
      <c r="K408" s="205" t="str">
        <f t="shared" si="42"/>
        <v/>
      </c>
      <c r="L408" s="189" t="str">
        <f t="shared" si="43"/>
        <v/>
      </c>
      <c r="M408" s="204" t="str">
        <f>IF($H408="USD",IF(OR($L408="",$L408="-"),"",VLOOKUP($G408,為替!$A:$AX,$L408,FALSE))+$K$3,IF(OR($L408="",$L408="-"),"",VLOOKUP($G408,為替!$A:$AX,$L408,FALSE)))</f>
        <v/>
      </c>
      <c r="N408" s="205" t="str">
        <f t="shared" si="44"/>
        <v/>
      </c>
      <c r="O408" s="206" t="str">
        <f t="shared" si="40"/>
        <v/>
      </c>
      <c r="P408" s="207" t="str">
        <f t="shared" si="45"/>
        <v/>
      </c>
    </row>
  </sheetData>
  <mergeCells count="1">
    <mergeCell ref="A1:E2"/>
  </mergeCells>
  <phoneticPr fontId="2"/>
  <conditionalFormatting sqref="P6:P408">
    <cfRule type="cellIs" dxfId="3" priority="1" operator="greaterThan">
      <formula>$P$3</formula>
    </cfRule>
  </conditionalFormatting>
  <dataValidations count="2">
    <dataValidation type="list" allowBlank="1" showInputMessage="1" showErrorMessage="1" sqref="A6:A408" xr:uid="{D4BA9A03-4621-4AE9-A484-CB3C8BDA1675}">
      <formula1>$M$3:$O$3</formula1>
    </dataValidation>
    <dataValidation type="list" allowBlank="1" showInputMessage="1" showErrorMessage="1" sqref="H6:H408 E6:E408" xr:uid="{5E43ECEE-976A-43A5-9050-85CE88431148}">
      <formula1>"JPY,USD,EUR,CNY,HKD"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875CC-8A9A-4F15-9BC8-CDF67ED57902}">
  <sheetPr codeName="Sheet13">
    <tabColor theme="5" tint="0.79998168889431442"/>
  </sheetPr>
  <dimension ref="A1:S59"/>
  <sheetViews>
    <sheetView zoomScale="70" zoomScaleNormal="70" workbookViewId="0">
      <selection activeCell="G35" sqref="G35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117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  <c r="F2" s="2" t="s">
        <v>116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>
      <c r="A7" s="463" t="s">
        <v>165</v>
      </c>
      <c r="B7" s="466" t="s">
        <v>94</v>
      </c>
      <c r="C7" s="450" t="s">
        <v>15</v>
      </c>
      <c r="D7" s="112" t="s">
        <v>13</v>
      </c>
      <c r="E7" s="113">
        <v>270</v>
      </c>
      <c r="F7" s="114">
        <v>230</v>
      </c>
      <c r="G7" s="114">
        <v>680</v>
      </c>
      <c r="H7" s="114">
        <v>980</v>
      </c>
      <c r="I7" s="114">
        <v>1400</v>
      </c>
      <c r="J7" s="115">
        <v>1730</v>
      </c>
      <c r="K7" s="116">
        <v>280</v>
      </c>
      <c r="L7" s="114">
        <v>260</v>
      </c>
      <c r="M7" s="114">
        <v>300</v>
      </c>
      <c r="N7" s="114">
        <v>320</v>
      </c>
      <c r="O7" s="114">
        <v>690</v>
      </c>
      <c r="P7" s="117">
        <v>550</v>
      </c>
      <c r="Q7" s="118">
        <f>SUM(E7:P7)</f>
        <v>7690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253.77</v>
      </c>
      <c r="F8" s="136">
        <f ca="1">SUMIFS(INDIRECT($B$1&amp;"INV!$K:$K"),INDIRECT($B$1&amp;"INV!$A:$A"),$A7,INDIRECT($B$1&amp;"INV!$G:$G"),"&gt;="&amp;F$6,INDIRECT($B$1&amp;"INV!$G:$G"),"&lt;"&amp;EOMONTH(F$6,0)+1)/1000</f>
        <v>280.25</v>
      </c>
      <c r="G8" s="136">
        <f ca="1">SUMIFS(INDIRECT($B$1&amp;"INV!$K:$K"),INDIRECT($B$1&amp;"INV!$A:$A"),$A7,INDIRECT($B$1&amp;"INV!$G:$G"),"&gt;="&amp;G$6,INDIRECT($B$1&amp;"INV!$G:$G"),"&lt;"&amp;EOMONTH(G$6,0)+1)/1000</f>
        <v>741.74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1223.7349999999999</v>
      </c>
      <c r="I8" s="136">
        <f t="shared" ca="1" si="0"/>
        <v>1412.085</v>
      </c>
      <c r="J8" s="139">
        <f t="shared" ca="1" si="0"/>
        <v>2369.7449999999999</v>
      </c>
      <c r="K8" s="135">
        <f t="shared" ca="1" si="0"/>
        <v>949.17499999999995</v>
      </c>
      <c r="L8" s="136">
        <f t="shared" ca="1" si="0"/>
        <v>154.94</v>
      </c>
      <c r="M8" s="136">
        <f t="shared" ca="1" si="0"/>
        <v>136.88499999999999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7522.3249999999998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>
        <f ca="1">E8/E7</f>
        <v>0.93988888888888888</v>
      </c>
      <c r="F9" s="4">
        <f t="shared" ref="F9:Q9" ca="1" si="1">F8/F7</f>
        <v>1.2184782608695652</v>
      </c>
      <c r="G9" s="4">
        <f t="shared" ca="1" si="1"/>
        <v>1.0907941176470588</v>
      </c>
      <c r="H9" s="4">
        <f t="shared" ca="1" si="1"/>
        <v>1.2487091836734694</v>
      </c>
      <c r="I9" s="4">
        <f t="shared" ca="1" si="1"/>
        <v>1.008632142857143</v>
      </c>
      <c r="J9" s="6">
        <f t="shared" ca="1" si="1"/>
        <v>1.3697947976878613</v>
      </c>
      <c r="K9" s="8">
        <f t="shared" ca="1" si="1"/>
        <v>3.3899107142857141</v>
      </c>
      <c r="L9" s="4">
        <f t="shared" ca="1" si="1"/>
        <v>0.59592307692307689</v>
      </c>
      <c r="M9" s="4">
        <f t="shared" ca="1" si="1"/>
        <v>0.45628333333333332</v>
      </c>
      <c r="N9" s="4">
        <f t="shared" ca="1" si="1"/>
        <v>0</v>
      </c>
      <c r="O9" s="4">
        <f t="shared" ca="1" si="1"/>
        <v>0</v>
      </c>
      <c r="P9" s="16">
        <f t="shared" ca="1" si="1"/>
        <v>0</v>
      </c>
      <c r="Q9" s="26">
        <f t="shared" ca="1" si="1"/>
        <v>0.97819570871261374</v>
      </c>
    </row>
    <row r="10" spans="1:19">
      <c r="A10" s="464"/>
      <c r="B10" s="467"/>
      <c r="C10" s="451"/>
      <c r="D10" s="22" t="s">
        <v>18</v>
      </c>
      <c r="E10" s="12">
        <f ca="1">SUM($E8:E8)/SUM($E7:E7)</f>
        <v>0.93988888888888888</v>
      </c>
      <c r="F10" s="5">
        <f ca="1">SUM($E8:F8)/SUM($E7:F7)</f>
        <v>1.0680399999999999</v>
      </c>
      <c r="G10" s="5">
        <f ca="1">SUM($E8:G8)/SUM($E7:G7)</f>
        <v>1.0811525423728814</v>
      </c>
      <c r="H10" s="5">
        <f ca="1">SUM($E8:H8)/SUM($E7:H7)</f>
        <v>1.1571736111111111</v>
      </c>
      <c r="I10" s="5">
        <f ca="1">SUM($E8:I8)/SUM($E7:I7)</f>
        <v>1.0987584269662922</v>
      </c>
      <c r="J10" s="13">
        <f ca="1">SUM($E8:J8)/SUM($E7:J7)</f>
        <v>1.1873960302457467</v>
      </c>
      <c r="K10" s="9">
        <f ca="1">SUM($E8:K8)/SUM($E7:K7)</f>
        <v>1.2981149012567326</v>
      </c>
      <c r="L10" s="5">
        <f ca="1">SUM($E8:L8)/SUM($E7:L7)</f>
        <v>1.2667993138936535</v>
      </c>
      <c r="M10" s="5">
        <f ca="1">SUM($E8:M8)/SUM($E7:M7)</f>
        <v>1.2271329526916803</v>
      </c>
      <c r="N10" s="5">
        <f ca="1">SUM($E8:N8)/SUM($E7:N7)</f>
        <v>1.166251937984496</v>
      </c>
      <c r="O10" s="5">
        <f ca="1">SUM($E8:O8)/SUM($E7:O7)</f>
        <v>1.0535469187675071</v>
      </c>
      <c r="P10" s="17">
        <f ca="1">SUM($E8:P8)/SUM($E7:P7)</f>
        <v>0.97819570871261374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/>
      <c r="F11" s="121"/>
      <c r="G11" s="121"/>
      <c r="H11" s="121"/>
      <c r="I11" s="121"/>
      <c r="J11" s="122"/>
      <c r="K11" s="123"/>
      <c r="L11" s="121"/>
      <c r="M11" s="121"/>
      <c r="N11" s="121"/>
      <c r="O11" s="121"/>
      <c r="P11" s="124"/>
      <c r="Q11" s="125">
        <f>SUM(E11:P11)</f>
        <v>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187.756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210.60499999999999</v>
      </c>
      <c r="G12" s="142">
        <f t="shared" ca="1" si="2"/>
        <v>548.41200000000003</v>
      </c>
      <c r="H12" s="142">
        <f t="shared" ca="1" si="2"/>
        <v>901.88400000000001</v>
      </c>
      <c r="I12" s="142">
        <f t="shared" ca="1" si="2"/>
        <v>1055.4649999999999</v>
      </c>
      <c r="J12" s="145">
        <f t="shared" ca="1" si="2"/>
        <v>1772.6849999999999</v>
      </c>
      <c r="K12" s="147">
        <f t="shared" ca="1" si="2"/>
        <v>697.98400000000004</v>
      </c>
      <c r="L12" s="142">
        <f t="shared" ca="1" si="2"/>
        <v>115.935</v>
      </c>
      <c r="M12" s="142">
        <f t="shared" ca="1" si="2"/>
        <v>101.15600000000001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5591.8820000000014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270</v>
      </c>
      <c r="F13" s="121">
        <f t="shared" ref="F13:P14" si="3">F7-F11</f>
        <v>230</v>
      </c>
      <c r="G13" s="121">
        <f t="shared" si="3"/>
        <v>680</v>
      </c>
      <c r="H13" s="121">
        <f t="shared" si="3"/>
        <v>980</v>
      </c>
      <c r="I13" s="121">
        <f t="shared" si="3"/>
        <v>1400</v>
      </c>
      <c r="J13" s="122">
        <f t="shared" si="3"/>
        <v>1730</v>
      </c>
      <c r="K13" s="123">
        <f t="shared" si="3"/>
        <v>280</v>
      </c>
      <c r="L13" s="121">
        <f t="shared" si="3"/>
        <v>260</v>
      </c>
      <c r="M13" s="121">
        <f t="shared" si="3"/>
        <v>300</v>
      </c>
      <c r="N13" s="121">
        <f t="shared" si="3"/>
        <v>320</v>
      </c>
      <c r="O13" s="121">
        <f t="shared" si="3"/>
        <v>690</v>
      </c>
      <c r="P13" s="124">
        <f t="shared" si="3"/>
        <v>550</v>
      </c>
      <c r="Q13" s="125">
        <f>SUM(E13:P13)</f>
        <v>7690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66.01400000000001</v>
      </c>
      <c r="F14" s="136">
        <f t="shared" ca="1" si="3"/>
        <v>69.64500000000001</v>
      </c>
      <c r="G14" s="136">
        <f t="shared" ca="1" si="3"/>
        <v>193.32799999999997</v>
      </c>
      <c r="H14" s="136">
        <f t="shared" ca="1" si="3"/>
        <v>321.85099999999989</v>
      </c>
      <c r="I14" s="136">
        <f t="shared" ca="1" si="3"/>
        <v>356.62000000000012</v>
      </c>
      <c r="J14" s="139">
        <f t="shared" ca="1" si="3"/>
        <v>597.05999999999995</v>
      </c>
      <c r="K14" s="135">
        <f t="shared" ca="1" si="3"/>
        <v>251.19099999999992</v>
      </c>
      <c r="L14" s="136">
        <f t="shared" ca="1" si="3"/>
        <v>39.004999999999995</v>
      </c>
      <c r="M14" s="136">
        <f t="shared" ca="1" si="3"/>
        <v>35.728999999999985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1930.443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>
        <f ca="1">E14/E13</f>
        <v>0.24449629629629632</v>
      </c>
      <c r="F15" s="4">
        <f t="shared" ref="F15:Q15" ca="1" si="4">F14/F13</f>
        <v>0.30280434782608701</v>
      </c>
      <c r="G15" s="4">
        <f t="shared" ca="1" si="4"/>
        <v>0.28430588235294113</v>
      </c>
      <c r="H15" s="4">
        <f t="shared" ca="1" si="4"/>
        <v>0.32841938775510193</v>
      </c>
      <c r="I15" s="4">
        <f t="shared" ca="1" si="4"/>
        <v>0.25472857142857153</v>
      </c>
      <c r="J15" s="6">
        <f t="shared" ca="1" si="4"/>
        <v>0.34512138728323694</v>
      </c>
      <c r="K15" s="8">
        <f t="shared" ca="1" si="4"/>
        <v>0.89711071428571398</v>
      </c>
      <c r="L15" s="4">
        <f t="shared" ca="1" si="4"/>
        <v>0.15001923076923074</v>
      </c>
      <c r="M15" s="4">
        <f t="shared" ca="1" si="4"/>
        <v>0.11909666666666661</v>
      </c>
      <c r="N15" s="4">
        <f t="shared" ca="1" si="4"/>
        <v>0</v>
      </c>
      <c r="O15" s="4">
        <f t="shared" ca="1" si="4"/>
        <v>0</v>
      </c>
      <c r="P15" s="16">
        <f t="shared" ca="1" si="4"/>
        <v>0</v>
      </c>
      <c r="Q15" s="26">
        <f t="shared" ca="1" si="4"/>
        <v>0.25103289986996097</v>
      </c>
    </row>
    <row r="16" spans="1:19" ht="19.5" thickBot="1">
      <c r="A16" s="465"/>
      <c r="B16" s="468"/>
      <c r="C16" s="454"/>
      <c r="D16" s="23" t="s">
        <v>18</v>
      </c>
      <c r="E16" s="14">
        <f ca="1">SUM($E14:E14)/SUM($E13:E13)</f>
        <v>0.24449629629629632</v>
      </c>
      <c r="F16" s="7">
        <f ca="1">SUM($E14:F14)/SUM($E13:F13)</f>
        <v>0.27131800000000006</v>
      </c>
      <c r="G16" s="7">
        <f ca="1">SUM($E14:G14)/SUM($E13:G13)</f>
        <v>0.27880254237288132</v>
      </c>
      <c r="H16" s="7">
        <f ca="1">SUM($E14:H14)/SUM($E13:H13)</f>
        <v>0.30131388888888883</v>
      </c>
      <c r="I16" s="7">
        <f ca="1">SUM($E14:I14)/SUM($E13:I13)</f>
        <v>0.28299382022471908</v>
      </c>
      <c r="J16" s="15">
        <f ca="1">SUM($E14:J14)/SUM($E13:J13)</f>
        <v>0.3033115311909263</v>
      </c>
      <c r="K16" s="10">
        <f ca="1">SUM($E14:K14)/SUM($E13:K13)</f>
        <v>0.33316140035906638</v>
      </c>
      <c r="L16" s="7">
        <f ca="1">SUM($E14:L14)/SUM($E13:L13)</f>
        <v>0.32499382504288166</v>
      </c>
      <c r="M16" s="7">
        <f ca="1">SUM($E14:M14)/SUM($E13:M13)</f>
        <v>0.3149172920065253</v>
      </c>
      <c r="N16" s="7">
        <f ca="1">SUM($E14:N14)/SUM($E13:N13)</f>
        <v>0.29929348837209302</v>
      </c>
      <c r="O16" s="7">
        <f ca="1">SUM($E14:O14)/SUM($E13:O13)</f>
        <v>0.27037016806722691</v>
      </c>
      <c r="P16" s="18">
        <f ca="1">SUM($E14:P14)/SUM($E13:P13)</f>
        <v>0.25103289986996097</v>
      </c>
      <c r="Q16" s="28" t="s">
        <v>22</v>
      </c>
      <c r="R16" s="59"/>
      <c r="S16"/>
    </row>
    <row r="17" spans="1:19">
      <c r="A17" s="463" t="s">
        <v>154</v>
      </c>
      <c r="B17" s="466" t="s">
        <v>154</v>
      </c>
      <c r="C17" s="450" t="s">
        <v>15</v>
      </c>
      <c r="D17" s="112" t="s">
        <v>13</v>
      </c>
      <c r="E17" s="113"/>
      <c r="F17" s="114"/>
      <c r="G17" s="114"/>
      <c r="H17" s="114"/>
      <c r="I17" s="114"/>
      <c r="J17" s="115"/>
      <c r="K17" s="116"/>
      <c r="L17" s="114"/>
      <c r="M17" s="114"/>
      <c r="N17" s="114"/>
      <c r="O17" s="114"/>
      <c r="P17" s="117"/>
      <c r="Q17" s="118"/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/>
      <c r="F18" s="136"/>
      <c r="G18" s="136"/>
      <c r="H18" s="136"/>
      <c r="I18" s="136"/>
      <c r="J18" s="139"/>
      <c r="K18" s="135"/>
      <c r="L18" s="136"/>
      <c r="M18" s="136"/>
      <c r="N18" s="136"/>
      <c r="O18" s="136"/>
      <c r="P18" s="137"/>
      <c r="Q18" s="140">
        <f>SUM(E18:P18)</f>
        <v>0</v>
      </c>
      <c r="R18" s="483"/>
      <c r="S18" s="69" t="str">
        <f>IFERROR(Q18/R17,"")</f>
        <v/>
      </c>
    </row>
    <row r="19" spans="1:19">
      <c r="A19" s="464"/>
      <c r="B19" s="467"/>
      <c r="C19" s="450"/>
      <c r="D19" s="21" t="s">
        <v>17</v>
      </c>
      <c r="E19" s="11" t="e">
        <f>E18/E17</f>
        <v>#DIV/0!</v>
      </c>
      <c r="F19" s="4" t="e">
        <f t="shared" ref="F19:Q19" si="5">F18/F17</f>
        <v>#DIV/0!</v>
      </c>
      <c r="G19" s="4" t="e">
        <f t="shared" si="5"/>
        <v>#DIV/0!</v>
      </c>
      <c r="H19" s="4" t="e">
        <f t="shared" si="5"/>
        <v>#DIV/0!</v>
      </c>
      <c r="I19" s="4" t="e">
        <f t="shared" si="5"/>
        <v>#DIV/0!</v>
      </c>
      <c r="J19" s="6" t="e">
        <f t="shared" si="5"/>
        <v>#DIV/0!</v>
      </c>
      <c r="K19" s="8" t="e">
        <f t="shared" si="5"/>
        <v>#DIV/0!</v>
      </c>
      <c r="L19" s="4" t="e">
        <f t="shared" si="5"/>
        <v>#DIV/0!</v>
      </c>
      <c r="M19" s="4" t="e">
        <f t="shared" si="5"/>
        <v>#DIV/0!</v>
      </c>
      <c r="N19" s="4" t="e">
        <f t="shared" si="5"/>
        <v>#DIV/0!</v>
      </c>
      <c r="O19" s="4" t="e">
        <f t="shared" si="5"/>
        <v>#DIV/0!</v>
      </c>
      <c r="P19" s="16" t="e">
        <f t="shared" si="5"/>
        <v>#DIV/0!</v>
      </c>
      <c r="Q19" s="26" t="e">
        <f t="shared" si="5"/>
        <v>#DIV/0!</v>
      </c>
      <c r="R19" s="59"/>
      <c r="S19"/>
    </row>
    <row r="20" spans="1:19">
      <c r="A20" s="464"/>
      <c r="B20" s="467"/>
      <c r="C20" s="451"/>
      <c r="D20" s="22" t="s">
        <v>18</v>
      </c>
      <c r="E20" s="12" t="e">
        <f>SUM($E18:E18)/SUM($E17:E17)</f>
        <v>#DIV/0!</v>
      </c>
      <c r="F20" s="5" t="e">
        <f>SUM($E18:F18)/SUM($E17:F17)</f>
        <v>#DIV/0!</v>
      </c>
      <c r="G20" s="5" t="e">
        <f>SUM($E18:G18)/SUM($E17:G17)</f>
        <v>#DIV/0!</v>
      </c>
      <c r="H20" s="5" t="e">
        <f>SUM($E18:H18)/SUM($E17:H17)</f>
        <v>#DIV/0!</v>
      </c>
      <c r="I20" s="5" t="e">
        <f>SUM($E18:I18)/SUM($E17:I17)</f>
        <v>#DIV/0!</v>
      </c>
      <c r="J20" s="13" t="e">
        <f>SUM($E18:J18)/SUM($E17:J17)</f>
        <v>#DIV/0!</v>
      </c>
      <c r="K20" s="9" t="e">
        <f>SUM($E18:K18)/SUM($E17:K17)</f>
        <v>#DIV/0!</v>
      </c>
      <c r="L20" s="5" t="e">
        <f>SUM($E18:L18)/SUM($E17:L17)</f>
        <v>#DIV/0!</v>
      </c>
      <c r="M20" s="5" t="e">
        <f>SUM($E18:M18)/SUM($E17:M17)</f>
        <v>#DIV/0!</v>
      </c>
      <c r="N20" s="5" t="e">
        <f>SUM($E18:N18)/SUM($E17:N17)</f>
        <v>#DIV/0!</v>
      </c>
      <c r="O20" s="5" t="e">
        <f>SUM($E18:O18)/SUM($E17:O17)</f>
        <v>#DIV/0!</v>
      </c>
      <c r="P20" s="17" t="e">
        <f>SUM($E18:P18)/SUM($E17:P17)</f>
        <v>#DIV/0!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/>
      <c r="F21" s="121"/>
      <c r="G21" s="121"/>
      <c r="H21" s="121"/>
      <c r="I21" s="121"/>
      <c r="J21" s="122"/>
      <c r="K21" s="123"/>
      <c r="L21" s="121"/>
      <c r="M21" s="121"/>
      <c r="N21" s="121"/>
      <c r="O21" s="121"/>
      <c r="P21" s="124"/>
      <c r="Q21" s="125"/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/>
      <c r="F22" s="142"/>
      <c r="G22" s="142"/>
      <c r="H22" s="142"/>
      <c r="I22" s="142"/>
      <c r="J22" s="145"/>
      <c r="K22" s="147"/>
      <c r="L22" s="142"/>
      <c r="M22" s="142"/>
      <c r="N22" s="142"/>
      <c r="O22" s="142"/>
      <c r="P22" s="143"/>
      <c r="Q22" s="146">
        <f>SUM(E22:P22)</f>
        <v>0</v>
      </c>
      <c r="R22" s="488"/>
      <c r="S22" s="70" t="str">
        <f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/>
      <c r="F23" s="121"/>
      <c r="G23" s="121"/>
      <c r="H23" s="121"/>
      <c r="I23" s="121"/>
      <c r="J23" s="122"/>
      <c r="K23" s="123"/>
      <c r="L23" s="121"/>
      <c r="M23" s="121"/>
      <c r="N23" s="121"/>
      <c r="O23" s="121"/>
      <c r="P23" s="124"/>
      <c r="Q23" s="125">
        <f>SUM(E23:P23)</f>
        <v>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/>
      <c r="F24" s="136"/>
      <c r="G24" s="136"/>
      <c r="H24" s="136"/>
      <c r="I24" s="136"/>
      <c r="J24" s="137"/>
      <c r="K24" s="138"/>
      <c r="L24" s="136"/>
      <c r="M24" s="136"/>
      <c r="N24" s="136"/>
      <c r="O24" s="136"/>
      <c r="P24" s="139"/>
      <c r="Q24" s="140">
        <f>SUM(E24:P24)</f>
        <v>0</v>
      </c>
      <c r="R24" s="483"/>
      <c r="S24" s="69" t="str">
        <f>IFERROR(Q24/R23,"")</f>
        <v/>
      </c>
    </row>
    <row r="25" spans="1:19">
      <c r="A25" s="464"/>
      <c r="B25" s="467"/>
      <c r="C25" s="453"/>
      <c r="D25" s="21" t="s">
        <v>17</v>
      </c>
      <c r="E25" s="11" t="e">
        <f>E24/E23</f>
        <v>#DIV/0!</v>
      </c>
      <c r="F25" s="4" t="e">
        <f t="shared" ref="F25:Q25" si="6">F24/F23</f>
        <v>#DIV/0!</v>
      </c>
      <c r="G25" s="4" t="e">
        <f t="shared" si="6"/>
        <v>#DIV/0!</v>
      </c>
      <c r="H25" s="4" t="e">
        <f t="shared" si="6"/>
        <v>#DIV/0!</v>
      </c>
      <c r="I25" s="4" t="e">
        <f t="shared" si="6"/>
        <v>#DIV/0!</v>
      </c>
      <c r="J25" s="6" t="e">
        <f t="shared" si="6"/>
        <v>#DIV/0!</v>
      </c>
      <c r="K25" s="8" t="e">
        <f t="shared" si="6"/>
        <v>#DIV/0!</v>
      </c>
      <c r="L25" s="4" t="e">
        <f t="shared" si="6"/>
        <v>#DIV/0!</v>
      </c>
      <c r="M25" s="4" t="e">
        <f t="shared" si="6"/>
        <v>#DIV/0!</v>
      </c>
      <c r="N25" s="4" t="e">
        <f t="shared" si="6"/>
        <v>#DIV/0!</v>
      </c>
      <c r="O25" s="4" t="e">
        <f t="shared" si="6"/>
        <v>#DIV/0!</v>
      </c>
      <c r="P25" s="16" t="e">
        <f t="shared" si="6"/>
        <v>#DIV/0!</v>
      </c>
      <c r="Q25" s="26" t="e">
        <f t="shared" si="6"/>
        <v>#DIV/0!</v>
      </c>
    </row>
    <row r="26" spans="1:19" ht="19.5" thickBot="1">
      <c r="A26" s="465"/>
      <c r="B26" s="468"/>
      <c r="C26" s="454"/>
      <c r="D26" s="23" t="s">
        <v>18</v>
      </c>
      <c r="E26" s="14" t="e">
        <f>SUM($E24:E24)/SUM($E23:E23)</f>
        <v>#DIV/0!</v>
      </c>
      <c r="F26" s="7" t="e">
        <f>SUM($E24:F24)/SUM($E23:F23)</f>
        <v>#DIV/0!</v>
      </c>
      <c r="G26" s="7" t="e">
        <f>SUM($E24:G24)/SUM($E23:G23)</f>
        <v>#DIV/0!</v>
      </c>
      <c r="H26" s="7" t="e">
        <f>SUM($E24:H24)/SUM($E23:H23)</f>
        <v>#DIV/0!</v>
      </c>
      <c r="I26" s="7" t="e">
        <f>SUM($E24:I24)/SUM($E23:I23)</f>
        <v>#DIV/0!</v>
      </c>
      <c r="J26" s="15" t="e">
        <f>SUM($E24:J24)/SUM($E23:J23)</f>
        <v>#DIV/0!</v>
      </c>
      <c r="K26" s="10" t="e">
        <f>SUM($E24:K24)/SUM($E23:K23)</f>
        <v>#DIV/0!</v>
      </c>
      <c r="L26" s="7" t="e">
        <f>SUM($E24:L24)/SUM($E23:L23)</f>
        <v>#DIV/0!</v>
      </c>
      <c r="M26" s="7" t="e">
        <f>SUM($E24:M24)/SUM($E23:M23)</f>
        <v>#DIV/0!</v>
      </c>
      <c r="N26" s="7" t="e">
        <f>SUM($E24:N24)/SUM($E23:N23)</f>
        <v>#DIV/0!</v>
      </c>
      <c r="O26" s="7" t="e">
        <f>SUM($E24:O24)/SUM($E23:O23)</f>
        <v>#DIV/0!</v>
      </c>
      <c r="P26" s="18" t="e">
        <f>SUM($E24:P24)/SUM($E23:P23)</f>
        <v>#DIV/0!</v>
      </c>
      <c r="Q26" s="28" t="s">
        <v>22</v>
      </c>
      <c r="R26" s="59"/>
      <c r="S26"/>
    </row>
    <row r="27" spans="1:19">
      <c r="A27" s="464" t="s">
        <v>154</v>
      </c>
      <c r="B27" s="467" t="s">
        <v>154</v>
      </c>
      <c r="C27" s="450" t="s">
        <v>15</v>
      </c>
      <c r="D27" s="112" t="s">
        <v>13</v>
      </c>
      <c r="E27" s="113"/>
      <c r="F27" s="114"/>
      <c r="G27" s="114"/>
      <c r="H27" s="114"/>
      <c r="I27" s="114"/>
      <c r="J27" s="115"/>
      <c r="K27" s="116"/>
      <c r="L27" s="114"/>
      <c r="M27" s="114"/>
      <c r="N27" s="114"/>
      <c r="O27" s="114"/>
      <c r="P27" s="117"/>
      <c r="Q27" s="118"/>
      <c r="R27" s="482"/>
      <c r="S27" s="68" t="str">
        <f>IFERROR(Q27/R27,"")</f>
        <v/>
      </c>
    </row>
    <row r="28" spans="1:19" ht="19.5" thickBot="1">
      <c r="A28" s="464"/>
      <c r="B28" s="467"/>
      <c r="C28" s="450"/>
      <c r="D28" s="134" t="s">
        <v>14</v>
      </c>
      <c r="E28" s="135"/>
      <c r="F28" s="136"/>
      <c r="G28" s="136"/>
      <c r="H28" s="136"/>
      <c r="I28" s="136"/>
      <c r="J28" s="139"/>
      <c r="K28" s="135"/>
      <c r="L28" s="136"/>
      <c r="M28" s="136"/>
      <c r="N28" s="136"/>
      <c r="O28" s="136"/>
      <c r="P28" s="137"/>
      <c r="Q28" s="140">
        <f>SUM(E28:P28)</f>
        <v>0</v>
      </c>
      <c r="R28" s="483"/>
      <c r="S28" s="69" t="str">
        <f>IFERROR(Q28/R27,"")</f>
        <v/>
      </c>
    </row>
    <row r="29" spans="1:19">
      <c r="A29" s="464"/>
      <c r="B29" s="467"/>
      <c r="C29" s="450"/>
      <c r="D29" s="21" t="s">
        <v>17</v>
      </c>
      <c r="E29" s="11" t="e">
        <f>E28/E27</f>
        <v>#DIV/0!</v>
      </c>
      <c r="F29" s="4" t="e">
        <f t="shared" ref="F29:Q29" si="7">F28/F27</f>
        <v>#DIV/0!</v>
      </c>
      <c r="G29" s="4" t="e">
        <f t="shared" si="7"/>
        <v>#DIV/0!</v>
      </c>
      <c r="H29" s="4" t="e">
        <f t="shared" si="7"/>
        <v>#DIV/0!</v>
      </c>
      <c r="I29" s="4" t="e">
        <f t="shared" si="7"/>
        <v>#DIV/0!</v>
      </c>
      <c r="J29" s="6" t="e">
        <f t="shared" si="7"/>
        <v>#DIV/0!</v>
      </c>
      <c r="K29" s="8" t="e">
        <f t="shared" si="7"/>
        <v>#DIV/0!</v>
      </c>
      <c r="L29" s="4" t="e">
        <f t="shared" si="7"/>
        <v>#DIV/0!</v>
      </c>
      <c r="M29" s="4" t="e">
        <f t="shared" si="7"/>
        <v>#DIV/0!</v>
      </c>
      <c r="N29" s="4" t="e">
        <f t="shared" si="7"/>
        <v>#DIV/0!</v>
      </c>
      <c r="O29" s="4" t="e">
        <f t="shared" si="7"/>
        <v>#DIV/0!</v>
      </c>
      <c r="P29" s="16" t="e">
        <f t="shared" si="7"/>
        <v>#DIV/0!</v>
      </c>
      <c r="Q29" s="26" t="e">
        <f t="shared" si="7"/>
        <v>#DIV/0!</v>
      </c>
      <c r="R29" s="59"/>
      <c r="S29"/>
    </row>
    <row r="30" spans="1:19">
      <c r="A30" s="464"/>
      <c r="B30" s="467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/>
      <c r="F31" s="121"/>
      <c r="G31" s="121"/>
      <c r="H31" s="121"/>
      <c r="I31" s="121"/>
      <c r="J31" s="122"/>
      <c r="K31" s="123"/>
      <c r="L31" s="121"/>
      <c r="M31" s="121"/>
      <c r="N31" s="121"/>
      <c r="O31" s="121"/>
      <c r="P31" s="124"/>
      <c r="Q31" s="125"/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/>
      <c r="F32" s="142"/>
      <c r="G32" s="142"/>
      <c r="H32" s="142"/>
      <c r="I32" s="142"/>
      <c r="J32" s="145"/>
      <c r="K32" s="147"/>
      <c r="L32" s="142"/>
      <c r="M32" s="142"/>
      <c r="N32" s="142"/>
      <c r="O32" s="142"/>
      <c r="P32" s="143"/>
      <c r="Q32" s="146">
        <f>SUM(E32:P32)</f>
        <v>0</v>
      </c>
      <c r="R32" s="488"/>
      <c r="S32" s="70" t="str">
        <f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/>
      <c r="F33" s="121"/>
      <c r="G33" s="121"/>
      <c r="H33" s="121"/>
      <c r="I33" s="121"/>
      <c r="J33" s="122"/>
      <c r="K33" s="123"/>
      <c r="L33" s="121"/>
      <c r="M33" s="121"/>
      <c r="N33" s="121"/>
      <c r="O33" s="121"/>
      <c r="P33" s="124"/>
      <c r="Q33" s="125">
        <f>SUM(E33:P33)</f>
        <v>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/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 t="str">
        <f>IFERROR(Q34/R33,"")</f>
        <v/>
      </c>
    </row>
    <row r="35" spans="1:19">
      <c r="A35" s="464"/>
      <c r="B35" s="467"/>
      <c r="C35" s="453"/>
      <c r="D35" s="21" t="s">
        <v>17</v>
      </c>
      <c r="E35" s="11" t="e">
        <f>E34/E33</f>
        <v>#DIV/0!</v>
      </c>
      <c r="F35" s="4" t="e">
        <f t="shared" ref="F35:Q35" si="8">F34/F33</f>
        <v>#DIV/0!</v>
      </c>
      <c r="G35" s="4" t="e">
        <f t="shared" si="8"/>
        <v>#DIV/0!</v>
      </c>
      <c r="H35" s="4" t="e">
        <f t="shared" si="8"/>
        <v>#DIV/0!</v>
      </c>
      <c r="I35" s="4" t="e">
        <f t="shared" si="8"/>
        <v>#DIV/0!</v>
      </c>
      <c r="J35" s="6" t="e">
        <f t="shared" si="8"/>
        <v>#DIV/0!</v>
      </c>
      <c r="K35" s="8" t="e">
        <f t="shared" si="8"/>
        <v>#DIV/0!</v>
      </c>
      <c r="L35" s="4" t="e">
        <f t="shared" si="8"/>
        <v>#DIV/0!</v>
      </c>
      <c r="M35" s="4" t="e">
        <f t="shared" si="8"/>
        <v>#DIV/0!</v>
      </c>
      <c r="N35" s="4" t="e">
        <f t="shared" si="8"/>
        <v>#DIV/0!</v>
      </c>
      <c r="O35" s="4" t="e">
        <f t="shared" si="8"/>
        <v>#DIV/0!</v>
      </c>
      <c r="P35" s="16" t="e">
        <f t="shared" si="8"/>
        <v>#DIV/0!</v>
      </c>
      <c r="Q35" s="26" t="e">
        <f t="shared" si="8"/>
        <v>#DIV/0!</v>
      </c>
    </row>
    <row r="36" spans="1:19" ht="19.5" thickBot="1">
      <c r="A36" s="465"/>
      <c r="B36" s="468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 t="shared" ref="E37:Q38" si="9">SUM(E7,E17,E27)</f>
        <v>270</v>
      </c>
      <c r="F37" s="128">
        <f t="shared" si="9"/>
        <v>230</v>
      </c>
      <c r="G37" s="129">
        <f t="shared" si="9"/>
        <v>680</v>
      </c>
      <c r="H37" s="128">
        <f t="shared" si="9"/>
        <v>980</v>
      </c>
      <c r="I37" s="128">
        <f t="shared" si="9"/>
        <v>1400</v>
      </c>
      <c r="J37" s="130">
        <f t="shared" si="9"/>
        <v>1730</v>
      </c>
      <c r="K37" s="127">
        <f t="shared" si="9"/>
        <v>280</v>
      </c>
      <c r="L37" s="128">
        <f t="shared" si="9"/>
        <v>260</v>
      </c>
      <c r="M37" s="129">
        <f t="shared" si="9"/>
        <v>300</v>
      </c>
      <c r="N37" s="128">
        <f t="shared" si="9"/>
        <v>320</v>
      </c>
      <c r="O37" s="128">
        <f t="shared" si="9"/>
        <v>690</v>
      </c>
      <c r="P37" s="130">
        <f t="shared" si="9"/>
        <v>550</v>
      </c>
      <c r="Q37" s="131">
        <f t="shared" si="9"/>
        <v>7690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t="shared" ca="1" si="9"/>
        <v>253.77</v>
      </c>
      <c r="F38" s="136">
        <f t="shared" ca="1" si="9"/>
        <v>280.25</v>
      </c>
      <c r="G38" s="139">
        <f t="shared" ca="1" si="9"/>
        <v>741.74</v>
      </c>
      <c r="H38" s="136">
        <f t="shared" ca="1" si="9"/>
        <v>1223.7349999999999</v>
      </c>
      <c r="I38" s="136">
        <f t="shared" ca="1" si="9"/>
        <v>1412.085</v>
      </c>
      <c r="J38" s="137">
        <f t="shared" ca="1" si="9"/>
        <v>2369.7449999999999</v>
      </c>
      <c r="K38" s="135">
        <f t="shared" ca="1" si="9"/>
        <v>949.17499999999995</v>
      </c>
      <c r="L38" s="136">
        <f t="shared" ca="1" si="9"/>
        <v>154.94</v>
      </c>
      <c r="M38" s="139">
        <f t="shared" ca="1" si="9"/>
        <v>136.88499999999999</v>
      </c>
      <c r="N38" s="136">
        <f t="shared" ca="1" si="9"/>
        <v>0</v>
      </c>
      <c r="O38" s="136">
        <f t="shared" ca="1" si="9"/>
        <v>0</v>
      </c>
      <c r="P38" s="137">
        <f t="shared" ca="1" si="9"/>
        <v>0</v>
      </c>
      <c r="Q38" s="149">
        <f t="shared" ca="1" si="9"/>
        <v>7522.3249999999998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>
        <f ca="1">E38/E37</f>
        <v>0.93988888888888888</v>
      </c>
      <c r="F39" s="4">
        <f t="shared" ref="F39:Q39" ca="1" si="10">F38/F37</f>
        <v>1.2184782608695652</v>
      </c>
      <c r="G39" s="16">
        <f t="shared" ca="1" si="10"/>
        <v>1.0907941176470588</v>
      </c>
      <c r="H39" s="4">
        <f t="shared" ca="1" si="10"/>
        <v>1.2487091836734694</v>
      </c>
      <c r="I39" s="4">
        <f t="shared" ca="1" si="10"/>
        <v>1.008632142857143</v>
      </c>
      <c r="J39" s="6">
        <f t="shared" ca="1" si="10"/>
        <v>1.3697947976878613</v>
      </c>
      <c r="K39" s="11">
        <f t="shared" ca="1" si="10"/>
        <v>3.3899107142857141</v>
      </c>
      <c r="L39" s="4">
        <f t="shared" ca="1" si="10"/>
        <v>0.59592307692307689</v>
      </c>
      <c r="M39" s="16">
        <f t="shared" ca="1" si="10"/>
        <v>0.45628333333333332</v>
      </c>
      <c r="N39" s="4">
        <f t="shared" ca="1" si="10"/>
        <v>0</v>
      </c>
      <c r="O39" s="4">
        <f t="shared" ca="1" si="10"/>
        <v>0</v>
      </c>
      <c r="P39" s="6">
        <f t="shared" ca="1" si="10"/>
        <v>0</v>
      </c>
      <c r="Q39" s="26">
        <f t="shared" ca="1" si="10"/>
        <v>0.97819570871261374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0.93988888888888888</v>
      </c>
      <c r="F40" s="5">
        <f ca="1">SUM($E38:F38)/SUM($E37:F37)</f>
        <v>1.0680399999999999</v>
      </c>
      <c r="G40" s="17">
        <f ca="1">SUM($E38:G38)/SUM($E37:G37)</f>
        <v>1.0811525423728814</v>
      </c>
      <c r="H40" s="5">
        <f ca="1">SUM($E38:H38)/SUM($E37:H37)</f>
        <v>1.1571736111111111</v>
      </c>
      <c r="I40" s="5">
        <f ca="1">SUM($E38:I38)/SUM($E37:I37)</f>
        <v>1.0987584269662922</v>
      </c>
      <c r="J40" s="13">
        <f ca="1">SUM($E38:J38)/SUM($E37:J37)</f>
        <v>1.1873960302457467</v>
      </c>
      <c r="K40" s="12">
        <f ca="1">SUM($E38:K38)/SUM($E37:K37)</f>
        <v>1.2981149012567326</v>
      </c>
      <c r="L40" s="5">
        <f ca="1">SUM($E38:L38)/SUM($E37:L37)</f>
        <v>1.2667993138936535</v>
      </c>
      <c r="M40" s="17">
        <f ca="1">SUM($E38:M38)/SUM($E37:M37)</f>
        <v>1.2271329526916803</v>
      </c>
      <c r="N40" s="5">
        <f ca="1">SUM($E38:N38)/SUM($E37:N37)</f>
        <v>1.166251937984496</v>
      </c>
      <c r="O40" s="5">
        <f ca="1">SUM($E38:O38)/SUM($E37:O37)</f>
        <v>1.0535469187675071</v>
      </c>
      <c r="P40" s="13">
        <f ca="1">SUM($E38:P38)/SUM($E37:P37)</f>
        <v>0.97819570871261374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 t="shared" ref="E41:Q42" si="11">SUM(E13,E23,E33)</f>
        <v>270</v>
      </c>
      <c r="F41" s="114">
        <f t="shared" si="11"/>
        <v>230</v>
      </c>
      <c r="G41" s="117">
        <f t="shared" si="11"/>
        <v>680</v>
      </c>
      <c r="H41" s="114">
        <f t="shared" si="11"/>
        <v>980</v>
      </c>
      <c r="I41" s="114">
        <f t="shared" si="11"/>
        <v>1400</v>
      </c>
      <c r="J41" s="115">
        <f t="shared" si="11"/>
        <v>1730</v>
      </c>
      <c r="K41" s="113">
        <f t="shared" si="11"/>
        <v>280</v>
      </c>
      <c r="L41" s="114">
        <f t="shared" si="11"/>
        <v>260</v>
      </c>
      <c r="M41" s="117">
        <f t="shared" si="11"/>
        <v>300</v>
      </c>
      <c r="N41" s="114">
        <f t="shared" si="11"/>
        <v>320</v>
      </c>
      <c r="O41" s="114">
        <f t="shared" si="11"/>
        <v>690</v>
      </c>
      <c r="P41" s="115">
        <f t="shared" si="11"/>
        <v>550</v>
      </c>
      <c r="Q41" s="133">
        <f t="shared" si="11"/>
        <v>7690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t="shared" ca="1" si="11"/>
        <v>66.01400000000001</v>
      </c>
      <c r="F42" s="136">
        <f t="shared" ca="1" si="11"/>
        <v>69.64500000000001</v>
      </c>
      <c r="G42" s="139">
        <f t="shared" ca="1" si="11"/>
        <v>193.32799999999997</v>
      </c>
      <c r="H42" s="136">
        <f t="shared" ca="1" si="11"/>
        <v>321.85099999999989</v>
      </c>
      <c r="I42" s="136">
        <f t="shared" ca="1" si="11"/>
        <v>356.62000000000012</v>
      </c>
      <c r="J42" s="137">
        <f t="shared" ca="1" si="11"/>
        <v>597.05999999999995</v>
      </c>
      <c r="K42" s="135">
        <f t="shared" ca="1" si="11"/>
        <v>251.19099999999992</v>
      </c>
      <c r="L42" s="136">
        <f t="shared" ca="1" si="11"/>
        <v>39.004999999999995</v>
      </c>
      <c r="M42" s="139">
        <f t="shared" ca="1" si="11"/>
        <v>35.728999999999985</v>
      </c>
      <c r="N42" s="136">
        <f t="shared" ca="1" si="11"/>
        <v>0</v>
      </c>
      <c r="O42" s="136">
        <f t="shared" ca="1" si="11"/>
        <v>0</v>
      </c>
      <c r="P42" s="137">
        <f t="shared" ca="1" si="11"/>
        <v>0</v>
      </c>
      <c r="Q42" s="149">
        <f t="shared" ca="1" si="11"/>
        <v>1930.443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>
        <f ca="1">E42/E41</f>
        <v>0.24449629629629632</v>
      </c>
      <c r="F43" s="4">
        <f t="shared" ref="F43:Q43" ca="1" si="12">F42/F41</f>
        <v>0.30280434782608701</v>
      </c>
      <c r="G43" s="16">
        <f t="shared" ca="1" si="12"/>
        <v>0.28430588235294113</v>
      </c>
      <c r="H43" s="4">
        <f t="shared" ca="1" si="12"/>
        <v>0.32841938775510193</v>
      </c>
      <c r="I43" s="4">
        <f t="shared" ca="1" si="12"/>
        <v>0.25472857142857153</v>
      </c>
      <c r="J43" s="6">
        <f t="shared" ca="1" si="12"/>
        <v>0.34512138728323694</v>
      </c>
      <c r="K43" s="11">
        <f t="shared" ca="1" si="12"/>
        <v>0.89711071428571398</v>
      </c>
      <c r="L43" s="4">
        <f t="shared" ca="1" si="12"/>
        <v>0.15001923076923074</v>
      </c>
      <c r="M43" s="16">
        <f t="shared" ca="1" si="12"/>
        <v>0.11909666666666661</v>
      </c>
      <c r="N43" s="4">
        <f t="shared" ca="1" si="12"/>
        <v>0</v>
      </c>
      <c r="O43" s="4">
        <f t="shared" ca="1" si="12"/>
        <v>0</v>
      </c>
      <c r="P43" s="6">
        <f t="shared" ca="1" si="12"/>
        <v>0</v>
      </c>
      <c r="Q43" s="26">
        <f t="shared" ca="1" si="12"/>
        <v>0.25103289986996097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0.24449629629629632</v>
      </c>
      <c r="F44" s="7">
        <f ca="1">SUM($E42:F42)/SUM($E41:F41)</f>
        <v>0.27131800000000006</v>
      </c>
      <c r="G44" s="18">
        <f ca="1">SUM($E42:G42)/SUM($E41:G41)</f>
        <v>0.27880254237288132</v>
      </c>
      <c r="H44" s="7">
        <f ca="1">SUM($E42:H42)/SUM($E41:H41)</f>
        <v>0.30131388888888883</v>
      </c>
      <c r="I44" s="7">
        <f ca="1">SUM($E42:I42)/SUM($E41:I41)</f>
        <v>0.28299382022471908</v>
      </c>
      <c r="J44" s="15">
        <f ca="1">SUM($E42:J42)/SUM($E41:J41)</f>
        <v>0.3033115311909263</v>
      </c>
      <c r="K44" s="14">
        <f ca="1">SUM($E42:K42)/SUM($E41:K41)</f>
        <v>0.33316140035906638</v>
      </c>
      <c r="L44" s="7">
        <f ca="1">SUM($E42:L42)/SUM($E41:L41)</f>
        <v>0.32499382504288166</v>
      </c>
      <c r="M44" s="18">
        <f ca="1">SUM($E42:M42)/SUM($E41:M41)</f>
        <v>0.3149172920065253</v>
      </c>
      <c r="N44" s="7">
        <f ca="1">SUM($E42:N42)/SUM($E41:N41)</f>
        <v>0.29929348837209302</v>
      </c>
      <c r="O44" s="7">
        <f ca="1">SUM($E42:O42)/SUM($E41:O41)</f>
        <v>0.27037016806722691</v>
      </c>
      <c r="P44" s="15">
        <f ca="1">SUM($E42:P42)/SUM($E41:P41)</f>
        <v>0.25103289986996097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95"/>
      <c r="K48" s="97"/>
      <c r="L48" s="74"/>
      <c r="M48" s="95"/>
      <c r="N48" s="74"/>
      <c r="O48" s="74"/>
      <c r="P48" s="74"/>
    </row>
    <row r="49" spans="1:16" ht="39" customHeight="1">
      <c r="A49" s="441"/>
      <c r="B49" s="442"/>
      <c r="C49" s="486" t="str">
        <f>A7</f>
        <v>イギリス
VVR</v>
      </c>
      <c r="D49" s="81" t="s">
        <v>34</v>
      </c>
      <c r="E49" s="82"/>
      <c r="F49" s="83"/>
      <c r="G49" s="83"/>
      <c r="H49" s="83"/>
      <c r="I49" s="83"/>
      <c r="J49" s="83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リボン・テープ等</v>
      </c>
      <c r="D51" s="89" t="s">
        <v>33</v>
      </c>
      <c r="E51" s="90"/>
      <c r="F51" s="91"/>
      <c r="G51" s="394"/>
      <c r="H51" s="91"/>
      <c r="I51" s="395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　</v>
      </c>
      <c r="D53" s="81" t="s">
        <v>34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　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74"/>
    </row>
    <row r="57" spans="1:16" ht="39" customHeight="1">
      <c r="A57" s="441"/>
      <c r="B57" s="442"/>
      <c r="C57" s="486" t="str">
        <f>A27</f>
        <v>　</v>
      </c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 t="str">
        <f>B27</f>
        <v>　</v>
      </c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923F7-D546-43E5-B86C-51D5128B13EA}">
  <sheetPr codeName="Sheet14">
    <tabColor theme="5" tint="0.79998168889431442"/>
  </sheetPr>
  <dimension ref="A1:R400"/>
  <sheetViews>
    <sheetView topLeftCell="A10" workbookViewId="0">
      <selection activeCell="G24" sqref="G24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VVR!A7</f>
        <v>イギリス
VVR</v>
      </c>
      <c r="N3" s="180"/>
      <c r="O3" s="180"/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333</v>
      </c>
      <c r="B6" s="163">
        <v>7185</v>
      </c>
      <c r="C6" s="200">
        <v>64986</v>
      </c>
      <c r="D6" s="201">
        <v>0</v>
      </c>
      <c r="E6" s="202" t="s">
        <v>200</v>
      </c>
      <c r="F6" s="200">
        <v>89165</v>
      </c>
      <c r="G6" s="162">
        <v>45814</v>
      </c>
      <c r="H6" s="203" t="s">
        <v>200</v>
      </c>
      <c r="I6" s="186" t="str">
        <f>IF(H6="","",IF(H6="JPY","",IF($H6="USD",4, IF(H6="EUR",7,IF(H6="CNY",47,IF(H6="HKD",34))))))</f>
        <v/>
      </c>
      <c r="J6" s="204" t="str">
        <f>IF($H6="USD",IF(OR($I6="",$I6="-"),"",VLOOKUP($G6,為替!$A:$AX,$I6,FALSE))+$J$3,IF(OR($I6="",$I6="-"),"",VLOOKUP($G6,為替!$A:$AX,$I6,FALSE)))</f>
        <v/>
      </c>
      <c r="K6" s="205">
        <f>IF($H6="JPY",$F6,IF($H6="","",$F6*$J6))</f>
        <v>89165</v>
      </c>
      <c r="L6" s="189" t="str">
        <f>IF(H6="","",IF(H6="JPY","",IF($H6="USD",3, IF(H6="EUR",6,IF(H6="CNY",46,IF(H6="HKD",33))))))</f>
        <v/>
      </c>
      <c r="M6" s="204" t="str">
        <f>IF($H6="USD",IF(OR($L6="",$L6="-"),"",VLOOKUP($G6,為替!$A:$AX,$L6,FALSE))+$K$3,IF(OR($L6="",$L6="-"),"",VLOOKUP($G6,為替!$A:$AX,$L6,FALSE)))</f>
        <v/>
      </c>
      <c r="N6" s="205">
        <f>IF($E6="JPY",($C6+$D6),IF($E6="","",($C6+$D6)*$M6))</f>
        <v>64986</v>
      </c>
      <c r="O6" s="206">
        <f t="shared" ref="O6:O69" si="0">IF(OR(K6="",N6=""),"",K6-N6)</f>
        <v>24179</v>
      </c>
      <c r="P6" s="207">
        <f>IF(OR(K6="",O6=""),"",O6/K6)</f>
        <v>0.2711714237649302</v>
      </c>
    </row>
    <row r="7" spans="1:18">
      <c r="A7" s="163" t="s">
        <v>333</v>
      </c>
      <c r="B7" s="163">
        <v>7218</v>
      </c>
      <c r="C7" s="200">
        <v>122770</v>
      </c>
      <c r="D7" s="201">
        <v>0</v>
      </c>
      <c r="E7" s="202" t="s">
        <v>200</v>
      </c>
      <c r="F7" s="200">
        <v>164605</v>
      </c>
      <c r="G7" s="162">
        <v>45828</v>
      </c>
      <c r="H7" s="203" t="s">
        <v>200</v>
      </c>
      <c r="I7" s="186" t="str">
        <f t="shared" ref="I7:I70" si="1">IF(H7="","",IF(H7="JPY","",IF($H7="USD",4, IF(H7="EUR",7,IF(H7="CNY",47,IF(H7="HKD",34))))))</f>
        <v/>
      </c>
      <c r="J7" s="204" t="str">
        <f>IF($H7="USD",IF(OR($I7="",$I7="-"),"",VLOOKUP($G7,為替!$A:$AX,$I7,FALSE))+$J$3,IF(OR($I7="",$I7="-"),"",VLOOKUP($G7,為替!$A:$AX,$I7,FALSE)))</f>
        <v/>
      </c>
      <c r="K7" s="205">
        <f t="shared" ref="K7:K70" si="2">IF($H7="JPY",$F7,IF($H7="","",$F7*$J7))</f>
        <v>164605</v>
      </c>
      <c r="L7" s="189" t="str">
        <f t="shared" ref="L7:L70" si="3">IF(H7="","",IF(H7="JPY","",IF($H7="USD",3, IF(H7="EUR",6,IF(H7="CNY",46,IF(H7="HKD",33))))))</f>
        <v/>
      </c>
      <c r="M7" s="204" t="str">
        <f>IF($H7="USD",IF(OR($L7="",$L7="-"),"",VLOOKUP($G7,為替!$A:$AX,$L7,FALSE))+$K$3,IF(OR($L7="",$L7="-"),"",VLOOKUP($G7,為替!$A:$AX,$L7,FALSE)))</f>
        <v/>
      </c>
      <c r="N7" s="205">
        <f t="shared" ref="N7:N70" si="4">IF($E7="JPY",($C7+$D7),IF($E7="","",($C7+$D7)*$M7))</f>
        <v>122770</v>
      </c>
      <c r="O7" s="206">
        <f t="shared" si="0"/>
        <v>41835</v>
      </c>
      <c r="P7" s="207">
        <f t="shared" ref="P7:P70" si="5">IF(OR(K7="",O7=""),"",O7/K7)</f>
        <v>0.25415388353938217</v>
      </c>
      <c r="R7" s="208"/>
    </row>
    <row r="8" spans="1:18">
      <c r="A8" s="163" t="s">
        <v>333</v>
      </c>
      <c r="B8" s="163">
        <v>7258</v>
      </c>
      <c r="C8" s="200">
        <v>31891</v>
      </c>
      <c r="D8" s="201">
        <v>0</v>
      </c>
      <c r="E8" s="202" t="s">
        <v>200</v>
      </c>
      <c r="F8" s="200">
        <v>42195</v>
      </c>
      <c r="G8" s="162">
        <v>45842</v>
      </c>
      <c r="H8" s="203" t="s">
        <v>200</v>
      </c>
      <c r="I8" s="186" t="str">
        <f t="shared" si="1"/>
        <v/>
      </c>
      <c r="J8" s="204" t="str">
        <f>IF($H8="USD",IF(OR($I8="",$I8="-"),"",VLOOKUP($G8,為替!$A:$AX,$I8,FALSE))+$J$3,IF(OR($I8="",$I8="-"),"",VLOOKUP($G8,為替!$A:$AX,$I8,FALSE)))</f>
        <v/>
      </c>
      <c r="K8" s="205">
        <f t="shared" si="2"/>
        <v>42195</v>
      </c>
      <c r="L8" s="189" t="str">
        <f t="shared" si="3"/>
        <v/>
      </c>
      <c r="M8" s="204" t="str">
        <f>IF($H8="USD",IF(OR($L8="",$L8="-"),"",VLOOKUP($G8,為替!$A:$AX,$L8,FALSE))+$K$3,IF(OR($L8="",$L8="-"),"",VLOOKUP($G8,為替!$A:$AX,$L8,FALSE)))</f>
        <v/>
      </c>
      <c r="N8" s="205">
        <f t="shared" si="4"/>
        <v>31891</v>
      </c>
      <c r="O8" s="206">
        <f t="shared" si="0"/>
        <v>10304</v>
      </c>
      <c r="P8" s="207">
        <f t="shared" si="5"/>
        <v>0.24419954970968125</v>
      </c>
    </row>
    <row r="9" spans="1:18">
      <c r="A9" s="163" t="s">
        <v>333</v>
      </c>
      <c r="B9" s="163">
        <v>7292</v>
      </c>
      <c r="C9" s="200">
        <v>178714</v>
      </c>
      <c r="D9" s="201">
        <v>0</v>
      </c>
      <c r="E9" s="202" t="s">
        <v>200</v>
      </c>
      <c r="F9" s="200">
        <v>238055</v>
      </c>
      <c r="G9" s="162">
        <v>45856</v>
      </c>
      <c r="H9" s="203" t="s">
        <v>200</v>
      </c>
      <c r="I9" s="186" t="str">
        <f t="shared" si="1"/>
        <v/>
      </c>
      <c r="J9" s="204" t="str">
        <f>IF($H9="USD",IF(OR($I9="",$I9="-"),"",VLOOKUP($G9,為替!$A:$AX,$I9,FALSE))+$J$3,IF(OR($I9="",$I9="-"),"",VLOOKUP($G9,為替!$A:$AX,$I9,FALSE)))</f>
        <v/>
      </c>
      <c r="K9" s="205">
        <f t="shared" si="2"/>
        <v>238055</v>
      </c>
      <c r="L9" s="189" t="str">
        <f t="shared" si="3"/>
        <v/>
      </c>
      <c r="M9" s="204" t="str">
        <f>IF($H9="USD",IF(OR($L9="",$L9="-"),"",VLOOKUP($G9,為替!$A:$AX,$L9,FALSE))+$K$3,IF(OR($L9="",$L9="-"),"",VLOOKUP($G9,為替!$A:$AX,$L9,FALSE)))</f>
        <v/>
      </c>
      <c r="N9" s="205">
        <f t="shared" si="4"/>
        <v>178714</v>
      </c>
      <c r="O9" s="206">
        <f t="shared" si="0"/>
        <v>59341</v>
      </c>
      <c r="P9" s="207">
        <f t="shared" si="5"/>
        <v>0.24927432736132407</v>
      </c>
    </row>
    <row r="10" spans="1:18">
      <c r="A10" s="163" t="s">
        <v>333</v>
      </c>
      <c r="B10" s="163">
        <v>7338</v>
      </c>
      <c r="C10" s="200">
        <v>489985</v>
      </c>
      <c r="D10" s="201">
        <v>0</v>
      </c>
      <c r="E10" s="202" t="s">
        <v>200</v>
      </c>
      <c r="F10" s="200">
        <v>658595</v>
      </c>
      <c r="G10" s="162">
        <v>45870</v>
      </c>
      <c r="H10" s="203" t="s">
        <v>200</v>
      </c>
      <c r="I10" s="186" t="str">
        <f t="shared" si="1"/>
        <v/>
      </c>
      <c r="J10" s="204" t="str">
        <f>IF($H10="USD",IF(OR($I10="",$I10="-"),"",VLOOKUP($G10,為替!$A:$AX,$I10,FALSE))+$J$3,IF(OR($I10="",$I10="-"),"",VLOOKUP($G10,為替!$A:$AX,$I10,FALSE)))</f>
        <v/>
      </c>
      <c r="K10" s="205">
        <f t="shared" si="2"/>
        <v>658595</v>
      </c>
      <c r="L10" s="189" t="str">
        <f t="shared" si="3"/>
        <v/>
      </c>
      <c r="M10" s="204" t="str">
        <f>IF($H10="USD",IF(OR($L10="",$L10="-"),"",VLOOKUP($G10,為替!$A:$AX,$L10,FALSE))+$K$3,IF(OR($L10="",$L10="-"),"",VLOOKUP($G10,為替!$A:$AX,$L10,FALSE)))</f>
        <v/>
      </c>
      <c r="N10" s="205">
        <f t="shared" si="4"/>
        <v>489985</v>
      </c>
      <c r="O10" s="206">
        <f t="shared" si="0"/>
        <v>168610</v>
      </c>
      <c r="P10" s="207">
        <f t="shared" si="5"/>
        <v>0.2560146979554962</v>
      </c>
    </row>
    <row r="11" spans="1:18">
      <c r="A11" s="163" t="s">
        <v>333</v>
      </c>
      <c r="B11" s="163">
        <v>7386</v>
      </c>
      <c r="C11" s="200">
        <v>58427</v>
      </c>
      <c r="D11" s="201">
        <v>0</v>
      </c>
      <c r="E11" s="202" t="s">
        <v>200</v>
      </c>
      <c r="F11" s="200">
        <v>83145</v>
      </c>
      <c r="G11" s="162">
        <v>45891</v>
      </c>
      <c r="H11" s="203" t="s">
        <v>200</v>
      </c>
      <c r="I11" s="186" t="str">
        <f t="shared" si="1"/>
        <v/>
      </c>
      <c r="J11" s="204" t="str">
        <f>IF($H11="USD",IF(OR($I11="",$I11="-"),"",VLOOKUP($G11,為替!$A:$AX,$I11,FALSE))+$J$3,IF(OR($I11="",$I11="-"),"",VLOOKUP($G11,為替!$A:$AX,$I11,FALSE)))</f>
        <v/>
      </c>
      <c r="K11" s="205">
        <f t="shared" si="2"/>
        <v>83145</v>
      </c>
      <c r="L11" s="189" t="str">
        <f t="shared" si="3"/>
        <v/>
      </c>
      <c r="M11" s="204" t="str">
        <f>IF($H11="USD",IF(OR($L11="",$L11="-"),"",VLOOKUP($G11,為替!$A:$AX,$L11,FALSE))+$K$3,IF(OR($L11="",$L11="-"),"",VLOOKUP($G11,為替!$A:$AX,$L11,FALSE)))</f>
        <v/>
      </c>
      <c r="N11" s="205">
        <f t="shared" si="4"/>
        <v>58427</v>
      </c>
      <c r="O11" s="206">
        <f t="shared" si="0"/>
        <v>24718</v>
      </c>
      <c r="P11" s="207">
        <f t="shared" si="5"/>
        <v>0.29728787058752781</v>
      </c>
    </row>
    <row r="12" spans="1:18">
      <c r="A12" s="163" t="s">
        <v>333</v>
      </c>
      <c r="B12" s="163">
        <v>7411</v>
      </c>
      <c r="C12" s="200">
        <v>697976</v>
      </c>
      <c r="D12" s="201">
        <v>0</v>
      </c>
      <c r="E12" s="202" t="s">
        <v>200</v>
      </c>
      <c r="F12" s="200">
        <v>935915</v>
      </c>
      <c r="G12" s="162">
        <v>45905</v>
      </c>
      <c r="H12" s="203" t="s">
        <v>200</v>
      </c>
      <c r="I12" s="186" t="str">
        <f t="shared" si="1"/>
        <v/>
      </c>
      <c r="J12" s="204" t="str">
        <f>IF($H12="USD",IF(OR($I12="",$I12="-"),"",VLOOKUP($G12,為替!$A:$AX,$I12,FALSE))+$J$3,IF(OR($I12="",$I12="-"),"",VLOOKUP($G12,為替!$A:$AX,$I12,FALSE)))</f>
        <v/>
      </c>
      <c r="K12" s="205">
        <f t="shared" si="2"/>
        <v>935915</v>
      </c>
      <c r="L12" s="189" t="str">
        <f t="shared" si="3"/>
        <v/>
      </c>
      <c r="M12" s="204" t="str">
        <f>IF($H12="USD",IF(OR($L12="",$L12="-"),"",VLOOKUP($G12,為替!$A:$AX,$L12,FALSE))+$K$3,IF(OR($L12="",$L12="-"),"",VLOOKUP($G12,為替!$A:$AX,$L12,FALSE)))</f>
        <v/>
      </c>
      <c r="N12" s="205">
        <f t="shared" si="4"/>
        <v>697976</v>
      </c>
      <c r="O12" s="206">
        <f t="shared" si="0"/>
        <v>237939</v>
      </c>
      <c r="P12" s="207">
        <f t="shared" si="5"/>
        <v>0.25423142058840814</v>
      </c>
    </row>
    <row r="13" spans="1:18">
      <c r="A13" s="163" t="s">
        <v>333</v>
      </c>
      <c r="B13" s="163">
        <v>7434</v>
      </c>
      <c r="C13" s="200">
        <v>203908</v>
      </c>
      <c r="D13" s="201">
        <v>0</v>
      </c>
      <c r="E13" s="202" t="s">
        <v>200</v>
      </c>
      <c r="F13" s="200">
        <v>287820</v>
      </c>
      <c r="G13" s="162">
        <v>45922</v>
      </c>
      <c r="H13" s="203" t="s">
        <v>200</v>
      </c>
      <c r="I13" s="186" t="str">
        <f t="shared" si="1"/>
        <v/>
      </c>
      <c r="J13" s="204" t="str">
        <f>IF($H13="USD",IF(OR($I13="",$I13="-"),"",VLOOKUP($G13,為替!$A:$AX,$I13,FALSE))+$J$3,IF(OR($I13="",$I13="-"),"",VLOOKUP($G13,為替!$A:$AX,$I13,FALSE)))</f>
        <v/>
      </c>
      <c r="K13" s="205">
        <f t="shared" si="2"/>
        <v>287820</v>
      </c>
      <c r="L13" s="189" t="str">
        <f t="shared" si="3"/>
        <v/>
      </c>
      <c r="M13" s="204" t="str">
        <f>IF($H13="USD",IF(OR($L13="",$L13="-"),"",VLOOKUP($G13,為替!$A:$AX,$L13,FALSE))+$K$3,IF(OR($L13="",$L13="-"),"",VLOOKUP($G13,為替!$A:$AX,$L13,FALSE)))</f>
        <v/>
      </c>
      <c r="N13" s="205">
        <f t="shared" si="4"/>
        <v>203908</v>
      </c>
      <c r="O13" s="206">
        <f t="shared" si="0"/>
        <v>83912</v>
      </c>
      <c r="P13" s="207">
        <f t="shared" si="5"/>
        <v>0.29154332568966718</v>
      </c>
    </row>
    <row r="14" spans="1:18">
      <c r="A14" s="163" t="s">
        <v>333</v>
      </c>
      <c r="B14" s="163">
        <v>7485</v>
      </c>
      <c r="C14" s="200">
        <v>537280</v>
      </c>
      <c r="D14" s="201">
        <v>0</v>
      </c>
      <c r="E14" s="202" t="s">
        <v>200</v>
      </c>
      <c r="F14" s="200">
        <v>719675</v>
      </c>
      <c r="G14" s="162">
        <v>45931</v>
      </c>
      <c r="H14" s="203" t="s">
        <v>200</v>
      </c>
      <c r="I14" s="186" t="str">
        <f t="shared" si="1"/>
        <v/>
      </c>
      <c r="J14" s="204" t="str">
        <f>IF($H14="USD",IF(OR($I14="",$I14="-"),"",VLOOKUP($G14,為替!$A:$AX,$I14,FALSE))+$J$3,IF(OR($I14="",$I14="-"),"",VLOOKUP($G14,為替!$A:$AX,$I14,FALSE)))</f>
        <v/>
      </c>
      <c r="K14" s="205">
        <f t="shared" si="2"/>
        <v>719675</v>
      </c>
      <c r="L14" s="189" t="str">
        <f t="shared" si="3"/>
        <v/>
      </c>
      <c r="M14" s="204" t="str">
        <f>IF($H14="USD",IF(OR($L14="",$L14="-"),"",VLOOKUP($G14,為替!$A:$AX,$L14,FALSE))+$K$3,IF(OR($L14="",$L14="-"),"",VLOOKUP($G14,為替!$A:$AX,$L14,FALSE)))</f>
        <v/>
      </c>
      <c r="N14" s="205">
        <f t="shared" si="4"/>
        <v>537280</v>
      </c>
      <c r="O14" s="206">
        <f t="shared" si="0"/>
        <v>182395</v>
      </c>
      <c r="P14" s="207">
        <f t="shared" si="5"/>
        <v>0.2534407892451454</v>
      </c>
    </row>
    <row r="15" spans="1:18">
      <c r="A15" s="163" t="s">
        <v>333</v>
      </c>
      <c r="B15" s="163">
        <v>7503</v>
      </c>
      <c r="C15" s="200">
        <v>250333</v>
      </c>
      <c r="D15" s="201">
        <v>0</v>
      </c>
      <c r="E15" s="202" t="s">
        <v>200</v>
      </c>
      <c r="F15" s="200">
        <v>334570</v>
      </c>
      <c r="G15" s="162">
        <v>45940</v>
      </c>
      <c r="H15" s="203" t="s">
        <v>200</v>
      </c>
      <c r="I15" s="186" t="str">
        <f t="shared" si="1"/>
        <v/>
      </c>
      <c r="J15" s="204" t="str">
        <f>IF($H15="USD",IF(OR($I15="",$I15="-"),"",VLOOKUP($G15,為替!$A:$AX,$I15,FALSE))+$J$3,IF(OR($I15="",$I15="-"),"",VLOOKUP($G15,為替!$A:$AX,$I15,FALSE)))</f>
        <v/>
      </c>
      <c r="K15" s="205">
        <f t="shared" si="2"/>
        <v>334570</v>
      </c>
      <c r="L15" s="189" t="str">
        <f t="shared" si="3"/>
        <v/>
      </c>
      <c r="M15" s="204" t="str">
        <f>IF($H15="USD",IF(OR($L15="",$L15="-"),"",VLOOKUP($G15,為替!$A:$AX,$L15,FALSE))+$K$3,IF(OR($L15="",$L15="-"),"",VLOOKUP($G15,為替!$A:$AX,$L15,FALSE)))</f>
        <v/>
      </c>
      <c r="N15" s="205">
        <f t="shared" si="4"/>
        <v>250333</v>
      </c>
      <c r="O15" s="206">
        <f t="shared" si="0"/>
        <v>84237</v>
      </c>
      <c r="P15" s="207">
        <f t="shared" si="5"/>
        <v>0.25177690767253491</v>
      </c>
    </row>
    <row r="16" spans="1:18">
      <c r="A16" s="163" t="s">
        <v>333</v>
      </c>
      <c r="B16" s="163">
        <v>7540</v>
      </c>
      <c r="C16" s="200">
        <v>267852</v>
      </c>
      <c r="D16" s="201">
        <v>0</v>
      </c>
      <c r="E16" s="202" t="s">
        <v>200</v>
      </c>
      <c r="F16" s="200">
        <v>357840</v>
      </c>
      <c r="G16" s="162">
        <v>45954</v>
      </c>
      <c r="H16" s="203" t="s">
        <v>200</v>
      </c>
      <c r="I16" s="186" t="str">
        <f t="shared" si="1"/>
        <v/>
      </c>
      <c r="J16" s="204" t="str">
        <f>IF($H16="USD",IF(OR($I16="",$I16="-"),"",VLOOKUP($G16,為替!$A:$AX,$I16,FALSE))+$J$3,IF(OR($I16="",$I16="-"),"",VLOOKUP($G16,為替!$A:$AX,$I16,FALSE)))</f>
        <v/>
      </c>
      <c r="K16" s="205">
        <f t="shared" si="2"/>
        <v>357840</v>
      </c>
      <c r="L16" s="189" t="str">
        <f t="shared" si="3"/>
        <v/>
      </c>
      <c r="M16" s="204" t="str">
        <f>IF($H16="USD",IF(OR($L16="",$L16="-"),"",VLOOKUP($G16,為替!$A:$AX,$L16,FALSE))+$K$3,IF(OR($L16="",$L16="-"),"",VLOOKUP($G16,為替!$A:$AX,$L16,FALSE)))</f>
        <v/>
      </c>
      <c r="N16" s="205">
        <f t="shared" si="4"/>
        <v>267852</v>
      </c>
      <c r="O16" s="206">
        <f t="shared" si="0"/>
        <v>89988</v>
      </c>
      <c r="P16" s="207">
        <f t="shared" si="5"/>
        <v>0.25147551978537896</v>
      </c>
    </row>
    <row r="17" spans="1:16">
      <c r="A17" s="163" t="s">
        <v>333</v>
      </c>
      <c r="B17" s="163">
        <v>7570</v>
      </c>
      <c r="C17" s="200">
        <v>275205</v>
      </c>
      <c r="D17" s="201">
        <v>0</v>
      </c>
      <c r="E17" s="202" t="s">
        <v>200</v>
      </c>
      <c r="F17" s="200">
        <v>368150</v>
      </c>
      <c r="G17" s="162">
        <v>45968</v>
      </c>
      <c r="H17" s="203" t="s">
        <v>200</v>
      </c>
      <c r="I17" s="186" t="str">
        <f t="shared" si="1"/>
        <v/>
      </c>
      <c r="J17" s="204" t="str">
        <f>IF($H17="USD",IF(OR($I17="",$I17="-"),"",VLOOKUP($G17,為替!$A:$AX,$I17,FALSE))+$J$3,IF(OR($I17="",$I17="-"),"",VLOOKUP($G17,為替!$A:$AX,$I17,FALSE)))</f>
        <v/>
      </c>
      <c r="K17" s="205">
        <f t="shared" si="2"/>
        <v>368150</v>
      </c>
      <c r="L17" s="189" t="str">
        <f t="shared" si="3"/>
        <v/>
      </c>
      <c r="M17" s="204" t="str">
        <f>IF($H17="USD",IF(OR($L17="",$L17="-"),"",VLOOKUP($G17,為替!$A:$AX,$L17,FALSE))+$K$3,IF(OR($L17="",$L17="-"),"",VLOOKUP($G17,為替!$A:$AX,$L17,FALSE)))</f>
        <v/>
      </c>
      <c r="N17" s="205">
        <f t="shared" si="4"/>
        <v>275205</v>
      </c>
      <c r="O17" s="206">
        <f t="shared" si="0"/>
        <v>92945</v>
      </c>
      <c r="P17" s="207">
        <f t="shared" si="5"/>
        <v>0.25246502784191227</v>
      </c>
    </row>
    <row r="18" spans="1:16">
      <c r="A18" s="163" t="s">
        <v>333</v>
      </c>
      <c r="B18" s="163">
        <v>7644</v>
      </c>
      <c r="C18" s="200">
        <v>1497480</v>
      </c>
      <c r="D18" s="201">
        <v>0</v>
      </c>
      <c r="E18" s="202" t="s">
        <v>200</v>
      </c>
      <c r="F18" s="200">
        <v>2001595</v>
      </c>
      <c r="G18" s="162">
        <v>45982</v>
      </c>
      <c r="H18" s="203" t="s">
        <v>200</v>
      </c>
      <c r="I18" s="186" t="str">
        <f t="shared" si="1"/>
        <v/>
      </c>
      <c r="J18" s="204" t="str">
        <f>IF($H18="USD",IF(OR($I18="",$I18="-"),"",VLOOKUP($G18,為替!$A:$AX,$I18,FALSE))+$J$3,IF(OR($I18="",$I18="-"),"",VLOOKUP($G18,為替!$A:$AX,$I18,FALSE)))</f>
        <v/>
      </c>
      <c r="K18" s="205">
        <f t="shared" si="2"/>
        <v>2001595</v>
      </c>
      <c r="L18" s="189" t="str">
        <f t="shared" si="3"/>
        <v/>
      </c>
      <c r="M18" s="204" t="str">
        <f>IF($H18="USD",IF(OR($L18="",$L18="-"),"",VLOOKUP($G18,為替!$A:$AX,$L18,FALSE))+$K$3,IF(OR($L18="",$L18="-"),"",VLOOKUP($G18,為替!$A:$AX,$L18,FALSE)))</f>
        <v/>
      </c>
      <c r="N18" s="205">
        <f t="shared" si="4"/>
        <v>1497480</v>
      </c>
      <c r="O18" s="206">
        <f t="shared" si="0"/>
        <v>504115</v>
      </c>
      <c r="P18" s="207">
        <f t="shared" si="5"/>
        <v>0.2518566443261499</v>
      </c>
    </row>
    <row r="19" spans="1:16">
      <c r="A19" s="163" t="s">
        <v>333</v>
      </c>
      <c r="B19" s="163">
        <v>7693</v>
      </c>
      <c r="C19" s="200">
        <v>564004</v>
      </c>
      <c r="D19" s="201">
        <v>0</v>
      </c>
      <c r="E19" s="202" t="s">
        <v>200</v>
      </c>
      <c r="F19" s="200">
        <v>761550</v>
      </c>
      <c r="G19" s="162">
        <v>46000</v>
      </c>
      <c r="H19" s="203" t="s">
        <v>200</v>
      </c>
      <c r="I19" s="186" t="str">
        <f t="shared" si="1"/>
        <v/>
      </c>
      <c r="J19" s="204" t="str">
        <f>IF($H19="USD",IF(OR($I19="",$I19="-"),"",VLOOKUP($G19,為替!$A:$AX,$I19,FALSE))+$J$3,IF(OR($I19="",$I19="-"),"",VLOOKUP($G19,為替!$A:$AX,$I19,FALSE)))</f>
        <v/>
      </c>
      <c r="K19" s="205">
        <f t="shared" si="2"/>
        <v>761550</v>
      </c>
      <c r="L19" s="189" t="str">
        <f t="shared" si="3"/>
        <v/>
      </c>
      <c r="M19" s="204" t="str">
        <f>IF($H19="USD",IF(OR($L19="",$L19="-"),"",VLOOKUP($G19,為替!$A:$AX,$L19,FALSE))+$K$3,IF(OR($L19="",$L19="-"),"",VLOOKUP($G19,為替!$A:$AX,$L19,FALSE)))</f>
        <v/>
      </c>
      <c r="N19" s="205">
        <f t="shared" si="4"/>
        <v>564004</v>
      </c>
      <c r="O19" s="206">
        <f t="shared" si="0"/>
        <v>197546</v>
      </c>
      <c r="P19" s="207">
        <f t="shared" si="5"/>
        <v>0.25939990808220076</v>
      </c>
    </row>
    <row r="20" spans="1:16">
      <c r="A20" s="163" t="s">
        <v>333</v>
      </c>
      <c r="B20" s="163">
        <v>7726</v>
      </c>
      <c r="C20" s="200">
        <v>133980</v>
      </c>
      <c r="D20" s="201">
        <v>0</v>
      </c>
      <c r="E20" s="202" t="s">
        <v>200</v>
      </c>
      <c r="F20" s="200">
        <v>187625</v>
      </c>
      <c r="G20" s="162">
        <v>46014</v>
      </c>
      <c r="H20" s="203" t="s">
        <v>200</v>
      </c>
      <c r="I20" s="186" t="str">
        <f t="shared" si="1"/>
        <v/>
      </c>
      <c r="J20" s="204" t="str">
        <f>IF($H20="USD",IF(OR($I20="",$I20="-"),"",VLOOKUP($G20,為替!$A:$AX,$I20,FALSE))+$J$3,IF(OR($I20="",$I20="-"),"",VLOOKUP($G20,為替!$A:$AX,$I20,FALSE)))</f>
        <v/>
      </c>
      <c r="K20" s="205">
        <f t="shared" si="2"/>
        <v>187625</v>
      </c>
      <c r="L20" s="189" t="str">
        <f t="shared" si="3"/>
        <v/>
      </c>
      <c r="M20" s="204" t="str">
        <f>IF($H20="USD",IF(OR($L20="",$L20="-"),"",VLOOKUP($G20,為替!$A:$AX,$L20,FALSE))+$K$3,IF(OR($L20="",$L20="-"),"",VLOOKUP($G20,為替!$A:$AX,$L20,FALSE)))</f>
        <v/>
      </c>
      <c r="N20" s="205">
        <f t="shared" si="4"/>
        <v>133980</v>
      </c>
      <c r="O20" s="206">
        <f t="shared" si="0"/>
        <v>53645</v>
      </c>
      <c r="P20" s="207">
        <f t="shared" si="5"/>
        <v>0.28591605596269154</v>
      </c>
    </row>
    <row r="21" spans="1:16">
      <c r="A21" s="163" t="s">
        <v>333</v>
      </c>
      <c r="B21" s="163">
        <v>7752</v>
      </c>
      <c r="C21" s="200">
        <v>24572</v>
      </c>
      <c r="D21" s="201">
        <v>0</v>
      </c>
      <c r="E21" s="202" t="s">
        <v>200</v>
      </c>
      <c r="F21" s="200">
        <v>32780</v>
      </c>
      <c r="G21" s="162">
        <v>46036</v>
      </c>
      <c r="H21" s="203" t="s">
        <v>200</v>
      </c>
      <c r="I21" s="186" t="str">
        <f t="shared" si="1"/>
        <v/>
      </c>
      <c r="J21" s="204" t="str">
        <f>IF($H21="USD",IF(OR($I21="",$I21="-"),"",VLOOKUP($G21,為替!$A:$AX,$I21,FALSE))+$J$3,IF(OR($I21="",$I21="-"),"",VLOOKUP($G21,為替!$A:$AX,$I21,FALSE)))</f>
        <v/>
      </c>
      <c r="K21" s="205">
        <f t="shared" si="2"/>
        <v>32780</v>
      </c>
      <c r="L21" s="189" t="str">
        <f t="shared" si="3"/>
        <v/>
      </c>
      <c r="M21" s="204" t="str">
        <f>IF($H21="USD",IF(OR($L21="",$L21="-"),"",VLOOKUP($G21,為替!$A:$AX,$L21,FALSE))+$K$3,IF(OR($L21="",$L21="-"),"",VLOOKUP($G21,為替!$A:$AX,$L21,FALSE)))</f>
        <v/>
      </c>
      <c r="N21" s="205">
        <f t="shared" si="4"/>
        <v>24572</v>
      </c>
      <c r="O21" s="206">
        <f t="shared" si="0"/>
        <v>8208</v>
      </c>
      <c r="P21" s="207">
        <f t="shared" si="5"/>
        <v>0.25039658328248932</v>
      </c>
    </row>
    <row r="22" spans="1:16">
      <c r="A22" s="163" t="s">
        <v>333</v>
      </c>
      <c r="B22" s="163">
        <v>7809</v>
      </c>
      <c r="C22" s="200">
        <v>91363</v>
      </c>
      <c r="D22" s="201">
        <v>0</v>
      </c>
      <c r="E22" s="202" t="s">
        <v>200</v>
      </c>
      <c r="F22" s="200">
        <v>122160</v>
      </c>
      <c r="G22" s="162">
        <v>46049</v>
      </c>
      <c r="H22" s="203" t="s">
        <v>200</v>
      </c>
      <c r="I22" s="186" t="str">
        <f t="shared" si="1"/>
        <v/>
      </c>
      <c r="J22" s="204" t="str">
        <f>IF($H22="USD",IF(OR($I22="",$I22="-"),"",VLOOKUP($G22,為替!$A:$AX,$I22,FALSE))+$J$3,IF(OR($I22="",$I22="-"),"",VLOOKUP($G22,為替!$A:$AX,$I22,FALSE)))</f>
        <v/>
      </c>
      <c r="K22" s="205">
        <f t="shared" si="2"/>
        <v>122160</v>
      </c>
      <c r="L22" s="189" t="str">
        <f t="shared" si="3"/>
        <v/>
      </c>
      <c r="M22" s="204" t="str">
        <f>IF($H22="USD",IF(OR($L22="",$L22="-"),"",VLOOKUP($G22,為替!$A:$AX,$L22,FALSE))+$K$3,IF(OR($L22="",$L22="-"),"",VLOOKUP($G22,為替!$A:$AX,$L22,FALSE)))</f>
        <v/>
      </c>
      <c r="N22" s="205">
        <f t="shared" si="4"/>
        <v>91363</v>
      </c>
      <c r="O22" s="206">
        <f t="shared" si="0"/>
        <v>30797</v>
      </c>
      <c r="P22" s="207">
        <f t="shared" si="5"/>
        <v>0.252103798297315</v>
      </c>
    </row>
    <row r="23" spans="1:16">
      <c r="A23" s="163" t="s">
        <v>333</v>
      </c>
      <c r="B23" s="163">
        <v>7840</v>
      </c>
      <c r="C23" s="200">
        <v>31810</v>
      </c>
      <c r="D23" s="201">
        <v>0</v>
      </c>
      <c r="E23" s="202" t="s">
        <v>200</v>
      </c>
      <c r="F23" s="200">
        <v>44625</v>
      </c>
      <c r="G23" s="162">
        <v>46059</v>
      </c>
      <c r="H23" s="203" t="s">
        <v>200</v>
      </c>
      <c r="I23" s="186" t="str">
        <f t="shared" si="1"/>
        <v/>
      </c>
      <c r="J23" s="204" t="str">
        <f>IF($H23="USD",IF(OR($I23="",$I23="-"),"",VLOOKUP($G23,為替!$A:$AX,$I23,FALSE))+$J$3,IF(OR($I23="",$I23="-"),"",VLOOKUP($G23,為替!$A:$AX,$I23,FALSE)))</f>
        <v/>
      </c>
      <c r="K23" s="205">
        <f t="shared" si="2"/>
        <v>44625</v>
      </c>
      <c r="L23" s="189" t="str">
        <f t="shared" si="3"/>
        <v/>
      </c>
      <c r="M23" s="204" t="str">
        <f>IF($H23="USD",IF(OR($L23="",$L23="-"),"",VLOOKUP($G23,為替!$A:$AX,$L23,FALSE))+$K$3,IF(OR($L23="",$L23="-"),"",VLOOKUP($G23,為替!$A:$AX,$L23,FALSE)))</f>
        <v/>
      </c>
      <c r="N23" s="205">
        <f t="shared" si="4"/>
        <v>31810</v>
      </c>
      <c r="O23" s="206">
        <f t="shared" si="0"/>
        <v>12815</v>
      </c>
      <c r="P23" s="207">
        <f t="shared" si="5"/>
        <v>0.28717086834733896</v>
      </c>
    </row>
    <row r="24" spans="1:16">
      <c r="A24" s="163" t="s">
        <v>333</v>
      </c>
      <c r="B24" s="163">
        <v>7880</v>
      </c>
      <c r="C24" s="200">
        <v>69346</v>
      </c>
      <c r="D24" s="201">
        <v>0</v>
      </c>
      <c r="E24" s="202" t="s">
        <v>200</v>
      </c>
      <c r="F24" s="200">
        <v>92260</v>
      </c>
      <c r="G24" s="162">
        <v>46073</v>
      </c>
      <c r="H24" s="203" t="s">
        <v>200</v>
      </c>
      <c r="I24" s="186" t="str">
        <f t="shared" si="1"/>
        <v/>
      </c>
      <c r="J24" s="204" t="str">
        <f>IF($H24="USD",IF(OR($I24="",$I24="-"),"",VLOOKUP($G24,為替!$A:$AX,$I24,FALSE))+$J$3,IF(OR($I24="",$I24="-"),"",VLOOKUP($G24,為替!$A:$AX,$I24,FALSE)))</f>
        <v/>
      </c>
      <c r="K24" s="205">
        <f t="shared" si="2"/>
        <v>92260</v>
      </c>
      <c r="L24" s="189" t="str">
        <f t="shared" si="3"/>
        <v/>
      </c>
      <c r="M24" s="204" t="str">
        <f>IF($H24="USD",IF(OR($L24="",$L24="-"),"",VLOOKUP($G24,為替!$A:$AX,$L24,FALSE))+$K$3,IF(OR($L24="",$L24="-"),"",VLOOKUP($G24,為替!$A:$AX,$L24,FALSE)))</f>
        <v/>
      </c>
      <c r="N24" s="205">
        <f t="shared" si="4"/>
        <v>69346</v>
      </c>
      <c r="O24" s="206">
        <f t="shared" si="0"/>
        <v>22914</v>
      </c>
      <c r="P24" s="207">
        <f t="shared" si="5"/>
        <v>0.24836332104920875</v>
      </c>
    </row>
    <row r="25" spans="1:16">
      <c r="C25" s="200"/>
      <c r="D25" s="201"/>
      <c r="E25" s="202"/>
      <c r="F25" s="200"/>
      <c r="H25" s="203"/>
      <c r="I25" s="186" t="str">
        <f t="shared" si="1"/>
        <v/>
      </c>
      <c r="J25" s="204" t="str">
        <f>IF($H25="USD",IF(OR($I25="",$I25="-"),"",VLOOKUP($G25,為替!$A:$AX,$I25,FALSE))+$J$3,IF(OR($I25="",$I25="-"),"",VLOOKUP($G25,為替!$A:$AX,$I25,FALSE)))</f>
        <v/>
      </c>
      <c r="K25" s="205" t="str">
        <f t="shared" si="2"/>
        <v/>
      </c>
      <c r="L25" s="189" t="str">
        <f t="shared" si="3"/>
        <v/>
      </c>
      <c r="M25" s="204" t="str">
        <f>IF($H25="USD",IF(OR($L25="",$L25="-"),"",VLOOKUP($G25,為替!$A:$AX,$L25,FALSE))+$K$3,IF(OR($L25="",$L25="-"),"",VLOOKUP($G25,為替!$A:$AX,$L25,FALSE)))</f>
        <v/>
      </c>
      <c r="N25" s="205" t="str">
        <f t="shared" si="4"/>
        <v/>
      </c>
      <c r="O25" s="206" t="str">
        <f t="shared" si="0"/>
        <v/>
      </c>
      <c r="P25" s="207" t="str">
        <f t="shared" si="5"/>
        <v/>
      </c>
    </row>
    <row r="26" spans="1:16">
      <c r="C26" s="200"/>
      <c r="D26" s="201"/>
      <c r="E26" s="202"/>
      <c r="F26" s="200"/>
      <c r="H26" s="203"/>
      <c r="I26" s="186" t="str">
        <f t="shared" si="1"/>
        <v/>
      </c>
      <c r="J26" s="204" t="str">
        <f>IF($H26="USD",IF(OR($I26="",$I26="-"),"",VLOOKUP($G26,為替!$A:$AX,$I26,FALSE))+$J$3,IF(OR($I26="",$I26="-"),"",VLOOKUP($G26,為替!$A:$AX,$I26,FALSE)))</f>
        <v/>
      </c>
      <c r="K26" s="205" t="str">
        <f t="shared" si="2"/>
        <v/>
      </c>
      <c r="L26" s="189" t="str">
        <f t="shared" si="3"/>
        <v/>
      </c>
      <c r="M26" s="204" t="str">
        <f>IF($H26="USD",IF(OR($L26="",$L26="-"),"",VLOOKUP($G26,為替!$A:$AX,$L26,FALSE))+$K$3,IF(OR($L26="",$L26="-"),"",VLOOKUP($G26,為替!$A:$AX,$L26,FALSE)))</f>
        <v/>
      </c>
      <c r="N26" s="205" t="str">
        <f t="shared" si="4"/>
        <v/>
      </c>
      <c r="O26" s="206" t="str">
        <f t="shared" si="0"/>
        <v/>
      </c>
      <c r="P26" s="207" t="str">
        <f t="shared" si="5"/>
        <v/>
      </c>
    </row>
    <row r="27" spans="1:16">
      <c r="C27" s="200"/>
      <c r="D27" s="201"/>
      <c r="E27" s="202"/>
      <c r="F27" s="200"/>
      <c r="H27" s="203"/>
      <c r="I27" s="186" t="str">
        <f t="shared" si="1"/>
        <v/>
      </c>
      <c r="J27" s="204" t="str">
        <f>IF($H27="USD",IF(OR($I27="",$I27="-"),"",VLOOKUP($G27,為替!$A:$AX,$I27,FALSE))+$J$3,IF(OR($I27="",$I27="-"),"",VLOOKUP($G27,為替!$A:$AX,$I27,FALSE)))</f>
        <v/>
      </c>
      <c r="K27" s="205" t="str">
        <f t="shared" si="2"/>
        <v/>
      </c>
      <c r="L27" s="189" t="str">
        <f t="shared" si="3"/>
        <v/>
      </c>
      <c r="M27" s="204" t="str">
        <f>IF($H27="USD",IF(OR($L27="",$L27="-"),"",VLOOKUP($G27,為替!$A:$AX,$L27,FALSE))+$K$3,IF(OR($L27="",$L27="-"),"",VLOOKUP($G27,為替!$A:$AX,$L27,FALSE)))</f>
        <v/>
      </c>
      <c r="N27" s="205" t="str">
        <f t="shared" si="4"/>
        <v/>
      </c>
      <c r="O27" s="206" t="str">
        <f t="shared" si="0"/>
        <v/>
      </c>
      <c r="P27" s="207" t="str">
        <f t="shared" si="5"/>
        <v/>
      </c>
    </row>
    <row r="28" spans="1:16">
      <c r="C28" s="200"/>
      <c r="D28" s="201"/>
      <c r="E28" s="202"/>
      <c r="F28" s="200"/>
      <c r="H28" s="203"/>
      <c r="I28" s="186" t="str">
        <f t="shared" si="1"/>
        <v/>
      </c>
      <c r="J28" s="204" t="str">
        <f>IF($H28="USD",IF(OR($I28="",$I28="-"),"",VLOOKUP($G28,為替!$A:$AX,$I28,FALSE))+$J$3,IF(OR($I28="",$I28="-"),"",VLOOKUP($G28,為替!$A:$AX,$I28,FALSE)))</f>
        <v/>
      </c>
      <c r="K28" s="205" t="str">
        <f t="shared" si="2"/>
        <v/>
      </c>
      <c r="L28" s="189" t="str">
        <f t="shared" si="3"/>
        <v/>
      </c>
      <c r="M28" s="204" t="str">
        <f>IF($H28="USD",IF(OR($L28="",$L28="-"),"",VLOOKUP($G28,為替!$A:$AX,$L28,FALSE))+$K$3,IF(OR($L28="",$L28="-"),"",VLOOKUP($G28,為替!$A:$AX,$L28,FALSE)))</f>
        <v/>
      </c>
      <c r="N28" s="205" t="str">
        <f t="shared" si="4"/>
        <v/>
      </c>
      <c r="O28" s="206" t="str">
        <f t="shared" si="0"/>
        <v/>
      </c>
      <c r="P28" s="207" t="str">
        <f t="shared" si="5"/>
        <v/>
      </c>
    </row>
    <row r="29" spans="1:16">
      <c r="C29" s="200"/>
      <c r="D29" s="201"/>
      <c r="E29" s="202"/>
      <c r="F29" s="200"/>
      <c r="H29" s="203"/>
      <c r="I29" s="186" t="str">
        <f t="shared" si="1"/>
        <v/>
      </c>
      <c r="J29" s="204" t="str">
        <f>IF($H29="USD",IF(OR($I29="",$I29="-"),"",VLOOKUP($G29,為替!$A:$AX,$I29,FALSE))+$J$3,IF(OR($I29="",$I29="-"),"",VLOOKUP($G29,為替!$A:$AX,$I29,FALSE)))</f>
        <v/>
      </c>
      <c r="K29" s="205" t="str">
        <f t="shared" si="2"/>
        <v/>
      </c>
      <c r="L29" s="189" t="str">
        <f t="shared" si="3"/>
        <v/>
      </c>
      <c r="M29" s="204" t="str">
        <f>IF($H29="USD",IF(OR($L29="",$L29="-"),"",VLOOKUP($G29,為替!$A:$AX,$L29,FALSE))+$K$3,IF(OR($L29="",$L29="-"),"",VLOOKUP($G29,為替!$A:$AX,$L29,FALSE)))</f>
        <v/>
      </c>
      <c r="N29" s="205" t="str">
        <f t="shared" si="4"/>
        <v/>
      </c>
      <c r="O29" s="206" t="str">
        <f t="shared" si="0"/>
        <v/>
      </c>
      <c r="P29" s="207" t="str">
        <f t="shared" si="5"/>
        <v/>
      </c>
    </row>
    <row r="30" spans="1:16">
      <c r="C30" s="200"/>
      <c r="D30" s="201"/>
      <c r="E30" s="202"/>
      <c r="F30" s="200"/>
      <c r="H30" s="203"/>
      <c r="I30" s="186" t="str">
        <f t="shared" si="1"/>
        <v/>
      </c>
      <c r="J30" s="204" t="str">
        <f>IF($H30="USD",IF(OR($I30="",$I30="-"),"",VLOOKUP($G30,為替!$A:$AX,$I30,FALSE))+$J$3,IF(OR($I30="",$I30="-"),"",VLOOKUP($G30,為替!$A:$AX,$I30,FALSE)))</f>
        <v/>
      </c>
      <c r="K30" s="205" t="str">
        <f t="shared" si="2"/>
        <v/>
      </c>
      <c r="L30" s="189" t="str">
        <f t="shared" si="3"/>
        <v/>
      </c>
      <c r="M30" s="204" t="str">
        <f>IF($H30="USD",IF(OR($L30="",$L30="-"),"",VLOOKUP($G30,為替!$A:$AX,$L30,FALSE))+$K$3,IF(OR($L30="",$L30="-"),"",VLOOKUP($G30,為替!$A:$AX,$L30,FALSE)))</f>
        <v/>
      </c>
      <c r="N30" s="205" t="str">
        <f t="shared" si="4"/>
        <v/>
      </c>
      <c r="O30" s="206" t="str">
        <f t="shared" si="0"/>
        <v/>
      </c>
      <c r="P30" s="207" t="str">
        <f t="shared" si="5"/>
        <v/>
      </c>
    </row>
    <row r="31" spans="1:16">
      <c r="C31" s="200"/>
      <c r="D31" s="201"/>
      <c r="E31" s="202"/>
      <c r="F31" s="200"/>
      <c r="H31" s="203"/>
      <c r="I31" s="186" t="str">
        <f t="shared" si="1"/>
        <v/>
      </c>
      <c r="J31" s="204" t="str">
        <f>IF($H31="USD",IF(OR($I31="",$I31="-"),"",VLOOKUP($G31,為替!$A:$AX,$I31,FALSE))+$J$3,IF(OR($I31="",$I31="-"),"",VLOOKUP($G31,為替!$A:$AX,$I31,FALSE)))</f>
        <v/>
      </c>
      <c r="K31" s="205" t="str">
        <f t="shared" si="2"/>
        <v/>
      </c>
      <c r="L31" s="189" t="str">
        <f t="shared" si="3"/>
        <v/>
      </c>
      <c r="M31" s="204" t="str">
        <f>IF($H31="USD",IF(OR($L31="",$L31="-"),"",VLOOKUP($G31,為替!$A:$AX,$L31,FALSE))+$K$3,IF(OR($L31="",$L31="-"),"",VLOOKUP($G31,為替!$A:$AX,$L31,FALSE)))</f>
        <v/>
      </c>
      <c r="N31" s="205" t="str">
        <f t="shared" si="4"/>
        <v/>
      </c>
      <c r="O31" s="206" t="str">
        <f t="shared" si="0"/>
        <v/>
      </c>
      <c r="P31" s="207" t="str">
        <f t="shared" si="5"/>
        <v/>
      </c>
    </row>
    <row r="32" spans="1:16">
      <c r="C32" s="200"/>
      <c r="D32" s="201"/>
      <c r="E32" s="202"/>
      <c r="F32" s="200"/>
      <c r="H32" s="203"/>
      <c r="I32" s="186" t="str">
        <f t="shared" si="1"/>
        <v/>
      </c>
      <c r="J32" s="204" t="str">
        <f>IF($H32="USD",IF(OR($I32="",$I32="-"),"",VLOOKUP($G32,為替!$A:$AX,$I32,FALSE))+$J$3,IF(OR($I32="",$I32="-"),"",VLOOKUP($G32,為替!$A:$AX,$I32,FALSE)))</f>
        <v/>
      </c>
      <c r="K32" s="205" t="str">
        <f t="shared" si="2"/>
        <v/>
      </c>
      <c r="L32" s="189" t="str">
        <f t="shared" si="3"/>
        <v/>
      </c>
      <c r="M32" s="204" t="str">
        <f>IF($H32="USD",IF(OR($L32="",$L32="-"),"",VLOOKUP($G32,為替!$A:$AX,$L32,FALSE))+$K$3,IF(OR($L32="",$L32="-"),"",VLOOKUP($G32,為替!$A:$AX,$L32,FALSE)))</f>
        <v/>
      </c>
      <c r="N32" s="205" t="str">
        <f t="shared" si="4"/>
        <v/>
      </c>
      <c r="O32" s="206" t="str">
        <f t="shared" si="0"/>
        <v/>
      </c>
      <c r="P32" s="207" t="str">
        <f t="shared" si="5"/>
        <v/>
      </c>
    </row>
    <row r="33" spans="3:16">
      <c r="C33" s="200"/>
      <c r="D33" s="201"/>
      <c r="E33" s="202"/>
      <c r="F33" s="200"/>
      <c r="H33" s="203"/>
      <c r="I33" s="186" t="str">
        <f t="shared" si="1"/>
        <v/>
      </c>
      <c r="J33" s="204" t="str">
        <f>IF($H33="USD",IF(OR($I33="",$I33="-"),"",VLOOKUP($G33,為替!$A:$AX,$I33,FALSE))+$J$3,IF(OR($I33="",$I33="-"),"",VLOOKUP($G33,為替!$A:$AX,$I33,FALSE)))</f>
        <v/>
      </c>
      <c r="K33" s="205" t="str">
        <f t="shared" si="2"/>
        <v/>
      </c>
      <c r="L33" s="189" t="str">
        <f t="shared" si="3"/>
        <v/>
      </c>
      <c r="M33" s="204" t="str">
        <f>IF($H33="USD",IF(OR($L33="",$L33="-"),"",VLOOKUP($G33,為替!$A:$AX,$L33,FALSE))+$K$3,IF(OR($L33="",$L33="-"),"",VLOOKUP($G33,為替!$A:$AX,$L33,FALSE)))</f>
        <v/>
      </c>
      <c r="N33" s="205" t="str">
        <f t="shared" si="4"/>
        <v/>
      </c>
      <c r="O33" s="206" t="str">
        <f t="shared" si="0"/>
        <v/>
      </c>
      <c r="P33" s="207" t="str">
        <f t="shared" si="5"/>
        <v/>
      </c>
    </row>
    <row r="34" spans="3:16">
      <c r="C34" s="200"/>
      <c r="D34" s="201"/>
      <c r="E34" s="202"/>
      <c r="F34" s="200"/>
      <c r="H34" s="203"/>
      <c r="I34" s="186" t="str">
        <f t="shared" si="1"/>
        <v/>
      </c>
      <c r="J34" s="204" t="str">
        <f>IF($H34="USD",IF(OR($I34="",$I34="-"),"",VLOOKUP($G34,為替!$A:$AX,$I34,FALSE))+$J$3,IF(OR($I34="",$I34="-"),"",VLOOKUP($G34,為替!$A:$AX,$I34,FALSE)))</f>
        <v/>
      </c>
      <c r="K34" s="205" t="str">
        <f t="shared" si="2"/>
        <v/>
      </c>
      <c r="L34" s="189" t="str">
        <f t="shared" si="3"/>
        <v/>
      </c>
      <c r="M34" s="204" t="str">
        <f>IF($H34="USD",IF(OR($L34="",$L34="-"),"",VLOOKUP($G34,為替!$A:$AX,$L34,FALSE))+$K$3,IF(OR($L34="",$L34="-"),"",VLOOKUP($G34,為替!$A:$AX,$L34,FALSE)))</f>
        <v/>
      </c>
      <c r="N34" s="205" t="str">
        <f t="shared" si="4"/>
        <v/>
      </c>
      <c r="O34" s="206" t="str">
        <f t="shared" si="0"/>
        <v/>
      </c>
      <c r="P34" s="207" t="str">
        <f t="shared" si="5"/>
        <v/>
      </c>
    </row>
    <row r="35" spans="3:16">
      <c r="C35" s="200"/>
      <c r="D35" s="201"/>
      <c r="E35" s="202"/>
      <c r="F35" s="200"/>
      <c r="H35" s="203"/>
      <c r="I35" s="186" t="str">
        <f t="shared" si="1"/>
        <v/>
      </c>
      <c r="J35" s="204" t="str">
        <f>IF($H35="USD",IF(OR($I35="",$I35="-"),"",VLOOKUP($G35,為替!$A:$AX,$I35,FALSE))+$J$3,IF(OR($I35="",$I35="-"),"",VLOOKUP($G35,為替!$A:$AX,$I35,FALSE)))</f>
        <v/>
      </c>
      <c r="K35" s="205" t="str">
        <f t="shared" si="2"/>
        <v/>
      </c>
      <c r="L35" s="189" t="str">
        <f t="shared" si="3"/>
        <v/>
      </c>
      <c r="M35" s="204" t="str">
        <f>IF($H35="USD",IF(OR($L35="",$L35="-"),"",VLOOKUP($G35,為替!$A:$AX,$L35,FALSE))+$K$3,IF(OR($L35="",$L35="-"),"",VLOOKUP($G35,為替!$A:$AX,$L35,FALSE)))</f>
        <v/>
      </c>
      <c r="N35" s="205" t="str">
        <f t="shared" si="4"/>
        <v/>
      </c>
      <c r="O35" s="206" t="str">
        <f t="shared" si="0"/>
        <v/>
      </c>
      <c r="P35" s="207" t="str">
        <f t="shared" si="5"/>
        <v/>
      </c>
    </row>
    <row r="36" spans="3:16">
      <c r="C36" s="200"/>
      <c r="D36" s="201"/>
      <c r="E36" s="202"/>
      <c r="F36" s="200"/>
      <c r="H36" s="203"/>
      <c r="I36" s="186" t="str">
        <f t="shared" si="1"/>
        <v/>
      </c>
      <c r="J36" s="204" t="str">
        <f>IF($H36="USD",IF(OR($I36="",$I36="-"),"",VLOOKUP($G36,為替!$A:$AX,$I36,FALSE))+$J$3,IF(OR($I36="",$I36="-"),"",VLOOKUP($G36,為替!$A:$AX,$I36,FALSE)))</f>
        <v/>
      </c>
      <c r="K36" s="205" t="str">
        <f t="shared" si="2"/>
        <v/>
      </c>
      <c r="L36" s="189" t="str">
        <f t="shared" si="3"/>
        <v/>
      </c>
      <c r="M36" s="204" t="str">
        <f>IF($H36="USD",IF(OR($L36="",$L36="-"),"",VLOOKUP($G36,為替!$A:$AX,$L36,FALSE))+$K$3,IF(OR($L36="",$L36="-"),"",VLOOKUP($G36,為替!$A:$AX,$L36,FALSE)))</f>
        <v/>
      </c>
      <c r="N36" s="205" t="str">
        <f t="shared" si="4"/>
        <v/>
      </c>
      <c r="O36" s="206" t="str">
        <f t="shared" si="0"/>
        <v/>
      </c>
      <c r="P36" s="207" t="str">
        <f t="shared" si="5"/>
        <v/>
      </c>
    </row>
    <row r="37" spans="3:16">
      <c r="C37" s="200"/>
      <c r="D37" s="201"/>
      <c r="E37" s="202"/>
      <c r="F37" s="200"/>
      <c r="H37" s="203"/>
      <c r="I37" s="186" t="str">
        <f t="shared" si="1"/>
        <v/>
      </c>
      <c r="J37" s="204" t="str">
        <f>IF($H37="USD",IF(OR($I37="",$I37="-"),"",VLOOKUP($G37,為替!$A:$AX,$I37,FALSE))+$J$3,IF(OR($I37="",$I37="-"),"",VLOOKUP($G37,為替!$A:$AX,$I37,FALSE)))</f>
        <v/>
      </c>
      <c r="K37" s="205" t="str">
        <f t="shared" si="2"/>
        <v/>
      </c>
      <c r="L37" s="189" t="str">
        <f t="shared" si="3"/>
        <v/>
      </c>
      <c r="M37" s="204" t="str">
        <f>IF($H37="USD",IF(OR($L37="",$L37="-"),"",VLOOKUP($G37,為替!$A:$AX,$L37,FALSE))+$K$3,IF(OR($L37="",$L37="-"),"",VLOOKUP($G37,為替!$A:$AX,$L37,FALSE)))</f>
        <v/>
      </c>
      <c r="N37" s="205" t="str">
        <f t="shared" si="4"/>
        <v/>
      </c>
      <c r="O37" s="206" t="str">
        <f t="shared" si="0"/>
        <v/>
      </c>
      <c r="P37" s="207" t="str">
        <f t="shared" si="5"/>
        <v/>
      </c>
    </row>
    <row r="38" spans="3:16">
      <c r="C38" s="200"/>
      <c r="D38" s="201"/>
      <c r="E38" s="202"/>
      <c r="F38" s="200"/>
      <c r="H38" s="203"/>
      <c r="I38" s="186" t="str">
        <f t="shared" si="1"/>
        <v/>
      </c>
      <c r="J38" s="204" t="str">
        <f>IF($H38="USD",IF(OR($I38="",$I38="-"),"",VLOOKUP($G38,為替!$A:$AX,$I38,FALSE))+$J$3,IF(OR($I38="",$I38="-"),"",VLOOKUP($G38,為替!$A:$AX,$I38,FALSE)))</f>
        <v/>
      </c>
      <c r="K38" s="205" t="str">
        <f t="shared" si="2"/>
        <v/>
      </c>
      <c r="L38" s="189" t="str">
        <f t="shared" si="3"/>
        <v/>
      </c>
      <c r="M38" s="204" t="str">
        <f>IF($H38="USD",IF(OR($L38="",$L38="-"),"",VLOOKUP($G38,為替!$A:$AX,$L38,FALSE))+$K$3,IF(OR($L38="",$L38="-"),"",VLOOKUP($G38,為替!$A:$AX,$L38,FALSE)))</f>
        <v/>
      </c>
      <c r="N38" s="205" t="str">
        <f t="shared" si="4"/>
        <v/>
      </c>
      <c r="O38" s="206" t="str">
        <f t="shared" si="0"/>
        <v/>
      </c>
      <c r="P38" s="207" t="str">
        <f t="shared" si="5"/>
        <v/>
      </c>
    </row>
    <row r="39" spans="3:16">
      <c r="C39" s="200"/>
      <c r="D39" s="201"/>
      <c r="E39" s="202"/>
      <c r="F39" s="200"/>
      <c r="H39" s="203"/>
      <c r="I39" s="186" t="str">
        <f t="shared" si="1"/>
        <v/>
      </c>
      <c r="J39" s="204" t="str">
        <f>IF($H39="USD",IF(OR($I39="",$I39="-"),"",VLOOKUP($G39,為替!$A:$AX,$I39,FALSE))+$J$3,IF(OR($I39="",$I39="-"),"",VLOOKUP($G39,為替!$A:$AX,$I39,FALSE)))</f>
        <v/>
      </c>
      <c r="K39" s="205" t="str">
        <f t="shared" si="2"/>
        <v/>
      </c>
      <c r="L39" s="189" t="str">
        <f t="shared" si="3"/>
        <v/>
      </c>
      <c r="M39" s="204" t="str">
        <f>IF($H39="USD",IF(OR($L39="",$L39="-"),"",VLOOKUP($G39,為替!$A:$AX,$L39,FALSE))+$K$3,IF(OR($L39="",$L39="-"),"",VLOOKUP($G39,為替!$A:$AX,$L39,FALSE)))</f>
        <v/>
      </c>
      <c r="N39" s="205" t="str">
        <f t="shared" si="4"/>
        <v/>
      </c>
      <c r="O39" s="206" t="str">
        <f t="shared" si="0"/>
        <v/>
      </c>
      <c r="P39" s="207" t="str">
        <f t="shared" si="5"/>
        <v/>
      </c>
    </row>
    <row r="40" spans="3:16">
      <c r="C40" s="200"/>
      <c r="D40" s="201"/>
      <c r="E40" s="202"/>
      <c r="F40" s="200"/>
      <c r="H40" s="203"/>
      <c r="I40" s="186" t="str">
        <f t="shared" si="1"/>
        <v/>
      </c>
      <c r="J40" s="204" t="str">
        <f>IF($H40="USD",IF(OR($I40="",$I40="-"),"",VLOOKUP($G40,為替!$A:$AX,$I40,FALSE))+$J$3,IF(OR($I40="",$I40="-"),"",VLOOKUP($G40,為替!$A:$AX,$I40,FALSE)))</f>
        <v/>
      </c>
      <c r="K40" s="205" t="str">
        <f t="shared" si="2"/>
        <v/>
      </c>
      <c r="L40" s="189" t="str">
        <f t="shared" si="3"/>
        <v/>
      </c>
      <c r="M40" s="204" t="str">
        <f>IF($H40="USD",IF(OR($L40="",$L40="-"),"",VLOOKUP($G40,為替!$A:$AX,$L40,FALSE))+$K$3,IF(OR($L40="",$L40="-"),"",VLOOKUP($G40,為替!$A:$AX,$L40,FALSE)))</f>
        <v/>
      </c>
      <c r="N40" s="205" t="str">
        <f t="shared" si="4"/>
        <v/>
      </c>
      <c r="O40" s="206" t="str">
        <f t="shared" si="0"/>
        <v/>
      </c>
      <c r="P40" s="207" t="str">
        <f t="shared" si="5"/>
        <v/>
      </c>
    </row>
    <row r="41" spans="3:16">
      <c r="C41" s="200"/>
      <c r="D41" s="201"/>
      <c r="E41" s="202"/>
      <c r="F41" s="200"/>
      <c r="H41" s="203"/>
      <c r="I41" s="186" t="str">
        <f t="shared" si="1"/>
        <v/>
      </c>
      <c r="J41" s="204" t="str">
        <f>IF($H41="USD",IF(OR($I41="",$I41="-"),"",VLOOKUP($G41,為替!$A:$AX,$I41,FALSE))+$J$3,IF(OR($I41="",$I41="-"),"",VLOOKUP($G41,為替!$A:$AX,$I41,FALSE)))</f>
        <v/>
      </c>
      <c r="K41" s="205" t="str">
        <f t="shared" si="2"/>
        <v/>
      </c>
      <c r="L41" s="189" t="str">
        <f t="shared" si="3"/>
        <v/>
      </c>
      <c r="M41" s="204" t="str">
        <f>IF($H41="USD",IF(OR($L41="",$L41="-"),"",VLOOKUP($G41,為替!$A:$AX,$L41,FALSE))+$K$3,IF(OR($L41="",$L41="-"),"",VLOOKUP($G41,為替!$A:$AX,$L41,FALSE)))</f>
        <v/>
      </c>
      <c r="N41" s="205" t="str">
        <f t="shared" si="4"/>
        <v/>
      </c>
      <c r="O41" s="206" t="str">
        <f t="shared" si="0"/>
        <v/>
      </c>
      <c r="P41" s="207" t="str">
        <f t="shared" si="5"/>
        <v/>
      </c>
    </row>
    <row r="42" spans="3:16">
      <c r="C42" s="200"/>
      <c r="D42" s="201"/>
      <c r="E42" s="202"/>
      <c r="F42" s="200"/>
      <c r="H42" s="203"/>
      <c r="I42" s="186" t="str">
        <f t="shared" si="1"/>
        <v/>
      </c>
      <c r="J42" s="204" t="str">
        <f>IF($H42="USD",IF(OR($I42="",$I42="-"),"",VLOOKUP($G42,為替!$A:$AX,$I42,FALSE))+$J$3,IF(OR($I42="",$I42="-"),"",VLOOKUP($G42,為替!$A:$AX,$I42,FALSE)))</f>
        <v/>
      </c>
      <c r="K42" s="205" t="str">
        <f t="shared" si="2"/>
        <v/>
      </c>
      <c r="L42" s="189" t="str">
        <f t="shared" si="3"/>
        <v/>
      </c>
      <c r="M42" s="204" t="str">
        <f>IF($H42="USD",IF(OR($L42="",$L42="-"),"",VLOOKUP($G42,為替!$A:$AX,$L42,FALSE))+$K$3,IF(OR($L42="",$L42="-"),"",VLOOKUP($G42,為替!$A:$AX,$L42,FALSE)))</f>
        <v/>
      </c>
      <c r="N42" s="205" t="str">
        <f t="shared" si="4"/>
        <v/>
      </c>
      <c r="O42" s="206" t="str">
        <f t="shared" si="0"/>
        <v/>
      </c>
      <c r="P42" s="207" t="str">
        <f t="shared" si="5"/>
        <v/>
      </c>
    </row>
    <row r="43" spans="3:16">
      <c r="C43" s="200"/>
      <c r="D43" s="201"/>
      <c r="E43" s="202"/>
      <c r="F43" s="200"/>
      <c r="H43" s="203"/>
      <c r="I43" s="186" t="str">
        <f t="shared" si="1"/>
        <v/>
      </c>
      <c r="J43" s="204" t="str">
        <f>IF($H43="USD",IF(OR($I43="",$I43="-"),"",VLOOKUP($G43,為替!$A:$AX,$I43,FALSE))+$J$3,IF(OR($I43="",$I43="-"),"",VLOOKUP($G43,為替!$A:$AX,$I43,FALSE)))</f>
        <v/>
      </c>
      <c r="K43" s="205" t="str">
        <f t="shared" si="2"/>
        <v/>
      </c>
      <c r="L43" s="189" t="str">
        <f t="shared" si="3"/>
        <v/>
      </c>
      <c r="M43" s="204" t="str">
        <f>IF($H43="USD",IF(OR($L43="",$L43="-"),"",VLOOKUP($G43,為替!$A:$AX,$L43,FALSE))+$K$3,IF(OR($L43="",$L43="-"),"",VLOOKUP($G43,為替!$A:$AX,$L43,FALSE)))</f>
        <v/>
      </c>
      <c r="N43" s="205" t="str">
        <f t="shared" si="4"/>
        <v/>
      </c>
      <c r="O43" s="206" t="str">
        <f t="shared" si="0"/>
        <v/>
      </c>
      <c r="P43" s="207" t="str">
        <f t="shared" si="5"/>
        <v/>
      </c>
    </row>
    <row r="44" spans="3:16">
      <c r="C44" s="200"/>
      <c r="D44" s="201"/>
      <c r="E44" s="202"/>
      <c r="F44" s="200"/>
      <c r="H44" s="203"/>
      <c r="I44" s="186" t="str">
        <f t="shared" si="1"/>
        <v/>
      </c>
      <c r="J44" s="204" t="str">
        <f>IF($H44="USD",IF(OR($I44="",$I44="-"),"",VLOOKUP($G44,為替!$A:$AX,$I44,FALSE))+$J$3,IF(OR($I44="",$I44="-"),"",VLOOKUP($G44,為替!$A:$AX,$I44,FALSE)))</f>
        <v/>
      </c>
      <c r="K44" s="205" t="str">
        <f t="shared" si="2"/>
        <v/>
      </c>
      <c r="L44" s="189" t="str">
        <f t="shared" si="3"/>
        <v/>
      </c>
      <c r="M44" s="204" t="str">
        <f>IF($H44="USD",IF(OR($L44="",$L44="-"),"",VLOOKUP($G44,為替!$A:$AX,$L44,FALSE))+$K$3,IF(OR($L44="",$L44="-"),"",VLOOKUP($G44,為替!$A:$AX,$L44,FALSE)))</f>
        <v/>
      </c>
      <c r="N44" s="205" t="str">
        <f t="shared" si="4"/>
        <v/>
      </c>
      <c r="O44" s="206" t="str">
        <f t="shared" si="0"/>
        <v/>
      </c>
      <c r="P44" s="207" t="str">
        <f t="shared" si="5"/>
        <v/>
      </c>
    </row>
    <row r="45" spans="3:16">
      <c r="C45" s="200"/>
      <c r="D45" s="201"/>
      <c r="E45" s="202"/>
      <c r="F45" s="200"/>
      <c r="H45" s="203"/>
      <c r="I45" s="186" t="str">
        <f t="shared" si="1"/>
        <v/>
      </c>
      <c r="J45" s="204" t="str">
        <f>IF($H45="USD",IF(OR($I45="",$I45="-"),"",VLOOKUP($G45,為替!$A:$AX,$I45,FALSE))+$J$3,IF(OR($I45="",$I45="-"),"",VLOOKUP($G45,為替!$A:$AX,$I45,FALSE)))</f>
        <v/>
      </c>
      <c r="K45" s="205" t="str">
        <f t="shared" si="2"/>
        <v/>
      </c>
      <c r="L45" s="189" t="str">
        <f t="shared" si="3"/>
        <v/>
      </c>
      <c r="M45" s="204" t="str">
        <f>IF($H45="USD",IF(OR($L45="",$L45="-"),"",VLOOKUP($G45,為替!$A:$AX,$L45,FALSE))+$K$3,IF(OR($L45="",$L45="-"),"",VLOOKUP($G45,為替!$A:$AX,$L45,FALSE)))</f>
        <v/>
      </c>
      <c r="N45" s="205" t="str">
        <f t="shared" si="4"/>
        <v/>
      </c>
      <c r="O45" s="206" t="str">
        <f t="shared" si="0"/>
        <v/>
      </c>
      <c r="P45" s="207" t="str">
        <f t="shared" si="5"/>
        <v/>
      </c>
    </row>
    <row r="46" spans="3:16">
      <c r="C46" s="200"/>
      <c r="D46" s="201"/>
      <c r="E46" s="202"/>
      <c r="F46" s="200"/>
      <c r="H46" s="203"/>
      <c r="I46" s="186" t="str">
        <f t="shared" si="1"/>
        <v/>
      </c>
      <c r="J46" s="204" t="str">
        <f>IF($H46="USD",IF(OR($I46="",$I46="-"),"",VLOOKUP($G46,為替!$A:$AX,$I46,FALSE))+$J$3,IF(OR($I46="",$I46="-"),"",VLOOKUP($G46,為替!$A:$AX,$I46,FALSE)))</f>
        <v/>
      </c>
      <c r="K46" s="205" t="str">
        <f t="shared" si="2"/>
        <v/>
      </c>
      <c r="L46" s="189" t="str">
        <f t="shared" si="3"/>
        <v/>
      </c>
      <c r="M46" s="204" t="str">
        <f>IF($H46="USD",IF(OR($L46="",$L46="-"),"",VLOOKUP($G46,為替!$A:$AX,$L46,FALSE))+$K$3,IF(OR($L46="",$L46="-"),"",VLOOKUP($G46,為替!$A:$AX,$L46,FALSE)))</f>
        <v/>
      </c>
      <c r="N46" s="205" t="str">
        <f t="shared" si="4"/>
        <v/>
      </c>
      <c r="O46" s="206" t="str">
        <f t="shared" si="0"/>
        <v/>
      </c>
      <c r="P46" s="207" t="str">
        <f t="shared" si="5"/>
        <v/>
      </c>
    </row>
    <row r="47" spans="3:16">
      <c r="C47" s="200"/>
      <c r="D47" s="201"/>
      <c r="E47" s="202"/>
      <c r="F47" s="200"/>
      <c r="H47" s="203"/>
      <c r="I47" s="186" t="str">
        <f t="shared" si="1"/>
        <v/>
      </c>
      <c r="J47" s="204" t="str">
        <f>IF($H47="USD",IF(OR($I47="",$I47="-"),"",VLOOKUP($G47,為替!$A:$AX,$I47,FALSE))+$J$3,IF(OR($I47="",$I47="-"),"",VLOOKUP($G47,為替!$A:$AX,$I47,FALSE)))</f>
        <v/>
      </c>
      <c r="K47" s="205" t="str">
        <f t="shared" si="2"/>
        <v/>
      </c>
      <c r="L47" s="189" t="str">
        <f t="shared" si="3"/>
        <v/>
      </c>
      <c r="M47" s="204" t="str">
        <f>IF($H47="USD",IF(OR($L47="",$L47="-"),"",VLOOKUP($G47,為替!$A:$AX,$L47,FALSE))+$K$3,IF(OR($L47="",$L47="-"),"",VLOOKUP($G47,為替!$A:$AX,$L47,FALSE)))</f>
        <v/>
      </c>
      <c r="N47" s="205" t="str">
        <f t="shared" si="4"/>
        <v/>
      </c>
      <c r="O47" s="206" t="str">
        <f t="shared" si="0"/>
        <v/>
      </c>
      <c r="P47" s="207" t="str">
        <f t="shared" si="5"/>
        <v/>
      </c>
    </row>
    <row r="48" spans="3:16">
      <c r="C48" s="200"/>
      <c r="D48" s="201"/>
      <c r="E48" s="202"/>
      <c r="F48" s="200"/>
      <c r="H48" s="203"/>
      <c r="I48" s="186" t="str">
        <f t="shared" si="1"/>
        <v/>
      </c>
      <c r="J48" s="204" t="str">
        <f>IF($H48="USD",IF(OR($I48="",$I48="-"),"",VLOOKUP($G48,為替!$A:$AX,$I48,FALSE))+$J$3,IF(OR($I48="",$I48="-"),"",VLOOKUP($G48,為替!$A:$AX,$I48,FALSE)))</f>
        <v/>
      </c>
      <c r="K48" s="205" t="str">
        <f t="shared" si="2"/>
        <v/>
      </c>
      <c r="L48" s="189" t="str">
        <f t="shared" si="3"/>
        <v/>
      </c>
      <c r="M48" s="204" t="str">
        <f>IF($H48="USD",IF(OR($L48="",$L48="-"),"",VLOOKUP($G48,為替!$A:$AX,$L48,FALSE))+$K$3,IF(OR($L48="",$L48="-"),"",VLOOKUP($G48,為替!$A:$AX,$L48,FALSE)))</f>
        <v/>
      </c>
      <c r="N48" s="205" t="str">
        <f t="shared" si="4"/>
        <v/>
      </c>
      <c r="O48" s="206" t="str">
        <f t="shared" si="0"/>
        <v/>
      </c>
      <c r="P48" s="207" t="str">
        <f t="shared" si="5"/>
        <v/>
      </c>
    </row>
    <row r="49" spans="3:16">
      <c r="C49" s="200"/>
      <c r="D49" s="201"/>
      <c r="E49" s="202"/>
      <c r="F49" s="200"/>
      <c r="H49" s="203"/>
      <c r="I49" s="186" t="str">
        <f t="shared" si="1"/>
        <v/>
      </c>
      <c r="J49" s="204" t="str">
        <f>IF($H49="USD",IF(OR($I49="",$I49="-"),"",VLOOKUP($G49,為替!$A:$AX,$I49,FALSE))+$J$3,IF(OR($I49="",$I49="-"),"",VLOOKUP($G49,為替!$A:$AX,$I49,FALSE)))</f>
        <v/>
      </c>
      <c r="K49" s="205" t="str">
        <f t="shared" si="2"/>
        <v/>
      </c>
      <c r="L49" s="189" t="str">
        <f t="shared" si="3"/>
        <v/>
      </c>
      <c r="M49" s="204" t="str">
        <f>IF($H49="USD",IF(OR($L49="",$L49="-"),"",VLOOKUP($G49,為替!$A:$AX,$L49,FALSE))+$K$3,IF(OR($L49="",$L49="-"),"",VLOOKUP($G49,為替!$A:$AX,$L49,FALSE)))</f>
        <v/>
      </c>
      <c r="N49" s="205" t="str">
        <f t="shared" si="4"/>
        <v/>
      </c>
      <c r="O49" s="206" t="str">
        <f t="shared" si="0"/>
        <v/>
      </c>
      <c r="P49" s="207" t="str">
        <f t="shared" si="5"/>
        <v/>
      </c>
    </row>
    <row r="50" spans="3:16">
      <c r="C50" s="200"/>
      <c r="D50" s="201"/>
      <c r="E50" s="202"/>
      <c r="F50" s="200"/>
      <c r="H50" s="203"/>
      <c r="I50" s="186" t="str">
        <f t="shared" si="1"/>
        <v/>
      </c>
      <c r="J50" s="204" t="str">
        <f>IF($H50="USD",IF(OR($I50="",$I50="-"),"",VLOOKUP($G50,為替!$A:$AX,$I50,FALSE))+$J$3,IF(OR($I50="",$I50="-"),"",VLOOKUP($G50,為替!$A:$AX,$I50,FALSE)))</f>
        <v/>
      </c>
      <c r="K50" s="205" t="str">
        <f t="shared" si="2"/>
        <v/>
      </c>
      <c r="L50" s="189" t="str">
        <f t="shared" si="3"/>
        <v/>
      </c>
      <c r="M50" s="204" t="str">
        <f>IF($H50="USD",IF(OR($L50="",$L50="-"),"",VLOOKUP($G50,為替!$A:$AX,$L50,FALSE))+$K$3,IF(OR($L50="",$L50="-"),"",VLOOKUP($G50,為替!$A:$AX,$L50,FALSE)))</f>
        <v/>
      </c>
      <c r="N50" s="205" t="str">
        <f t="shared" si="4"/>
        <v/>
      </c>
      <c r="O50" s="206" t="str">
        <f t="shared" si="0"/>
        <v/>
      </c>
      <c r="P50" s="207" t="str">
        <f t="shared" si="5"/>
        <v/>
      </c>
    </row>
    <row r="51" spans="3:16">
      <c r="C51" s="200"/>
      <c r="D51" s="201"/>
      <c r="E51" s="202"/>
      <c r="F51" s="200"/>
      <c r="H51" s="203"/>
      <c r="I51" s="186" t="str">
        <f t="shared" si="1"/>
        <v/>
      </c>
      <c r="J51" s="204" t="str">
        <f>IF($H51="USD",IF(OR($I51="",$I51="-"),"",VLOOKUP($G51,為替!$A:$AX,$I51,FALSE))+$J$3,IF(OR($I51="",$I51="-"),"",VLOOKUP($G51,為替!$A:$AX,$I51,FALSE)))</f>
        <v/>
      </c>
      <c r="K51" s="205" t="str">
        <f t="shared" si="2"/>
        <v/>
      </c>
      <c r="L51" s="189" t="str">
        <f t="shared" si="3"/>
        <v/>
      </c>
      <c r="M51" s="204" t="str">
        <f>IF($H51="USD",IF(OR($L51="",$L51="-"),"",VLOOKUP($G51,為替!$A:$AX,$L51,FALSE))+$K$3,IF(OR($L51="",$L51="-"),"",VLOOKUP($G51,為替!$A:$AX,$L51,FALSE)))</f>
        <v/>
      </c>
      <c r="N51" s="205" t="str">
        <f t="shared" si="4"/>
        <v/>
      </c>
      <c r="O51" s="206" t="str">
        <f t="shared" si="0"/>
        <v/>
      </c>
      <c r="P51" s="207" t="str">
        <f t="shared" si="5"/>
        <v/>
      </c>
    </row>
    <row r="52" spans="3:16">
      <c r="C52" s="200"/>
      <c r="D52" s="201"/>
      <c r="E52" s="202"/>
      <c r="F52" s="200"/>
      <c r="H52" s="203"/>
      <c r="I52" s="186" t="str">
        <f t="shared" si="1"/>
        <v/>
      </c>
      <c r="J52" s="204" t="str">
        <f>IF($H52="USD",IF(OR($I52="",$I52="-"),"",VLOOKUP($G52,為替!$A:$AX,$I52,FALSE))+$J$3,IF(OR($I52="",$I52="-"),"",VLOOKUP($G52,為替!$A:$AX,$I52,FALSE)))</f>
        <v/>
      </c>
      <c r="K52" s="205" t="str">
        <f t="shared" si="2"/>
        <v/>
      </c>
      <c r="L52" s="189" t="str">
        <f t="shared" si="3"/>
        <v/>
      </c>
      <c r="M52" s="204" t="str">
        <f>IF($H52="USD",IF(OR($L52="",$L52="-"),"",VLOOKUP($G52,為替!$A:$AX,$L52,FALSE))+$K$3,IF(OR($L52="",$L52="-"),"",VLOOKUP($G52,為替!$A:$AX,$L52,FALSE)))</f>
        <v/>
      </c>
      <c r="N52" s="205" t="str">
        <f t="shared" si="4"/>
        <v/>
      </c>
      <c r="O52" s="206" t="str">
        <f t="shared" si="0"/>
        <v/>
      </c>
      <c r="P52" s="207" t="str">
        <f t="shared" si="5"/>
        <v/>
      </c>
    </row>
    <row r="53" spans="3:16">
      <c r="C53" s="200"/>
      <c r="D53" s="201"/>
      <c r="E53" s="202"/>
      <c r="F53" s="200"/>
      <c r="H53" s="203"/>
      <c r="I53" s="186" t="str">
        <f t="shared" si="1"/>
        <v/>
      </c>
      <c r="J53" s="204" t="str">
        <f>IF($H53="USD",IF(OR($I53="",$I53="-"),"",VLOOKUP($G53,為替!$A:$AX,$I53,FALSE))+$J$3,IF(OR($I53="",$I53="-"),"",VLOOKUP($G53,為替!$A:$AX,$I53,FALSE)))</f>
        <v/>
      </c>
      <c r="K53" s="205" t="str">
        <f t="shared" si="2"/>
        <v/>
      </c>
      <c r="L53" s="189" t="str">
        <f t="shared" si="3"/>
        <v/>
      </c>
      <c r="M53" s="204" t="str">
        <f>IF($H53="USD",IF(OR($L53="",$L53="-"),"",VLOOKUP($G53,為替!$A:$AX,$L53,FALSE))+$K$3,IF(OR($L53="",$L53="-"),"",VLOOKUP($G53,為替!$A:$AX,$L53,FALSE)))</f>
        <v/>
      </c>
      <c r="N53" s="205" t="str">
        <f t="shared" si="4"/>
        <v/>
      </c>
      <c r="O53" s="206" t="str">
        <f t="shared" si="0"/>
        <v/>
      </c>
      <c r="P53" s="207" t="str">
        <f t="shared" si="5"/>
        <v/>
      </c>
    </row>
    <row r="54" spans="3:16">
      <c r="C54" s="200"/>
      <c r="D54" s="201"/>
      <c r="E54" s="202"/>
      <c r="F54" s="200"/>
      <c r="H54" s="203"/>
      <c r="I54" s="186" t="str">
        <f t="shared" si="1"/>
        <v/>
      </c>
      <c r="J54" s="204" t="str">
        <f>IF($H54="USD",IF(OR($I54="",$I54="-"),"",VLOOKUP($G54,為替!$A:$AX,$I54,FALSE))+$J$3,IF(OR($I54="",$I54="-"),"",VLOOKUP($G54,為替!$A:$AX,$I54,FALSE)))</f>
        <v/>
      </c>
      <c r="K54" s="205" t="str">
        <f t="shared" si="2"/>
        <v/>
      </c>
      <c r="L54" s="189" t="str">
        <f t="shared" si="3"/>
        <v/>
      </c>
      <c r="M54" s="204" t="str">
        <f>IF($H54="USD",IF(OR($L54="",$L54="-"),"",VLOOKUP($G54,為替!$A:$AX,$L54,FALSE))+$K$3,IF(OR($L54="",$L54="-"),"",VLOOKUP($G54,為替!$A:$AX,$L54,FALSE)))</f>
        <v/>
      </c>
      <c r="N54" s="205" t="str">
        <f t="shared" si="4"/>
        <v/>
      </c>
      <c r="O54" s="206" t="str">
        <f t="shared" si="0"/>
        <v/>
      </c>
      <c r="P54" s="207" t="str">
        <f t="shared" si="5"/>
        <v/>
      </c>
    </row>
    <row r="55" spans="3:16">
      <c r="C55" s="200"/>
      <c r="D55" s="201"/>
      <c r="E55" s="202"/>
      <c r="F55" s="200"/>
      <c r="H55" s="203"/>
      <c r="I55" s="186" t="str">
        <f t="shared" si="1"/>
        <v/>
      </c>
      <c r="J55" s="204" t="str">
        <f>IF($H55="USD",IF(OR($I55="",$I55="-"),"",VLOOKUP($G55,為替!$A:$AX,$I55,FALSE))+$J$3,IF(OR($I55="",$I55="-"),"",VLOOKUP($G55,為替!$A:$AX,$I55,FALSE)))</f>
        <v/>
      </c>
      <c r="K55" s="205" t="str">
        <f t="shared" si="2"/>
        <v/>
      </c>
      <c r="L55" s="189" t="str">
        <f t="shared" si="3"/>
        <v/>
      </c>
      <c r="M55" s="204" t="str">
        <f>IF($H55="USD",IF(OR($L55="",$L55="-"),"",VLOOKUP($G55,為替!$A:$AX,$L55,FALSE))+$K$3,IF(OR($L55="",$L55="-"),"",VLOOKUP($G55,為替!$A:$AX,$L55,FALSE)))</f>
        <v/>
      </c>
      <c r="N55" s="205" t="str">
        <f t="shared" si="4"/>
        <v/>
      </c>
      <c r="O55" s="206" t="str">
        <f t="shared" si="0"/>
        <v/>
      </c>
      <c r="P55" s="207" t="str">
        <f t="shared" si="5"/>
        <v/>
      </c>
    </row>
    <row r="56" spans="3:16">
      <c r="C56" s="200"/>
      <c r="D56" s="201"/>
      <c r="E56" s="202"/>
      <c r="F56" s="200"/>
      <c r="H56" s="203"/>
      <c r="I56" s="186" t="str">
        <f t="shared" si="1"/>
        <v/>
      </c>
      <c r="J56" s="204" t="str">
        <f>IF($H56="USD",IF(OR($I56="",$I56="-"),"",VLOOKUP($G56,為替!$A:$AX,$I56,FALSE))+$J$3,IF(OR($I56="",$I56="-"),"",VLOOKUP($G56,為替!$A:$AX,$I56,FALSE)))</f>
        <v/>
      </c>
      <c r="K56" s="205" t="str">
        <f t="shared" si="2"/>
        <v/>
      </c>
      <c r="L56" s="189" t="str">
        <f t="shared" si="3"/>
        <v/>
      </c>
      <c r="M56" s="204" t="str">
        <f>IF($H56="USD",IF(OR($L56="",$L56="-"),"",VLOOKUP($G56,為替!$A:$AX,$L56,FALSE))+$K$3,IF(OR($L56="",$L56="-"),"",VLOOKUP($G56,為替!$A:$AX,$L56,FALSE)))</f>
        <v/>
      </c>
      <c r="N56" s="205" t="str">
        <f t="shared" si="4"/>
        <v/>
      </c>
      <c r="O56" s="206" t="str">
        <f t="shared" si="0"/>
        <v/>
      </c>
      <c r="P56" s="207" t="str">
        <f t="shared" si="5"/>
        <v/>
      </c>
    </row>
    <row r="57" spans="3:16">
      <c r="C57" s="200"/>
      <c r="D57" s="201"/>
      <c r="E57" s="202"/>
      <c r="F57" s="200"/>
      <c r="H57" s="203"/>
      <c r="I57" s="186" t="str">
        <f t="shared" si="1"/>
        <v/>
      </c>
      <c r="J57" s="204" t="str">
        <f>IF($H57="USD",IF(OR($I57="",$I57="-"),"",VLOOKUP($G57,為替!$A:$AX,$I57,FALSE))+$J$3,IF(OR($I57="",$I57="-"),"",VLOOKUP($G57,為替!$A:$AX,$I57,FALSE)))</f>
        <v/>
      </c>
      <c r="K57" s="205" t="str">
        <f t="shared" si="2"/>
        <v/>
      </c>
      <c r="L57" s="189" t="str">
        <f t="shared" si="3"/>
        <v/>
      </c>
      <c r="M57" s="204" t="str">
        <f>IF($H57="USD",IF(OR($L57="",$L57="-"),"",VLOOKUP($G57,為替!$A:$AX,$L57,FALSE))+$K$3,IF(OR($L57="",$L57="-"),"",VLOOKUP($G57,為替!$A:$AX,$L57,FALSE)))</f>
        <v/>
      </c>
      <c r="N57" s="205" t="str">
        <f t="shared" si="4"/>
        <v/>
      </c>
      <c r="O57" s="206" t="str">
        <f t="shared" si="0"/>
        <v/>
      </c>
      <c r="P57" s="207" t="str">
        <f t="shared" si="5"/>
        <v/>
      </c>
    </row>
    <row r="58" spans="3:16">
      <c r="C58" s="200"/>
      <c r="D58" s="201"/>
      <c r="E58" s="202"/>
      <c r="F58" s="200"/>
      <c r="H58" s="203"/>
      <c r="I58" s="186" t="str">
        <f t="shared" si="1"/>
        <v/>
      </c>
      <c r="J58" s="204" t="str">
        <f>IF($H58="USD",IF(OR($I58="",$I58="-"),"",VLOOKUP($G58,為替!$A:$AX,$I58,FALSE))+$J$3,IF(OR($I58="",$I58="-"),"",VLOOKUP($G58,為替!$A:$AX,$I58,FALSE)))</f>
        <v/>
      </c>
      <c r="K58" s="205" t="str">
        <f t="shared" si="2"/>
        <v/>
      </c>
      <c r="L58" s="189" t="str">
        <f t="shared" si="3"/>
        <v/>
      </c>
      <c r="M58" s="204" t="str">
        <f>IF($H58="USD",IF(OR($L58="",$L58="-"),"",VLOOKUP($G58,為替!$A:$AX,$L58,FALSE))+$K$3,IF(OR($L58="",$L58="-"),"",VLOOKUP($G58,為替!$A:$AX,$L58,FALSE)))</f>
        <v/>
      </c>
      <c r="N58" s="205" t="str">
        <f t="shared" si="4"/>
        <v/>
      </c>
      <c r="O58" s="206" t="str">
        <f t="shared" si="0"/>
        <v/>
      </c>
      <c r="P58" s="207" t="str">
        <f t="shared" si="5"/>
        <v/>
      </c>
    </row>
    <row r="59" spans="3:16">
      <c r="C59" s="200"/>
      <c r="D59" s="201"/>
      <c r="E59" s="202"/>
      <c r="F59" s="200"/>
      <c r="H59" s="203"/>
      <c r="I59" s="186" t="str">
        <f t="shared" si="1"/>
        <v/>
      </c>
      <c r="J59" s="204" t="str">
        <f>IF($H59="USD",IF(OR($I59="",$I59="-"),"",VLOOKUP($G59,為替!$A:$AX,$I59,FALSE))+$J$3,IF(OR($I59="",$I59="-"),"",VLOOKUP($G59,為替!$A:$AX,$I59,FALSE)))</f>
        <v/>
      </c>
      <c r="K59" s="205" t="str">
        <f t="shared" si="2"/>
        <v/>
      </c>
      <c r="L59" s="189" t="str">
        <f t="shared" si="3"/>
        <v/>
      </c>
      <c r="M59" s="204" t="str">
        <f>IF($H59="USD",IF(OR($L59="",$L59="-"),"",VLOOKUP($G59,為替!$A:$AX,$L59,FALSE))+$K$3,IF(OR($L59="",$L59="-"),"",VLOOKUP($G59,為替!$A:$AX,$L59,FALSE)))</f>
        <v/>
      </c>
      <c r="N59" s="205" t="str">
        <f t="shared" si="4"/>
        <v/>
      </c>
      <c r="O59" s="206" t="str">
        <f t="shared" si="0"/>
        <v/>
      </c>
      <c r="P59" s="207" t="str">
        <f t="shared" si="5"/>
        <v/>
      </c>
    </row>
    <row r="60" spans="3:16">
      <c r="C60" s="200"/>
      <c r="D60" s="201"/>
      <c r="E60" s="202"/>
      <c r="F60" s="200"/>
      <c r="H60" s="203"/>
      <c r="I60" s="186" t="str">
        <f t="shared" si="1"/>
        <v/>
      </c>
      <c r="J60" s="204" t="str">
        <f>IF($H60="USD",IF(OR($I60="",$I60="-"),"",VLOOKUP($G60,為替!$A:$AX,$I60,FALSE))+$J$3,IF(OR($I60="",$I60="-"),"",VLOOKUP($G60,為替!$A:$AX,$I60,FALSE)))</f>
        <v/>
      </c>
      <c r="K60" s="205" t="str">
        <f t="shared" si="2"/>
        <v/>
      </c>
      <c r="L60" s="189" t="str">
        <f t="shared" si="3"/>
        <v/>
      </c>
      <c r="M60" s="204" t="str">
        <f>IF($H60="USD",IF(OR($L60="",$L60="-"),"",VLOOKUP($G60,為替!$A:$AX,$L60,FALSE))+$K$3,IF(OR($L60="",$L60="-"),"",VLOOKUP($G60,為替!$A:$AX,$L60,FALSE)))</f>
        <v/>
      </c>
      <c r="N60" s="205" t="str">
        <f t="shared" si="4"/>
        <v/>
      </c>
      <c r="O60" s="206" t="str">
        <f t="shared" si="0"/>
        <v/>
      </c>
      <c r="P60" s="207" t="str">
        <f t="shared" si="5"/>
        <v/>
      </c>
    </row>
    <row r="61" spans="3:16">
      <c r="C61" s="200"/>
      <c r="D61" s="201"/>
      <c r="E61" s="202"/>
      <c r="F61" s="200"/>
      <c r="H61" s="203"/>
      <c r="I61" s="186" t="str">
        <f t="shared" si="1"/>
        <v/>
      </c>
      <c r="J61" s="204" t="str">
        <f>IF($H61="USD",IF(OR($I61="",$I61="-"),"",VLOOKUP($G61,為替!$A:$AX,$I61,FALSE))+$J$3,IF(OR($I61="",$I61="-"),"",VLOOKUP($G61,為替!$A:$AX,$I61,FALSE)))</f>
        <v/>
      </c>
      <c r="K61" s="205" t="str">
        <f t="shared" si="2"/>
        <v/>
      </c>
      <c r="L61" s="189" t="str">
        <f t="shared" si="3"/>
        <v/>
      </c>
      <c r="M61" s="204" t="str">
        <f>IF($H61="USD",IF(OR($L61="",$L61="-"),"",VLOOKUP($G61,為替!$A:$AX,$L61,FALSE))+$K$3,IF(OR($L61="",$L61="-"),"",VLOOKUP($G61,為替!$A:$AX,$L61,FALSE)))</f>
        <v/>
      </c>
      <c r="N61" s="205" t="str">
        <f t="shared" si="4"/>
        <v/>
      </c>
      <c r="O61" s="206" t="str">
        <f t="shared" si="0"/>
        <v/>
      </c>
      <c r="P61" s="207" t="str">
        <f t="shared" si="5"/>
        <v/>
      </c>
    </row>
    <row r="62" spans="3:16">
      <c r="C62" s="200"/>
      <c r="D62" s="201"/>
      <c r="E62" s="202"/>
      <c r="F62" s="200"/>
      <c r="H62" s="203"/>
      <c r="I62" s="186" t="str">
        <f t="shared" si="1"/>
        <v/>
      </c>
      <c r="J62" s="204" t="str">
        <f>IF($H62="USD",IF(OR($I62="",$I62="-"),"",VLOOKUP($G62,為替!$A:$AX,$I62,FALSE))+$J$3,IF(OR($I62="",$I62="-"),"",VLOOKUP($G62,為替!$A:$AX,$I62,FALSE)))</f>
        <v/>
      </c>
      <c r="K62" s="205" t="str">
        <f t="shared" si="2"/>
        <v/>
      </c>
      <c r="L62" s="189" t="str">
        <f t="shared" si="3"/>
        <v/>
      </c>
      <c r="M62" s="204" t="str">
        <f>IF($H62="USD",IF(OR($L62="",$L62="-"),"",VLOOKUP($G62,為替!$A:$AX,$L62,FALSE))+$K$3,IF(OR($L62="",$L62="-"),"",VLOOKUP($G62,為替!$A:$AX,$L62,FALSE)))</f>
        <v/>
      </c>
      <c r="N62" s="205" t="str">
        <f t="shared" si="4"/>
        <v/>
      </c>
      <c r="O62" s="206" t="str">
        <f t="shared" si="0"/>
        <v/>
      </c>
      <c r="P62" s="207" t="str">
        <f t="shared" si="5"/>
        <v/>
      </c>
    </row>
    <row r="63" spans="3:16">
      <c r="C63" s="200"/>
      <c r="D63" s="201"/>
      <c r="E63" s="202"/>
      <c r="F63" s="200"/>
      <c r="H63" s="203"/>
      <c r="I63" s="186" t="str">
        <f t="shared" si="1"/>
        <v/>
      </c>
      <c r="J63" s="204" t="str">
        <f>IF($H63="USD",IF(OR($I63="",$I63="-"),"",VLOOKUP($G63,為替!$A:$AX,$I63,FALSE))+$J$3,IF(OR($I63="",$I63="-"),"",VLOOKUP($G63,為替!$A:$AX,$I63,FALSE)))</f>
        <v/>
      </c>
      <c r="K63" s="205" t="str">
        <f t="shared" si="2"/>
        <v/>
      </c>
      <c r="L63" s="189" t="str">
        <f t="shared" si="3"/>
        <v/>
      </c>
      <c r="M63" s="204" t="str">
        <f>IF($H63="USD",IF(OR($L63="",$L63="-"),"",VLOOKUP($G63,為替!$A:$AX,$L63,FALSE))+$K$3,IF(OR($L63="",$L63="-"),"",VLOOKUP($G63,為替!$A:$AX,$L63,FALSE)))</f>
        <v/>
      </c>
      <c r="N63" s="205" t="str">
        <f t="shared" si="4"/>
        <v/>
      </c>
      <c r="O63" s="206" t="str">
        <f t="shared" si="0"/>
        <v/>
      </c>
      <c r="P63" s="207" t="str">
        <f t="shared" si="5"/>
        <v/>
      </c>
    </row>
    <row r="64" spans="3:16">
      <c r="C64" s="200"/>
      <c r="D64" s="201"/>
      <c r="E64" s="202"/>
      <c r="F64" s="200"/>
      <c r="H64" s="203"/>
      <c r="I64" s="186" t="str">
        <f t="shared" si="1"/>
        <v/>
      </c>
      <c r="J64" s="204" t="str">
        <f>IF($H64="USD",IF(OR($I64="",$I64="-"),"",VLOOKUP($G64,為替!$A:$AX,$I64,FALSE))+$J$3,IF(OR($I64="",$I64="-"),"",VLOOKUP($G64,為替!$A:$AX,$I64,FALSE)))</f>
        <v/>
      </c>
      <c r="K64" s="205" t="str">
        <f t="shared" si="2"/>
        <v/>
      </c>
      <c r="L64" s="189" t="str">
        <f t="shared" si="3"/>
        <v/>
      </c>
      <c r="M64" s="204" t="str">
        <f>IF($H64="USD",IF(OR($L64="",$L64="-"),"",VLOOKUP($G64,為替!$A:$AX,$L64,FALSE))+$K$3,IF(OR($L64="",$L64="-"),"",VLOOKUP($G64,為替!$A:$AX,$L64,FALSE)))</f>
        <v/>
      </c>
      <c r="N64" s="205" t="str">
        <f t="shared" si="4"/>
        <v/>
      </c>
      <c r="O64" s="206" t="str">
        <f t="shared" si="0"/>
        <v/>
      </c>
      <c r="P64" s="207" t="str">
        <f t="shared" si="5"/>
        <v/>
      </c>
    </row>
    <row r="65" spans="3:16">
      <c r="C65" s="200"/>
      <c r="D65" s="201"/>
      <c r="E65" s="202"/>
      <c r="F65" s="200"/>
      <c r="H65" s="203"/>
      <c r="I65" s="186" t="str">
        <f t="shared" si="1"/>
        <v/>
      </c>
      <c r="J65" s="204" t="str">
        <f>IF($H65="USD",IF(OR($I65="",$I65="-"),"",VLOOKUP($G65,為替!$A:$AX,$I65,FALSE))+$J$3,IF(OR($I65="",$I65="-"),"",VLOOKUP($G65,為替!$A:$AX,$I65,FALSE)))</f>
        <v/>
      </c>
      <c r="K65" s="205" t="str">
        <f t="shared" si="2"/>
        <v/>
      </c>
      <c r="L65" s="189" t="str">
        <f t="shared" si="3"/>
        <v/>
      </c>
      <c r="M65" s="204" t="str">
        <f>IF($H65="USD",IF(OR($L65="",$L65="-"),"",VLOOKUP($G65,為替!$A:$AX,$L65,FALSE))+$K$3,IF(OR($L65="",$L65="-"),"",VLOOKUP($G65,為替!$A:$AX,$L65,FALSE)))</f>
        <v/>
      </c>
      <c r="N65" s="205" t="str">
        <f t="shared" si="4"/>
        <v/>
      </c>
      <c r="O65" s="206" t="str">
        <f t="shared" si="0"/>
        <v/>
      </c>
      <c r="P65" s="207" t="str">
        <f t="shared" si="5"/>
        <v/>
      </c>
    </row>
    <row r="66" spans="3:16">
      <c r="C66" s="200"/>
      <c r="D66" s="201"/>
      <c r="E66" s="202"/>
      <c r="F66" s="200"/>
      <c r="H66" s="203"/>
      <c r="I66" s="186" t="str">
        <f t="shared" si="1"/>
        <v/>
      </c>
      <c r="J66" s="204" t="str">
        <f>IF($H66="USD",IF(OR($I66="",$I66="-"),"",VLOOKUP($G66,為替!$A:$AX,$I66,FALSE))+$J$3,IF(OR($I66="",$I66="-"),"",VLOOKUP($G66,為替!$A:$AX,$I66,FALSE)))</f>
        <v/>
      </c>
      <c r="K66" s="205" t="str">
        <f t="shared" si="2"/>
        <v/>
      </c>
      <c r="L66" s="189" t="str">
        <f t="shared" si="3"/>
        <v/>
      </c>
      <c r="M66" s="204" t="str">
        <f>IF($H66="USD",IF(OR($L66="",$L66="-"),"",VLOOKUP($G66,為替!$A:$AX,$L66,FALSE))+$K$3,IF(OR($L66="",$L66="-"),"",VLOOKUP($G66,為替!$A:$AX,$L66,FALSE)))</f>
        <v/>
      </c>
      <c r="N66" s="205" t="str">
        <f t="shared" si="4"/>
        <v/>
      </c>
      <c r="O66" s="206" t="str">
        <f t="shared" si="0"/>
        <v/>
      </c>
      <c r="P66" s="207" t="str">
        <f t="shared" si="5"/>
        <v/>
      </c>
    </row>
    <row r="67" spans="3:16">
      <c r="C67" s="200"/>
      <c r="D67" s="201"/>
      <c r="E67" s="202"/>
      <c r="F67" s="200"/>
      <c r="H67" s="203"/>
      <c r="I67" s="186" t="str">
        <f t="shared" si="1"/>
        <v/>
      </c>
      <c r="J67" s="204" t="str">
        <f>IF($H67="USD",IF(OR($I67="",$I67="-"),"",VLOOKUP($G67,為替!$A:$AX,$I67,FALSE))+$J$3,IF(OR($I67="",$I67="-"),"",VLOOKUP($G67,為替!$A:$AX,$I67,FALSE)))</f>
        <v/>
      </c>
      <c r="K67" s="205" t="str">
        <f t="shared" si="2"/>
        <v/>
      </c>
      <c r="L67" s="189" t="str">
        <f t="shared" si="3"/>
        <v/>
      </c>
      <c r="M67" s="204" t="str">
        <f>IF($H67="USD",IF(OR($L67="",$L67="-"),"",VLOOKUP($G67,為替!$A:$AX,$L67,FALSE))+$K$3,IF(OR($L67="",$L67="-"),"",VLOOKUP($G67,為替!$A:$AX,$L67,FALSE)))</f>
        <v/>
      </c>
      <c r="N67" s="205" t="str">
        <f t="shared" si="4"/>
        <v/>
      </c>
      <c r="O67" s="206" t="str">
        <f t="shared" si="0"/>
        <v/>
      </c>
      <c r="P67" s="207" t="str">
        <f t="shared" si="5"/>
        <v/>
      </c>
    </row>
    <row r="68" spans="3:16">
      <c r="C68" s="200"/>
      <c r="D68" s="201"/>
      <c r="E68" s="202"/>
      <c r="F68" s="200"/>
      <c r="H68" s="203"/>
      <c r="I68" s="186" t="str">
        <f t="shared" si="1"/>
        <v/>
      </c>
      <c r="J68" s="204" t="str">
        <f>IF($H68="USD",IF(OR($I68="",$I68="-"),"",VLOOKUP($G68,為替!$A:$AX,$I68,FALSE))+$J$3,IF(OR($I68="",$I68="-"),"",VLOOKUP($G68,為替!$A:$AX,$I68,FALSE)))</f>
        <v/>
      </c>
      <c r="K68" s="205" t="str">
        <f t="shared" si="2"/>
        <v/>
      </c>
      <c r="L68" s="189" t="str">
        <f t="shared" si="3"/>
        <v/>
      </c>
      <c r="M68" s="204" t="str">
        <f>IF($H68="USD",IF(OR($L68="",$L68="-"),"",VLOOKUP($G68,為替!$A:$AX,$L68,FALSE))+$K$3,IF(OR($L68="",$L68="-"),"",VLOOKUP($G68,為替!$A:$AX,$L68,FALSE)))</f>
        <v/>
      </c>
      <c r="N68" s="205" t="str">
        <f t="shared" si="4"/>
        <v/>
      </c>
      <c r="O68" s="206" t="str">
        <f t="shared" si="0"/>
        <v/>
      </c>
      <c r="P68" s="207" t="str">
        <f t="shared" si="5"/>
        <v/>
      </c>
    </row>
    <row r="69" spans="3:16">
      <c r="C69" s="200"/>
      <c r="D69" s="201"/>
      <c r="E69" s="202"/>
      <c r="F69" s="200"/>
      <c r="H69" s="203"/>
      <c r="I69" s="186" t="str">
        <f t="shared" si="1"/>
        <v/>
      </c>
      <c r="J69" s="204" t="str">
        <f>IF($H69="USD",IF(OR($I69="",$I69="-"),"",VLOOKUP($G69,為替!$A:$AX,$I69,FALSE))+$J$3,IF(OR($I69="",$I69="-"),"",VLOOKUP($G69,為替!$A:$AX,$I69,FALSE)))</f>
        <v/>
      </c>
      <c r="K69" s="205" t="str">
        <f t="shared" si="2"/>
        <v/>
      </c>
      <c r="L69" s="189" t="str">
        <f t="shared" si="3"/>
        <v/>
      </c>
      <c r="M69" s="204" t="str">
        <f>IF($H69="USD",IF(OR($L69="",$L69="-"),"",VLOOKUP($G69,為替!$A:$AX,$L69,FALSE))+$K$3,IF(OR($L69="",$L69="-"),"",VLOOKUP($G69,為替!$A:$AX,$L69,FALSE)))</f>
        <v/>
      </c>
      <c r="N69" s="205" t="str">
        <f t="shared" si="4"/>
        <v/>
      </c>
      <c r="O69" s="206" t="str">
        <f t="shared" si="0"/>
        <v/>
      </c>
      <c r="P69" s="207" t="str">
        <f t="shared" si="5"/>
        <v/>
      </c>
    </row>
    <row r="70" spans="3:16">
      <c r="C70" s="200"/>
      <c r="D70" s="201"/>
      <c r="E70" s="202"/>
      <c r="F70" s="200"/>
      <c r="H70" s="203"/>
      <c r="I70" s="186" t="str">
        <f t="shared" si="1"/>
        <v/>
      </c>
      <c r="J70" s="204" t="str">
        <f>IF($H70="USD",IF(OR($I70="",$I70="-"),"",VLOOKUP($G70,為替!$A:$AX,$I70,FALSE))+$J$3,IF(OR($I70="",$I70="-"),"",VLOOKUP($G70,為替!$A:$AX,$I70,FALSE)))</f>
        <v/>
      </c>
      <c r="K70" s="205" t="str">
        <f t="shared" si="2"/>
        <v/>
      </c>
      <c r="L70" s="189" t="str">
        <f t="shared" si="3"/>
        <v/>
      </c>
      <c r="M70" s="204" t="str">
        <f>IF($H70="USD",IF(OR($L70="",$L70="-"),"",VLOOKUP($G70,為替!$A:$AX,$L70,FALSE))+$K$3,IF(OR($L70="",$L70="-"),"",VLOOKUP($G70,為替!$A:$AX,$L70,FALSE)))</f>
        <v/>
      </c>
      <c r="N70" s="205" t="str">
        <f t="shared" si="4"/>
        <v/>
      </c>
      <c r="O70" s="206" t="str">
        <f t="shared" ref="O70:O133" si="6">IF(OR(K70="",N70=""),"",K70-N70)</f>
        <v/>
      </c>
      <c r="P70" s="207" t="str">
        <f t="shared" si="5"/>
        <v/>
      </c>
    </row>
    <row r="71" spans="3:16">
      <c r="C71" s="200"/>
      <c r="D71" s="201"/>
      <c r="E71" s="202"/>
      <c r="F71" s="200"/>
      <c r="H71" s="203"/>
      <c r="I71" s="186" t="str">
        <f t="shared" ref="I71:I134" si="7">IF(H71="","",IF(H71="JPY","",IF($H71="USD",4, IF(H71="EUR",7,IF(H71="CNY",47,IF(H71="HKD",34))))))</f>
        <v/>
      </c>
      <c r="J71" s="204" t="str">
        <f>IF($H71="USD",IF(OR($I71="",$I71="-"),"",VLOOKUP($G71,為替!$A:$AX,$I71,FALSE))+$J$3,IF(OR($I71="",$I71="-"),"",VLOOKUP($G71,為替!$A:$AX,$I71,FALSE)))</f>
        <v/>
      </c>
      <c r="K71" s="205" t="str">
        <f t="shared" ref="K71:K134" si="8">IF($H71="JPY",$F71,IF($H71="","",$F71*$J71))</f>
        <v/>
      </c>
      <c r="L71" s="189" t="str">
        <f t="shared" ref="L71:L134" si="9">IF(H71="","",IF(H71="JPY","",IF($H71="USD",3, IF(H71="EUR",6,IF(H71="CNY",46,IF(H71="HKD",33))))))</f>
        <v/>
      </c>
      <c r="M71" s="204" t="str">
        <f>IF($H71="USD",IF(OR($L71="",$L71="-"),"",VLOOKUP($G71,為替!$A:$AX,$L71,FALSE))+$K$3,IF(OR($L71="",$L71="-"),"",VLOOKUP($G71,為替!$A:$AX,$L71,FALSE)))</f>
        <v/>
      </c>
      <c r="N71" s="205" t="str">
        <f t="shared" ref="N71:N134" si="10">IF($E71="JPY",($C71+$D71),IF($E71="","",($C71+$D71)*$M71))</f>
        <v/>
      </c>
      <c r="O71" s="206" t="str">
        <f t="shared" si="6"/>
        <v/>
      </c>
      <c r="P71" s="207" t="str">
        <f t="shared" ref="P71:P134" si="11">IF(OR(K71="",O71=""),"",O71/K71)</f>
        <v/>
      </c>
    </row>
    <row r="72" spans="3:16">
      <c r="C72" s="200"/>
      <c r="D72" s="201"/>
      <c r="E72" s="202"/>
      <c r="F72" s="200"/>
      <c r="H72" s="203"/>
      <c r="I72" s="186" t="str">
        <f t="shared" si="7"/>
        <v/>
      </c>
      <c r="J72" s="204" t="str">
        <f>IF($H72="USD",IF(OR($I72="",$I72="-"),"",VLOOKUP($G72,為替!$A:$AX,$I72,FALSE))+$J$3,IF(OR($I72="",$I72="-"),"",VLOOKUP($G72,為替!$A:$AX,$I72,FALSE)))</f>
        <v/>
      </c>
      <c r="K72" s="205" t="str">
        <f t="shared" si="8"/>
        <v/>
      </c>
      <c r="L72" s="189" t="str">
        <f t="shared" si="9"/>
        <v/>
      </c>
      <c r="M72" s="204" t="str">
        <f>IF($H72="USD",IF(OR($L72="",$L72="-"),"",VLOOKUP($G72,為替!$A:$AX,$L72,FALSE))+$K$3,IF(OR($L72="",$L72="-"),"",VLOOKUP($G72,為替!$A:$AX,$L72,FALSE)))</f>
        <v/>
      </c>
      <c r="N72" s="205" t="str">
        <f t="shared" si="10"/>
        <v/>
      </c>
      <c r="O72" s="206" t="str">
        <f t="shared" si="6"/>
        <v/>
      </c>
      <c r="P72" s="207" t="str">
        <f t="shared" si="11"/>
        <v/>
      </c>
    </row>
    <row r="73" spans="3:16">
      <c r="C73" s="200"/>
      <c r="D73" s="201"/>
      <c r="E73" s="202"/>
      <c r="F73" s="200"/>
      <c r="H73" s="203"/>
      <c r="I73" s="186" t="str">
        <f t="shared" si="7"/>
        <v/>
      </c>
      <c r="J73" s="204" t="str">
        <f>IF($H73="USD",IF(OR($I73="",$I73="-"),"",VLOOKUP($G73,為替!$A:$AX,$I73,FALSE))+$J$3,IF(OR($I73="",$I73="-"),"",VLOOKUP($G73,為替!$A:$AX,$I73,FALSE)))</f>
        <v/>
      </c>
      <c r="K73" s="205" t="str">
        <f t="shared" si="8"/>
        <v/>
      </c>
      <c r="L73" s="189" t="str">
        <f t="shared" si="9"/>
        <v/>
      </c>
      <c r="M73" s="204" t="str">
        <f>IF($H73="USD",IF(OR($L73="",$L73="-"),"",VLOOKUP($G73,為替!$A:$AX,$L73,FALSE))+$K$3,IF(OR($L73="",$L73="-"),"",VLOOKUP($G73,為替!$A:$AX,$L73,FALSE)))</f>
        <v/>
      </c>
      <c r="N73" s="205" t="str">
        <f t="shared" si="10"/>
        <v/>
      </c>
      <c r="O73" s="206" t="str">
        <f t="shared" si="6"/>
        <v/>
      </c>
      <c r="P73" s="207" t="str">
        <f t="shared" si="11"/>
        <v/>
      </c>
    </row>
    <row r="74" spans="3:16">
      <c r="C74" s="200"/>
      <c r="D74" s="201"/>
      <c r="E74" s="202"/>
      <c r="F74" s="200"/>
      <c r="H74" s="203"/>
      <c r="I74" s="186" t="str">
        <f t="shared" si="7"/>
        <v/>
      </c>
      <c r="J74" s="204" t="str">
        <f>IF($H74="USD",IF(OR($I74="",$I74="-"),"",VLOOKUP($G74,為替!$A:$AX,$I74,FALSE))+$J$3,IF(OR($I74="",$I74="-"),"",VLOOKUP($G74,為替!$A:$AX,$I74,FALSE)))</f>
        <v/>
      </c>
      <c r="K74" s="205" t="str">
        <f t="shared" si="8"/>
        <v/>
      </c>
      <c r="L74" s="189" t="str">
        <f t="shared" si="9"/>
        <v/>
      </c>
      <c r="M74" s="204" t="str">
        <f>IF($H74="USD",IF(OR($L74="",$L74="-"),"",VLOOKUP($G74,為替!$A:$AX,$L74,FALSE))+$K$3,IF(OR($L74="",$L74="-"),"",VLOOKUP($G74,為替!$A:$AX,$L74,FALSE)))</f>
        <v/>
      </c>
      <c r="N74" s="205" t="str">
        <f t="shared" si="10"/>
        <v/>
      </c>
      <c r="O74" s="206" t="str">
        <f t="shared" si="6"/>
        <v/>
      </c>
      <c r="P74" s="207" t="str">
        <f t="shared" si="11"/>
        <v/>
      </c>
    </row>
    <row r="75" spans="3:16">
      <c r="C75" s="200"/>
      <c r="D75" s="201"/>
      <c r="E75" s="202"/>
      <c r="F75" s="200"/>
      <c r="H75" s="203"/>
      <c r="I75" s="186" t="str">
        <f t="shared" si="7"/>
        <v/>
      </c>
      <c r="J75" s="204" t="str">
        <f>IF($H75="USD",IF(OR($I75="",$I75="-"),"",VLOOKUP($G75,為替!$A:$AX,$I75,FALSE))+$J$3,IF(OR($I75="",$I75="-"),"",VLOOKUP($G75,為替!$A:$AX,$I75,FALSE)))</f>
        <v/>
      </c>
      <c r="K75" s="205" t="str">
        <f t="shared" si="8"/>
        <v/>
      </c>
      <c r="L75" s="189" t="str">
        <f t="shared" si="9"/>
        <v/>
      </c>
      <c r="M75" s="204" t="str">
        <f>IF($H75="USD",IF(OR($L75="",$L75="-"),"",VLOOKUP($G75,為替!$A:$AX,$L75,FALSE))+$K$3,IF(OR($L75="",$L75="-"),"",VLOOKUP($G75,為替!$A:$AX,$L75,FALSE)))</f>
        <v/>
      </c>
      <c r="N75" s="205" t="str">
        <f t="shared" si="10"/>
        <v/>
      </c>
      <c r="O75" s="206" t="str">
        <f t="shared" si="6"/>
        <v/>
      </c>
      <c r="P75" s="207" t="str">
        <f t="shared" si="11"/>
        <v/>
      </c>
    </row>
    <row r="76" spans="3:16">
      <c r="C76" s="200"/>
      <c r="D76" s="201"/>
      <c r="E76" s="202"/>
      <c r="F76" s="200"/>
      <c r="H76" s="203"/>
      <c r="I76" s="186" t="str">
        <f t="shared" si="7"/>
        <v/>
      </c>
      <c r="J76" s="204" t="str">
        <f>IF($H76="USD",IF(OR($I76="",$I76="-"),"",VLOOKUP($G76,為替!$A:$AX,$I76,FALSE))+$J$3,IF(OR($I76="",$I76="-"),"",VLOOKUP($G76,為替!$A:$AX,$I76,FALSE)))</f>
        <v/>
      </c>
      <c r="K76" s="205" t="str">
        <f t="shared" si="8"/>
        <v/>
      </c>
      <c r="L76" s="189" t="str">
        <f t="shared" si="9"/>
        <v/>
      </c>
      <c r="M76" s="204" t="str">
        <f>IF($H76="USD",IF(OR($L76="",$L76="-"),"",VLOOKUP($G76,為替!$A:$AX,$L76,FALSE))+$K$3,IF(OR($L76="",$L76="-"),"",VLOOKUP($G76,為替!$A:$AX,$L76,FALSE)))</f>
        <v/>
      </c>
      <c r="N76" s="205" t="str">
        <f t="shared" si="10"/>
        <v/>
      </c>
      <c r="O76" s="206" t="str">
        <f t="shared" si="6"/>
        <v/>
      </c>
      <c r="P76" s="207" t="str">
        <f t="shared" si="11"/>
        <v/>
      </c>
    </row>
    <row r="77" spans="3:16">
      <c r="C77" s="200"/>
      <c r="D77" s="201"/>
      <c r="E77" s="202"/>
      <c r="F77" s="200"/>
      <c r="H77" s="203"/>
      <c r="I77" s="186" t="str">
        <f t="shared" si="7"/>
        <v/>
      </c>
      <c r="J77" s="204" t="str">
        <f>IF($H77="USD",IF(OR($I77="",$I77="-"),"",VLOOKUP($G77,為替!$A:$AX,$I77,FALSE))+$J$3,IF(OR($I77="",$I77="-"),"",VLOOKUP($G77,為替!$A:$AX,$I77,FALSE)))</f>
        <v/>
      </c>
      <c r="K77" s="205" t="str">
        <f t="shared" si="8"/>
        <v/>
      </c>
      <c r="L77" s="189" t="str">
        <f t="shared" si="9"/>
        <v/>
      </c>
      <c r="M77" s="204" t="str">
        <f>IF($H77="USD",IF(OR($L77="",$L77="-"),"",VLOOKUP($G77,為替!$A:$AX,$L77,FALSE))+$K$3,IF(OR($L77="",$L77="-"),"",VLOOKUP($G77,為替!$A:$AX,$L77,FALSE)))</f>
        <v/>
      </c>
      <c r="N77" s="205" t="str">
        <f t="shared" si="10"/>
        <v/>
      </c>
      <c r="O77" s="206" t="str">
        <f t="shared" si="6"/>
        <v/>
      </c>
      <c r="P77" s="207" t="str">
        <f t="shared" si="11"/>
        <v/>
      </c>
    </row>
    <row r="78" spans="3:16">
      <c r="C78" s="200"/>
      <c r="D78" s="201"/>
      <c r="E78" s="202"/>
      <c r="F78" s="200"/>
      <c r="H78" s="203"/>
      <c r="I78" s="186" t="str">
        <f t="shared" si="7"/>
        <v/>
      </c>
      <c r="J78" s="204" t="str">
        <f>IF($H78="USD",IF(OR($I78="",$I78="-"),"",VLOOKUP($G78,為替!$A:$AX,$I78,FALSE))+$J$3,IF(OR($I78="",$I78="-"),"",VLOOKUP($G78,為替!$A:$AX,$I78,FALSE)))</f>
        <v/>
      </c>
      <c r="K78" s="205" t="str">
        <f t="shared" si="8"/>
        <v/>
      </c>
      <c r="L78" s="189" t="str">
        <f t="shared" si="9"/>
        <v/>
      </c>
      <c r="M78" s="204" t="str">
        <f>IF($H78="USD",IF(OR($L78="",$L78="-"),"",VLOOKUP($G78,為替!$A:$AX,$L78,FALSE))+$K$3,IF(OR($L78="",$L78="-"),"",VLOOKUP($G78,為替!$A:$AX,$L78,FALSE)))</f>
        <v/>
      </c>
      <c r="N78" s="205" t="str">
        <f t="shared" si="10"/>
        <v/>
      </c>
      <c r="O78" s="206" t="str">
        <f t="shared" si="6"/>
        <v/>
      </c>
      <c r="P78" s="207" t="str">
        <f t="shared" si="11"/>
        <v/>
      </c>
    </row>
    <row r="79" spans="3:16">
      <c r="C79" s="200"/>
      <c r="D79" s="201"/>
      <c r="E79" s="202"/>
      <c r="F79" s="200"/>
      <c r="H79" s="203"/>
      <c r="I79" s="186" t="str">
        <f t="shared" si="7"/>
        <v/>
      </c>
      <c r="J79" s="204" t="str">
        <f>IF($H79="USD",IF(OR($I79="",$I79="-"),"",VLOOKUP($G79,為替!$A:$AX,$I79,FALSE))+$J$3,IF(OR($I79="",$I79="-"),"",VLOOKUP($G79,為替!$A:$AX,$I79,FALSE)))</f>
        <v/>
      </c>
      <c r="K79" s="205" t="str">
        <f t="shared" si="8"/>
        <v/>
      </c>
      <c r="L79" s="189" t="str">
        <f t="shared" si="9"/>
        <v/>
      </c>
      <c r="M79" s="204" t="str">
        <f>IF($H79="USD",IF(OR($L79="",$L79="-"),"",VLOOKUP($G79,為替!$A:$AX,$L79,FALSE))+$K$3,IF(OR($L79="",$L79="-"),"",VLOOKUP($G79,為替!$A:$AX,$L79,FALSE)))</f>
        <v/>
      </c>
      <c r="N79" s="205" t="str">
        <f t="shared" si="10"/>
        <v/>
      </c>
      <c r="O79" s="206" t="str">
        <f t="shared" si="6"/>
        <v/>
      </c>
      <c r="P79" s="207" t="str">
        <f t="shared" si="11"/>
        <v/>
      </c>
    </row>
    <row r="80" spans="3:16">
      <c r="C80" s="200"/>
      <c r="D80" s="201"/>
      <c r="E80" s="202"/>
      <c r="F80" s="200"/>
      <c r="H80" s="203"/>
      <c r="I80" s="186" t="str">
        <f t="shared" si="7"/>
        <v/>
      </c>
      <c r="J80" s="204" t="str">
        <f>IF($H80="USD",IF(OR($I80="",$I80="-"),"",VLOOKUP($G80,為替!$A:$AX,$I80,FALSE))+$J$3,IF(OR($I80="",$I80="-"),"",VLOOKUP($G80,為替!$A:$AX,$I80,FALSE)))</f>
        <v/>
      </c>
      <c r="K80" s="205" t="str">
        <f t="shared" si="8"/>
        <v/>
      </c>
      <c r="L80" s="189" t="str">
        <f t="shared" si="9"/>
        <v/>
      </c>
      <c r="M80" s="204" t="str">
        <f>IF($H80="USD",IF(OR($L80="",$L80="-"),"",VLOOKUP($G80,為替!$A:$AX,$L80,FALSE))+$K$3,IF(OR($L80="",$L80="-"),"",VLOOKUP($G80,為替!$A:$AX,$L80,FALSE)))</f>
        <v/>
      </c>
      <c r="N80" s="205" t="str">
        <f t="shared" si="10"/>
        <v/>
      </c>
      <c r="O80" s="206" t="str">
        <f t="shared" si="6"/>
        <v/>
      </c>
      <c r="P80" s="207" t="str">
        <f t="shared" si="11"/>
        <v/>
      </c>
    </row>
    <row r="81" spans="3:16">
      <c r="C81" s="200"/>
      <c r="D81" s="201"/>
      <c r="E81" s="202"/>
      <c r="F81" s="200"/>
      <c r="H81" s="203"/>
      <c r="I81" s="186" t="str">
        <f t="shared" si="7"/>
        <v/>
      </c>
      <c r="J81" s="204" t="str">
        <f>IF($H81="USD",IF(OR($I81="",$I81="-"),"",VLOOKUP($G81,為替!$A:$AX,$I81,FALSE))+$J$3,IF(OR($I81="",$I81="-"),"",VLOOKUP($G81,為替!$A:$AX,$I81,FALSE)))</f>
        <v/>
      </c>
      <c r="K81" s="205" t="str">
        <f t="shared" si="8"/>
        <v/>
      </c>
      <c r="L81" s="189" t="str">
        <f t="shared" si="9"/>
        <v/>
      </c>
      <c r="M81" s="204" t="str">
        <f>IF($H81="USD",IF(OR($L81="",$L81="-"),"",VLOOKUP($G81,為替!$A:$AX,$L81,FALSE))+$K$3,IF(OR($L81="",$L81="-"),"",VLOOKUP($G81,為替!$A:$AX,$L81,FALSE)))</f>
        <v/>
      </c>
      <c r="N81" s="205" t="str">
        <f t="shared" si="10"/>
        <v/>
      </c>
      <c r="O81" s="206" t="str">
        <f t="shared" si="6"/>
        <v/>
      </c>
      <c r="P81" s="207" t="str">
        <f t="shared" si="11"/>
        <v/>
      </c>
    </row>
    <row r="82" spans="3:16">
      <c r="C82" s="200"/>
      <c r="D82" s="201"/>
      <c r="E82" s="202"/>
      <c r="F82" s="200"/>
      <c r="H82" s="203"/>
      <c r="I82" s="186" t="str">
        <f t="shared" si="7"/>
        <v/>
      </c>
      <c r="J82" s="204" t="str">
        <f>IF($H82="USD",IF(OR($I82="",$I82="-"),"",VLOOKUP($G82,為替!$A:$AX,$I82,FALSE))+$J$3,IF(OR($I82="",$I82="-"),"",VLOOKUP($G82,為替!$A:$AX,$I82,FALSE)))</f>
        <v/>
      </c>
      <c r="K82" s="205" t="str">
        <f t="shared" si="8"/>
        <v/>
      </c>
      <c r="L82" s="189" t="str">
        <f t="shared" si="9"/>
        <v/>
      </c>
      <c r="M82" s="204" t="str">
        <f>IF($H82="USD",IF(OR($L82="",$L82="-"),"",VLOOKUP($G82,為替!$A:$AX,$L82,FALSE))+$K$3,IF(OR($L82="",$L82="-"),"",VLOOKUP($G82,為替!$A:$AX,$L82,FALSE)))</f>
        <v/>
      </c>
      <c r="N82" s="205" t="str">
        <f t="shared" si="10"/>
        <v/>
      </c>
      <c r="O82" s="206" t="str">
        <f t="shared" si="6"/>
        <v/>
      </c>
      <c r="P82" s="207" t="str">
        <f t="shared" si="11"/>
        <v/>
      </c>
    </row>
    <row r="83" spans="3:16">
      <c r="C83" s="200"/>
      <c r="D83" s="201"/>
      <c r="E83" s="202"/>
      <c r="F83" s="200"/>
      <c r="H83" s="203"/>
      <c r="I83" s="186" t="str">
        <f t="shared" si="7"/>
        <v/>
      </c>
      <c r="J83" s="204" t="str">
        <f>IF($H83="USD",IF(OR($I83="",$I83="-"),"",VLOOKUP($G83,為替!$A:$AX,$I83,FALSE))+$J$3,IF(OR($I83="",$I83="-"),"",VLOOKUP($G83,為替!$A:$AX,$I83,FALSE)))</f>
        <v/>
      </c>
      <c r="K83" s="205" t="str">
        <f t="shared" si="8"/>
        <v/>
      </c>
      <c r="L83" s="189" t="str">
        <f t="shared" si="9"/>
        <v/>
      </c>
      <c r="M83" s="204" t="str">
        <f>IF($H83="USD",IF(OR($L83="",$L83="-"),"",VLOOKUP($G83,為替!$A:$AX,$L83,FALSE))+$K$3,IF(OR($L83="",$L83="-"),"",VLOOKUP($G83,為替!$A:$AX,$L83,FALSE)))</f>
        <v/>
      </c>
      <c r="N83" s="205" t="str">
        <f t="shared" si="10"/>
        <v/>
      </c>
      <c r="O83" s="206" t="str">
        <f t="shared" si="6"/>
        <v/>
      </c>
      <c r="P83" s="207" t="str">
        <f t="shared" si="11"/>
        <v/>
      </c>
    </row>
    <row r="84" spans="3:16">
      <c r="C84" s="200"/>
      <c r="D84" s="201"/>
      <c r="E84" s="202"/>
      <c r="F84" s="200"/>
      <c r="H84" s="203"/>
      <c r="I84" s="186" t="str">
        <f t="shared" si="7"/>
        <v/>
      </c>
      <c r="J84" s="204" t="str">
        <f>IF($H84="USD",IF(OR($I84="",$I84="-"),"",VLOOKUP($G84,為替!$A:$AX,$I84,FALSE))+$J$3,IF(OR($I84="",$I84="-"),"",VLOOKUP($G84,為替!$A:$AX,$I84,FALSE)))</f>
        <v/>
      </c>
      <c r="K84" s="205" t="str">
        <f t="shared" si="8"/>
        <v/>
      </c>
      <c r="L84" s="189" t="str">
        <f t="shared" si="9"/>
        <v/>
      </c>
      <c r="M84" s="204" t="str">
        <f>IF($H84="USD",IF(OR($L84="",$L84="-"),"",VLOOKUP($G84,為替!$A:$AX,$L84,FALSE))+$K$3,IF(OR($L84="",$L84="-"),"",VLOOKUP($G84,為替!$A:$AX,$L84,FALSE)))</f>
        <v/>
      </c>
      <c r="N84" s="205" t="str">
        <f t="shared" si="10"/>
        <v/>
      </c>
      <c r="O84" s="206" t="str">
        <f t="shared" si="6"/>
        <v/>
      </c>
      <c r="P84" s="207" t="str">
        <f t="shared" si="11"/>
        <v/>
      </c>
    </row>
    <row r="85" spans="3:16">
      <c r="C85" s="200"/>
      <c r="D85" s="201"/>
      <c r="E85" s="202"/>
      <c r="F85" s="200"/>
      <c r="H85" s="203"/>
      <c r="I85" s="186" t="str">
        <f t="shared" si="7"/>
        <v/>
      </c>
      <c r="J85" s="204" t="str">
        <f>IF($H85="USD",IF(OR($I85="",$I85="-"),"",VLOOKUP($G85,為替!$A:$AX,$I85,FALSE))+$J$3,IF(OR($I85="",$I85="-"),"",VLOOKUP($G85,為替!$A:$AX,$I85,FALSE)))</f>
        <v/>
      </c>
      <c r="K85" s="205" t="str">
        <f t="shared" si="8"/>
        <v/>
      </c>
      <c r="L85" s="189" t="str">
        <f t="shared" si="9"/>
        <v/>
      </c>
      <c r="M85" s="204" t="str">
        <f>IF($H85="USD",IF(OR($L85="",$L85="-"),"",VLOOKUP($G85,為替!$A:$AX,$L85,FALSE))+$K$3,IF(OR($L85="",$L85="-"),"",VLOOKUP($G85,為替!$A:$AX,$L85,FALSE)))</f>
        <v/>
      </c>
      <c r="N85" s="205" t="str">
        <f t="shared" si="10"/>
        <v/>
      </c>
      <c r="O85" s="206" t="str">
        <f t="shared" si="6"/>
        <v/>
      </c>
      <c r="P85" s="207" t="str">
        <f t="shared" si="11"/>
        <v/>
      </c>
    </row>
    <row r="86" spans="3:16">
      <c r="C86" s="200"/>
      <c r="D86" s="201"/>
      <c r="E86" s="202"/>
      <c r="F86" s="200"/>
      <c r="H86" s="203"/>
      <c r="I86" s="186" t="str">
        <f t="shared" si="7"/>
        <v/>
      </c>
      <c r="J86" s="204" t="str">
        <f>IF($H86="USD",IF(OR($I86="",$I86="-"),"",VLOOKUP($G86,為替!$A:$AX,$I86,FALSE))+$J$3,IF(OR($I86="",$I86="-"),"",VLOOKUP($G86,為替!$A:$AX,$I86,FALSE)))</f>
        <v/>
      </c>
      <c r="K86" s="205" t="str">
        <f t="shared" si="8"/>
        <v/>
      </c>
      <c r="L86" s="189" t="str">
        <f t="shared" si="9"/>
        <v/>
      </c>
      <c r="M86" s="204" t="str">
        <f>IF($H86="USD",IF(OR($L86="",$L86="-"),"",VLOOKUP($G86,為替!$A:$AX,$L86,FALSE))+$K$3,IF(OR($L86="",$L86="-"),"",VLOOKUP($G86,為替!$A:$AX,$L86,FALSE)))</f>
        <v/>
      </c>
      <c r="N86" s="205" t="str">
        <f t="shared" si="10"/>
        <v/>
      </c>
      <c r="O86" s="206" t="str">
        <f t="shared" si="6"/>
        <v/>
      </c>
      <c r="P86" s="207" t="str">
        <f t="shared" si="11"/>
        <v/>
      </c>
    </row>
    <row r="87" spans="3:16">
      <c r="C87" s="200"/>
      <c r="D87" s="201"/>
      <c r="E87" s="202"/>
      <c r="F87" s="200"/>
      <c r="H87" s="203"/>
      <c r="I87" s="186" t="str">
        <f t="shared" si="7"/>
        <v/>
      </c>
      <c r="J87" s="204" t="str">
        <f>IF($H87="USD",IF(OR($I87="",$I87="-"),"",VLOOKUP($G87,為替!$A:$AX,$I87,FALSE))+$J$3,IF(OR($I87="",$I87="-"),"",VLOOKUP($G87,為替!$A:$AX,$I87,FALSE)))</f>
        <v/>
      </c>
      <c r="K87" s="205" t="str">
        <f t="shared" si="8"/>
        <v/>
      </c>
      <c r="L87" s="189" t="str">
        <f t="shared" si="9"/>
        <v/>
      </c>
      <c r="M87" s="204" t="str">
        <f>IF($H87="USD",IF(OR($L87="",$L87="-"),"",VLOOKUP($G87,為替!$A:$AX,$L87,FALSE))+$K$3,IF(OR($L87="",$L87="-"),"",VLOOKUP($G87,為替!$A:$AX,$L87,FALSE)))</f>
        <v/>
      </c>
      <c r="N87" s="205" t="str">
        <f t="shared" si="10"/>
        <v/>
      </c>
      <c r="O87" s="206" t="str">
        <f t="shared" si="6"/>
        <v/>
      </c>
      <c r="P87" s="207" t="str">
        <f t="shared" si="11"/>
        <v/>
      </c>
    </row>
    <row r="88" spans="3:16">
      <c r="C88" s="200"/>
      <c r="D88" s="201"/>
      <c r="E88" s="202"/>
      <c r="F88" s="200"/>
      <c r="H88" s="203"/>
      <c r="I88" s="186" t="str">
        <f t="shared" si="7"/>
        <v/>
      </c>
      <c r="J88" s="204" t="str">
        <f>IF($H88="USD",IF(OR($I88="",$I88="-"),"",VLOOKUP($G88,為替!$A:$AX,$I88,FALSE))+$J$3,IF(OR($I88="",$I88="-"),"",VLOOKUP($G88,為替!$A:$AX,$I88,FALSE)))</f>
        <v/>
      </c>
      <c r="K88" s="205" t="str">
        <f t="shared" si="8"/>
        <v/>
      </c>
      <c r="L88" s="189" t="str">
        <f t="shared" si="9"/>
        <v/>
      </c>
      <c r="M88" s="204" t="str">
        <f>IF($H88="USD",IF(OR($L88="",$L88="-"),"",VLOOKUP($G88,為替!$A:$AX,$L88,FALSE))+$K$3,IF(OR($L88="",$L88="-"),"",VLOOKUP($G88,為替!$A:$AX,$L88,FALSE)))</f>
        <v/>
      </c>
      <c r="N88" s="205" t="str">
        <f t="shared" si="10"/>
        <v/>
      </c>
      <c r="O88" s="206" t="str">
        <f t="shared" si="6"/>
        <v/>
      </c>
      <c r="P88" s="207" t="str">
        <f t="shared" si="11"/>
        <v/>
      </c>
    </row>
    <row r="89" spans="3:16">
      <c r="C89" s="200"/>
      <c r="D89" s="201"/>
      <c r="E89" s="202"/>
      <c r="F89" s="200"/>
      <c r="H89" s="203"/>
      <c r="I89" s="186" t="str">
        <f t="shared" si="7"/>
        <v/>
      </c>
      <c r="J89" s="204" t="str">
        <f>IF($H89="USD",IF(OR($I89="",$I89="-"),"",VLOOKUP($G89,為替!$A:$AX,$I89,FALSE))+$J$3,IF(OR($I89="",$I89="-"),"",VLOOKUP($G89,為替!$A:$AX,$I89,FALSE)))</f>
        <v/>
      </c>
      <c r="K89" s="205" t="str">
        <f t="shared" si="8"/>
        <v/>
      </c>
      <c r="L89" s="189" t="str">
        <f t="shared" si="9"/>
        <v/>
      </c>
      <c r="M89" s="204" t="str">
        <f>IF($H89="USD",IF(OR($L89="",$L89="-"),"",VLOOKUP($G89,為替!$A:$AX,$L89,FALSE))+$K$3,IF(OR($L89="",$L89="-"),"",VLOOKUP($G89,為替!$A:$AX,$L89,FALSE)))</f>
        <v/>
      </c>
      <c r="N89" s="205" t="str">
        <f t="shared" si="10"/>
        <v/>
      </c>
      <c r="O89" s="206" t="str">
        <f t="shared" si="6"/>
        <v/>
      </c>
      <c r="P89" s="207" t="str">
        <f t="shared" si="11"/>
        <v/>
      </c>
    </row>
    <row r="90" spans="3:16">
      <c r="C90" s="200"/>
      <c r="D90" s="201"/>
      <c r="E90" s="202"/>
      <c r="F90" s="200"/>
      <c r="H90" s="203"/>
      <c r="I90" s="186" t="str">
        <f t="shared" si="7"/>
        <v/>
      </c>
      <c r="J90" s="204" t="str">
        <f>IF($H90="USD",IF(OR($I90="",$I90="-"),"",VLOOKUP($G90,為替!$A:$AX,$I90,FALSE))+$J$3,IF(OR($I90="",$I90="-"),"",VLOOKUP($G90,為替!$A:$AX,$I90,FALSE)))</f>
        <v/>
      </c>
      <c r="K90" s="205" t="str">
        <f t="shared" si="8"/>
        <v/>
      </c>
      <c r="L90" s="189" t="str">
        <f t="shared" si="9"/>
        <v/>
      </c>
      <c r="M90" s="204" t="str">
        <f>IF($H90="USD",IF(OR($L90="",$L90="-"),"",VLOOKUP($G90,為替!$A:$AX,$L90,FALSE))+$K$3,IF(OR($L90="",$L90="-"),"",VLOOKUP($G90,為替!$A:$AX,$L90,FALSE)))</f>
        <v/>
      </c>
      <c r="N90" s="205" t="str">
        <f t="shared" si="10"/>
        <v/>
      </c>
      <c r="O90" s="206" t="str">
        <f t="shared" si="6"/>
        <v/>
      </c>
      <c r="P90" s="207" t="str">
        <f t="shared" si="11"/>
        <v/>
      </c>
    </row>
    <row r="91" spans="3:16">
      <c r="C91" s="200"/>
      <c r="D91" s="201"/>
      <c r="E91" s="202"/>
      <c r="F91" s="200"/>
      <c r="H91" s="203"/>
      <c r="I91" s="186" t="str">
        <f t="shared" si="7"/>
        <v/>
      </c>
      <c r="J91" s="204" t="str">
        <f>IF($H91="USD",IF(OR($I91="",$I91="-"),"",VLOOKUP($G91,為替!$A:$AX,$I91,FALSE))+$J$3,IF(OR($I91="",$I91="-"),"",VLOOKUP($G91,為替!$A:$AX,$I91,FALSE)))</f>
        <v/>
      </c>
      <c r="K91" s="205" t="str">
        <f t="shared" si="8"/>
        <v/>
      </c>
      <c r="L91" s="189" t="str">
        <f t="shared" si="9"/>
        <v/>
      </c>
      <c r="M91" s="204" t="str">
        <f>IF($H91="USD",IF(OR($L91="",$L91="-"),"",VLOOKUP($G91,為替!$A:$AX,$L91,FALSE))+$K$3,IF(OR($L91="",$L91="-"),"",VLOOKUP($G91,為替!$A:$AX,$L91,FALSE)))</f>
        <v/>
      </c>
      <c r="N91" s="205" t="str">
        <f t="shared" si="10"/>
        <v/>
      </c>
      <c r="O91" s="206" t="str">
        <f t="shared" si="6"/>
        <v/>
      </c>
      <c r="P91" s="207" t="str">
        <f t="shared" si="11"/>
        <v/>
      </c>
    </row>
    <row r="92" spans="3:16">
      <c r="C92" s="200"/>
      <c r="D92" s="201"/>
      <c r="E92" s="202"/>
      <c r="F92" s="200"/>
      <c r="H92" s="203"/>
      <c r="I92" s="186" t="str">
        <f t="shared" si="7"/>
        <v/>
      </c>
      <c r="J92" s="204" t="str">
        <f>IF($H92="USD",IF(OR($I92="",$I92="-"),"",VLOOKUP($G92,為替!$A:$AX,$I92,FALSE))+$J$3,IF(OR($I92="",$I92="-"),"",VLOOKUP($G92,為替!$A:$AX,$I92,FALSE)))</f>
        <v/>
      </c>
      <c r="K92" s="205" t="str">
        <f t="shared" si="8"/>
        <v/>
      </c>
      <c r="L92" s="189" t="str">
        <f t="shared" si="9"/>
        <v/>
      </c>
      <c r="M92" s="204" t="str">
        <f>IF($H92="USD",IF(OR($L92="",$L92="-"),"",VLOOKUP($G92,為替!$A:$AX,$L92,FALSE))+$K$3,IF(OR($L92="",$L92="-"),"",VLOOKUP($G92,為替!$A:$AX,$L92,FALSE)))</f>
        <v/>
      </c>
      <c r="N92" s="205" t="str">
        <f t="shared" si="10"/>
        <v/>
      </c>
      <c r="O92" s="206" t="str">
        <f t="shared" si="6"/>
        <v/>
      </c>
      <c r="P92" s="207" t="str">
        <f t="shared" si="11"/>
        <v/>
      </c>
    </row>
    <row r="93" spans="3:16">
      <c r="C93" s="200"/>
      <c r="D93" s="201"/>
      <c r="E93" s="202"/>
      <c r="F93" s="200"/>
      <c r="H93" s="203"/>
      <c r="I93" s="186" t="str">
        <f t="shared" si="7"/>
        <v/>
      </c>
      <c r="J93" s="204" t="str">
        <f>IF($H93="USD",IF(OR($I93="",$I93="-"),"",VLOOKUP($G93,為替!$A:$AX,$I93,FALSE))+$J$3,IF(OR($I93="",$I93="-"),"",VLOOKUP($G93,為替!$A:$AX,$I93,FALSE)))</f>
        <v/>
      </c>
      <c r="K93" s="205" t="str">
        <f t="shared" si="8"/>
        <v/>
      </c>
      <c r="L93" s="189" t="str">
        <f t="shared" si="9"/>
        <v/>
      </c>
      <c r="M93" s="204" t="str">
        <f>IF($H93="USD",IF(OR($L93="",$L93="-"),"",VLOOKUP($G93,為替!$A:$AX,$L93,FALSE))+$K$3,IF(OR($L93="",$L93="-"),"",VLOOKUP($G93,為替!$A:$AX,$L93,FALSE)))</f>
        <v/>
      </c>
      <c r="N93" s="205" t="str">
        <f t="shared" si="10"/>
        <v/>
      </c>
      <c r="O93" s="206" t="str">
        <f t="shared" si="6"/>
        <v/>
      </c>
      <c r="P93" s="207" t="str">
        <f t="shared" si="11"/>
        <v/>
      </c>
    </row>
    <row r="94" spans="3:16">
      <c r="C94" s="200"/>
      <c r="D94" s="201"/>
      <c r="E94" s="202"/>
      <c r="F94" s="200"/>
      <c r="H94" s="203"/>
      <c r="I94" s="186" t="str">
        <f t="shared" si="7"/>
        <v/>
      </c>
      <c r="J94" s="204" t="str">
        <f>IF($H94="USD",IF(OR($I94="",$I94="-"),"",VLOOKUP($G94,為替!$A:$AX,$I94,FALSE))+$J$3,IF(OR($I94="",$I94="-"),"",VLOOKUP($G94,為替!$A:$AX,$I94,FALSE)))</f>
        <v/>
      </c>
      <c r="K94" s="205" t="str">
        <f t="shared" si="8"/>
        <v/>
      </c>
      <c r="L94" s="189" t="str">
        <f t="shared" si="9"/>
        <v/>
      </c>
      <c r="M94" s="204" t="str">
        <f>IF($H94="USD",IF(OR($L94="",$L94="-"),"",VLOOKUP($G94,為替!$A:$AX,$L94,FALSE))+$K$3,IF(OR($L94="",$L94="-"),"",VLOOKUP($G94,為替!$A:$AX,$L94,FALSE)))</f>
        <v/>
      </c>
      <c r="N94" s="205" t="str">
        <f t="shared" si="10"/>
        <v/>
      </c>
      <c r="O94" s="206" t="str">
        <f t="shared" si="6"/>
        <v/>
      </c>
      <c r="P94" s="207" t="str">
        <f t="shared" si="11"/>
        <v/>
      </c>
    </row>
    <row r="95" spans="3:16">
      <c r="C95" s="200"/>
      <c r="D95" s="201"/>
      <c r="E95" s="202"/>
      <c r="F95" s="200"/>
      <c r="H95" s="203"/>
      <c r="I95" s="186" t="str">
        <f t="shared" si="7"/>
        <v/>
      </c>
      <c r="J95" s="204" t="str">
        <f>IF($H95="USD",IF(OR($I95="",$I95="-"),"",VLOOKUP($G95,為替!$A:$AX,$I95,FALSE))+$J$3,IF(OR($I95="",$I95="-"),"",VLOOKUP($G95,為替!$A:$AX,$I95,FALSE)))</f>
        <v/>
      </c>
      <c r="K95" s="205" t="str">
        <f t="shared" si="8"/>
        <v/>
      </c>
      <c r="L95" s="189" t="str">
        <f t="shared" si="9"/>
        <v/>
      </c>
      <c r="M95" s="204" t="str">
        <f>IF($H95="USD",IF(OR($L95="",$L95="-"),"",VLOOKUP($G95,為替!$A:$AX,$L95,FALSE))+$K$3,IF(OR($L95="",$L95="-"),"",VLOOKUP($G95,為替!$A:$AX,$L95,FALSE)))</f>
        <v/>
      </c>
      <c r="N95" s="205" t="str">
        <f t="shared" si="10"/>
        <v/>
      </c>
      <c r="O95" s="206" t="str">
        <f t="shared" si="6"/>
        <v/>
      </c>
      <c r="P95" s="207" t="str">
        <f t="shared" si="11"/>
        <v/>
      </c>
    </row>
    <row r="96" spans="3:16">
      <c r="C96" s="200"/>
      <c r="D96" s="201"/>
      <c r="E96" s="202"/>
      <c r="F96" s="200"/>
      <c r="H96" s="203"/>
      <c r="I96" s="186" t="str">
        <f t="shared" si="7"/>
        <v/>
      </c>
      <c r="J96" s="204" t="str">
        <f>IF($H96="USD",IF(OR($I96="",$I96="-"),"",VLOOKUP($G96,為替!$A:$AX,$I96,FALSE))+$J$3,IF(OR($I96="",$I96="-"),"",VLOOKUP($G96,為替!$A:$AX,$I96,FALSE)))</f>
        <v/>
      </c>
      <c r="K96" s="205" t="str">
        <f t="shared" si="8"/>
        <v/>
      </c>
      <c r="L96" s="189" t="str">
        <f t="shared" si="9"/>
        <v/>
      </c>
      <c r="M96" s="204" t="str">
        <f>IF($H96="USD",IF(OR($L96="",$L96="-"),"",VLOOKUP($G96,為替!$A:$AX,$L96,FALSE))+$K$3,IF(OR($L96="",$L96="-"),"",VLOOKUP($G96,為替!$A:$AX,$L96,FALSE)))</f>
        <v/>
      </c>
      <c r="N96" s="205" t="str">
        <f t="shared" si="10"/>
        <v/>
      </c>
      <c r="O96" s="206" t="str">
        <f t="shared" si="6"/>
        <v/>
      </c>
      <c r="P96" s="207" t="str">
        <f t="shared" si="11"/>
        <v/>
      </c>
    </row>
    <row r="97" spans="3:16">
      <c r="C97" s="200"/>
      <c r="D97" s="201"/>
      <c r="E97" s="202"/>
      <c r="F97" s="200"/>
      <c r="H97" s="203"/>
      <c r="I97" s="186" t="str">
        <f t="shared" si="7"/>
        <v/>
      </c>
      <c r="J97" s="204" t="str">
        <f>IF($H97="USD",IF(OR($I97="",$I97="-"),"",VLOOKUP($G97,為替!$A:$AX,$I97,FALSE))+$J$3,IF(OR($I97="",$I97="-"),"",VLOOKUP($G97,為替!$A:$AX,$I97,FALSE)))</f>
        <v/>
      </c>
      <c r="K97" s="205" t="str">
        <f t="shared" si="8"/>
        <v/>
      </c>
      <c r="L97" s="189" t="str">
        <f t="shared" si="9"/>
        <v/>
      </c>
      <c r="M97" s="204" t="str">
        <f>IF($H97="USD",IF(OR($L97="",$L97="-"),"",VLOOKUP($G97,為替!$A:$AX,$L97,FALSE))+$K$3,IF(OR($L97="",$L97="-"),"",VLOOKUP($G97,為替!$A:$AX,$L97,FALSE)))</f>
        <v/>
      </c>
      <c r="N97" s="205" t="str">
        <f t="shared" si="10"/>
        <v/>
      </c>
      <c r="O97" s="206" t="str">
        <f t="shared" si="6"/>
        <v/>
      </c>
      <c r="P97" s="207" t="str">
        <f t="shared" si="11"/>
        <v/>
      </c>
    </row>
    <row r="98" spans="3:16">
      <c r="C98" s="200"/>
      <c r="D98" s="201"/>
      <c r="E98" s="202"/>
      <c r="F98" s="200"/>
      <c r="H98" s="203"/>
      <c r="I98" s="186" t="str">
        <f t="shared" si="7"/>
        <v/>
      </c>
      <c r="J98" s="204" t="str">
        <f>IF($H98="USD",IF(OR($I98="",$I98="-"),"",VLOOKUP($G98,為替!$A:$AX,$I98,FALSE))+$J$3,IF(OR($I98="",$I98="-"),"",VLOOKUP($G98,為替!$A:$AX,$I98,FALSE)))</f>
        <v/>
      </c>
      <c r="K98" s="205" t="str">
        <f t="shared" si="8"/>
        <v/>
      </c>
      <c r="L98" s="189" t="str">
        <f t="shared" si="9"/>
        <v/>
      </c>
      <c r="M98" s="204" t="str">
        <f>IF($H98="USD",IF(OR($L98="",$L98="-"),"",VLOOKUP($G98,為替!$A:$AX,$L98,FALSE))+$K$3,IF(OR($L98="",$L98="-"),"",VLOOKUP($G98,為替!$A:$AX,$L98,FALSE)))</f>
        <v/>
      </c>
      <c r="N98" s="205" t="str">
        <f t="shared" si="10"/>
        <v/>
      </c>
      <c r="O98" s="206" t="str">
        <f t="shared" si="6"/>
        <v/>
      </c>
      <c r="P98" s="207" t="str">
        <f t="shared" si="11"/>
        <v/>
      </c>
    </row>
    <row r="99" spans="3:16">
      <c r="C99" s="200"/>
      <c r="D99" s="201"/>
      <c r="E99" s="202"/>
      <c r="F99" s="200"/>
      <c r="H99" s="203"/>
      <c r="I99" s="186" t="str">
        <f t="shared" si="7"/>
        <v/>
      </c>
      <c r="J99" s="204" t="str">
        <f>IF($H99="USD",IF(OR($I99="",$I99="-"),"",VLOOKUP($G99,為替!$A:$AX,$I99,FALSE))+$J$3,IF(OR($I99="",$I99="-"),"",VLOOKUP($G99,為替!$A:$AX,$I99,FALSE)))</f>
        <v/>
      </c>
      <c r="K99" s="205" t="str">
        <f t="shared" si="8"/>
        <v/>
      </c>
      <c r="L99" s="189" t="str">
        <f t="shared" si="9"/>
        <v/>
      </c>
      <c r="M99" s="204" t="str">
        <f>IF($H99="USD",IF(OR($L99="",$L99="-"),"",VLOOKUP($G99,為替!$A:$AX,$L99,FALSE))+$K$3,IF(OR($L99="",$L99="-"),"",VLOOKUP($G99,為替!$A:$AX,$L99,FALSE)))</f>
        <v/>
      </c>
      <c r="N99" s="205" t="str">
        <f t="shared" si="10"/>
        <v/>
      </c>
      <c r="O99" s="206" t="str">
        <f t="shared" si="6"/>
        <v/>
      </c>
      <c r="P99" s="207" t="str">
        <f t="shared" si="11"/>
        <v/>
      </c>
    </row>
    <row r="100" spans="3:16">
      <c r="C100" s="200"/>
      <c r="D100" s="201"/>
      <c r="E100" s="202"/>
      <c r="F100" s="200"/>
      <c r="H100" s="203"/>
      <c r="I100" s="186" t="str">
        <f t="shared" si="7"/>
        <v/>
      </c>
      <c r="J100" s="204" t="str">
        <f>IF($H100="USD",IF(OR($I100="",$I100="-"),"",VLOOKUP($G100,為替!$A:$AX,$I100,FALSE))+$J$3,IF(OR($I100="",$I100="-"),"",VLOOKUP($G100,為替!$A:$AX,$I100,FALSE)))</f>
        <v/>
      </c>
      <c r="K100" s="205" t="str">
        <f t="shared" si="8"/>
        <v/>
      </c>
      <c r="L100" s="189" t="str">
        <f t="shared" si="9"/>
        <v/>
      </c>
      <c r="M100" s="204" t="str">
        <f>IF($H100="USD",IF(OR($L100="",$L100="-"),"",VLOOKUP($G100,為替!$A:$AX,$L100,FALSE))+$K$3,IF(OR($L100="",$L100="-"),"",VLOOKUP($G100,為替!$A:$AX,$L100,FALSE)))</f>
        <v/>
      </c>
      <c r="N100" s="205" t="str">
        <f t="shared" si="10"/>
        <v/>
      </c>
      <c r="O100" s="206" t="str">
        <f t="shared" si="6"/>
        <v/>
      </c>
      <c r="P100" s="207" t="str">
        <f t="shared" si="11"/>
        <v/>
      </c>
    </row>
    <row r="101" spans="3:16">
      <c r="C101" s="200"/>
      <c r="D101" s="201"/>
      <c r="E101" s="202"/>
      <c r="F101" s="200"/>
      <c r="H101" s="203"/>
      <c r="I101" s="186" t="str">
        <f t="shared" si="7"/>
        <v/>
      </c>
      <c r="J101" s="204" t="str">
        <f>IF($H101="USD",IF(OR($I101="",$I101="-"),"",VLOOKUP($G101,為替!$A:$AX,$I101,FALSE))+$J$3,IF(OR($I101="",$I101="-"),"",VLOOKUP($G101,為替!$A:$AX,$I101,FALSE)))</f>
        <v/>
      </c>
      <c r="K101" s="205" t="str">
        <f t="shared" si="8"/>
        <v/>
      </c>
      <c r="L101" s="189" t="str">
        <f t="shared" si="9"/>
        <v/>
      </c>
      <c r="M101" s="204" t="str">
        <f>IF($H101="USD",IF(OR($L101="",$L101="-"),"",VLOOKUP($G101,為替!$A:$AX,$L101,FALSE))+$K$3,IF(OR($L101="",$L101="-"),"",VLOOKUP($G101,為替!$A:$AX,$L101,FALSE)))</f>
        <v/>
      </c>
      <c r="N101" s="205" t="str">
        <f t="shared" si="10"/>
        <v/>
      </c>
      <c r="O101" s="206" t="str">
        <f t="shared" si="6"/>
        <v/>
      </c>
      <c r="P101" s="207" t="str">
        <f t="shared" si="11"/>
        <v/>
      </c>
    </row>
    <row r="102" spans="3:16">
      <c r="C102" s="200"/>
      <c r="D102" s="201"/>
      <c r="E102" s="202"/>
      <c r="F102" s="200"/>
      <c r="H102" s="203"/>
      <c r="I102" s="186" t="str">
        <f t="shared" si="7"/>
        <v/>
      </c>
      <c r="J102" s="204" t="str">
        <f>IF($H102="USD",IF(OR($I102="",$I102="-"),"",VLOOKUP($G102,為替!$A:$AX,$I102,FALSE))+$J$3,IF(OR($I102="",$I102="-"),"",VLOOKUP($G102,為替!$A:$AX,$I102,FALSE)))</f>
        <v/>
      </c>
      <c r="K102" s="205" t="str">
        <f t="shared" si="8"/>
        <v/>
      </c>
      <c r="L102" s="189" t="str">
        <f t="shared" si="9"/>
        <v/>
      </c>
      <c r="M102" s="204" t="str">
        <f>IF($H102="USD",IF(OR($L102="",$L102="-"),"",VLOOKUP($G102,為替!$A:$AX,$L102,FALSE))+$K$3,IF(OR($L102="",$L102="-"),"",VLOOKUP($G102,為替!$A:$AX,$L102,FALSE)))</f>
        <v/>
      </c>
      <c r="N102" s="205" t="str">
        <f t="shared" si="10"/>
        <v/>
      </c>
      <c r="O102" s="206" t="str">
        <f t="shared" si="6"/>
        <v/>
      </c>
      <c r="P102" s="207" t="str">
        <f t="shared" si="11"/>
        <v/>
      </c>
    </row>
    <row r="103" spans="3:16">
      <c r="C103" s="200"/>
      <c r="D103" s="201"/>
      <c r="E103" s="202"/>
      <c r="F103" s="200"/>
      <c r="H103" s="203"/>
      <c r="I103" s="186" t="str">
        <f t="shared" si="7"/>
        <v/>
      </c>
      <c r="J103" s="204" t="str">
        <f>IF($H103="USD",IF(OR($I103="",$I103="-"),"",VLOOKUP($G103,為替!$A:$AX,$I103,FALSE))+$J$3,IF(OR($I103="",$I103="-"),"",VLOOKUP($G103,為替!$A:$AX,$I103,FALSE)))</f>
        <v/>
      </c>
      <c r="K103" s="205" t="str">
        <f t="shared" si="8"/>
        <v/>
      </c>
      <c r="L103" s="189" t="str">
        <f t="shared" si="9"/>
        <v/>
      </c>
      <c r="M103" s="204" t="str">
        <f>IF($H103="USD",IF(OR($L103="",$L103="-"),"",VLOOKUP($G103,為替!$A:$AX,$L103,FALSE))+$K$3,IF(OR($L103="",$L103="-"),"",VLOOKUP($G103,為替!$A:$AX,$L103,FALSE)))</f>
        <v/>
      </c>
      <c r="N103" s="205" t="str">
        <f t="shared" si="10"/>
        <v/>
      </c>
      <c r="O103" s="206" t="str">
        <f t="shared" si="6"/>
        <v/>
      </c>
      <c r="P103" s="207" t="str">
        <f t="shared" si="11"/>
        <v/>
      </c>
    </row>
    <row r="104" spans="3:16">
      <c r="C104" s="200"/>
      <c r="D104" s="201"/>
      <c r="E104" s="202"/>
      <c r="F104" s="200"/>
      <c r="H104" s="203"/>
      <c r="I104" s="186" t="str">
        <f t="shared" si="7"/>
        <v/>
      </c>
      <c r="J104" s="204" t="str">
        <f>IF($H104="USD",IF(OR($I104="",$I104="-"),"",VLOOKUP($G104,為替!$A:$AX,$I104,FALSE))+$J$3,IF(OR($I104="",$I104="-"),"",VLOOKUP($G104,為替!$A:$AX,$I104,FALSE)))</f>
        <v/>
      </c>
      <c r="K104" s="205" t="str">
        <f t="shared" si="8"/>
        <v/>
      </c>
      <c r="L104" s="189" t="str">
        <f t="shared" si="9"/>
        <v/>
      </c>
      <c r="M104" s="204" t="str">
        <f>IF($H104="USD",IF(OR($L104="",$L104="-"),"",VLOOKUP($G104,為替!$A:$AX,$L104,FALSE))+$K$3,IF(OR($L104="",$L104="-"),"",VLOOKUP($G104,為替!$A:$AX,$L104,FALSE)))</f>
        <v/>
      </c>
      <c r="N104" s="205" t="str">
        <f t="shared" si="10"/>
        <v/>
      </c>
      <c r="O104" s="206" t="str">
        <f t="shared" si="6"/>
        <v/>
      </c>
      <c r="P104" s="207" t="str">
        <f t="shared" si="11"/>
        <v/>
      </c>
    </row>
    <row r="105" spans="3:16">
      <c r="C105" s="200"/>
      <c r="D105" s="201"/>
      <c r="E105" s="202"/>
      <c r="F105" s="200"/>
      <c r="H105" s="203"/>
      <c r="I105" s="186" t="str">
        <f t="shared" si="7"/>
        <v/>
      </c>
      <c r="J105" s="204" t="str">
        <f>IF($H105="USD",IF(OR($I105="",$I105="-"),"",VLOOKUP($G105,為替!$A:$AX,$I105,FALSE))+$J$3,IF(OR($I105="",$I105="-"),"",VLOOKUP($G105,為替!$A:$AX,$I105,FALSE)))</f>
        <v/>
      </c>
      <c r="K105" s="205" t="str">
        <f t="shared" si="8"/>
        <v/>
      </c>
      <c r="L105" s="189" t="str">
        <f t="shared" si="9"/>
        <v/>
      </c>
      <c r="M105" s="204" t="str">
        <f>IF($H105="USD",IF(OR($L105="",$L105="-"),"",VLOOKUP($G105,為替!$A:$AX,$L105,FALSE))+$K$3,IF(OR($L105="",$L105="-"),"",VLOOKUP($G105,為替!$A:$AX,$L105,FALSE)))</f>
        <v/>
      </c>
      <c r="N105" s="205" t="str">
        <f t="shared" si="10"/>
        <v/>
      </c>
      <c r="O105" s="206" t="str">
        <f t="shared" si="6"/>
        <v/>
      </c>
      <c r="P105" s="207" t="str">
        <f t="shared" si="11"/>
        <v/>
      </c>
    </row>
    <row r="106" spans="3:16">
      <c r="C106" s="200"/>
      <c r="D106" s="201"/>
      <c r="E106" s="202"/>
      <c r="F106" s="200"/>
      <c r="H106" s="203"/>
      <c r="I106" s="186" t="str">
        <f t="shared" si="7"/>
        <v/>
      </c>
      <c r="J106" s="204" t="str">
        <f>IF($H106="USD",IF(OR($I106="",$I106="-"),"",VLOOKUP($G106,為替!$A:$AX,$I106,FALSE))+$J$3,IF(OR($I106="",$I106="-"),"",VLOOKUP($G106,為替!$A:$AX,$I106,FALSE)))</f>
        <v/>
      </c>
      <c r="K106" s="205" t="str">
        <f t="shared" si="8"/>
        <v/>
      </c>
      <c r="L106" s="189" t="str">
        <f t="shared" si="9"/>
        <v/>
      </c>
      <c r="M106" s="204" t="str">
        <f>IF($H106="USD",IF(OR($L106="",$L106="-"),"",VLOOKUP($G106,為替!$A:$AX,$L106,FALSE))+$K$3,IF(OR($L106="",$L106="-"),"",VLOOKUP($G106,為替!$A:$AX,$L106,FALSE)))</f>
        <v/>
      </c>
      <c r="N106" s="205" t="str">
        <f t="shared" si="10"/>
        <v/>
      </c>
      <c r="O106" s="206" t="str">
        <f t="shared" si="6"/>
        <v/>
      </c>
      <c r="P106" s="207" t="str">
        <f t="shared" si="11"/>
        <v/>
      </c>
    </row>
    <row r="107" spans="3:16">
      <c r="C107" s="200"/>
      <c r="D107" s="201"/>
      <c r="E107" s="202"/>
      <c r="F107" s="200"/>
      <c r="H107" s="203"/>
      <c r="I107" s="186" t="str">
        <f t="shared" si="7"/>
        <v/>
      </c>
      <c r="J107" s="204" t="str">
        <f>IF($H107="USD",IF(OR($I107="",$I107="-"),"",VLOOKUP($G107,為替!$A:$AX,$I107,FALSE))+$J$3,IF(OR($I107="",$I107="-"),"",VLOOKUP($G107,為替!$A:$AX,$I107,FALSE)))</f>
        <v/>
      </c>
      <c r="K107" s="205" t="str">
        <f t="shared" si="8"/>
        <v/>
      </c>
      <c r="L107" s="189" t="str">
        <f t="shared" si="9"/>
        <v/>
      </c>
      <c r="M107" s="204" t="str">
        <f>IF($H107="USD",IF(OR($L107="",$L107="-"),"",VLOOKUP($G107,為替!$A:$AX,$L107,FALSE))+$K$3,IF(OR($L107="",$L107="-"),"",VLOOKUP($G107,為替!$A:$AX,$L107,FALSE)))</f>
        <v/>
      </c>
      <c r="N107" s="205" t="str">
        <f t="shared" si="10"/>
        <v/>
      </c>
      <c r="O107" s="206" t="str">
        <f t="shared" si="6"/>
        <v/>
      </c>
      <c r="P107" s="207" t="str">
        <f t="shared" si="11"/>
        <v/>
      </c>
    </row>
    <row r="108" spans="3:16">
      <c r="C108" s="200"/>
      <c r="D108" s="201"/>
      <c r="E108" s="202"/>
      <c r="F108" s="200"/>
      <c r="H108" s="203"/>
      <c r="I108" s="186" t="str">
        <f t="shared" si="7"/>
        <v/>
      </c>
      <c r="J108" s="204" t="str">
        <f>IF($H108="USD",IF(OR($I108="",$I108="-"),"",VLOOKUP($G108,為替!$A:$AX,$I108,FALSE))+$J$3,IF(OR($I108="",$I108="-"),"",VLOOKUP($G108,為替!$A:$AX,$I108,FALSE)))</f>
        <v/>
      </c>
      <c r="K108" s="205" t="str">
        <f t="shared" si="8"/>
        <v/>
      </c>
      <c r="L108" s="189" t="str">
        <f t="shared" si="9"/>
        <v/>
      </c>
      <c r="M108" s="204" t="str">
        <f>IF($H108="USD",IF(OR($L108="",$L108="-"),"",VLOOKUP($G108,為替!$A:$AX,$L108,FALSE))+$K$3,IF(OR($L108="",$L108="-"),"",VLOOKUP($G108,為替!$A:$AX,$L108,FALSE)))</f>
        <v/>
      </c>
      <c r="N108" s="205" t="str">
        <f t="shared" si="10"/>
        <v/>
      </c>
      <c r="O108" s="206" t="str">
        <f t="shared" si="6"/>
        <v/>
      </c>
      <c r="P108" s="207" t="str">
        <f t="shared" si="11"/>
        <v/>
      </c>
    </row>
    <row r="109" spans="3:16">
      <c r="C109" s="200"/>
      <c r="D109" s="201"/>
      <c r="E109" s="202"/>
      <c r="F109" s="200"/>
      <c r="H109" s="203"/>
      <c r="I109" s="186" t="str">
        <f t="shared" si="7"/>
        <v/>
      </c>
      <c r="J109" s="204" t="str">
        <f>IF($H109="USD",IF(OR($I109="",$I109="-"),"",VLOOKUP($G109,為替!$A:$AX,$I109,FALSE))+$J$3,IF(OR($I109="",$I109="-"),"",VLOOKUP($G109,為替!$A:$AX,$I109,FALSE)))</f>
        <v/>
      </c>
      <c r="K109" s="205" t="str">
        <f t="shared" si="8"/>
        <v/>
      </c>
      <c r="L109" s="189" t="str">
        <f t="shared" si="9"/>
        <v/>
      </c>
      <c r="M109" s="204" t="str">
        <f>IF($H109="USD",IF(OR($L109="",$L109="-"),"",VLOOKUP($G109,為替!$A:$AX,$L109,FALSE))+$K$3,IF(OR($L109="",$L109="-"),"",VLOOKUP($G109,為替!$A:$AX,$L109,FALSE)))</f>
        <v/>
      </c>
      <c r="N109" s="205" t="str">
        <f t="shared" si="10"/>
        <v/>
      </c>
      <c r="O109" s="206" t="str">
        <f t="shared" si="6"/>
        <v/>
      </c>
      <c r="P109" s="207" t="str">
        <f t="shared" si="11"/>
        <v/>
      </c>
    </row>
    <row r="110" spans="3:16">
      <c r="C110" s="200"/>
      <c r="D110" s="201"/>
      <c r="E110" s="202"/>
      <c r="F110" s="200"/>
      <c r="H110" s="203"/>
      <c r="I110" s="186" t="str">
        <f t="shared" si="7"/>
        <v/>
      </c>
      <c r="J110" s="204" t="str">
        <f>IF($H110="USD",IF(OR($I110="",$I110="-"),"",VLOOKUP($G110,為替!$A:$AX,$I110,FALSE))+$J$3,IF(OR($I110="",$I110="-"),"",VLOOKUP($G110,為替!$A:$AX,$I110,FALSE)))</f>
        <v/>
      </c>
      <c r="K110" s="205" t="str">
        <f t="shared" si="8"/>
        <v/>
      </c>
      <c r="L110" s="189" t="str">
        <f t="shared" si="9"/>
        <v/>
      </c>
      <c r="M110" s="204" t="str">
        <f>IF($H110="USD",IF(OR($L110="",$L110="-"),"",VLOOKUP($G110,為替!$A:$AX,$L110,FALSE))+$K$3,IF(OR($L110="",$L110="-"),"",VLOOKUP($G110,為替!$A:$AX,$L110,FALSE)))</f>
        <v/>
      </c>
      <c r="N110" s="205" t="str">
        <f t="shared" si="10"/>
        <v/>
      </c>
      <c r="O110" s="206" t="str">
        <f t="shared" si="6"/>
        <v/>
      </c>
      <c r="P110" s="207" t="str">
        <f t="shared" si="11"/>
        <v/>
      </c>
    </row>
    <row r="111" spans="3:16">
      <c r="C111" s="200"/>
      <c r="D111" s="201"/>
      <c r="E111" s="202"/>
      <c r="F111" s="200"/>
      <c r="H111" s="203"/>
      <c r="I111" s="186" t="str">
        <f t="shared" si="7"/>
        <v/>
      </c>
      <c r="J111" s="204" t="str">
        <f>IF($H111="USD",IF(OR($I111="",$I111="-"),"",VLOOKUP($G111,為替!$A:$AX,$I111,FALSE))+$J$3,IF(OR($I111="",$I111="-"),"",VLOOKUP($G111,為替!$A:$AX,$I111,FALSE)))</f>
        <v/>
      </c>
      <c r="K111" s="205" t="str">
        <f t="shared" si="8"/>
        <v/>
      </c>
      <c r="L111" s="189" t="str">
        <f t="shared" si="9"/>
        <v/>
      </c>
      <c r="M111" s="204" t="str">
        <f>IF($H111="USD",IF(OR($L111="",$L111="-"),"",VLOOKUP($G111,為替!$A:$AX,$L111,FALSE))+$K$3,IF(OR($L111="",$L111="-"),"",VLOOKUP($G111,為替!$A:$AX,$L111,FALSE)))</f>
        <v/>
      </c>
      <c r="N111" s="205" t="str">
        <f t="shared" si="10"/>
        <v/>
      </c>
      <c r="O111" s="206" t="str">
        <f t="shared" si="6"/>
        <v/>
      </c>
      <c r="P111" s="207" t="str">
        <f t="shared" si="11"/>
        <v/>
      </c>
    </row>
    <row r="112" spans="3:16">
      <c r="C112" s="200"/>
      <c r="D112" s="201"/>
      <c r="E112" s="202"/>
      <c r="F112" s="200"/>
      <c r="H112" s="203"/>
      <c r="I112" s="186" t="str">
        <f t="shared" si="7"/>
        <v/>
      </c>
      <c r="J112" s="204" t="str">
        <f>IF($H112="USD",IF(OR($I112="",$I112="-"),"",VLOOKUP($G112,為替!$A:$AX,$I112,FALSE))+$J$3,IF(OR($I112="",$I112="-"),"",VLOOKUP($G112,為替!$A:$AX,$I112,FALSE)))</f>
        <v/>
      </c>
      <c r="K112" s="205" t="str">
        <f t="shared" si="8"/>
        <v/>
      </c>
      <c r="L112" s="189" t="str">
        <f t="shared" si="9"/>
        <v/>
      </c>
      <c r="M112" s="204" t="str">
        <f>IF($H112="USD",IF(OR($L112="",$L112="-"),"",VLOOKUP($G112,為替!$A:$AX,$L112,FALSE))+$K$3,IF(OR($L112="",$L112="-"),"",VLOOKUP($G112,為替!$A:$AX,$L112,FALSE)))</f>
        <v/>
      </c>
      <c r="N112" s="205" t="str">
        <f t="shared" si="10"/>
        <v/>
      </c>
      <c r="O112" s="206" t="str">
        <f t="shared" si="6"/>
        <v/>
      </c>
      <c r="P112" s="207" t="str">
        <f t="shared" si="11"/>
        <v/>
      </c>
    </row>
    <row r="113" spans="3:16">
      <c r="C113" s="200"/>
      <c r="D113" s="201"/>
      <c r="E113" s="202"/>
      <c r="F113" s="200"/>
      <c r="H113" s="203"/>
      <c r="I113" s="186" t="str">
        <f t="shared" si="7"/>
        <v/>
      </c>
      <c r="J113" s="204" t="str">
        <f>IF($H113="USD",IF(OR($I113="",$I113="-"),"",VLOOKUP($G113,為替!$A:$AX,$I113,FALSE))+$J$3,IF(OR($I113="",$I113="-"),"",VLOOKUP($G113,為替!$A:$AX,$I113,FALSE)))</f>
        <v/>
      </c>
      <c r="K113" s="205" t="str">
        <f t="shared" si="8"/>
        <v/>
      </c>
      <c r="L113" s="189" t="str">
        <f t="shared" si="9"/>
        <v/>
      </c>
      <c r="M113" s="204" t="str">
        <f>IF($H113="USD",IF(OR($L113="",$L113="-"),"",VLOOKUP($G113,為替!$A:$AX,$L113,FALSE))+$K$3,IF(OR($L113="",$L113="-"),"",VLOOKUP($G113,為替!$A:$AX,$L113,FALSE)))</f>
        <v/>
      </c>
      <c r="N113" s="205" t="str">
        <f t="shared" si="10"/>
        <v/>
      </c>
      <c r="O113" s="206" t="str">
        <f t="shared" si="6"/>
        <v/>
      </c>
      <c r="P113" s="207" t="str">
        <f t="shared" si="11"/>
        <v/>
      </c>
    </row>
    <row r="114" spans="3:16">
      <c r="C114" s="200"/>
      <c r="D114" s="201"/>
      <c r="E114" s="202"/>
      <c r="F114" s="200"/>
      <c r="H114" s="203"/>
      <c r="I114" s="186" t="str">
        <f t="shared" si="7"/>
        <v/>
      </c>
      <c r="J114" s="204" t="str">
        <f>IF($H114="USD",IF(OR($I114="",$I114="-"),"",VLOOKUP($G114,為替!$A:$AX,$I114,FALSE))+$J$3,IF(OR($I114="",$I114="-"),"",VLOOKUP($G114,為替!$A:$AX,$I114,FALSE)))</f>
        <v/>
      </c>
      <c r="K114" s="205" t="str">
        <f t="shared" si="8"/>
        <v/>
      </c>
      <c r="L114" s="189" t="str">
        <f t="shared" si="9"/>
        <v/>
      </c>
      <c r="M114" s="204" t="str">
        <f>IF($H114="USD",IF(OR($L114="",$L114="-"),"",VLOOKUP($G114,為替!$A:$AX,$L114,FALSE))+$K$3,IF(OR($L114="",$L114="-"),"",VLOOKUP($G114,為替!$A:$AX,$L114,FALSE)))</f>
        <v/>
      </c>
      <c r="N114" s="205" t="str">
        <f t="shared" si="10"/>
        <v/>
      </c>
      <c r="O114" s="206" t="str">
        <f t="shared" si="6"/>
        <v/>
      </c>
      <c r="P114" s="207" t="str">
        <f t="shared" si="11"/>
        <v/>
      </c>
    </row>
    <row r="115" spans="3:16">
      <c r="C115" s="200"/>
      <c r="D115" s="201"/>
      <c r="E115" s="202"/>
      <c r="F115" s="200"/>
      <c r="H115" s="203"/>
      <c r="I115" s="186" t="str">
        <f t="shared" si="7"/>
        <v/>
      </c>
      <c r="J115" s="204" t="str">
        <f>IF($H115="USD",IF(OR($I115="",$I115="-"),"",VLOOKUP($G115,為替!$A:$AX,$I115,FALSE))+$J$3,IF(OR($I115="",$I115="-"),"",VLOOKUP($G115,為替!$A:$AX,$I115,FALSE)))</f>
        <v/>
      </c>
      <c r="K115" s="205" t="str">
        <f t="shared" si="8"/>
        <v/>
      </c>
      <c r="L115" s="189" t="str">
        <f t="shared" si="9"/>
        <v/>
      </c>
      <c r="M115" s="204" t="str">
        <f>IF($H115="USD",IF(OR($L115="",$L115="-"),"",VLOOKUP($G115,為替!$A:$AX,$L115,FALSE))+$K$3,IF(OR($L115="",$L115="-"),"",VLOOKUP($G115,為替!$A:$AX,$L115,FALSE)))</f>
        <v/>
      </c>
      <c r="N115" s="205" t="str">
        <f t="shared" si="10"/>
        <v/>
      </c>
      <c r="O115" s="206" t="str">
        <f t="shared" si="6"/>
        <v/>
      </c>
      <c r="P115" s="207" t="str">
        <f t="shared" si="11"/>
        <v/>
      </c>
    </row>
    <row r="116" spans="3:16">
      <c r="C116" s="200"/>
      <c r="D116" s="201"/>
      <c r="E116" s="202"/>
      <c r="F116" s="200"/>
      <c r="H116" s="203"/>
      <c r="I116" s="186" t="str">
        <f t="shared" si="7"/>
        <v/>
      </c>
      <c r="J116" s="204" t="str">
        <f>IF($H116="USD",IF(OR($I116="",$I116="-"),"",VLOOKUP($G116,為替!$A:$AX,$I116,FALSE))+$J$3,IF(OR($I116="",$I116="-"),"",VLOOKUP($G116,為替!$A:$AX,$I116,FALSE)))</f>
        <v/>
      </c>
      <c r="K116" s="205" t="str">
        <f t="shared" si="8"/>
        <v/>
      </c>
      <c r="L116" s="189" t="str">
        <f t="shared" si="9"/>
        <v/>
      </c>
      <c r="M116" s="204" t="str">
        <f>IF($H116="USD",IF(OR($L116="",$L116="-"),"",VLOOKUP($G116,為替!$A:$AX,$L116,FALSE))+$K$3,IF(OR($L116="",$L116="-"),"",VLOOKUP($G116,為替!$A:$AX,$L116,FALSE)))</f>
        <v/>
      </c>
      <c r="N116" s="205" t="str">
        <f t="shared" si="10"/>
        <v/>
      </c>
      <c r="O116" s="206" t="str">
        <f t="shared" si="6"/>
        <v/>
      </c>
      <c r="P116" s="207" t="str">
        <f t="shared" si="11"/>
        <v/>
      </c>
    </row>
    <row r="117" spans="3:16">
      <c r="C117" s="200"/>
      <c r="D117" s="201"/>
      <c r="E117" s="202"/>
      <c r="F117" s="200"/>
      <c r="H117" s="203"/>
      <c r="I117" s="186" t="str">
        <f t="shared" si="7"/>
        <v/>
      </c>
      <c r="J117" s="204" t="str">
        <f>IF($H117="USD",IF(OR($I117="",$I117="-"),"",VLOOKUP($G117,為替!$A:$AX,$I117,FALSE))+$J$3,IF(OR($I117="",$I117="-"),"",VLOOKUP($G117,為替!$A:$AX,$I117,FALSE)))</f>
        <v/>
      </c>
      <c r="K117" s="205" t="str">
        <f t="shared" si="8"/>
        <v/>
      </c>
      <c r="L117" s="189" t="str">
        <f t="shared" si="9"/>
        <v/>
      </c>
      <c r="M117" s="204" t="str">
        <f>IF($H117="USD",IF(OR($L117="",$L117="-"),"",VLOOKUP($G117,為替!$A:$AX,$L117,FALSE))+$K$3,IF(OR($L117="",$L117="-"),"",VLOOKUP($G117,為替!$A:$AX,$L117,FALSE)))</f>
        <v/>
      </c>
      <c r="N117" s="205" t="str">
        <f t="shared" si="10"/>
        <v/>
      </c>
      <c r="O117" s="206" t="str">
        <f t="shared" si="6"/>
        <v/>
      </c>
      <c r="P117" s="207" t="str">
        <f t="shared" si="11"/>
        <v/>
      </c>
    </row>
    <row r="118" spans="3:16">
      <c r="C118" s="200"/>
      <c r="D118" s="201"/>
      <c r="E118" s="202"/>
      <c r="F118" s="200"/>
      <c r="H118" s="203"/>
      <c r="I118" s="186" t="str">
        <f t="shared" si="7"/>
        <v/>
      </c>
      <c r="J118" s="204" t="str">
        <f>IF($H118="USD",IF(OR($I118="",$I118="-"),"",VLOOKUP($G118,為替!$A:$AX,$I118,FALSE))+$J$3,IF(OR($I118="",$I118="-"),"",VLOOKUP($G118,為替!$A:$AX,$I118,FALSE)))</f>
        <v/>
      </c>
      <c r="K118" s="205" t="str">
        <f t="shared" si="8"/>
        <v/>
      </c>
      <c r="L118" s="189" t="str">
        <f t="shared" si="9"/>
        <v/>
      </c>
      <c r="M118" s="204" t="str">
        <f>IF($H118="USD",IF(OR($L118="",$L118="-"),"",VLOOKUP($G118,為替!$A:$AX,$L118,FALSE))+$K$3,IF(OR($L118="",$L118="-"),"",VLOOKUP($G118,為替!$A:$AX,$L118,FALSE)))</f>
        <v/>
      </c>
      <c r="N118" s="205" t="str">
        <f t="shared" si="10"/>
        <v/>
      </c>
      <c r="O118" s="206" t="str">
        <f t="shared" si="6"/>
        <v/>
      </c>
      <c r="P118" s="207" t="str">
        <f t="shared" si="11"/>
        <v/>
      </c>
    </row>
    <row r="119" spans="3:16">
      <c r="C119" s="200"/>
      <c r="D119" s="201"/>
      <c r="E119" s="202"/>
      <c r="F119" s="200"/>
      <c r="H119" s="203"/>
      <c r="I119" s="186" t="str">
        <f t="shared" si="7"/>
        <v/>
      </c>
      <c r="J119" s="204" t="str">
        <f>IF($H119="USD",IF(OR($I119="",$I119="-"),"",VLOOKUP($G119,為替!$A:$AX,$I119,FALSE))+$J$3,IF(OR($I119="",$I119="-"),"",VLOOKUP($G119,為替!$A:$AX,$I119,FALSE)))</f>
        <v/>
      </c>
      <c r="K119" s="205" t="str">
        <f t="shared" si="8"/>
        <v/>
      </c>
      <c r="L119" s="189" t="str">
        <f t="shared" si="9"/>
        <v/>
      </c>
      <c r="M119" s="204" t="str">
        <f>IF($H119="USD",IF(OR($L119="",$L119="-"),"",VLOOKUP($G119,為替!$A:$AX,$L119,FALSE))+$K$3,IF(OR($L119="",$L119="-"),"",VLOOKUP($G119,為替!$A:$AX,$L119,FALSE)))</f>
        <v/>
      </c>
      <c r="N119" s="205" t="str">
        <f t="shared" si="10"/>
        <v/>
      </c>
      <c r="O119" s="206" t="str">
        <f t="shared" si="6"/>
        <v/>
      </c>
      <c r="P119" s="207" t="str">
        <f t="shared" si="11"/>
        <v/>
      </c>
    </row>
    <row r="120" spans="3:16">
      <c r="C120" s="200"/>
      <c r="D120" s="201"/>
      <c r="E120" s="202"/>
      <c r="F120" s="200"/>
      <c r="H120" s="203"/>
      <c r="I120" s="186" t="str">
        <f t="shared" si="7"/>
        <v/>
      </c>
      <c r="J120" s="204" t="str">
        <f>IF($H120="USD",IF(OR($I120="",$I120="-"),"",VLOOKUP($G120,為替!$A:$AX,$I120,FALSE))+$J$3,IF(OR($I120="",$I120="-"),"",VLOOKUP($G120,為替!$A:$AX,$I120,FALSE)))</f>
        <v/>
      </c>
      <c r="K120" s="205" t="str">
        <f t="shared" si="8"/>
        <v/>
      </c>
      <c r="L120" s="189" t="str">
        <f t="shared" si="9"/>
        <v/>
      </c>
      <c r="M120" s="204" t="str">
        <f>IF($H120="USD",IF(OR($L120="",$L120="-"),"",VLOOKUP($G120,為替!$A:$AX,$L120,FALSE))+$K$3,IF(OR($L120="",$L120="-"),"",VLOOKUP($G120,為替!$A:$AX,$L120,FALSE)))</f>
        <v/>
      </c>
      <c r="N120" s="205" t="str">
        <f t="shared" si="10"/>
        <v/>
      </c>
      <c r="O120" s="206" t="str">
        <f t="shared" si="6"/>
        <v/>
      </c>
      <c r="P120" s="207" t="str">
        <f t="shared" si="11"/>
        <v/>
      </c>
    </row>
    <row r="121" spans="3:16">
      <c r="C121" s="200"/>
      <c r="D121" s="201"/>
      <c r="E121" s="202"/>
      <c r="F121" s="200"/>
      <c r="H121" s="203"/>
      <c r="I121" s="186" t="str">
        <f t="shared" si="7"/>
        <v/>
      </c>
      <c r="J121" s="204" t="str">
        <f>IF($H121="USD",IF(OR($I121="",$I121="-"),"",VLOOKUP($G121,為替!$A:$AX,$I121,FALSE))+$J$3,IF(OR($I121="",$I121="-"),"",VLOOKUP($G121,為替!$A:$AX,$I121,FALSE)))</f>
        <v/>
      </c>
      <c r="K121" s="205" t="str">
        <f t="shared" si="8"/>
        <v/>
      </c>
      <c r="L121" s="189" t="str">
        <f t="shared" si="9"/>
        <v/>
      </c>
      <c r="M121" s="204" t="str">
        <f>IF($H121="USD",IF(OR($L121="",$L121="-"),"",VLOOKUP($G121,為替!$A:$AX,$L121,FALSE))+$K$3,IF(OR($L121="",$L121="-"),"",VLOOKUP($G121,為替!$A:$AX,$L121,FALSE)))</f>
        <v/>
      </c>
      <c r="N121" s="205" t="str">
        <f t="shared" si="10"/>
        <v/>
      </c>
      <c r="O121" s="206" t="str">
        <f t="shared" si="6"/>
        <v/>
      </c>
      <c r="P121" s="207" t="str">
        <f t="shared" si="11"/>
        <v/>
      </c>
    </row>
    <row r="122" spans="3:16">
      <c r="C122" s="200"/>
      <c r="D122" s="201"/>
      <c r="E122" s="202"/>
      <c r="F122" s="200"/>
      <c r="H122" s="203"/>
      <c r="I122" s="186" t="str">
        <f t="shared" si="7"/>
        <v/>
      </c>
      <c r="J122" s="204" t="str">
        <f>IF($H122="USD",IF(OR($I122="",$I122="-"),"",VLOOKUP($G122,為替!$A:$AX,$I122,FALSE))+$J$3,IF(OR($I122="",$I122="-"),"",VLOOKUP($G122,為替!$A:$AX,$I122,FALSE)))</f>
        <v/>
      </c>
      <c r="K122" s="205" t="str">
        <f t="shared" si="8"/>
        <v/>
      </c>
      <c r="L122" s="189" t="str">
        <f t="shared" si="9"/>
        <v/>
      </c>
      <c r="M122" s="204" t="str">
        <f>IF($H122="USD",IF(OR($L122="",$L122="-"),"",VLOOKUP($G122,為替!$A:$AX,$L122,FALSE))+$K$3,IF(OR($L122="",$L122="-"),"",VLOOKUP($G122,為替!$A:$AX,$L122,FALSE)))</f>
        <v/>
      </c>
      <c r="N122" s="205" t="str">
        <f t="shared" si="10"/>
        <v/>
      </c>
      <c r="O122" s="206" t="str">
        <f t="shared" si="6"/>
        <v/>
      </c>
      <c r="P122" s="207" t="str">
        <f t="shared" si="11"/>
        <v/>
      </c>
    </row>
    <row r="123" spans="3:16">
      <c r="C123" s="200"/>
      <c r="D123" s="201"/>
      <c r="E123" s="202"/>
      <c r="F123" s="200"/>
      <c r="H123" s="203"/>
      <c r="I123" s="186" t="str">
        <f t="shared" si="7"/>
        <v/>
      </c>
      <c r="J123" s="204" t="str">
        <f>IF($H123="USD",IF(OR($I123="",$I123="-"),"",VLOOKUP($G123,為替!$A:$AX,$I123,FALSE))+$J$3,IF(OR($I123="",$I123="-"),"",VLOOKUP($G123,為替!$A:$AX,$I123,FALSE)))</f>
        <v/>
      </c>
      <c r="K123" s="205" t="str">
        <f t="shared" si="8"/>
        <v/>
      </c>
      <c r="L123" s="189" t="str">
        <f t="shared" si="9"/>
        <v/>
      </c>
      <c r="M123" s="204" t="str">
        <f>IF($H123="USD",IF(OR($L123="",$L123="-"),"",VLOOKUP($G123,為替!$A:$AX,$L123,FALSE))+$K$3,IF(OR($L123="",$L123="-"),"",VLOOKUP($G123,為替!$A:$AX,$L123,FALSE)))</f>
        <v/>
      </c>
      <c r="N123" s="205" t="str">
        <f t="shared" si="10"/>
        <v/>
      </c>
      <c r="O123" s="206" t="str">
        <f t="shared" si="6"/>
        <v/>
      </c>
      <c r="P123" s="207" t="str">
        <f t="shared" si="11"/>
        <v/>
      </c>
    </row>
    <row r="124" spans="3:16">
      <c r="C124" s="200"/>
      <c r="D124" s="201"/>
      <c r="E124" s="202"/>
      <c r="F124" s="200"/>
      <c r="H124" s="203"/>
      <c r="I124" s="186" t="str">
        <f t="shared" si="7"/>
        <v/>
      </c>
      <c r="J124" s="204" t="str">
        <f>IF($H124="USD",IF(OR($I124="",$I124="-"),"",VLOOKUP($G124,為替!$A:$AX,$I124,FALSE))+$J$3,IF(OR($I124="",$I124="-"),"",VLOOKUP($G124,為替!$A:$AX,$I124,FALSE)))</f>
        <v/>
      </c>
      <c r="K124" s="205" t="str">
        <f t="shared" si="8"/>
        <v/>
      </c>
      <c r="L124" s="189" t="str">
        <f t="shared" si="9"/>
        <v/>
      </c>
      <c r="M124" s="204" t="str">
        <f>IF($H124="USD",IF(OR($L124="",$L124="-"),"",VLOOKUP($G124,為替!$A:$AX,$L124,FALSE))+$K$3,IF(OR($L124="",$L124="-"),"",VLOOKUP($G124,為替!$A:$AX,$L124,FALSE)))</f>
        <v/>
      </c>
      <c r="N124" s="205" t="str">
        <f t="shared" si="10"/>
        <v/>
      </c>
      <c r="O124" s="206" t="str">
        <f t="shared" si="6"/>
        <v/>
      </c>
      <c r="P124" s="207" t="str">
        <f t="shared" si="11"/>
        <v/>
      </c>
    </row>
    <row r="125" spans="3:16">
      <c r="C125" s="200"/>
      <c r="D125" s="201"/>
      <c r="E125" s="202"/>
      <c r="F125" s="200"/>
      <c r="H125" s="203"/>
      <c r="I125" s="186" t="str">
        <f t="shared" si="7"/>
        <v/>
      </c>
      <c r="J125" s="204" t="str">
        <f>IF($H125="USD",IF(OR($I125="",$I125="-"),"",VLOOKUP($G125,為替!$A:$AX,$I125,FALSE))+$J$3,IF(OR($I125="",$I125="-"),"",VLOOKUP($G125,為替!$A:$AX,$I125,FALSE)))</f>
        <v/>
      </c>
      <c r="K125" s="205" t="str">
        <f t="shared" si="8"/>
        <v/>
      </c>
      <c r="L125" s="189" t="str">
        <f t="shared" si="9"/>
        <v/>
      </c>
      <c r="M125" s="204" t="str">
        <f>IF($H125="USD",IF(OR($L125="",$L125="-"),"",VLOOKUP($G125,為替!$A:$AX,$L125,FALSE))+$K$3,IF(OR($L125="",$L125="-"),"",VLOOKUP($G125,為替!$A:$AX,$L125,FALSE)))</f>
        <v/>
      </c>
      <c r="N125" s="205" t="str">
        <f t="shared" si="10"/>
        <v/>
      </c>
      <c r="O125" s="206" t="str">
        <f t="shared" si="6"/>
        <v/>
      </c>
      <c r="P125" s="207" t="str">
        <f t="shared" si="11"/>
        <v/>
      </c>
    </row>
    <row r="126" spans="3:16">
      <c r="C126" s="200"/>
      <c r="D126" s="201"/>
      <c r="E126" s="202"/>
      <c r="F126" s="200"/>
      <c r="H126" s="203"/>
      <c r="I126" s="186" t="str">
        <f t="shared" si="7"/>
        <v/>
      </c>
      <c r="J126" s="204" t="str">
        <f>IF($H126="USD",IF(OR($I126="",$I126="-"),"",VLOOKUP($G126,為替!$A:$AX,$I126,FALSE))+$J$3,IF(OR($I126="",$I126="-"),"",VLOOKUP($G126,為替!$A:$AX,$I126,FALSE)))</f>
        <v/>
      </c>
      <c r="K126" s="205" t="str">
        <f t="shared" si="8"/>
        <v/>
      </c>
      <c r="L126" s="189" t="str">
        <f t="shared" si="9"/>
        <v/>
      </c>
      <c r="M126" s="204" t="str">
        <f>IF($H126="USD",IF(OR($L126="",$L126="-"),"",VLOOKUP($G126,為替!$A:$AX,$L126,FALSE))+$K$3,IF(OR($L126="",$L126="-"),"",VLOOKUP($G126,為替!$A:$AX,$L126,FALSE)))</f>
        <v/>
      </c>
      <c r="N126" s="205" t="str">
        <f t="shared" si="10"/>
        <v/>
      </c>
      <c r="O126" s="206" t="str">
        <f t="shared" si="6"/>
        <v/>
      </c>
      <c r="P126" s="207" t="str">
        <f t="shared" si="11"/>
        <v/>
      </c>
    </row>
    <row r="127" spans="3:16">
      <c r="C127" s="200"/>
      <c r="D127" s="201"/>
      <c r="E127" s="202"/>
      <c r="F127" s="200"/>
      <c r="H127" s="203"/>
      <c r="I127" s="186" t="str">
        <f t="shared" si="7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 t="str">
        <f t="shared" si="8"/>
        <v/>
      </c>
      <c r="L127" s="189" t="str">
        <f t="shared" si="9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 t="str">
        <f t="shared" si="10"/>
        <v/>
      </c>
      <c r="O127" s="206" t="str">
        <f t="shared" si="6"/>
        <v/>
      </c>
      <c r="P127" s="207" t="str">
        <f t="shared" si="11"/>
        <v/>
      </c>
    </row>
    <row r="128" spans="3:16">
      <c r="C128" s="200"/>
      <c r="D128" s="201"/>
      <c r="E128" s="202"/>
      <c r="F128" s="200"/>
      <c r="H128" s="203"/>
      <c r="I128" s="186" t="str">
        <f t="shared" si="7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 t="str">
        <f t="shared" si="8"/>
        <v/>
      </c>
      <c r="L128" s="189" t="str">
        <f t="shared" si="9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 t="str">
        <f t="shared" si="10"/>
        <v/>
      </c>
      <c r="O128" s="206" t="str">
        <f t="shared" si="6"/>
        <v/>
      </c>
      <c r="P128" s="207" t="str">
        <f t="shared" si="11"/>
        <v/>
      </c>
    </row>
    <row r="129" spans="3:16">
      <c r="C129" s="200"/>
      <c r="D129" s="201"/>
      <c r="E129" s="202"/>
      <c r="F129" s="200"/>
      <c r="H129" s="203"/>
      <c r="I129" s="186" t="str">
        <f t="shared" si="7"/>
        <v/>
      </c>
      <c r="J129" s="204" t="str">
        <f>IF($H129="USD",IF(OR($I129="",$I129="-"),"",VLOOKUP($G129,為替!$A:$AX,$I129,FALSE))+$J$3,IF(OR($I129="",$I129="-"),"",VLOOKUP($G129,為替!$A:$AX,$I129,FALSE)))</f>
        <v/>
      </c>
      <c r="K129" s="205" t="str">
        <f t="shared" si="8"/>
        <v/>
      </c>
      <c r="L129" s="189" t="str">
        <f t="shared" si="9"/>
        <v/>
      </c>
      <c r="M129" s="204" t="str">
        <f>IF($H129="USD",IF(OR($L129="",$L129="-"),"",VLOOKUP($G129,為替!$A:$AX,$L129,FALSE))+$K$3,IF(OR($L129="",$L129="-"),"",VLOOKUP($G129,為替!$A:$AX,$L129,FALSE)))</f>
        <v/>
      </c>
      <c r="N129" s="205" t="str">
        <f t="shared" si="10"/>
        <v/>
      </c>
      <c r="O129" s="206" t="str">
        <f t="shared" si="6"/>
        <v/>
      </c>
      <c r="P129" s="207" t="str">
        <f t="shared" si="11"/>
        <v/>
      </c>
    </row>
    <row r="130" spans="3:16">
      <c r="C130" s="200"/>
      <c r="D130" s="201"/>
      <c r="E130" s="202"/>
      <c r="F130" s="200"/>
      <c r="H130" s="203"/>
      <c r="I130" s="186" t="str">
        <f t="shared" si="7"/>
        <v/>
      </c>
      <c r="J130" s="204" t="str">
        <f>IF($H130="USD",IF(OR($I130="",$I130="-"),"",VLOOKUP($G130,為替!$A:$AX,$I130,FALSE))+$J$3,IF(OR($I130="",$I130="-"),"",VLOOKUP($G130,為替!$A:$AX,$I130,FALSE)))</f>
        <v/>
      </c>
      <c r="K130" s="205" t="str">
        <f t="shared" si="8"/>
        <v/>
      </c>
      <c r="L130" s="189" t="str">
        <f t="shared" si="9"/>
        <v/>
      </c>
      <c r="M130" s="204" t="str">
        <f>IF($H130="USD",IF(OR($L130="",$L130="-"),"",VLOOKUP($G130,為替!$A:$AX,$L130,FALSE))+$K$3,IF(OR($L130="",$L130="-"),"",VLOOKUP($G130,為替!$A:$AX,$L130,FALSE)))</f>
        <v/>
      </c>
      <c r="N130" s="205" t="str">
        <f t="shared" si="10"/>
        <v/>
      </c>
      <c r="O130" s="206" t="str">
        <f t="shared" si="6"/>
        <v/>
      </c>
      <c r="P130" s="207" t="str">
        <f t="shared" si="11"/>
        <v/>
      </c>
    </row>
    <row r="131" spans="3:16">
      <c r="C131" s="200"/>
      <c r="D131" s="201"/>
      <c r="E131" s="202"/>
      <c r="F131" s="200"/>
      <c r="H131" s="203"/>
      <c r="I131" s="186" t="str">
        <f t="shared" si="7"/>
        <v/>
      </c>
      <c r="J131" s="204" t="str">
        <f>IF($H131="USD",IF(OR($I131="",$I131="-"),"",VLOOKUP($G131,為替!$A:$AX,$I131,FALSE))+$J$3,IF(OR($I131="",$I131="-"),"",VLOOKUP($G131,為替!$A:$AX,$I131,FALSE)))</f>
        <v/>
      </c>
      <c r="K131" s="205" t="str">
        <f t="shared" si="8"/>
        <v/>
      </c>
      <c r="L131" s="189" t="str">
        <f t="shared" si="9"/>
        <v/>
      </c>
      <c r="M131" s="204" t="str">
        <f>IF($H131="USD",IF(OR($L131="",$L131="-"),"",VLOOKUP($G131,為替!$A:$AX,$L131,FALSE))+$K$3,IF(OR($L131="",$L131="-"),"",VLOOKUP($G131,為替!$A:$AX,$L131,FALSE)))</f>
        <v/>
      </c>
      <c r="N131" s="205" t="str">
        <f t="shared" si="10"/>
        <v/>
      </c>
      <c r="O131" s="206" t="str">
        <f t="shared" si="6"/>
        <v/>
      </c>
      <c r="P131" s="207" t="str">
        <f t="shared" si="11"/>
        <v/>
      </c>
    </row>
    <row r="132" spans="3:16">
      <c r="C132" s="200"/>
      <c r="D132" s="201"/>
      <c r="E132" s="202"/>
      <c r="F132" s="200"/>
      <c r="H132" s="203"/>
      <c r="I132" s="186" t="str">
        <f t="shared" si="7"/>
        <v/>
      </c>
      <c r="J132" s="204" t="str">
        <f>IF($H132="USD",IF(OR($I132="",$I132="-"),"",VLOOKUP($G132,為替!$A:$AX,$I132,FALSE))+$J$3,IF(OR($I132="",$I132="-"),"",VLOOKUP($G132,為替!$A:$AX,$I132,FALSE)))</f>
        <v/>
      </c>
      <c r="K132" s="205" t="str">
        <f t="shared" si="8"/>
        <v/>
      </c>
      <c r="L132" s="189" t="str">
        <f t="shared" si="9"/>
        <v/>
      </c>
      <c r="M132" s="204" t="str">
        <f>IF($H132="USD",IF(OR($L132="",$L132="-"),"",VLOOKUP($G132,為替!$A:$AX,$L132,FALSE))+$K$3,IF(OR($L132="",$L132="-"),"",VLOOKUP($G132,為替!$A:$AX,$L132,FALSE)))</f>
        <v/>
      </c>
      <c r="N132" s="205" t="str">
        <f t="shared" si="10"/>
        <v/>
      </c>
      <c r="O132" s="206" t="str">
        <f t="shared" si="6"/>
        <v/>
      </c>
      <c r="P132" s="207" t="str">
        <f t="shared" si="11"/>
        <v/>
      </c>
    </row>
    <row r="133" spans="3:16">
      <c r="C133" s="200"/>
      <c r="D133" s="201"/>
      <c r="E133" s="202"/>
      <c r="F133" s="200"/>
      <c r="H133" s="203"/>
      <c r="I133" s="186" t="str">
        <f t="shared" si="7"/>
        <v/>
      </c>
      <c r="J133" s="204" t="str">
        <f>IF($H133="USD",IF(OR($I133="",$I133="-"),"",VLOOKUP($G133,為替!$A:$AX,$I133,FALSE))+$J$3,IF(OR($I133="",$I133="-"),"",VLOOKUP($G133,為替!$A:$AX,$I133,FALSE)))</f>
        <v/>
      </c>
      <c r="K133" s="205" t="str">
        <f t="shared" si="8"/>
        <v/>
      </c>
      <c r="L133" s="189" t="str">
        <f t="shared" si="9"/>
        <v/>
      </c>
      <c r="M133" s="204" t="str">
        <f>IF($H133="USD",IF(OR($L133="",$L133="-"),"",VLOOKUP($G133,為替!$A:$AX,$L133,FALSE))+$K$3,IF(OR($L133="",$L133="-"),"",VLOOKUP($G133,為替!$A:$AX,$L133,FALSE)))</f>
        <v/>
      </c>
      <c r="N133" s="205" t="str">
        <f t="shared" si="10"/>
        <v/>
      </c>
      <c r="O133" s="206" t="str">
        <f t="shared" si="6"/>
        <v/>
      </c>
      <c r="P133" s="207" t="str">
        <f t="shared" si="11"/>
        <v/>
      </c>
    </row>
    <row r="134" spans="3:16">
      <c r="C134" s="200"/>
      <c r="D134" s="201"/>
      <c r="E134" s="202"/>
      <c r="F134" s="200"/>
      <c r="H134" s="203"/>
      <c r="I134" s="186" t="str">
        <f t="shared" si="7"/>
        <v/>
      </c>
      <c r="J134" s="204" t="str">
        <f>IF($H134="USD",IF(OR($I134="",$I134="-"),"",VLOOKUP($G134,為替!$A:$AX,$I134,FALSE))+$J$3,IF(OR($I134="",$I134="-"),"",VLOOKUP($G134,為替!$A:$AX,$I134,FALSE)))</f>
        <v/>
      </c>
      <c r="K134" s="205" t="str">
        <f t="shared" si="8"/>
        <v/>
      </c>
      <c r="L134" s="189" t="str">
        <f t="shared" si="9"/>
        <v/>
      </c>
      <c r="M134" s="204" t="str">
        <f>IF($H134="USD",IF(OR($L134="",$L134="-"),"",VLOOKUP($G134,為替!$A:$AX,$L134,FALSE))+$K$3,IF(OR($L134="",$L134="-"),"",VLOOKUP($G134,為替!$A:$AX,$L134,FALSE)))</f>
        <v/>
      </c>
      <c r="N134" s="205" t="str">
        <f t="shared" si="10"/>
        <v/>
      </c>
      <c r="O134" s="206" t="str">
        <f t="shared" ref="O134:O197" si="12">IF(OR(K134="",N134=""),"",K134-N134)</f>
        <v/>
      </c>
      <c r="P134" s="207" t="str">
        <f t="shared" si="11"/>
        <v/>
      </c>
    </row>
    <row r="135" spans="3:16">
      <c r="C135" s="200"/>
      <c r="D135" s="201"/>
      <c r="E135" s="202"/>
      <c r="F135" s="200"/>
      <c r="H135" s="203"/>
      <c r="I135" s="186" t="str">
        <f t="shared" ref="I135:I198" si="13">IF(H135="","",IF(H135="JPY","",IF($H135="USD",4, IF(H135="EUR",7,IF(H135="CNY",47,IF(H135="HKD",34))))))</f>
        <v/>
      </c>
      <c r="J135" s="204" t="str">
        <f>IF($H135="USD",IF(OR($I135="",$I135="-"),"",VLOOKUP($G135,為替!$A:$AX,$I135,FALSE))+$J$3,IF(OR($I135="",$I135="-"),"",VLOOKUP($G135,為替!$A:$AX,$I135,FALSE)))</f>
        <v/>
      </c>
      <c r="K135" s="205" t="str">
        <f t="shared" ref="K135:K198" si="14">IF($H135="JPY",$F135,IF($H135="","",$F135*$J135))</f>
        <v/>
      </c>
      <c r="L135" s="189" t="str">
        <f t="shared" ref="L135:L198" si="15">IF(H135="","",IF(H135="JPY","",IF($H135="USD",3, IF(H135="EUR",6,IF(H135="CNY",46,IF(H135="HKD",33))))))</f>
        <v/>
      </c>
      <c r="M135" s="204" t="str">
        <f>IF($H135="USD",IF(OR($L135="",$L135="-"),"",VLOOKUP($G135,為替!$A:$AX,$L135,FALSE))+$K$3,IF(OR($L135="",$L135="-"),"",VLOOKUP($G135,為替!$A:$AX,$L135,FALSE)))</f>
        <v/>
      </c>
      <c r="N135" s="205" t="str">
        <f t="shared" ref="N135:N198" si="16">IF($E135="JPY",($C135+$D135),IF($E135="","",($C135+$D135)*$M135))</f>
        <v/>
      </c>
      <c r="O135" s="206" t="str">
        <f t="shared" si="12"/>
        <v/>
      </c>
      <c r="P135" s="207" t="str">
        <f t="shared" ref="P135:P198" si="17">IF(OR(K135="",O135=""),"",O135/K135)</f>
        <v/>
      </c>
    </row>
    <row r="136" spans="3:16">
      <c r="C136" s="200"/>
      <c r="D136" s="201"/>
      <c r="E136" s="202"/>
      <c r="F136" s="200"/>
      <c r="H136" s="203"/>
      <c r="I136" s="186" t="str">
        <f t="shared" si="13"/>
        <v/>
      </c>
      <c r="J136" s="204" t="str">
        <f>IF($H136="USD",IF(OR($I136="",$I136="-"),"",VLOOKUP($G136,為替!$A:$AX,$I136,FALSE))+$J$3,IF(OR($I136="",$I136="-"),"",VLOOKUP($G136,為替!$A:$AX,$I136,FALSE)))</f>
        <v/>
      </c>
      <c r="K136" s="205" t="str">
        <f t="shared" si="14"/>
        <v/>
      </c>
      <c r="L136" s="189" t="str">
        <f t="shared" si="15"/>
        <v/>
      </c>
      <c r="M136" s="204" t="str">
        <f>IF($H136="USD",IF(OR($L136="",$L136="-"),"",VLOOKUP($G136,為替!$A:$AX,$L136,FALSE))+$K$3,IF(OR($L136="",$L136="-"),"",VLOOKUP($G136,為替!$A:$AX,$L136,FALSE)))</f>
        <v/>
      </c>
      <c r="N136" s="205" t="str">
        <f t="shared" si="16"/>
        <v/>
      </c>
      <c r="O136" s="206" t="str">
        <f t="shared" si="12"/>
        <v/>
      </c>
      <c r="P136" s="207" t="str">
        <f t="shared" si="17"/>
        <v/>
      </c>
    </row>
    <row r="137" spans="3:16">
      <c r="C137" s="200"/>
      <c r="D137" s="201"/>
      <c r="E137" s="202"/>
      <c r="F137" s="200"/>
      <c r="H137" s="203"/>
      <c r="I137" s="186" t="str">
        <f t="shared" si="13"/>
        <v/>
      </c>
      <c r="J137" s="204" t="str">
        <f>IF($H137="USD",IF(OR($I137="",$I137="-"),"",VLOOKUP($G137,為替!$A:$AX,$I137,FALSE))+$J$3,IF(OR($I137="",$I137="-"),"",VLOOKUP($G137,為替!$A:$AX,$I137,FALSE)))</f>
        <v/>
      </c>
      <c r="K137" s="205" t="str">
        <f t="shared" si="14"/>
        <v/>
      </c>
      <c r="L137" s="189" t="str">
        <f t="shared" si="15"/>
        <v/>
      </c>
      <c r="M137" s="204" t="str">
        <f>IF($H137="USD",IF(OR($L137="",$L137="-"),"",VLOOKUP($G137,為替!$A:$AX,$L137,FALSE))+$K$3,IF(OR($L137="",$L137="-"),"",VLOOKUP($G137,為替!$A:$AX,$L137,FALSE)))</f>
        <v/>
      </c>
      <c r="N137" s="205" t="str">
        <f t="shared" si="16"/>
        <v/>
      </c>
      <c r="O137" s="206" t="str">
        <f t="shared" si="12"/>
        <v/>
      </c>
      <c r="P137" s="207" t="str">
        <f t="shared" si="17"/>
        <v/>
      </c>
    </row>
    <row r="138" spans="3:16">
      <c r="C138" s="200"/>
      <c r="D138" s="201"/>
      <c r="E138" s="202"/>
      <c r="F138" s="200"/>
      <c r="H138" s="203"/>
      <c r="I138" s="186" t="str">
        <f t="shared" si="13"/>
        <v/>
      </c>
      <c r="J138" s="204" t="str">
        <f>IF($H138="USD",IF(OR($I138="",$I138="-"),"",VLOOKUP($G138,為替!$A:$AX,$I138,FALSE))+$J$3,IF(OR($I138="",$I138="-"),"",VLOOKUP($G138,為替!$A:$AX,$I138,FALSE)))</f>
        <v/>
      </c>
      <c r="K138" s="205" t="str">
        <f t="shared" si="14"/>
        <v/>
      </c>
      <c r="L138" s="189" t="str">
        <f t="shared" si="15"/>
        <v/>
      </c>
      <c r="M138" s="204" t="str">
        <f>IF($H138="USD",IF(OR($L138="",$L138="-"),"",VLOOKUP($G138,為替!$A:$AX,$L138,FALSE))+$K$3,IF(OR($L138="",$L138="-"),"",VLOOKUP($G138,為替!$A:$AX,$L138,FALSE)))</f>
        <v/>
      </c>
      <c r="N138" s="205" t="str">
        <f t="shared" si="16"/>
        <v/>
      </c>
      <c r="O138" s="206" t="str">
        <f t="shared" si="12"/>
        <v/>
      </c>
      <c r="P138" s="207" t="str">
        <f t="shared" si="17"/>
        <v/>
      </c>
    </row>
    <row r="139" spans="3:16">
      <c r="C139" s="200"/>
      <c r="D139" s="201"/>
      <c r="E139" s="202"/>
      <c r="F139" s="200"/>
      <c r="H139" s="203"/>
      <c r="I139" s="186" t="str">
        <f t="shared" si="13"/>
        <v/>
      </c>
      <c r="J139" s="204" t="str">
        <f>IF($H139="USD",IF(OR($I139="",$I139="-"),"",VLOOKUP($G139,為替!$A:$AX,$I139,FALSE))+$J$3,IF(OR($I139="",$I139="-"),"",VLOOKUP($G139,為替!$A:$AX,$I139,FALSE)))</f>
        <v/>
      </c>
      <c r="K139" s="205" t="str">
        <f t="shared" si="14"/>
        <v/>
      </c>
      <c r="L139" s="189" t="str">
        <f t="shared" si="15"/>
        <v/>
      </c>
      <c r="M139" s="204" t="str">
        <f>IF($H139="USD",IF(OR($L139="",$L139="-"),"",VLOOKUP($G139,為替!$A:$AX,$L139,FALSE))+$K$3,IF(OR($L139="",$L139="-"),"",VLOOKUP($G139,為替!$A:$AX,$L139,FALSE)))</f>
        <v/>
      </c>
      <c r="N139" s="205" t="str">
        <f t="shared" si="16"/>
        <v/>
      </c>
      <c r="O139" s="206" t="str">
        <f t="shared" si="12"/>
        <v/>
      </c>
      <c r="P139" s="207" t="str">
        <f t="shared" si="17"/>
        <v/>
      </c>
    </row>
    <row r="140" spans="3:16">
      <c r="C140" s="200"/>
      <c r="D140" s="201"/>
      <c r="E140" s="202"/>
      <c r="F140" s="200"/>
      <c r="H140" s="203"/>
      <c r="I140" s="186" t="str">
        <f t="shared" si="13"/>
        <v/>
      </c>
      <c r="J140" s="204" t="str">
        <f>IF($H140="USD",IF(OR($I140="",$I140="-"),"",VLOOKUP($G140,為替!$A:$AX,$I140,FALSE))+$J$3,IF(OR($I140="",$I140="-"),"",VLOOKUP($G140,為替!$A:$AX,$I140,FALSE)))</f>
        <v/>
      </c>
      <c r="K140" s="205" t="str">
        <f t="shared" si="14"/>
        <v/>
      </c>
      <c r="L140" s="189" t="str">
        <f t="shared" si="15"/>
        <v/>
      </c>
      <c r="M140" s="204" t="str">
        <f>IF($H140="USD",IF(OR($L140="",$L140="-"),"",VLOOKUP($G140,為替!$A:$AX,$L140,FALSE))+$K$3,IF(OR($L140="",$L140="-"),"",VLOOKUP($G140,為替!$A:$AX,$L140,FALSE)))</f>
        <v/>
      </c>
      <c r="N140" s="205" t="str">
        <f t="shared" si="16"/>
        <v/>
      </c>
      <c r="O140" s="206" t="str">
        <f t="shared" si="12"/>
        <v/>
      </c>
      <c r="P140" s="207" t="str">
        <f t="shared" si="17"/>
        <v/>
      </c>
    </row>
    <row r="141" spans="3:16">
      <c r="C141" s="200"/>
      <c r="D141" s="201"/>
      <c r="E141" s="202"/>
      <c r="F141" s="200"/>
      <c r="H141" s="203"/>
      <c r="I141" s="186" t="str">
        <f t="shared" si="13"/>
        <v/>
      </c>
      <c r="J141" s="204" t="str">
        <f>IF($H141="USD",IF(OR($I141="",$I141="-"),"",VLOOKUP($G141,為替!$A:$AX,$I141,FALSE))+$J$3,IF(OR($I141="",$I141="-"),"",VLOOKUP($G141,為替!$A:$AX,$I141,FALSE)))</f>
        <v/>
      </c>
      <c r="K141" s="205" t="str">
        <f t="shared" si="14"/>
        <v/>
      </c>
      <c r="L141" s="189" t="str">
        <f t="shared" si="15"/>
        <v/>
      </c>
      <c r="M141" s="204" t="str">
        <f>IF($H141="USD",IF(OR($L141="",$L141="-"),"",VLOOKUP($G141,為替!$A:$AX,$L141,FALSE))+$K$3,IF(OR($L141="",$L141="-"),"",VLOOKUP($G141,為替!$A:$AX,$L141,FALSE)))</f>
        <v/>
      </c>
      <c r="N141" s="205" t="str">
        <f t="shared" si="16"/>
        <v/>
      </c>
      <c r="O141" s="206" t="str">
        <f t="shared" si="12"/>
        <v/>
      </c>
      <c r="P141" s="207" t="str">
        <f t="shared" si="17"/>
        <v/>
      </c>
    </row>
    <row r="142" spans="3:16">
      <c r="C142" s="200"/>
      <c r="D142" s="201"/>
      <c r="E142" s="202"/>
      <c r="F142" s="200"/>
      <c r="H142" s="203"/>
      <c r="I142" s="186" t="str">
        <f t="shared" si="13"/>
        <v/>
      </c>
      <c r="J142" s="204" t="str">
        <f>IF($H142="USD",IF(OR($I142="",$I142="-"),"",VLOOKUP($G142,為替!$A:$AX,$I142,FALSE))+$J$3,IF(OR($I142="",$I142="-"),"",VLOOKUP($G142,為替!$A:$AX,$I142,FALSE)))</f>
        <v/>
      </c>
      <c r="K142" s="205" t="str">
        <f t="shared" si="14"/>
        <v/>
      </c>
      <c r="L142" s="189" t="str">
        <f t="shared" si="15"/>
        <v/>
      </c>
      <c r="M142" s="204" t="str">
        <f>IF($H142="USD",IF(OR($L142="",$L142="-"),"",VLOOKUP($G142,為替!$A:$AX,$L142,FALSE))+$K$3,IF(OR($L142="",$L142="-"),"",VLOOKUP($G142,為替!$A:$AX,$L142,FALSE)))</f>
        <v/>
      </c>
      <c r="N142" s="205" t="str">
        <f t="shared" si="16"/>
        <v/>
      </c>
      <c r="O142" s="206" t="str">
        <f t="shared" si="12"/>
        <v/>
      </c>
      <c r="P142" s="207" t="str">
        <f t="shared" si="17"/>
        <v/>
      </c>
    </row>
    <row r="143" spans="3:16">
      <c r="C143" s="200"/>
      <c r="D143" s="201"/>
      <c r="E143" s="202"/>
      <c r="F143" s="200"/>
      <c r="H143" s="203"/>
      <c r="I143" s="186" t="str">
        <f t="shared" si="13"/>
        <v/>
      </c>
      <c r="J143" s="204" t="str">
        <f>IF($H143="USD",IF(OR($I143="",$I143="-"),"",VLOOKUP($G143,為替!$A:$AX,$I143,FALSE))+$J$3,IF(OR($I143="",$I143="-"),"",VLOOKUP($G143,為替!$A:$AX,$I143,FALSE)))</f>
        <v/>
      </c>
      <c r="K143" s="205" t="str">
        <f t="shared" si="14"/>
        <v/>
      </c>
      <c r="L143" s="189" t="str">
        <f t="shared" si="15"/>
        <v/>
      </c>
      <c r="M143" s="204" t="str">
        <f>IF($H143="USD",IF(OR($L143="",$L143="-"),"",VLOOKUP($G143,為替!$A:$AX,$L143,FALSE))+$K$3,IF(OR($L143="",$L143="-"),"",VLOOKUP($G143,為替!$A:$AX,$L143,FALSE)))</f>
        <v/>
      </c>
      <c r="N143" s="205" t="str">
        <f t="shared" si="16"/>
        <v/>
      </c>
      <c r="O143" s="206" t="str">
        <f t="shared" si="12"/>
        <v/>
      </c>
      <c r="P143" s="207" t="str">
        <f t="shared" si="17"/>
        <v/>
      </c>
    </row>
    <row r="144" spans="3:16">
      <c r="C144" s="200"/>
      <c r="D144" s="201"/>
      <c r="E144" s="202"/>
      <c r="F144" s="200"/>
      <c r="H144" s="203"/>
      <c r="I144" s="186" t="str">
        <f t="shared" si="13"/>
        <v/>
      </c>
      <c r="J144" s="204" t="str">
        <f>IF($H144="USD",IF(OR($I144="",$I144="-"),"",VLOOKUP($G144,為替!$A:$AX,$I144,FALSE))+$J$3,IF(OR($I144="",$I144="-"),"",VLOOKUP($G144,為替!$A:$AX,$I144,FALSE)))</f>
        <v/>
      </c>
      <c r="K144" s="205" t="str">
        <f t="shared" si="14"/>
        <v/>
      </c>
      <c r="L144" s="189" t="str">
        <f t="shared" si="15"/>
        <v/>
      </c>
      <c r="M144" s="204" t="str">
        <f>IF($H144="USD",IF(OR($L144="",$L144="-"),"",VLOOKUP($G144,為替!$A:$AX,$L144,FALSE))+$K$3,IF(OR($L144="",$L144="-"),"",VLOOKUP($G144,為替!$A:$AX,$L144,FALSE)))</f>
        <v/>
      </c>
      <c r="N144" s="205" t="str">
        <f t="shared" si="16"/>
        <v/>
      </c>
      <c r="O144" s="206" t="str">
        <f t="shared" si="12"/>
        <v/>
      </c>
      <c r="P144" s="207" t="str">
        <f t="shared" si="17"/>
        <v/>
      </c>
    </row>
    <row r="145" spans="3:16">
      <c r="C145" s="200"/>
      <c r="D145" s="201"/>
      <c r="E145" s="202"/>
      <c r="F145" s="200"/>
      <c r="H145" s="203"/>
      <c r="I145" s="186" t="str">
        <f t="shared" si="13"/>
        <v/>
      </c>
      <c r="J145" s="204" t="str">
        <f>IF($H145="USD",IF(OR($I145="",$I145="-"),"",VLOOKUP($G145,為替!$A:$AX,$I145,FALSE))+$J$3,IF(OR($I145="",$I145="-"),"",VLOOKUP($G145,為替!$A:$AX,$I145,FALSE)))</f>
        <v/>
      </c>
      <c r="K145" s="205" t="str">
        <f t="shared" si="14"/>
        <v/>
      </c>
      <c r="L145" s="189" t="str">
        <f t="shared" si="15"/>
        <v/>
      </c>
      <c r="M145" s="204" t="str">
        <f>IF($H145="USD",IF(OR($L145="",$L145="-"),"",VLOOKUP($G145,為替!$A:$AX,$L145,FALSE))+$K$3,IF(OR($L145="",$L145="-"),"",VLOOKUP($G145,為替!$A:$AX,$L145,FALSE)))</f>
        <v/>
      </c>
      <c r="N145" s="205" t="str">
        <f t="shared" si="16"/>
        <v/>
      </c>
      <c r="O145" s="206" t="str">
        <f t="shared" si="12"/>
        <v/>
      </c>
      <c r="P145" s="207" t="str">
        <f t="shared" si="17"/>
        <v/>
      </c>
    </row>
    <row r="146" spans="3:16">
      <c r="C146" s="200"/>
      <c r="D146" s="201"/>
      <c r="E146" s="202"/>
      <c r="F146" s="200"/>
      <c r="H146" s="203"/>
      <c r="I146" s="186" t="str">
        <f t="shared" si="13"/>
        <v/>
      </c>
      <c r="J146" s="204" t="str">
        <f>IF($H146="USD",IF(OR($I146="",$I146="-"),"",VLOOKUP($G146,為替!$A:$AX,$I146,FALSE))+$J$3,IF(OR($I146="",$I146="-"),"",VLOOKUP($G146,為替!$A:$AX,$I146,FALSE)))</f>
        <v/>
      </c>
      <c r="K146" s="205" t="str">
        <f t="shared" si="14"/>
        <v/>
      </c>
      <c r="L146" s="189" t="str">
        <f t="shared" si="15"/>
        <v/>
      </c>
      <c r="M146" s="204" t="str">
        <f>IF($H146="USD",IF(OR($L146="",$L146="-"),"",VLOOKUP($G146,為替!$A:$AX,$L146,FALSE))+$K$3,IF(OR($L146="",$L146="-"),"",VLOOKUP($G146,為替!$A:$AX,$L146,FALSE)))</f>
        <v/>
      </c>
      <c r="N146" s="205" t="str">
        <f t="shared" si="16"/>
        <v/>
      </c>
      <c r="O146" s="206" t="str">
        <f t="shared" si="12"/>
        <v/>
      </c>
      <c r="P146" s="207" t="str">
        <f t="shared" si="17"/>
        <v/>
      </c>
    </row>
    <row r="147" spans="3:16">
      <c r="C147" s="200"/>
      <c r="D147" s="201"/>
      <c r="E147" s="202"/>
      <c r="F147" s="200"/>
      <c r="H147" s="203"/>
      <c r="I147" s="186" t="str">
        <f t="shared" si="13"/>
        <v/>
      </c>
      <c r="J147" s="204" t="str">
        <f>IF($H147="USD",IF(OR($I147="",$I147="-"),"",VLOOKUP($G147,為替!$A:$AX,$I147,FALSE))+$J$3,IF(OR($I147="",$I147="-"),"",VLOOKUP($G147,為替!$A:$AX,$I147,FALSE)))</f>
        <v/>
      </c>
      <c r="K147" s="205" t="str">
        <f t="shared" si="14"/>
        <v/>
      </c>
      <c r="L147" s="189" t="str">
        <f t="shared" si="15"/>
        <v/>
      </c>
      <c r="M147" s="204" t="str">
        <f>IF($H147="USD",IF(OR($L147="",$L147="-"),"",VLOOKUP($G147,為替!$A:$AX,$L147,FALSE))+$K$3,IF(OR($L147="",$L147="-"),"",VLOOKUP($G147,為替!$A:$AX,$L147,FALSE)))</f>
        <v/>
      </c>
      <c r="N147" s="205" t="str">
        <f t="shared" si="16"/>
        <v/>
      </c>
      <c r="O147" s="206" t="str">
        <f t="shared" si="12"/>
        <v/>
      </c>
      <c r="P147" s="207" t="str">
        <f t="shared" si="17"/>
        <v/>
      </c>
    </row>
    <row r="148" spans="3:16">
      <c r="C148" s="200"/>
      <c r="D148" s="201"/>
      <c r="E148" s="202"/>
      <c r="F148" s="200"/>
      <c r="H148" s="203"/>
      <c r="I148" s="186" t="str">
        <f t="shared" si="13"/>
        <v/>
      </c>
      <c r="J148" s="204" t="str">
        <f>IF($H148="USD",IF(OR($I148="",$I148="-"),"",VLOOKUP($G148,為替!$A:$AX,$I148,FALSE))+$J$3,IF(OR($I148="",$I148="-"),"",VLOOKUP($G148,為替!$A:$AX,$I148,FALSE)))</f>
        <v/>
      </c>
      <c r="K148" s="205" t="str">
        <f t="shared" si="14"/>
        <v/>
      </c>
      <c r="L148" s="189" t="str">
        <f t="shared" si="15"/>
        <v/>
      </c>
      <c r="M148" s="204" t="str">
        <f>IF($H148="USD",IF(OR($L148="",$L148="-"),"",VLOOKUP($G148,為替!$A:$AX,$L148,FALSE))+$K$3,IF(OR($L148="",$L148="-"),"",VLOOKUP($G148,為替!$A:$AX,$L148,FALSE)))</f>
        <v/>
      </c>
      <c r="N148" s="205" t="str">
        <f t="shared" si="16"/>
        <v/>
      </c>
      <c r="O148" s="206" t="str">
        <f t="shared" si="12"/>
        <v/>
      </c>
      <c r="P148" s="207" t="str">
        <f t="shared" si="17"/>
        <v/>
      </c>
    </row>
    <row r="149" spans="3:16">
      <c r="C149" s="200"/>
      <c r="D149" s="201"/>
      <c r="E149" s="202"/>
      <c r="F149" s="200"/>
      <c r="H149" s="203"/>
      <c r="I149" s="186" t="str">
        <f t="shared" si="13"/>
        <v/>
      </c>
      <c r="J149" s="204" t="str">
        <f>IF($H149="USD",IF(OR($I149="",$I149="-"),"",VLOOKUP($G149,為替!$A:$AX,$I149,FALSE))+$J$3,IF(OR($I149="",$I149="-"),"",VLOOKUP($G149,為替!$A:$AX,$I149,FALSE)))</f>
        <v/>
      </c>
      <c r="K149" s="205" t="str">
        <f t="shared" si="14"/>
        <v/>
      </c>
      <c r="L149" s="189" t="str">
        <f t="shared" si="15"/>
        <v/>
      </c>
      <c r="M149" s="204" t="str">
        <f>IF($H149="USD",IF(OR($L149="",$L149="-"),"",VLOOKUP($G149,為替!$A:$AX,$L149,FALSE))+$K$3,IF(OR($L149="",$L149="-"),"",VLOOKUP($G149,為替!$A:$AX,$L149,FALSE)))</f>
        <v/>
      </c>
      <c r="N149" s="205" t="str">
        <f t="shared" si="16"/>
        <v/>
      </c>
      <c r="O149" s="206" t="str">
        <f t="shared" si="12"/>
        <v/>
      </c>
      <c r="P149" s="207" t="str">
        <f t="shared" si="17"/>
        <v/>
      </c>
    </row>
    <row r="150" spans="3:16">
      <c r="C150" s="200"/>
      <c r="D150" s="201"/>
      <c r="E150" s="202"/>
      <c r="F150" s="200"/>
      <c r="H150" s="203"/>
      <c r="I150" s="186" t="str">
        <f t="shared" si="13"/>
        <v/>
      </c>
      <c r="J150" s="204" t="str">
        <f>IF($H150="USD",IF(OR($I150="",$I150="-"),"",VLOOKUP($G150,為替!$A:$AX,$I150,FALSE))+$J$3,IF(OR($I150="",$I150="-"),"",VLOOKUP($G150,為替!$A:$AX,$I150,FALSE)))</f>
        <v/>
      </c>
      <c r="K150" s="205" t="str">
        <f t="shared" si="14"/>
        <v/>
      </c>
      <c r="L150" s="189" t="str">
        <f t="shared" si="15"/>
        <v/>
      </c>
      <c r="M150" s="204" t="str">
        <f>IF($H150="USD",IF(OR($L150="",$L150="-"),"",VLOOKUP($G150,為替!$A:$AX,$L150,FALSE))+$K$3,IF(OR($L150="",$L150="-"),"",VLOOKUP($G150,為替!$A:$AX,$L150,FALSE)))</f>
        <v/>
      </c>
      <c r="N150" s="205" t="str">
        <f t="shared" si="16"/>
        <v/>
      </c>
      <c r="O150" s="206" t="str">
        <f t="shared" si="12"/>
        <v/>
      </c>
      <c r="P150" s="207" t="str">
        <f t="shared" si="17"/>
        <v/>
      </c>
    </row>
    <row r="151" spans="3:16">
      <c r="C151" s="200"/>
      <c r="D151" s="201"/>
      <c r="E151" s="202"/>
      <c r="F151" s="200"/>
      <c r="H151" s="203"/>
      <c r="I151" s="186" t="str">
        <f t="shared" si="13"/>
        <v/>
      </c>
      <c r="J151" s="204" t="str">
        <f>IF($H151="USD",IF(OR($I151="",$I151="-"),"",VLOOKUP($G151,為替!$A:$AX,$I151,FALSE))+$J$3,IF(OR($I151="",$I151="-"),"",VLOOKUP($G151,為替!$A:$AX,$I151,FALSE)))</f>
        <v/>
      </c>
      <c r="K151" s="205" t="str">
        <f t="shared" si="14"/>
        <v/>
      </c>
      <c r="L151" s="189" t="str">
        <f t="shared" si="15"/>
        <v/>
      </c>
      <c r="M151" s="204" t="str">
        <f>IF($H151="USD",IF(OR($L151="",$L151="-"),"",VLOOKUP($G151,為替!$A:$AX,$L151,FALSE))+$K$3,IF(OR($L151="",$L151="-"),"",VLOOKUP($G151,為替!$A:$AX,$L151,FALSE)))</f>
        <v/>
      </c>
      <c r="N151" s="205" t="str">
        <f t="shared" si="16"/>
        <v/>
      </c>
      <c r="O151" s="206" t="str">
        <f t="shared" si="12"/>
        <v/>
      </c>
      <c r="P151" s="207" t="str">
        <f t="shared" si="17"/>
        <v/>
      </c>
    </row>
    <row r="152" spans="3:16">
      <c r="C152" s="200"/>
      <c r="D152" s="201"/>
      <c r="E152" s="202"/>
      <c r="F152" s="200"/>
      <c r="H152" s="203"/>
      <c r="I152" s="186" t="str">
        <f t="shared" si="13"/>
        <v/>
      </c>
      <c r="J152" s="204" t="str">
        <f>IF($H152="USD",IF(OR($I152="",$I152="-"),"",VLOOKUP($G152,為替!$A:$AX,$I152,FALSE))+$J$3,IF(OR($I152="",$I152="-"),"",VLOOKUP($G152,為替!$A:$AX,$I152,FALSE)))</f>
        <v/>
      </c>
      <c r="K152" s="205" t="str">
        <f t="shared" si="14"/>
        <v/>
      </c>
      <c r="L152" s="189" t="str">
        <f t="shared" si="15"/>
        <v/>
      </c>
      <c r="M152" s="204" t="str">
        <f>IF($H152="USD",IF(OR($L152="",$L152="-"),"",VLOOKUP($G152,為替!$A:$AX,$L152,FALSE))+$K$3,IF(OR($L152="",$L152="-"),"",VLOOKUP($G152,為替!$A:$AX,$L152,FALSE)))</f>
        <v/>
      </c>
      <c r="N152" s="205" t="str">
        <f t="shared" si="16"/>
        <v/>
      </c>
      <c r="O152" s="206" t="str">
        <f t="shared" si="12"/>
        <v/>
      </c>
      <c r="P152" s="207" t="str">
        <f t="shared" si="17"/>
        <v/>
      </c>
    </row>
    <row r="153" spans="3:16">
      <c r="C153" s="200"/>
      <c r="D153" s="201"/>
      <c r="E153" s="202"/>
      <c r="F153" s="200"/>
      <c r="H153" s="203"/>
      <c r="I153" s="186" t="str">
        <f t="shared" si="13"/>
        <v/>
      </c>
      <c r="J153" s="204" t="str">
        <f>IF($H153="USD",IF(OR($I153="",$I153="-"),"",VLOOKUP($G153,為替!$A:$AX,$I153,FALSE))+$J$3,IF(OR($I153="",$I153="-"),"",VLOOKUP($G153,為替!$A:$AX,$I153,FALSE)))</f>
        <v/>
      </c>
      <c r="K153" s="205" t="str">
        <f t="shared" si="14"/>
        <v/>
      </c>
      <c r="L153" s="189" t="str">
        <f t="shared" si="15"/>
        <v/>
      </c>
      <c r="M153" s="204" t="str">
        <f>IF($H153="USD",IF(OR($L153="",$L153="-"),"",VLOOKUP($G153,為替!$A:$AX,$L153,FALSE))+$K$3,IF(OR($L153="",$L153="-"),"",VLOOKUP($G153,為替!$A:$AX,$L153,FALSE)))</f>
        <v/>
      </c>
      <c r="N153" s="205" t="str">
        <f t="shared" si="16"/>
        <v/>
      </c>
      <c r="O153" s="206" t="str">
        <f t="shared" si="12"/>
        <v/>
      </c>
      <c r="P153" s="207" t="str">
        <f t="shared" si="17"/>
        <v/>
      </c>
    </row>
    <row r="154" spans="3:16">
      <c r="C154" s="200"/>
      <c r="D154" s="201"/>
      <c r="E154" s="202"/>
      <c r="F154" s="200"/>
      <c r="H154" s="203"/>
      <c r="I154" s="186" t="str">
        <f t="shared" si="13"/>
        <v/>
      </c>
      <c r="J154" s="204" t="str">
        <f>IF($H154="USD",IF(OR($I154="",$I154="-"),"",VLOOKUP($G154,為替!$A:$AX,$I154,FALSE))+$J$3,IF(OR($I154="",$I154="-"),"",VLOOKUP($G154,為替!$A:$AX,$I154,FALSE)))</f>
        <v/>
      </c>
      <c r="K154" s="205" t="str">
        <f t="shared" si="14"/>
        <v/>
      </c>
      <c r="L154" s="189" t="str">
        <f t="shared" si="15"/>
        <v/>
      </c>
      <c r="M154" s="204" t="str">
        <f>IF($H154="USD",IF(OR($L154="",$L154="-"),"",VLOOKUP($G154,為替!$A:$AX,$L154,FALSE))+$K$3,IF(OR($L154="",$L154="-"),"",VLOOKUP($G154,為替!$A:$AX,$L154,FALSE)))</f>
        <v/>
      </c>
      <c r="N154" s="205" t="str">
        <f t="shared" si="16"/>
        <v/>
      </c>
      <c r="O154" s="206" t="str">
        <f t="shared" si="12"/>
        <v/>
      </c>
      <c r="P154" s="207" t="str">
        <f t="shared" si="17"/>
        <v/>
      </c>
    </row>
    <row r="155" spans="3:16">
      <c r="C155" s="200"/>
      <c r="D155" s="201"/>
      <c r="E155" s="202"/>
      <c r="F155" s="200"/>
      <c r="H155" s="203"/>
      <c r="I155" s="186" t="str">
        <f t="shared" si="13"/>
        <v/>
      </c>
      <c r="J155" s="204" t="str">
        <f>IF($H155="USD",IF(OR($I155="",$I155="-"),"",VLOOKUP($G155,為替!$A:$AX,$I155,FALSE))+$J$3,IF(OR($I155="",$I155="-"),"",VLOOKUP($G155,為替!$A:$AX,$I155,FALSE)))</f>
        <v/>
      </c>
      <c r="K155" s="205" t="str">
        <f t="shared" si="14"/>
        <v/>
      </c>
      <c r="L155" s="189" t="str">
        <f t="shared" si="15"/>
        <v/>
      </c>
      <c r="M155" s="204" t="str">
        <f>IF($H155="USD",IF(OR($L155="",$L155="-"),"",VLOOKUP($G155,為替!$A:$AX,$L155,FALSE))+$K$3,IF(OR($L155="",$L155="-"),"",VLOOKUP($G155,為替!$A:$AX,$L155,FALSE)))</f>
        <v/>
      </c>
      <c r="N155" s="205" t="str">
        <f t="shared" si="16"/>
        <v/>
      </c>
      <c r="O155" s="206" t="str">
        <f t="shared" si="12"/>
        <v/>
      </c>
      <c r="P155" s="207" t="str">
        <f t="shared" si="17"/>
        <v/>
      </c>
    </row>
    <row r="156" spans="3:16">
      <c r="C156" s="200"/>
      <c r="D156" s="201"/>
      <c r="E156" s="202"/>
      <c r="F156" s="200"/>
      <c r="H156" s="203"/>
      <c r="I156" s="186" t="str">
        <f t="shared" si="13"/>
        <v/>
      </c>
      <c r="J156" s="204" t="str">
        <f>IF($H156="USD",IF(OR($I156="",$I156="-"),"",VLOOKUP($G156,為替!$A:$AX,$I156,FALSE))+$J$3,IF(OR($I156="",$I156="-"),"",VLOOKUP($G156,為替!$A:$AX,$I156,FALSE)))</f>
        <v/>
      </c>
      <c r="K156" s="205" t="str">
        <f t="shared" si="14"/>
        <v/>
      </c>
      <c r="L156" s="189" t="str">
        <f t="shared" si="15"/>
        <v/>
      </c>
      <c r="M156" s="204" t="str">
        <f>IF($H156="USD",IF(OR($L156="",$L156="-"),"",VLOOKUP($G156,為替!$A:$AX,$L156,FALSE))+$K$3,IF(OR($L156="",$L156="-"),"",VLOOKUP($G156,為替!$A:$AX,$L156,FALSE)))</f>
        <v/>
      </c>
      <c r="N156" s="205" t="str">
        <f t="shared" si="16"/>
        <v/>
      </c>
      <c r="O156" s="206" t="str">
        <f t="shared" si="12"/>
        <v/>
      </c>
      <c r="P156" s="207" t="str">
        <f t="shared" si="17"/>
        <v/>
      </c>
    </row>
    <row r="157" spans="3:16">
      <c r="C157" s="200"/>
      <c r="D157" s="201"/>
      <c r="E157" s="202"/>
      <c r="F157" s="200"/>
      <c r="H157" s="203"/>
      <c r="I157" s="186" t="str">
        <f t="shared" si="13"/>
        <v/>
      </c>
      <c r="J157" s="204" t="str">
        <f>IF($H157="USD",IF(OR($I157="",$I157="-"),"",VLOOKUP($G157,為替!$A:$AX,$I157,FALSE))+$J$3,IF(OR($I157="",$I157="-"),"",VLOOKUP($G157,為替!$A:$AX,$I157,FALSE)))</f>
        <v/>
      </c>
      <c r="K157" s="205" t="str">
        <f t="shared" si="14"/>
        <v/>
      </c>
      <c r="L157" s="189" t="str">
        <f t="shared" si="15"/>
        <v/>
      </c>
      <c r="M157" s="204" t="str">
        <f>IF($H157="USD",IF(OR($L157="",$L157="-"),"",VLOOKUP($G157,為替!$A:$AX,$L157,FALSE))+$K$3,IF(OR($L157="",$L157="-"),"",VLOOKUP($G157,為替!$A:$AX,$L157,FALSE)))</f>
        <v/>
      </c>
      <c r="N157" s="205" t="str">
        <f t="shared" si="16"/>
        <v/>
      </c>
      <c r="O157" s="206" t="str">
        <f t="shared" si="12"/>
        <v/>
      </c>
      <c r="P157" s="207" t="str">
        <f t="shared" si="17"/>
        <v/>
      </c>
    </row>
    <row r="158" spans="3:16">
      <c r="C158" s="200"/>
      <c r="D158" s="201"/>
      <c r="E158" s="202"/>
      <c r="F158" s="200"/>
      <c r="H158" s="203"/>
      <c r="I158" s="186" t="str">
        <f t="shared" si="13"/>
        <v/>
      </c>
      <c r="J158" s="204" t="str">
        <f>IF($H158="USD",IF(OR($I158="",$I158="-"),"",VLOOKUP($G158,為替!$A:$AX,$I158,FALSE))+$J$3,IF(OR($I158="",$I158="-"),"",VLOOKUP($G158,為替!$A:$AX,$I158,FALSE)))</f>
        <v/>
      </c>
      <c r="K158" s="205" t="str">
        <f t="shared" si="14"/>
        <v/>
      </c>
      <c r="L158" s="189" t="str">
        <f t="shared" si="15"/>
        <v/>
      </c>
      <c r="M158" s="204" t="str">
        <f>IF($H158="USD",IF(OR($L158="",$L158="-"),"",VLOOKUP($G158,為替!$A:$AX,$L158,FALSE))+$K$3,IF(OR($L158="",$L158="-"),"",VLOOKUP($G158,為替!$A:$AX,$L158,FALSE)))</f>
        <v/>
      </c>
      <c r="N158" s="205" t="str">
        <f t="shared" si="16"/>
        <v/>
      </c>
      <c r="O158" s="206" t="str">
        <f t="shared" si="12"/>
        <v/>
      </c>
      <c r="P158" s="207" t="str">
        <f t="shared" si="17"/>
        <v/>
      </c>
    </row>
    <row r="159" spans="3:16">
      <c r="C159" s="200"/>
      <c r="D159" s="201"/>
      <c r="E159" s="202"/>
      <c r="F159" s="200"/>
      <c r="H159" s="203"/>
      <c r="I159" s="186" t="str">
        <f t="shared" si="13"/>
        <v/>
      </c>
      <c r="J159" s="204" t="str">
        <f>IF($H159="USD",IF(OR($I159="",$I159="-"),"",VLOOKUP($G159,為替!$A:$AX,$I159,FALSE))+$J$3,IF(OR($I159="",$I159="-"),"",VLOOKUP($G159,為替!$A:$AX,$I159,FALSE)))</f>
        <v/>
      </c>
      <c r="K159" s="205" t="str">
        <f t="shared" si="14"/>
        <v/>
      </c>
      <c r="L159" s="189" t="str">
        <f t="shared" si="15"/>
        <v/>
      </c>
      <c r="M159" s="204" t="str">
        <f>IF($H159="USD",IF(OR($L159="",$L159="-"),"",VLOOKUP($G159,為替!$A:$AX,$L159,FALSE))+$K$3,IF(OR($L159="",$L159="-"),"",VLOOKUP($G159,為替!$A:$AX,$L159,FALSE)))</f>
        <v/>
      </c>
      <c r="N159" s="205" t="str">
        <f t="shared" si="16"/>
        <v/>
      </c>
      <c r="O159" s="206" t="str">
        <f t="shared" si="12"/>
        <v/>
      </c>
      <c r="P159" s="207" t="str">
        <f t="shared" si="17"/>
        <v/>
      </c>
    </row>
    <row r="160" spans="3:16">
      <c r="C160" s="200"/>
      <c r="D160" s="201"/>
      <c r="E160" s="202"/>
      <c r="F160" s="200"/>
      <c r="H160" s="203"/>
      <c r="I160" s="186" t="str">
        <f t="shared" si="13"/>
        <v/>
      </c>
      <c r="J160" s="204" t="str">
        <f>IF($H160="USD",IF(OR($I160="",$I160="-"),"",VLOOKUP($G160,為替!$A:$AX,$I160,FALSE))+$J$3,IF(OR($I160="",$I160="-"),"",VLOOKUP($G160,為替!$A:$AX,$I160,FALSE)))</f>
        <v/>
      </c>
      <c r="K160" s="205" t="str">
        <f t="shared" si="14"/>
        <v/>
      </c>
      <c r="L160" s="189" t="str">
        <f t="shared" si="15"/>
        <v/>
      </c>
      <c r="M160" s="204" t="str">
        <f>IF($H160="USD",IF(OR($L160="",$L160="-"),"",VLOOKUP($G160,為替!$A:$AX,$L160,FALSE))+$K$3,IF(OR($L160="",$L160="-"),"",VLOOKUP($G160,為替!$A:$AX,$L160,FALSE)))</f>
        <v/>
      </c>
      <c r="N160" s="205" t="str">
        <f t="shared" si="16"/>
        <v/>
      </c>
      <c r="O160" s="206" t="str">
        <f t="shared" si="12"/>
        <v/>
      </c>
      <c r="P160" s="207" t="str">
        <f t="shared" si="17"/>
        <v/>
      </c>
    </row>
    <row r="161" spans="3:16">
      <c r="C161" s="200"/>
      <c r="D161" s="201"/>
      <c r="E161" s="202"/>
      <c r="F161" s="200"/>
      <c r="H161" s="203"/>
      <c r="I161" s="186" t="str">
        <f t="shared" si="13"/>
        <v/>
      </c>
      <c r="J161" s="204" t="str">
        <f>IF($H161="USD",IF(OR($I161="",$I161="-"),"",VLOOKUP($G161,為替!$A:$AX,$I161,FALSE))+$J$3,IF(OR($I161="",$I161="-"),"",VLOOKUP($G161,為替!$A:$AX,$I161,FALSE)))</f>
        <v/>
      </c>
      <c r="K161" s="205" t="str">
        <f t="shared" si="14"/>
        <v/>
      </c>
      <c r="L161" s="189" t="str">
        <f t="shared" si="15"/>
        <v/>
      </c>
      <c r="M161" s="204" t="str">
        <f>IF($H161="USD",IF(OR($L161="",$L161="-"),"",VLOOKUP($G161,為替!$A:$AX,$L161,FALSE))+$K$3,IF(OR($L161="",$L161="-"),"",VLOOKUP($G161,為替!$A:$AX,$L161,FALSE)))</f>
        <v/>
      </c>
      <c r="N161" s="205" t="str">
        <f t="shared" si="16"/>
        <v/>
      </c>
      <c r="O161" s="206" t="str">
        <f t="shared" si="12"/>
        <v/>
      </c>
      <c r="P161" s="207" t="str">
        <f t="shared" si="17"/>
        <v/>
      </c>
    </row>
    <row r="162" spans="3:16">
      <c r="C162" s="200"/>
      <c r="D162" s="201"/>
      <c r="E162" s="202"/>
      <c r="F162" s="200"/>
      <c r="H162" s="203"/>
      <c r="I162" s="186" t="str">
        <f t="shared" si="13"/>
        <v/>
      </c>
      <c r="J162" s="204" t="str">
        <f>IF($H162="USD",IF(OR($I162="",$I162="-"),"",VLOOKUP($G162,為替!$A:$AX,$I162,FALSE))+$J$3,IF(OR($I162="",$I162="-"),"",VLOOKUP($G162,為替!$A:$AX,$I162,FALSE)))</f>
        <v/>
      </c>
      <c r="K162" s="205" t="str">
        <f t="shared" si="14"/>
        <v/>
      </c>
      <c r="L162" s="189" t="str">
        <f t="shared" si="15"/>
        <v/>
      </c>
      <c r="M162" s="204" t="str">
        <f>IF($H162="USD",IF(OR($L162="",$L162="-"),"",VLOOKUP($G162,為替!$A:$AX,$L162,FALSE))+$K$3,IF(OR($L162="",$L162="-"),"",VLOOKUP($G162,為替!$A:$AX,$L162,FALSE)))</f>
        <v/>
      </c>
      <c r="N162" s="205" t="str">
        <f t="shared" si="16"/>
        <v/>
      </c>
      <c r="O162" s="206" t="str">
        <f t="shared" si="12"/>
        <v/>
      </c>
      <c r="P162" s="207" t="str">
        <f t="shared" si="17"/>
        <v/>
      </c>
    </row>
    <row r="163" spans="3:16">
      <c r="C163" s="200"/>
      <c r="D163" s="201"/>
      <c r="E163" s="202"/>
      <c r="F163" s="200"/>
      <c r="H163" s="203"/>
      <c r="I163" s="186" t="str">
        <f t="shared" si="13"/>
        <v/>
      </c>
      <c r="J163" s="204" t="str">
        <f>IF($H163="USD",IF(OR($I163="",$I163="-"),"",VLOOKUP($G163,為替!$A:$AX,$I163,FALSE))+$J$3,IF(OR($I163="",$I163="-"),"",VLOOKUP($G163,為替!$A:$AX,$I163,FALSE)))</f>
        <v/>
      </c>
      <c r="K163" s="205" t="str">
        <f t="shared" si="14"/>
        <v/>
      </c>
      <c r="L163" s="189" t="str">
        <f t="shared" si="15"/>
        <v/>
      </c>
      <c r="M163" s="204" t="str">
        <f>IF($H163="USD",IF(OR($L163="",$L163="-"),"",VLOOKUP($G163,為替!$A:$AX,$L163,FALSE))+$K$3,IF(OR($L163="",$L163="-"),"",VLOOKUP($G163,為替!$A:$AX,$L163,FALSE)))</f>
        <v/>
      </c>
      <c r="N163" s="205" t="str">
        <f t="shared" si="16"/>
        <v/>
      </c>
      <c r="O163" s="206" t="str">
        <f t="shared" si="12"/>
        <v/>
      </c>
      <c r="P163" s="207" t="str">
        <f t="shared" si="17"/>
        <v/>
      </c>
    </row>
    <row r="164" spans="3:16">
      <c r="C164" s="200"/>
      <c r="D164" s="201"/>
      <c r="E164" s="202"/>
      <c r="F164" s="200"/>
      <c r="H164" s="203"/>
      <c r="I164" s="186" t="str">
        <f t="shared" si="13"/>
        <v/>
      </c>
      <c r="J164" s="204" t="str">
        <f>IF($H164="USD",IF(OR($I164="",$I164="-"),"",VLOOKUP($G164,為替!$A:$AX,$I164,FALSE))+$J$3,IF(OR($I164="",$I164="-"),"",VLOOKUP($G164,為替!$A:$AX,$I164,FALSE)))</f>
        <v/>
      </c>
      <c r="K164" s="205" t="str">
        <f t="shared" si="14"/>
        <v/>
      </c>
      <c r="L164" s="189" t="str">
        <f t="shared" si="15"/>
        <v/>
      </c>
      <c r="M164" s="204" t="str">
        <f>IF($H164="USD",IF(OR($L164="",$L164="-"),"",VLOOKUP($G164,為替!$A:$AX,$L164,FALSE))+$K$3,IF(OR($L164="",$L164="-"),"",VLOOKUP($G164,為替!$A:$AX,$L164,FALSE)))</f>
        <v/>
      </c>
      <c r="N164" s="205" t="str">
        <f t="shared" si="16"/>
        <v/>
      </c>
      <c r="O164" s="206" t="str">
        <f t="shared" si="12"/>
        <v/>
      </c>
      <c r="P164" s="207" t="str">
        <f t="shared" si="17"/>
        <v/>
      </c>
    </row>
    <row r="165" spans="3:16">
      <c r="C165" s="200"/>
      <c r="D165" s="201"/>
      <c r="E165" s="202"/>
      <c r="F165" s="200"/>
      <c r="H165" s="203"/>
      <c r="I165" s="186" t="str">
        <f t="shared" si="13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 t="str">
        <f t="shared" si="14"/>
        <v/>
      </c>
      <c r="L165" s="189" t="str">
        <f t="shared" si="15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 t="str">
        <f t="shared" si="16"/>
        <v/>
      </c>
      <c r="O165" s="206" t="str">
        <f t="shared" si="12"/>
        <v/>
      </c>
      <c r="P165" s="207" t="str">
        <f t="shared" si="17"/>
        <v/>
      </c>
    </row>
    <row r="166" spans="3:16">
      <c r="C166" s="200"/>
      <c r="D166" s="201"/>
      <c r="E166" s="202"/>
      <c r="F166" s="200"/>
      <c r="H166" s="203"/>
      <c r="I166" s="186" t="str">
        <f t="shared" si="13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 t="str">
        <f t="shared" si="14"/>
        <v/>
      </c>
      <c r="L166" s="189" t="str">
        <f t="shared" si="15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 t="str">
        <f t="shared" si="16"/>
        <v/>
      </c>
      <c r="O166" s="206" t="str">
        <f t="shared" si="12"/>
        <v/>
      </c>
      <c r="P166" s="207" t="str">
        <f t="shared" si="17"/>
        <v/>
      </c>
    </row>
    <row r="167" spans="3:16">
      <c r="C167" s="200"/>
      <c r="D167" s="201"/>
      <c r="E167" s="202"/>
      <c r="F167" s="200"/>
      <c r="H167" s="203"/>
      <c r="I167" s="186" t="str">
        <f t="shared" si="13"/>
        <v/>
      </c>
      <c r="J167" s="204" t="str">
        <f>IF($H167="USD",IF(OR($I167="",$I167="-"),"",VLOOKUP($G167,為替!$A:$AX,$I167,FALSE))+$J$3,IF(OR($I167="",$I167="-"),"",VLOOKUP($G167,為替!$A:$AX,$I167,FALSE)))</f>
        <v/>
      </c>
      <c r="K167" s="205" t="str">
        <f t="shared" si="14"/>
        <v/>
      </c>
      <c r="L167" s="189" t="str">
        <f t="shared" si="15"/>
        <v/>
      </c>
      <c r="M167" s="204" t="str">
        <f>IF($H167="USD",IF(OR($L167="",$L167="-"),"",VLOOKUP($G167,為替!$A:$AX,$L167,FALSE))+$K$3,IF(OR($L167="",$L167="-"),"",VLOOKUP($G167,為替!$A:$AX,$L167,FALSE)))</f>
        <v/>
      </c>
      <c r="N167" s="205" t="str">
        <f t="shared" si="16"/>
        <v/>
      </c>
      <c r="O167" s="206" t="str">
        <f t="shared" si="12"/>
        <v/>
      </c>
      <c r="P167" s="207" t="str">
        <f t="shared" si="17"/>
        <v/>
      </c>
    </row>
    <row r="168" spans="3:16">
      <c r="C168" s="200"/>
      <c r="D168" s="201"/>
      <c r="E168" s="202"/>
      <c r="F168" s="200"/>
      <c r="H168" s="203"/>
      <c r="I168" s="186" t="str">
        <f t="shared" si="13"/>
        <v/>
      </c>
      <c r="J168" s="204" t="str">
        <f>IF($H168="USD",IF(OR($I168="",$I168="-"),"",VLOOKUP($G168,為替!$A:$AX,$I168,FALSE))+$J$3,IF(OR($I168="",$I168="-"),"",VLOOKUP($G168,為替!$A:$AX,$I168,FALSE)))</f>
        <v/>
      </c>
      <c r="K168" s="205" t="str">
        <f t="shared" si="14"/>
        <v/>
      </c>
      <c r="L168" s="189" t="str">
        <f t="shared" si="15"/>
        <v/>
      </c>
      <c r="M168" s="204" t="str">
        <f>IF($H168="USD",IF(OR($L168="",$L168="-"),"",VLOOKUP($G168,為替!$A:$AX,$L168,FALSE))+$K$3,IF(OR($L168="",$L168="-"),"",VLOOKUP($G168,為替!$A:$AX,$L168,FALSE)))</f>
        <v/>
      </c>
      <c r="N168" s="205" t="str">
        <f t="shared" si="16"/>
        <v/>
      </c>
      <c r="O168" s="206" t="str">
        <f t="shared" si="12"/>
        <v/>
      </c>
      <c r="P168" s="207" t="str">
        <f t="shared" si="17"/>
        <v/>
      </c>
    </row>
    <row r="169" spans="3:16">
      <c r="C169" s="200"/>
      <c r="D169" s="201"/>
      <c r="E169" s="202"/>
      <c r="F169" s="200"/>
      <c r="H169" s="203"/>
      <c r="I169" s="186" t="str">
        <f t="shared" si="13"/>
        <v/>
      </c>
      <c r="J169" s="204" t="str">
        <f>IF($H169="USD",IF(OR($I169="",$I169="-"),"",VLOOKUP($G169,為替!$A:$AX,$I169,FALSE))+$J$3,IF(OR($I169="",$I169="-"),"",VLOOKUP($G169,為替!$A:$AX,$I169,FALSE)))</f>
        <v/>
      </c>
      <c r="K169" s="205" t="str">
        <f t="shared" si="14"/>
        <v/>
      </c>
      <c r="L169" s="189" t="str">
        <f t="shared" si="15"/>
        <v/>
      </c>
      <c r="M169" s="204" t="str">
        <f>IF($H169="USD",IF(OR($L169="",$L169="-"),"",VLOOKUP($G169,為替!$A:$AX,$L169,FALSE))+$K$3,IF(OR($L169="",$L169="-"),"",VLOOKUP($G169,為替!$A:$AX,$L169,FALSE)))</f>
        <v/>
      </c>
      <c r="N169" s="205" t="str">
        <f t="shared" si="16"/>
        <v/>
      </c>
      <c r="O169" s="206" t="str">
        <f t="shared" si="12"/>
        <v/>
      </c>
      <c r="P169" s="207" t="str">
        <f t="shared" si="17"/>
        <v/>
      </c>
    </row>
    <row r="170" spans="3:16">
      <c r="C170" s="200"/>
      <c r="D170" s="201"/>
      <c r="E170" s="202"/>
      <c r="F170" s="200"/>
      <c r="H170" s="203"/>
      <c r="I170" s="186" t="str">
        <f t="shared" si="13"/>
        <v/>
      </c>
      <c r="J170" s="204" t="str">
        <f>IF($H170="USD",IF(OR($I170="",$I170="-"),"",VLOOKUP($G170,為替!$A:$AX,$I170,FALSE))+$J$3,IF(OR($I170="",$I170="-"),"",VLOOKUP($G170,為替!$A:$AX,$I170,FALSE)))</f>
        <v/>
      </c>
      <c r="K170" s="205" t="str">
        <f t="shared" si="14"/>
        <v/>
      </c>
      <c r="L170" s="189" t="str">
        <f t="shared" si="15"/>
        <v/>
      </c>
      <c r="M170" s="204" t="str">
        <f>IF($H170="USD",IF(OR($L170="",$L170="-"),"",VLOOKUP($G170,為替!$A:$AX,$L170,FALSE))+$K$3,IF(OR($L170="",$L170="-"),"",VLOOKUP($G170,為替!$A:$AX,$L170,FALSE)))</f>
        <v/>
      </c>
      <c r="N170" s="205" t="str">
        <f t="shared" si="16"/>
        <v/>
      </c>
      <c r="O170" s="206" t="str">
        <f t="shared" si="12"/>
        <v/>
      </c>
      <c r="P170" s="207" t="str">
        <f t="shared" si="17"/>
        <v/>
      </c>
    </row>
    <row r="171" spans="3:16">
      <c r="C171" s="200"/>
      <c r="D171" s="201"/>
      <c r="E171" s="202"/>
      <c r="F171" s="200"/>
      <c r="H171" s="203"/>
      <c r="I171" s="186" t="str">
        <f t="shared" si="13"/>
        <v/>
      </c>
      <c r="J171" s="204" t="str">
        <f>IF($H171="USD",IF(OR($I171="",$I171="-"),"",VLOOKUP($G171,為替!$A:$AX,$I171,FALSE))+$J$3,IF(OR($I171="",$I171="-"),"",VLOOKUP($G171,為替!$A:$AX,$I171,FALSE)))</f>
        <v/>
      </c>
      <c r="K171" s="205" t="str">
        <f t="shared" si="14"/>
        <v/>
      </c>
      <c r="L171" s="189" t="str">
        <f t="shared" si="15"/>
        <v/>
      </c>
      <c r="M171" s="204" t="str">
        <f>IF($H171="USD",IF(OR($L171="",$L171="-"),"",VLOOKUP($G171,為替!$A:$AX,$L171,FALSE))+$K$3,IF(OR($L171="",$L171="-"),"",VLOOKUP($G171,為替!$A:$AX,$L171,FALSE)))</f>
        <v/>
      </c>
      <c r="N171" s="205" t="str">
        <f t="shared" si="16"/>
        <v/>
      </c>
      <c r="O171" s="206" t="str">
        <f t="shared" si="12"/>
        <v/>
      </c>
      <c r="P171" s="207" t="str">
        <f t="shared" si="17"/>
        <v/>
      </c>
    </row>
    <row r="172" spans="3:16">
      <c r="C172" s="200"/>
      <c r="D172" s="201"/>
      <c r="E172" s="202"/>
      <c r="F172" s="200"/>
      <c r="H172" s="203"/>
      <c r="I172" s="186" t="str">
        <f t="shared" si="13"/>
        <v/>
      </c>
      <c r="J172" s="204" t="str">
        <f>IF($H172="USD",IF(OR($I172="",$I172="-"),"",VLOOKUP($G172,為替!$A:$AX,$I172,FALSE))+$J$3,IF(OR($I172="",$I172="-"),"",VLOOKUP($G172,為替!$A:$AX,$I172,FALSE)))</f>
        <v/>
      </c>
      <c r="K172" s="205" t="str">
        <f t="shared" si="14"/>
        <v/>
      </c>
      <c r="L172" s="189" t="str">
        <f t="shared" si="15"/>
        <v/>
      </c>
      <c r="M172" s="204" t="str">
        <f>IF($H172="USD",IF(OR($L172="",$L172="-"),"",VLOOKUP($G172,為替!$A:$AX,$L172,FALSE))+$K$3,IF(OR($L172="",$L172="-"),"",VLOOKUP($G172,為替!$A:$AX,$L172,FALSE)))</f>
        <v/>
      </c>
      <c r="N172" s="205" t="str">
        <f t="shared" si="16"/>
        <v/>
      </c>
      <c r="O172" s="206" t="str">
        <f t="shared" si="12"/>
        <v/>
      </c>
      <c r="P172" s="207" t="str">
        <f t="shared" si="17"/>
        <v/>
      </c>
    </row>
    <row r="173" spans="3:16">
      <c r="C173" s="200"/>
      <c r="D173" s="201"/>
      <c r="E173" s="202"/>
      <c r="F173" s="200"/>
      <c r="H173" s="203"/>
      <c r="I173" s="186" t="str">
        <f t="shared" si="13"/>
        <v/>
      </c>
      <c r="J173" s="204" t="str">
        <f>IF($H173="USD",IF(OR($I173="",$I173="-"),"",VLOOKUP($G173,為替!$A:$AX,$I173,FALSE))+$J$3,IF(OR($I173="",$I173="-"),"",VLOOKUP($G173,為替!$A:$AX,$I173,FALSE)))</f>
        <v/>
      </c>
      <c r="K173" s="205" t="str">
        <f t="shared" si="14"/>
        <v/>
      </c>
      <c r="L173" s="189" t="str">
        <f t="shared" si="15"/>
        <v/>
      </c>
      <c r="M173" s="204" t="str">
        <f>IF($H173="USD",IF(OR($L173="",$L173="-"),"",VLOOKUP($G173,為替!$A:$AX,$L173,FALSE))+$K$3,IF(OR($L173="",$L173="-"),"",VLOOKUP($G173,為替!$A:$AX,$L173,FALSE)))</f>
        <v/>
      </c>
      <c r="N173" s="205" t="str">
        <f t="shared" si="16"/>
        <v/>
      </c>
      <c r="O173" s="206" t="str">
        <f t="shared" si="12"/>
        <v/>
      </c>
      <c r="P173" s="207" t="str">
        <f t="shared" si="17"/>
        <v/>
      </c>
    </row>
    <row r="174" spans="3:16">
      <c r="C174" s="200"/>
      <c r="D174" s="201"/>
      <c r="E174" s="202"/>
      <c r="F174" s="200"/>
      <c r="H174" s="203"/>
      <c r="I174" s="186" t="str">
        <f t="shared" si="13"/>
        <v/>
      </c>
      <c r="J174" s="204" t="str">
        <f>IF($H174="USD",IF(OR($I174="",$I174="-"),"",VLOOKUP($G174,為替!$A:$AX,$I174,FALSE))+$J$3,IF(OR($I174="",$I174="-"),"",VLOOKUP($G174,為替!$A:$AX,$I174,FALSE)))</f>
        <v/>
      </c>
      <c r="K174" s="205" t="str">
        <f t="shared" si="14"/>
        <v/>
      </c>
      <c r="L174" s="189" t="str">
        <f t="shared" si="15"/>
        <v/>
      </c>
      <c r="M174" s="204" t="str">
        <f>IF($H174="USD",IF(OR($L174="",$L174="-"),"",VLOOKUP($G174,為替!$A:$AX,$L174,FALSE))+$K$3,IF(OR($L174="",$L174="-"),"",VLOOKUP($G174,為替!$A:$AX,$L174,FALSE)))</f>
        <v/>
      </c>
      <c r="N174" s="205" t="str">
        <f t="shared" si="16"/>
        <v/>
      </c>
      <c r="O174" s="206" t="str">
        <f t="shared" si="12"/>
        <v/>
      </c>
      <c r="P174" s="207" t="str">
        <f t="shared" si="17"/>
        <v/>
      </c>
    </row>
    <row r="175" spans="3:16">
      <c r="C175" s="200"/>
      <c r="D175" s="201"/>
      <c r="E175" s="202"/>
      <c r="F175" s="200"/>
      <c r="H175" s="203"/>
      <c r="I175" s="186" t="str">
        <f t="shared" si="13"/>
        <v/>
      </c>
      <c r="J175" s="204" t="str">
        <f>IF($H175="USD",IF(OR($I175="",$I175="-"),"",VLOOKUP($G175,為替!$A:$AX,$I175,FALSE))+$J$3,IF(OR($I175="",$I175="-"),"",VLOOKUP($G175,為替!$A:$AX,$I175,FALSE)))</f>
        <v/>
      </c>
      <c r="K175" s="205" t="str">
        <f t="shared" si="14"/>
        <v/>
      </c>
      <c r="L175" s="189" t="str">
        <f t="shared" si="15"/>
        <v/>
      </c>
      <c r="M175" s="204" t="str">
        <f>IF($H175="USD",IF(OR($L175="",$L175="-"),"",VLOOKUP($G175,為替!$A:$AX,$L175,FALSE))+$K$3,IF(OR($L175="",$L175="-"),"",VLOOKUP($G175,為替!$A:$AX,$L175,FALSE)))</f>
        <v/>
      </c>
      <c r="N175" s="205" t="str">
        <f t="shared" si="16"/>
        <v/>
      </c>
      <c r="O175" s="206" t="str">
        <f t="shared" si="12"/>
        <v/>
      </c>
      <c r="P175" s="207" t="str">
        <f t="shared" si="17"/>
        <v/>
      </c>
    </row>
    <row r="176" spans="3:16">
      <c r="C176" s="200"/>
      <c r="D176" s="201"/>
      <c r="E176" s="202"/>
      <c r="F176" s="200"/>
      <c r="H176" s="203"/>
      <c r="I176" s="186" t="str">
        <f t="shared" si="13"/>
        <v/>
      </c>
      <c r="J176" s="204" t="str">
        <f>IF($H176="USD",IF(OR($I176="",$I176="-"),"",VLOOKUP($G176,為替!$A:$AX,$I176,FALSE))+$J$3,IF(OR($I176="",$I176="-"),"",VLOOKUP($G176,為替!$A:$AX,$I176,FALSE)))</f>
        <v/>
      </c>
      <c r="K176" s="205" t="str">
        <f t="shared" si="14"/>
        <v/>
      </c>
      <c r="L176" s="189" t="str">
        <f t="shared" si="15"/>
        <v/>
      </c>
      <c r="M176" s="204" t="str">
        <f>IF($H176="USD",IF(OR($L176="",$L176="-"),"",VLOOKUP($G176,為替!$A:$AX,$L176,FALSE))+$K$3,IF(OR($L176="",$L176="-"),"",VLOOKUP($G176,為替!$A:$AX,$L176,FALSE)))</f>
        <v/>
      </c>
      <c r="N176" s="205" t="str">
        <f t="shared" si="16"/>
        <v/>
      </c>
      <c r="O176" s="206" t="str">
        <f t="shared" si="12"/>
        <v/>
      </c>
      <c r="P176" s="207" t="str">
        <f t="shared" si="17"/>
        <v/>
      </c>
    </row>
    <row r="177" spans="3:16">
      <c r="C177" s="200"/>
      <c r="D177" s="201"/>
      <c r="E177" s="202"/>
      <c r="F177" s="200"/>
      <c r="H177" s="203"/>
      <c r="I177" s="186" t="str">
        <f t="shared" si="13"/>
        <v/>
      </c>
      <c r="J177" s="204" t="str">
        <f>IF($H177="USD",IF(OR($I177="",$I177="-"),"",VLOOKUP($G177,為替!$A:$AX,$I177,FALSE))+$J$3,IF(OR($I177="",$I177="-"),"",VLOOKUP($G177,為替!$A:$AX,$I177,FALSE)))</f>
        <v/>
      </c>
      <c r="K177" s="205" t="str">
        <f t="shared" si="14"/>
        <v/>
      </c>
      <c r="L177" s="189" t="str">
        <f t="shared" si="15"/>
        <v/>
      </c>
      <c r="M177" s="204" t="str">
        <f>IF($H177="USD",IF(OR($L177="",$L177="-"),"",VLOOKUP($G177,為替!$A:$AX,$L177,FALSE))+$K$3,IF(OR($L177="",$L177="-"),"",VLOOKUP($G177,為替!$A:$AX,$L177,FALSE)))</f>
        <v/>
      </c>
      <c r="N177" s="205" t="str">
        <f t="shared" si="16"/>
        <v/>
      </c>
      <c r="O177" s="206" t="str">
        <f t="shared" si="12"/>
        <v/>
      </c>
      <c r="P177" s="207" t="str">
        <f t="shared" si="17"/>
        <v/>
      </c>
    </row>
    <row r="178" spans="3:16">
      <c r="C178" s="200"/>
      <c r="D178" s="201"/>
      <c r="E178" s="202"/>
      <c r="F178" s="200"/>
      <c r="H178" s="203"/>
      <c r="I178" s="186" t="str">
        <f t="shared" si="13"/>
        <v/>
      </c>
      <c r="J178" s="204" t="str">
        <f>IF($H178="USD",IF(OR($I178="",$I178="-"),"",VLOOKUP($G178,為替!$A:$AX,$I178,FALSE))+$J$3,IF(OR($I178="",$I178="-"),"",VLOOKUP($G178,為替!$A:$AX,$I178,FALSE)))</f>
        <v/>
      </c>
      <c r="K178" s="205" t="str">
        <f t="shared" si="14"/>
        <v/>
      </c>
      <c r="L178" s="189" t="str">
        <f t="shared" si="15"/>
        <v/>
      </c>
      <c r="M178" s="204" t="str">
        <f>IF($H178="USD",IF(OR($L178="",$L178="-"),"",VLOOKUP($G178,為替!$A:$AX,$L178,FALSE))+$K$3,IF(OR($L178="",$L178="-"),"",VLOOKUP($G178,為替!$A:$AX,$L178,FALSE)))</f>
        <v/>
      </c>
      <c r="N178" s="205" t="str">
        <f t="shared" si="16"/>
        <v/>
      </c>
      <c r="O178" s="206" t="str">
        <f t="shared" si="12"/>
        <v/>
      </c>
      <c r="P178" s="207" t="str">
        <f t="shared" si="17"/>
        <v/>
      </c>
    </row>
    <row r="179" spans="3:16">
      <c r="C179" s="200"/>
      <c r="D179" s="201"/>
      <c r="E179" s="202"/>
      <c r="F179" s="200"/>
      <c r="H179" s="203"/>
      <c r="I179" s="186" t="str">
        <f t="shared" si="13"/>
        <v/>
      </c>
      <c r="J179" s="204" t="str">
        <f>IF($H179="USD",IF(OR($I179="",$I179="-"),"",VLOOKUP($G179,為替!$A:$AX,$I179,FALSE))+$J$3,IF(OR($I179="",$I179="-"),"",VLOOKUP($G179,為替!$A:$AX,$I179,FALSE)))</f>
        <v/>
      </c>
      <c r="K179" s="205" t="str">
        <f t="shared" si="14"/>
        <v/>
      </c>
      <c r="L179" s="189" t="str">
        <f t="shared" si="15"/>
        <v/>
      </c>
      <c r="M179" s="204" t="str">
        <f>IF($H179="USD",IF(OR($L179="",$L179="-"),"",VLOOKUP($G179,為替!$A:$AX,$L179,FALSE))+$K$3,IF(OR($L179="",$L179="-"),"",VLOOKUP($G179,為替!$A:$AX,$L179,FALSE)))</f>
        <v/>
      </c>
      <c r="N179" s="205" t="str">
        <f t="shared" si="16"/>
        <v/>
      </c>
      <c r="O179" s="206" t="str">
        <f t="shared" si="12"/>
        <v/>
      </c>
      <c r="P179" s="207" t="str">
        <f t="shared" si="17"/>
        <v/>
      </c>
    </row>
    <row r="180" spans="3:16">
      <c r="C180" s="200"/>
      <c r="D180" s="201"/>
      <c r="E180" s="202"/>
      <c r="F180" s="200"/>
      <c r="H180" s="203"/>
      <c r="I180" s="186" t="str">
        <f t="shared" si="13"/>
        <v/>
      </c>
      <c r="J180" s="204" t="str">
        <f>IF($H180="USD",IF(OR($I180="",$I180="-"),"",VLOOKUP($G180,為替!$A:$AX,$I180,FALSE))+$J$3,IF(OR($I180="",$I180="-"),"",VLOOKUP($G180,為替!$A:$AX,$I180,FALSE)))</f>
        <v/>
      </c>
      <c r="K180" s="205" t="str">
        <f t="shared" si="14"/>
        <v/>
      </c>
      <c r="L180" s="189" t="str">
        <f t="shared" si="15"/>
        <v/>
      </c>
      <c r="M180" s="204" t="str">
        <f>IF($H180="USD",IF(OR($L180="",$L180="-"),"",VLOOKUP($G180,為替!$A:$AX,$L180,FALSE))+$K$3,IF(OR($L180="",$L180="-"),"",VLOOKUP($G180,為替!$A:$AX,$L180,FALSE)))</f>
        <v/>
      </c>
      <c r="N180" s="205" t="str">
        <f t="shared" si="16"/>
        <v/>
      </c>
      <c r="O180" s="206" t="str">
        <f t="shared" si="12"/>
        <v/>
      </c>
      <c r="P180" s="207" t="str">
        <f t="shared" si="17"/>
        <v/>
      </c>
    </row>
    <row r="181" spans="3:16">
      <c r="C181" s="200"/>
      <c r="D181" s="201"/>
      <c r="E181" s="202"/>
      <c r="F181" s="200"/>
      <c r="H181" s="203"/>
      <c r="I181" s="186" t="str">
        <f t="shared" si="13"/>
        <v/>
      </c>
      <c r="J181" s="204" t="str">
        <f>IF($H181="USD",IF(OR($I181="",$I181="-"),"",VLOOKUP($G181,為替!$A:$AX,$I181,FALSE))+$J$3,IF(OR($I181="",$I181="-"),"",VLOOKUP($G181,為替!$A:$AX,$I181,FALSE)))</f>
        <v/>
      </c>
      <c r="K181" s="205" t="str">
        <f t="shared" si="14"/>
        <v/>
      </c>
      <c r="L181" s="189" t="str">
        <f t="shared" si="15"/>
        <v/>
      </c>
      <c r="M181" s="204" t="str">
        <f>IF($H181="USD",IF(OR($L181="",$L181="-"),"",VLOOKUP($G181,為替!$A:$AX,$L181,FALSE))+$K$3,IF(OR($L181="",$L181="-"),"",VLOOKUP($G181,為替!$A:$AX,$L181,FALSE)))</f>
        <v/>
      </c>
      <c r="N181" s="205" t="str">
        <f t="shared" si="16"/>
        <v/>
      </c>
      <c r="O181" s="206" t="str">
        <f t="shared" si="12"/>
        <v/>
      </c>
      <c r="P181" s="207" t="str">
        <f t="shared" si="17"/>
        <v/>
      </c>
    </row>
    <row r="182" spans="3:16">
      <c r="C182" s="200"/>
      <c r="D182" s="201"/>
      <c r="E182" s="202"/>
      <c r="F182" s="200"/>
      <c r="H182" s="203"/>
      <c r="I182" s="186" t="str">
        <f t="shared" si="13"/>
        <v/>
      </c>
      <c r="J182" s="204" t="str">
        <f>IF($H182="USD",IF(OR($I182="",$I182="-"),"",VLOOKUP($G182,為替!$A:$AX,$I182,FALSE))+$J$3,IF(OR($I182="",$I182="-"),"",VLOOKUP($G182,為替!$A:$AX,$I182,FALSE)))</f>
        <v/>
      </c>
      <c r="K182" s="205" t="str">
        <f t="shared" si="14"/>
        <v/>
      </c>
      <c r="L182" s="189" t="str">
        <f t="shared" si="15"/>
        <v/>
      </c>
      <c r="M182" s="204" t="str">
        <f>IF($H182="USD",IF(OR($L182="",$L182="-"),"",VLOOKUP($G182,為替!$A:$AX,$L182,FALSE))+$K$3,IF(OR($L182="",$L182="-"),"",VLOOKUP($G182,為替!$A:$AX,$L182,FALSE)))</f>
        <v/>
      </c>
      <c r="N182" s="205" t="str">
        <f t="shared" si="16"/>
        <v/>
      </c>
      <c r="O182" s="206" t="str">
        <f t="shared" si="12"/>
        <v/>
      </c>
      <c r="P182" s="207" t="str">
        <f t="shared" si="17"/>
        <v/>
      </c>
    </row>
    <row r="183" spans="3:16">
      <c r="C183" s="200"/>
      <c r="D183" s="201"/>
      <c r="E183" s="202"/>
      <c r="F183" s="200"/>
      <c r="H183" s="203"/>
      <c r="I183" s="186" t="str">
        <f t="shared" si="13"/>
        <v/>
      </c>
      <c r="J183" s="204" t="str">
        <f>IF($H183="USD",IF(OR($I183="",$I183="-"),"",VLOOKUP($G183,為替!$A:$AX,$I183,FALSE))+$J$3,IF(OR($I183="",$I183="-"),"",VLOOKUP($G183,為替!$A:$AX,$I183,FALSE)))</f>
        <v/>
      </c>
      <c r="K183" s="205" t="str">
        <f t="shared" si="14"/>
        <v/>
      </c>
      <c r="L183" s="189" t="str">
        <f t="shared" si="15"/>
        <v/>
      </c>
      <c r="M183" s="204" t="str">
        <f>IF($H183="USD",IF(OR($L183="",$L183="-"),"",VLOOKUP($G183,為替!$A:$AX,$L183,FALSE))+$K$3,IF(OR($L183="",$L183="-"),"",VLOOKUP($G183,為替!$A:$AX,$L183,FALSE)))</f>
        <v/>
      </c>
      <c r="N183" s="205" t="str">
        <f t="shared" si="16"/>
        <v/>
      </c>
      <c r="O183" s="206" t="str">
        <f t="shared" si="12"/>
        <v/>
      </c>
      <c r="P183" s="207" t="str">
        <f t="shared" si="17"/>
        <v/>
      </c>
    </row>
    <row r="184" spans="3:16">
      <c r="C184" s="200"/>
      <c r="D184" s="201"/>
      <c r="E184" s="202"/>
      <c r="F184" s="200"/>
      <c r="H184" s="203"/>
      <c r="I184" s="186" t="str">
        <f t="shared" si="13"/>
        <v/>
      </c>
      <c r="J184" s="204" t="str">
        <f>IF($H184="USD",IF(OR($I184="",$I184="-"),"",VLOOKUP($G184,為替!$A:$AX,$I184,FALSE))+$J$3,IF(OR($I184="",$I184="-"),"",VLOOKUP($G184,為替!$A:$AX,$I184,FALSE)))</f>
        <v/>
      </c>
      <c r="K184" s="205" t="str">
        <f t="shared" si="14"/>
        <v/>
      </c>
      <c r="L184" s="189" t="str">
        <f t="shared" si="15"/>
        <v/>
      </c>
      <c r="M184" s="204" t="str">
        <f>IF($H184="USD",IF(OR($L184="",$L184="-"),"",VLOOKUP($G184,為替!$A:$AX,$L184,FALSE))+$K$3,IF(OR($L184="",$L184="-"),"",VLOOKUP($G184,為替!$A:$AX,$L184,FALSE)))</f>
        <v/>
      </c>
      <c r="N184" s="205" t="str">
        <f t="shared" si="16"/>
        <v/>
      </c>
      <c r="O184" s="206" t="str">
        <f t="shared" si="12"/>
        <v/>
      </c>
      <c r="P184" s="207" t="str">
        <f t="shared" si="17"/>
        <v/>
      </c>
    </row>
    <row r="185" spans="3:16">
      <c r="C185" s="200"/>
      <c r="D185" s="201"/>
      <c r="E185" s="202"/>
      <c r="F185" s="200"/>
      <c r="H185" s="203"/>
      <c r="I185" s="186" t="str">
        <f t="shared" si="13"/>
        <v/>
      </c>
      <c r="J185" s="204" t="str">
        <f>IF($H185="USD",IF(OR($I185="",$I185="-"),"",VLOOKUP($G185,為替!$A:$AX,$I185,FALSE))+$J$3,IF(OR($I185="",$I185="-"),"",VLOOKUP($G185,為替!$A:$AX,$I185,FALSE)))</f>
        <v/>
      </c>
      <c r="K185" s="205" t="str">
        <f t="shared" si="14"/>
        <v/>
      </c>
      <c r="L185" s="189" t="str">
        <f t="shared" si="15"/>
        <v/>
      </c>
      <c r="M185" s="204" t="str">
        <f>IF($H185="USD",IF(OR($L185="",$L185="-"),"",VLOOKUP($G185,為替!$A:$AX,$L185,FALSE))+$K$3,IF(OR($L185="",$L185="-"),"",VLOOKUP($G185,為替!$A:$AX,$L185,FALSE)))</f>
        <v/>
      </c>
      <c r="N185" s="205" t="str">
        <f t="shared" si="16"/>
        <v/>
      </c>
      <c r="O185" s="206" t="str">
        <f t="shared" si="12"/>
        <v/>
      </c>
      <c r="P185" s="207" t="str">
        <f t="shared" si="17"/>
        <v/>
      </c>
    </row>
    <row r="186" spans="3:16">
      <c r="C186" s="200"/>
      <c r="D186" s="201"/>
      <c r="E186" s="202"/>
      <c r="F186" s="200"/>
      <c r="H186" s="203"/>
      <c r="I186" s="186" t="str">
        <f t="shared" si="13"/>
        <v/>
      </c>
      <c r="J186" s="204" t="str">
        <f>IF($H186="USD",IF(OR($I186="",$I186="-"),"",VLOOKUP($G186,為替!$A:$AX,$I186,FALSE))+$J$3,IF(OR($I186="",$I186="-"),"",VLOOKUP($G186,為替!$A:$AX,$I186,FALSE)))</f>
        <v/>
      </c>
      <c r="K186" s="205" t="str">
        <f t="shared" si="14"/>
        <v/>
      </c>
      <c r="L186" s="189" t="str">
        <f t="shared" si="15"/>
        <v/>
      </c>
      <c r="M186" s="204" t="str">
        <f>IF($H186="USD",IF(OR($L186="",$L186="-"),"",VLOOKUP($G186,為替!$A:$AX,$L186,FALSE))+$K$3,IF(OR($L186="",$L186="-"),"",VLOOKUP($G186,為替!$A:$AX,$L186,FALSE)))</f>
        <v/>
      </c>
      <c r="N186" s="205" t="str">
        <f t="shared" si="16"/>
        <v/>
      </c>
      <c r="O186" s="206" t="str">
        <f t="shared" si="12"/>
        <v/>
      </c>
      <c r="P186" s="207" t="str">
        <f t="shared" si="17"/>
        <v/>
      </c>
    </row>
    <row r="187" spans="3:16">
      <c r="C187" s="200"/>
      <c r="D187" s="201"/>
      <c r="E187" s="202"/>
      <c r="F187" s="200"/>
      <c r="H187" s="203"/>
      <c r="I187" s="186" t="str">
        <f t="shared" si="13"/>
        <v/>
      </c>
      <c r="J187" s="204" t="str">
        <f>IF($H187="USD",IF(OR($I187="",$I187="-"),"",VLOOKUP($G187,為替!$A:$AX,$I187,FALSE))+$J$3,IF(OR($I187="",$I187="-"),"",VLOOKUP($G187,為替!$A:$AX,$I187,FALSE)))</f>
        <v/>
      </c>
      <c r="K187" s="205" t="str">
        <f t="shared" si="14"/>
        <v/>
      </c>
      <c r="L187" s="189" t="str">
        <f t="shared" si="15"/>
        <v/>
      </c>
      <c r="M187" s="204" t="str">
        <f>IF($H187="USD",IF(OR($L187="",$L187="-"),"",VLOOKUP($G187,為替!$A:$AX,$L187,FALSE))+$K$3,IF(OR($L187="",$L187="-"),"",VLOOKUP($G187,為替!$A:$AX,$L187,FALSE)))</f>
        <v/>
      </c>
      <c r="N187" s="205" t="str">
        <f t="shared" si="16"/>
        <v/>
      </c>
      <c r="O187" s="206" t="str">
        <f t="shared" si="12"/>
        <v/>
      </c>
      <c r="P187" s="207" t="str">
        <f t="shared" si="17"/>
        <v/>
      </c>
    </row>
    <row r="188" spans="3:16">
      <c r="C188" s="200"/>
      <c r="D188" s="201"/>
      <c r="E188" s="202"/>
      <c r="F188" s="200"/>
      <c r="H188" s="203"/>
      <c r="I188" s="186" t="str">
        <f t="shared" si="13"/>
        <v/>
      </c>
      <c r="J188" s="204" t="str">
        <f>IF($H188="USD",IF(OR($I188="",$I188="-"),"",VLOOKUP($G188,為替!$A:$AX,$I188,FALSE))+$J$3,IF(OR($I188="",$I188="-"),"",VLOOKUP($G188,為替!$A:$AX,$I188,FALSE)))</f>
        <v/>
      </c>
      <c r="K188" s="205" t="str">
        <f t="shared" si="14"/>
        <v/>
      </c>
      <c r="L188" s="189" t="str">
        <f t="shared" si="15"/>
        <v/>
      </c>
      <c r="M188" s="204" t="str">
        <f>IF($H188="USD",IF(OR($L188="",$L188="-"),"",VLOOKUP($G188,為替!$A:$AX,$L188,FALSE))+$K$3,IF(OR($L188="",$L188="-"),"",VLOOKUP($G188,為替!$A:$AX,$L188,FALSE)))</f>
        <v/>
      </c>
      <c r="N188" s="205" t="str">
        <f t="shared" si="16"/>
        <v/>
      </c>
      <c r="O188" s="206" t="str">
        <f t="shared" si="12"/>
        <v/>
      </c>
      <c r="P188" s="207" t="str">
        <f t="shared" si="17"/>
        <v/>
      </c>
    </row>
    <row r="189" spans="3:16">
      <c r="C189" s="200"/>
      <c r="D189" s="201"/>
      <c r="E189" s="202"/>
      <c r="F189" s="200"/>
      <c r="H189" s="203"/>
      <c r="I189" s="186" t="str">
        <f t="shared" si="13"/>
        <v/>
      </c>
      <c r="J189" s="204" t="str">
        <f>IF($H189="USD",IF(OR($I189="",$I189="-"),"",VLOOKUP($G189,為替!$A:$AX,$I189,FALSE))+$J$3,IF(OR($I189="",$I189="-"),"",VLOOKUP($G189,為替!$A:$AX,$I189,FALSE)))</f>
        <v/>
      </c>
      <c r="K189" s="205" t="str">
        <f t="shared" si="14"/>
        <v/>
      </c>
      <c r="L189" s="189" t="str">
        <f t="shared" si="15"/>
        <v/>
      </c>
      <c r="M189" s="204" t="str">
        <f>IF($H189="USD",IF(OR($L189="",$L189="-"),"",VLOOKUP($G189,為替!$A:$AX,$L189,FALSE))+$K$3,IF(OR($L189="",$L189="-"),"",VLOOKUP($G189,為替!$A:$AX,$L189,FALSE)))</f>
        <v/>
      </c>
      <c r="N189" s="205" t="str">
        <f t="shared" si="16"/>
        <v/>
      </c>
      <c r="O189" s="206" t="str">
        <f t="shared" si="12"/>
        <v/>
      </c>
      <c r="P189" s="207" t="str">
        <f t="shared" si="17"/>
        <v/>
      </c>
    </row>
    <row r="190" spans="3:16">
      <c r="C190" s="200"/>
      <c r="D190" s="201"/>
      <c r="E190" s="202"/>
      <c r="F190" s="200"/>
      <c r="H190" s="203"/>
      <c r="I190" s="186" t="str">
        <f t="shared" si="13"/>
        <v/>
      </c>
      <c r="J190" s="204" t="str">
        <f>IF($H190="USD",IF(OR($I190="",$I190="-"),"",VLOOKUP($G190,為替!$A:$AX,$I190,FALSE))+$J$3,IF(OR($I190="",$I190="-"),"",VLOOKUP($G190,為替!$A:$AX,$I190,FALSE)))</f>
        <v/>
      </c>
      <c r="K190" s="205" t="str">
        <f t="shared" si="14"/>
        <v/>
      </c>
      <c r="L190" s="189" t="str">
        <f t="shared" si="15"/>
        <v/>
      </c>
      <c r="M190" s="204" t="str">
        <f>IF($H190="USD",IF(OR($L190="",$L190="-"),"",VLOOKUP($G190,為替!$A:$AX,$L190,FALSE))+$K$3,IF(OR($L190="",$L190="-"),"",VLOOKUP($G190,為替!$A:$AX,$L190,FALSE)))</f>
        <v/>
      </c>
      <c r="N190" s="205" t="str">
        <f t="shared" si="16"/>
        <v/>
      </c>
      <c r="O190" s="206" t="str">
        <f t="shared" si="12"/>
        <v/>
      </c>
      <c r="P190" s="207" t="str">
        <f t="shared" si="17"/>
        <v/>
      </c>
    </row>
    <row r="191" spans="3:16">
      <c r="C191" s="200"/>
      <c r="D191" s="201"/>
      <c r="E191" s="202"/>
      <c r="F191" s="200"/>
      <c r="H191" s="203"/>
      <c r="I191" s="186" t="str">
        <f t="shared" si="13"/>
        <v/>
      </c>
      <c r="J191" s="204" t="str">
        <f>IF($H191="USD",IF(OR($I191="",$I191="-"),"",VLOOKUP($G191,為替!$A:$AX,$I191,FALSE))+$J$3,IF(OR($I191="",$I191="-"),"",VLOOKUP($G191,為替!$A:$AX,$I191,FALSE)))</f>
        <v/>
      </c>
      <c r="K191" s="205" t="str">
        <f t="shared" si="14"/>
        <v/>
      </c>
      <c r="L191" s="189" t="str">
        <f t="shared" si="15"/>
        <v/>
      </c>
      <c r="M191" s="204" t="str">
        <f>IF($H191="USD",IF(OR($L191="",$L191="-"),"",VLOOKUP($G191,為替!$A:$AX,$L191,FALSE))+$K$3,IF(OR($L191="",$L191="-"),"",VLOOKUP($G191,為替!$A:$AX,$L191,FALSE)))</f>
        <v/>
      </c>
      <c r="N191" s="205" t="str">
        <f t="shared" si="16"/>
        <v/>
      </c>
      <c r="O191" s="206" t="str">
        <f t="shared" si="12"/>
        <v/>
      </c>
      <c r="P191" s="207" t="str">
        <f t="shared" si="17"/>
        <v/>
      </c>
    </row>
    <row r="192" spans="3:16">
      <c r="C192" s="200"/>
      <c r="D192" s="201"/>
      <c r="E192" s="202"/>
      <c r="F192" s="200"/>
      <c r="H192" s="203"/>
      <c r="I192" s="186" t="str">
        <f t="shared" si="13"/>
        <v/>
      </c>
      <c r="J192" s="204" t="str">
        <f>IF($H192="USD",IF(OR($I192="",$I192="-"),"",VLOOKUP($G192,為替!$A:$AX,$I192,FALSE))+$J$3,IF(OR($I192="",$I192="-"),"",VLOOKUP($G192,為替!$A:$AX,$I192,FALSE)))</f>
        <v/>
      </c>
      <c r="K192" s="205" t="str">
        <f t="shared" si="14"/>
        <v/>
      </c>
      <c r="L192" s="189" t="str">
        <f t="shared" si="15"/>
        <v/>
      </c>
      <c r="M192" s="204" t="str">
        <f>IF($H192="USD",IF(OR($L192="",$L192="-"),"",VLOOKUP($G192,為替!$A:$AX,$L192,FALSE))+$K$3,IF(OR($L192="",$L192="-"),"",VLOOKUP($G192,為替!$A:$AX,$L192,FALSE)))</f>
        <v/>
      </c>
      <c r="N192" s="205" t="str">
        <f t="shared" si="16"/>
        <v/>
      </c>
      <c r="O192" s="206" t="str">
        <f t="shared" si="12"/>
        <v/>
      </c>
      <c r="P192" s="207" t="str">
        <f t="shared" si="17"/>
        <v/>
      </c>
    </row>
    <row r="193" spans="3:16">
      <c r="C193" s="200"/>
      <c r="D193" s="201"/>
      <c r="E193" s="202"/>
      <c r="F193" s="200"/>
      <c r="H193" s="203"/>
      <c r="I193" s="186" t="str">
        <f t="shared" si="13"/>
        <v/>
      </c>
      <c r="J193" s="204" t="str">
        <f>IF($H193="USD",IF(OR($I193="",$I193="-"),"",VLOOKUP($G193,為替!$A:$AX,$I193,FALSE))+$J$3,IF(OR($I193="",$I193="-"),"",VLOOKUP($G193,為替!$A:$AX,$I193,FALSE)))</f>
        <v/>
      </c>
      <c r="K193" s="205" t="str">
        <f t="shared" si="14"/>
        <v/>
      </c>
      <c r="L193" s="189" t="str">
        <f t="shared" si="15"/>
        <v/>
      </c>
      <c r="M193" s="204" t="str">
        <f>IF($H193="USD",IF(OR($L193="",$L193="-"),"",VLOOKUP($G193,為替!$A:$AX,$L193,FALSE))+$K$3,IF(OR($L193="",$L193="-"),"",VLOOKUP($G193,為替!$A:$AX,$L193,FALSE)))</f>
        <v/>
      </c>
      <c r="N193" s="205" t="str">
        <f t="shared" si="16"/>
        <v/>
      </c>
      <c r="O193" s="206" t="str">
        <f t="shared" si="12"/>
        <v/>
      </c>
      <c r="P193" s="207" t="str">
        <f t="shared" si="17"/>
        <v/>
      </c>
    </row>
    <row r="194" spans="3:16">
      <c r="C194" s="200"/>
      <c r="D194" s="201"/>
      <c r="E194" s="202"/>
      <c r="F194" s="200"/>
      <c r="H194" s="203"/>
      <c r="I194" s="186" t="str">
        <f t="shared" si="13"/>
        <v/>
      </c>
      <c r="J194" s="204" t="str">
        <f>IF($H194="USD",IF(OR($I194="",$I194="-"),"",VLOOKUP($G194,為替!$A:$AX,$I194,FALSE))+$J$3,IF(OR($I194="",$I194="-"),"",VLOOKUP($G194,為替!$A:$AX,$I194,FALSE)))</f>
        <v/>
      </c>
      <c r="K194" s="205" t="str">
        <f t="shared" si="14"/>
        <v/>
      </c>
      <c r="L194" s="189" t="str">
        <f t="shared" si="15"/>
        <v/>
      </c>
      <c r="M194" s="204" t="str">
        <f>IF($H194="USD",IF(OR($L194="",$L194="-"),"",VLOOKUP($G194,為替!$A:$AX,$L194,FALSE))+$K$3,IF(OR($L194="",$L194="-"),"",VLOOKUP($G194,為替!$A:$AX,$L194,FALSE)))</f>
        <v/>
      </c>
      <c r="N194" s="205" t="str">
        <f t="shared" si="16"/>
        <v/>
      </c>
      <c r="O194" s="206" t="str">
        <f t="shared" si="12"/>
        <v/>
      </c>
      <c r="P194" s="207" t="str">
        <f t="shared" si="17"/>
        <v/>
      </c>
    </row>
    <row r="195" spans="3:16">
      <c r="C195" s="200"/>
      <c r="D195" s="201"/>
      <c r="E195" s="202"/>
      <c r="F195" s="200"/>
      <c r="H195" s="203"/>
      <c r="I195" s="186" t="str">
        <f t="shared" si="13"/>
        <v/>
      </c>
      <c r="J195" s="204" t="str">
        <f>IF($H195="USD",IF(OR($I195="",$I195="-"),"",VLOOKUP($G195,為替!$A:$AX,$I195,FALSE))+$J$3,IF(OR($I195="",$I195="-"),"",VLOOKUP($G195,為替!$A:$AX,$I195,FALSE)))</f>
        <v/>
      </c>
      <c r="K195" s="205" t="str">
        <f t="shared" si="14"/>
        <v/>
      </c>
      <c r="L195" s="189" t="str">
        <f t="shared" si="15"/>
        <v/>
      </c>
      <c r="M195" s="204" t="str">
        <f>IF($H195="USD",IF(OR($L195="",$L195="-"),"",VLOOKUP($G195,為替!$A:$AX,$L195,FALSE))+$K$3,IF(OR($L195="",$L195="-"),"",VLOOKUP($G195,為替!$A:$AX,$L195,FALSE)))</f>
        <v/>
      </c>
      <c r="N195" s="205" t="str">
        <f t="shared" si="16"/>
        <v/>
      </c>
      <c r="O195" s="206" t="str">
        <f t="shared" si="12"/>
        <v/>
      </c>
      <c r="P195" s="207" t="str">
        <f t="shared" si="17"/>
        <v/>
      </c>
    </row>
    <row r="196" spans="3:16">
      <c r="C196" s="200"/>
      <c r="D196" s="201"/>
      <c r="E196" s="202"/>
      <c r="F196" s="200"/>
      <c r="H196" s="203"/>
      <c r="I196" s="186" t="str">
        <f t="shared" si="13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 t="str">
        <f t="shared" si="14"/>
        <v/>
      </c>
      <c r="L196" s="189" t="str">
        <f t="shared" si="15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 t="str">
        <f t="shared" si="16"/>
        <v/>
      </c>
      <c r="O196" s="206" t="str">
        <f t="shared" si="12"/>
        <v/>
      </c>
      <c r="P196" s="207" t="str">
        <f t="shared" si="17"/>
        <v/>
      </c>
    </row>
    <row r="197" spans="3:16">
      <c r="C197" s="200"/>
      <c r="D197" s="201"/>
      <c r="E197" s="202"/>
      <c r="F197" s="200"/>
      <c r="H197" s="203"/>
      <c r="I197" s="186" t="str">
        <f t="shared" si="13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 t="str">
        <f t="shared" si="14"/>
        <v/>
      </c>
      <c r="L197" s="189" t="str">
        <f t="shared" si="15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 t="str">
        <f t="shared" si="16"/>
        <v/>
      </c>
      <c r="O197" s="206" t="str">
        <f t="shared" si="12"/>
        <v/>
      </c>
      <c r="P197" s="207" t="str">
        <f t="shared" si="17"/>
        <v/>
      </c>
    </row>
    <row r="198" spans="3:16">
      <c r="C198" s="200"/>
      <c r="D198" s="201"/>
      <c r="E198" s="202"/>
      <c r="F198" s="200"/>
      <c r="H198" s="203"/>
      <c r="I198" s="186" t="str">
        <f t="shared" si="13"/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 t="str">
        <f t="shared" si="14"/>
        <v/>
      </c>
      <c r="L198" s="189" t="str">
        <f t="shared" si="15"/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 t="str">
        <f t="shared" si="16"/>
        <v/>
      </c>
      <c r="O198" s="206" t="str">
        <f t="shared" ref="O198:O261" si="18">IF(OR(K198="",N198=""),"",K198-N198)</f>
        <v/>
      </c>
      <c r="P198" s="207" t="str">
        <f t="shared" si="17"/>
        <v/>
      </c>
    </row>
    <row r="199" spans="3:16">
      <c r="C199" s="200"/>
      <c r="D199" s="201"/>
      <c r="E199" s="202"/>
      <c r="F199" s="200"/>
      <c r="H199" s="203"/>
      <c r="I199" s="186" t="str">
        <f t="shared" ref="I199:I262" si="19">IF(H199="","",IF(H199="JPY","",IF($H199="USD",4, IF(H199="EUR",7,IF(H199="CNY",47,IF(H199="HKD",34))))))</f>
        <v/>
      </c>
      <c r="J199" s="204" t="str">
        <f>IF($H199="USD",IF(OR($I199="",$I199="-"),"",VLOOKUP($G199,為替!$A:$AX,$I199,FALSE))+$J$3,IF(OR($I199="",$I199="-"),"",VLOOKUP($G199,為替!$A:$AX,$I199,FALSE)))</f>
        <v/>
      </c>
      <c r="K199" s="205" t="str">
        <f t="shared" ref="K199:K262" si="20">IF($H199="JPY",$F199,IF($H199="","",$F199*$J199))</f>
        <v/>
      </c>
      <c r="L199" s="189" t="str">
        <f t="shared" ref="L199:L262" si="21">IF(H199="","",IF(H199="JPY","",IF($H199="USD",3, IF(H199="EUR",6,IF(H199="CNY",46,IF(H199="HKD",33))))))</f>
        <v/>
      </c>
      <c r="M199" s="204" t="str">
        <f>IF($H199="USD",IF(OR($L199="",$L199="-"),"",VLOOKUP($G199,為替!$A:$AX,$L199,FALSE))+$K$3,IF(OR($L199="",$L199="-"),"",VLOOKUP($G199,為替!$A:$AX,$L199,FALSE)))</f>
        <v/>
      </c>
      <c r="N199" s="205" t="str">
        <f t="shared" ref="N199:N262" si="22">IF($E199="JPY",($C199+$D199),IF($E199="","",($C199+$D199)*$M199))</f>
        <v/>
      </c>
      <c r="O199" s="206" t="str">
        <f t="shared" si="18"/>
        <v/>
      </c>
      <c r="P199" s="207" t="str">
        <f t="shared" ref="P199:P262" si="23">IF(OR(K199="",O199=""),"",O199/K199)</f>
        <v/>
      </c>
    </row>
    <row r="200" spans="3:16">
      <c r="C200" s="200"/>
      <c r="D200" s="201"/>
      <c r="E200" s="202"/>
      <c r="F200" s="200"/>
      <c r="H200" s="203"/>
      <c r="I200" s="186" t="str">
        <f t="shared" si="19"/>
        <v/>
      </c>
      <c r="J200" s="204" t="str">
        <f>IF($H200="USD",IF(OR($I200="",$I200="-"),"",VLOOKUP($G200,為替!$A:$AX,$I200,FALSE))+$J$3,IF(OR($I200="",$I200="-"),"",VLOOKUP($G200,為替!$A:$AX,$I200,FALSE)))</f>
        <v/>
      </c>
      <c r="K200" s="205" t="str">
        <f t="shared" si="20"/>
        <v/>
      </c>
      <c r="L200" s="189" t="str">
        <f t="shared" si="21"/>
        <v/>
      </c>
      <c r="M200" s="204" t="str">
        <f>IF($H200="USD",IF(OR($L200="",$L200="-"),"",VLOOKUP($G200,為替!$A:$AX,$L200,FALSE))+$K$3,IF(OR($L200="",$L200="-"),"",VLOOKUP($G200,為替!$A:$AX,$L200,FALSE)))</f>
        <v/>
      </c>
      <c r="N200" s="205" t="str">
        <f t="shared" si="22"/>
        <v/>
      </c>
      <c r="O200" s="206" t="str">
        <f t="shared" si="18"/>
        <v/>
      </c>
      <c r="P200" s="207" t="str">
        <f t="shared" si="23"/>
        <v/>
      </c>
    </row>
    <row r="201" spans="3:16">
      <c r="C201" s="200"/>
      <c r="D201" s="201"/>
      <c r="E201" s="202"/>
      <c r="F201" s="200"/>
      <c r="H201" s="203"/>
      <c r="I201" s="186" t="str">
        <f t="shared" si="19"/>
        <v/>
      </c>
      <c r="J201" s="204" t="str">
        <f>IF($H201="USD",IF(OR($I201="",$I201="-"),"",VLOOKUP($G201,為替!$A:$AX,$I201,FALSE))+$J$3,IF(OR($I201="",$I201="-"),"",VLOOKUP($G201,為替!$A:$AX,$I201,FALSE)))</f>
        <v/>
      </c>
      <c r="K201" s="205" t="str">
        <f t="shared" si="20"/>
        <v/>
      </c>
      <c r="L201" s="189" t="str">
        <f t="shared" si="21"/>
        <v/>
      </c>
      <c r="M201" s="204" t="str">
        <f>IF($H201="USD",IF(OR($L201="",$L201="-"),"",VLOOKUP($G201,為替!$A:$AX,$L201,FALSE))+$K$3,IF(OR($L201="",$L201="-"),"",VLOOKUP($G201,為替!$A:$AX,$L201,FALSE)))</f>
        <v/>
      </c>
      <c r="N201" s="205" t="str">
        <f t="shared" si="22"/>
        <v/>
      </c>
      <c r="O201" s="206" t="str">
        <f t="shared" si="18"/>
        <v/>
      </c>
      <c r="P201" s="207" t="str">
        <f t="shared" si="23"/>
        <v/>
      </c>
    </row>
    <row r="202" spans="3:16">
      <c r="C202" s="200"/>
      <c r="D202" s="201"/>
      <c r="E202" s="202"/>
      <c r="F202" s="200"/>
      <c r="H202" s="203"/>
      <c r="I202" s="186" t="str">
        <f t="shared" si="19"/>
        <v/>
      </c>
      <c r="J202" s="204" t="str">
        <f>IF($H202="USD",IF(OR($I202="",$I202="-"),"",VLOOKUP($G202,為替!$A:$AX,$I202,FALSE))+$J$3,IF(OR($I202="",$I202="-"),"",VLOOKUP($G202,為替!$A:$AX,$I202,FALSE)))</f>
        <v/>
      </c>
      <c r="K202" s="205" t="str">
        <f t="shared" si="20"/>
        <v/>
      </c>
      <c r="L202" s="189" t="str">
        <f t="shared" si="21"/>
        <v/>
      </c>
      <c r="M202" s="204" t="str">
        <f>IF($H202="USD",IF(OR($L202="",$L202="-"),"",VLOOKUP($G202,為替!$A:$AX,$L202,FALSE))+$K$3,IF(OR($L202="",$L202="-"),"",VLOOKUP($G202,為替!$A:$AX,$L202,FALSE)))</f>
        <v/>
      </c>
      <c r="N202" s="205" t="str">
        <f t="shared" si="22"/>
        <v/>
      </c>
      <c r="O202" s="206" t="str">
        <f t="shared" si="18"/>
        <v/>
      </c>
      <c r="P202" s="207" t="str">
        <f t="shared" si="23"/>
        <v/>
      </c>
    </row>
    <row r="203" spans="3:16">
      <c r="C203" s="200"/>
      <c r="D203" s="201"/>
      <c r="E203" s="202"/>
      <c r="F203" s="200"/>
      <c r="H203" s="203"/>
      <c r="I203" s="186" t="str">
        <f t="shared" si="19"/>
        <v/>
      </c>
      <c r="J203" s="204" t="str">
        <f>IF($H203="USD",IF(OR($I203="",$I203="-"),"",VLOOKUP($G203,為替!$A:$AX,$I203,FALSE))+$J$3,IF(OR($I203="",$I203="-"),"",VLOOKUP($G203,為替!$A:$AX,$I203,FALSE)))</f>
        <v/>
      </c>
      <c r="K203" s="205" t="str">
        <f t="shared" si="20"/>
        <v/>
      </c>
      <c r="L203" s="189" t="str">
        <f t="shared" si="21"/>
        <v/>
      </c>
      <c r="M203" s="204" t="str">
        <f>IF($H203="USD",IF(OR($L203="",$L203="-"),"",VLOOKUP($G203,為替!$A:$AX,$L203,FALSE))+$K$3,IF(OR($L203="",$L203="-"),"",VLOOKUP($G203,為替!$A:$AX,$L203,FALSE)))</f>
        <v/>
      </c>
      <c r="N203" s="205" t="str">
        <f t="shared" si="22"/>
        <v/>
      </c>
      <c r="O203" s="206" t="str">
        <f t="shared" si="18"/>
        <v/>
      </c>
      <c r="P203" s="207" t="str">
        <f t="shared" si="23"/>
        <v/>
      </c>
    </row>
    <row r="204" spans="3:16">
      <c r="C204" s="200"/>
      <c r="D204" s="201"/>
      <c r="E204" s="202"/>
      <c r="F204" s="200"/>
      <c r="H204" s="203"/>
      <c r="I204" s="186" t="str">
        <f t="shared" si="19"/>
        <v/>
      </c>
      <c r="J204" s="204" t="str">
        <f>IF($H204="USD",IF(OR($I204="",$I204="-"),"",VLOOKUP($G204,為替!$A:$AX,$I204,FALSE))+$J$3,IF(OR($I204="",$I204="-"),"",VLOOKUP($G204,為替!$A:$AX,$I204,FALSE)))</f>
        <v/>
      </c>
      <c r="K204" s="205" t="str">
        <f t="shared" si="20"/>
        <v/>
      </c>
      <c r="L204" s="189" t="str">
        <f t="shared" si="21"/>
        <v/>
      </c>
      <c r="M204" s="204" t="str">
        <f>IF($H204="USD",IF(OR($L204="",$L204="-"),"",VLOOKUP($G204,為替!$A:$AX,$L204,FALSE))+$K$3,IF(OR($L204="",$L204="-"),"",VLOOKUP($G204,為替!$A:$AX,$L204,FALSE)))</f>
        <v/>
      </c>
      <c r="N204" s="205" t="str">
        <f t="shared" si="22"/>
        <v/>
      </c>
      <c r="O204" s="206" t="str">
        <f t="shared" si="18"/>
        <v/>
      </c>
      <c r="P204" s="207" t="str">
        <f t="shared" si="23"/>
        <v/>
      </c>
    </row>
    <row r="205" spans="3:16">
      <c r="C205" s="200"/>
      <c r="D205" s="201"/>
      <c r="E205" s="202"/>
      <c r="F205" s="200"/>
      <c r="H205" s="203"/>
      <c r="I205" s="186" t="str">
        <f t="shared" si="19"/>
        <v/>
      </c>
      <c r="J205" s="204" t="str">
        <f>IF($H205="USD",IF(OR($I205="",$I205="-"),"",VLOOKUP($G205,為替!$A:$AX,$I205,FALSE))+$J$3,IF(OR($I205="",$I205="-"),"",VLOOKUP($G205,為替!$A:$AX,$I205,FALSE)))</f>
        <v/>
      </c>
      <c r="K205" s="205" t="str">
        <f t="shared" si="20"/>
        <v/>
      </c>
      <c r="L205" s="189" t="str">
        <f t="shared" si="21"/>
        <v/>
      </c>
      <c r="M205" s="204" t="str">
        <f>IF($H205="USD",IF(OR($L205="",$L205="-"),"",VLOOKUP($G205,為替!$A:$AX,$L205,FALSE))+$K$3,IF(OR($L205="",$L205="-"),"",VLOOKUP($G205,為替!$A:$AX,$L205,FALSE)))</f>
        <v/>
      </c>
      <c r="N205" s="205" t="str">
        <f t="shared" si="22"/>
        <v/>
      </c>
      <c r="O205" s="206" t="str">
        <f t="shared" si="18"/>
        <v/>
      </c>
      <c r="P205" s="207" t="str">
        <f t="shared" si="23"/>
        <v/>
      </c>
    </row>
    <row r="206" spans="3:16">
      <c r="C206" s="200"/>
      <c r="D206" s="201"/>
      <c r="E206" s="202"/>
      <c r="F206" s="200"/>
      <c r="H206" s="203"/>
      <c r="I206" s="186" t="str">
        <f t="shared" si="19"/>
        <v/>
      </c>
      <c r="J206" s="204" t="str">
        <f>IF($H206="USD",IF(OR($I206="",$I206="-"),"",VLOOKUP($G206,為替!$A:$AX,$I206,FALSE))+$J$3,IF(OR($I206="",$I206="-"),"",VLOOKUP($G206,為替!$A:$AX,$I206,FALSE)))</f>
        <v/>
      </c>
      <c r="K206" s="205" t="str">
        <f t="shared" si="20"/>
        <v/>
      </c>
      <c r="L206" s="189" t="str">
        <f t="shared" si="21"/>
        <v/>
      </c>
      <c r="M206" s="204" t="str">
        <f>IF($H206="USD",IF(OR($L206="",$L206="-"),"",VLOOKUP($G206,為替!$A:$AX,$L206,FALSE))+$K$3,IF(OR($L206="",$L206="-"),"",VLOOKUP($G206,為替!$A:$AX,$L206,FALSE)))</f>
        <v/>
      </c>
      <c r="N206" s="205" t="str">
        <f t="shared" si="22"/>
        <v/>
      </c>
      <c r="O206" s="206" t="str">
        <f t="shared" si="18"/>
        <v/>
      </c>
      <c r="P206" s="207" t="str">
        <f t="shared" si="23"/>
        <v/>
      </c>
    </row>
    <row r="207" spans="3:16">
      <c r="C207" s="200"/>
      <c r="D207" s="201"/>
      <c r="E207" s="202"/>
      <c r="F207" s="200"/>
      <c r="H207" s="203"/>
      <c r="I207" s="186" t="str">
        <f t="shared" si="19"/>
        <v/>
      </c>
      <c r="J207" s="204" t="str">
        <f>IF($H207="USD",IF(OR($I207="",$I207="-"),"",VLOOKUP($G207,為替!$A:$AX,$I207,FALSE))+$J$3,IF(OR($I207="",$I207="-"),"",VLOOKUP($G207,為替!$A:$AX,$I207,FALSE)))</f>
        <v/>
      </c>
      <c r="K207" s="205" t="str">
        <f t="shared" si="20"/>
        <v/>
      </c>
      <c r="L207" s="189" t="str">
        <f t="shared" si="21"/>
        <v/>
      </c>
      <c r="M207" s="204" t="str">
        <f>IF($H207="USD",IF(OR($L207="",$L207="-"),"",VLOOKUP($G207,為替!$A:$AX,$L207,FALSE))+$K$3,IF(OR($L207="",$L207="-"),"",VLOOKUP($G207,為替!$A:$AX,$L207,FALSE)))</f>
        <v/>
      </c>
      <c r="N207" s="205" t="str">
        <f t="shared" si="22"/>
        <v/>
      </c>
      <c r="O207" s="206" t="str">
        <f t="shared" si="18"/>
        <v/>
      </c>
      <c r="P207" s="207" t="str">
        <f t="shared" si="23"/>
        <v/>
      </c>
    </row>
    <row r="208" spans="3:16">
      <c r="C208" s="200"/>
      <c r="D208" s="201"/>
      <c r="E208" s="202"/>
      <c r="F208" s="200"/>
      <c r="H208" s="203"/>
      <c r="I208" s="186" t="str">
        <f t="shared" si="19"/>
        <v/>
      </c>
      <c r="J208" s="204" t="str">
        <f>IF($H208="USD",IF(OR($I208="",$I208="-"),"",VLOOKUP($G208,為替!$A:$AX,$I208,FALSE))+$J$3,IF(OR($I208="",$I208="-"),"",VLOOKUP($G208,為替!$A:$AX,$I208,FALSE)))</f>
        <v/>
      </c>
      <c r="K208" s="205" t="str">
        <f t="shared" si="20"/>
        <v/>
      </c>
      <c r="L208" s="189" t="str">
        <f t="shared" si="21"/>
        <v/>
      </c>
      <c r="M208" s="204" t="str">
        <f>IF($H208="USD",IF(OR($L208="",$L208="-"),"",VLOOKUP($G208,為替!$A:$AX,$L208,FALSE))+$K$3,IF(OR($L208="",$L208="-"),"",VLOOKUP($G208,為替!$A:$AX,$L208,FALSE)))</f>
        <v/>
      </c>
      <c r="N208" s="205" t="str">
        <f t="shared" si="22"/>
        <v/>
      </c>
      <c r="O208" s="206" t="str">
        <f t="shared" si="18"/>
        <v/>
      </c>
      <c r="P208" s="207" t="str">
        <f t="shared" si="23"/>
        <v/>
      </c>
    </row>
    <row r="209" spans="3:16">
      <c r="C209" s="200"/>
      <c r="D209" s="201"/>
      <c r="E209" s="202"/>
      <c r="F209" s="200"/>
      <c r="H209" s="203"/>
      <c r="I209" s="186" t="str">
        <f t="shared" si="19"/>
        <v/>
      </c>
      <c r="J209" s="204" t="str">
        <f>IF($H209="USD",IF(OR($I209="",$I209="-"),"",VLOOKUP($G209,為替!$A:$AX,$I209,FALSE))+$J$3,IF(OR($I209="",$I209="-"),"",VLOOKUP($G209,為替!$A:$AX,$I209,FALSE)))</f>
        <v/>
      </c>
      <c r="K209" s="205" t="str">
        <f t="shared" si="20"/>
        <v/>
      </c>
      <c r="L209" s="189" t="str">
        <f t="shared" si="21"/>
        <v/>
      </c>
      <c r="M209" s="204" t="str">
        <f>IF($H209="USD",IF(OR($L209="",$L209="-"),"",VLOOKUP($G209,為替!$A:$AX,$L209,FALSE))+$K$3,IF(OR($L209="",$L209="-"),"",VLOOKUP($G209,為替!$A:$AX,$L209,FALSE)))</f>
        <v/>
      </c>
      <c r="N209" s="205" t="str">
        <f t="shared" si="22"/>
        <v/>
      </c>
      <c r="O209" s="206" t="str">
        <f t="shared" si="18"/>
        <v/>
      </c>
      <c r="P209" s="207" t="str">
        <f t="shared" si="23"/>
        <v/>
      </c>
    </row>
    <row r="210" spans="3:16">
      <c r="C210" s="200"/>
      <c r="D210" s="201"/>
      <c r="E210" s="202"/>
      <c r="F210" s="200"/>
      <c r="H210" s="203"/>
      <c r="I210" s="186" t="str">
        <f t="shared" si="19"/>
        <v/>
      </c>
      <c r="J210" s="204" t="str">
        <f>IF($H210="USD",IF(OR($I210="",$I210="-"),"",VLOOKUP($G210,為替!$A:$AX,$I210,FALSE))+$J$3,IF(OR($I210="",$I210="-"),"",VLOOKUP($G210,為替!$A:$AX,$I210,FALSE)))</f>
        <v/>
      </c>
      <c r="K210" s="205" t="str">
        <f t="shared" si="20"/>
        <v/>
      </c>
      <c r="L210" s="189" t="str">
        <f t="shared" si="21"/>
        <v/>
      </c>
      <c r="M210" s="204" t="str">
        <f>IF($H210="USD",IF(OR($L210="",$L210="-"),"",VLOOKUP($G210,為替!$A:$AX,$L210,FALSE))+$K$3,IF(OR($L210="",$L210="-"),"",VLOOKUP($G210,為替!$A:$AX,$L210,FALSE)))</f>
        <v/>
      </c>
      <c r="N210" s="205" t="str">
        <f t="shared" si="22"/>
        <v/>
      </c>
      <c r="O210" s="206" t="str">
        <f t="shared" si="18"/>
        <v/>
      </c>
      <c r="P210" s="207" t="str">
        <f t="shared" si="23"/>
        <v/>
      </c>
    </row>
    <row r="211" spans="3:16">
      <c r="C211" s="200"/>
      <c r="D211" s="201"/>
      <c r="E211" s="202"/>
      <c r="F211" s="200"/>
      <c r="H211" s="203"/>
      <c r="I211" s="186" t="str">
        <f t="shared" si="19"/>
        <v/>
      </c>
      <c r="J211" s="204" t="str">
        <f>IF($H211="USD",IF(OR($I211="",$I211="-"),"",VLOOKUP($G211,為替!$A:$AX,$I211,FALSE))+$J$3,IF(OR($I211="",$I211="-"),"",VLOOKUP($G211,為替!$A:$AX,$I211,FALSE)))</f>
        <v/>
      </c>
      <c r="K211" s="205" t="str">
        <f t="shared" si="20"/>
        <v/>
      </c>
      <c r="L211" s="189" t="str">
        <f t="shared" si="21"/>
        <v/>
      </c>
      <c r="M211" s="204" t="str">
        <f>IF($H211="USD",IF(OR($L211="",$L211="-"),"",VLOOKUP($G211,為替!$A:$AX,$L211,FALSE))+$K$3,IF(OR($L211="",$L211="-"),"",VLOOKUP($G211,為替!$A:$AX,$L211,FALSE)))</f>
        <v/>
      </c>
      <c r="N211" s="205" t="str">
        <f t="shared" si="22"/>
        <v/>
      </c>
      <c r="O211" s="206" t="str">
        <f t="shared" si="18"/>
        <v/>
      </c>
      <c r="P211" s="207" t="str">
        <f t="shared" si="23"/>
        <v/>
      </c>
    </row>
    <row r="212" spans="3:16">
      <c r="C212" s="200"/>
      <c r="D212" s="201"/>
      <c r="E212" s="202"/>
      <c r="F212" s="200"/>
      <c r="H212" s="203"/>
      <c r="I212" s="186" t="str">
        <f t="shared" si="19"/>
        <v/>
      </c>
      <c r="J212" s="204" t="str">
        <f>IF($H212="USD",IF(OR($I212="",$I212="-"),"",VLOOKUP($G212,為替!$A:$AX,$I212,FALSE))+$J$3,IF(OR($I212="",$I212="-"),"",VLOOKUP($G212,為替!$A:$AX,$I212,FALSE)))</f>
        <v/>
      </c>
      <c r="K212" s="205" t="str">
        <f t="shared" si="20"/>
        <v/>
      </c>
      <c r="L212" s="189" t="str">
        <f t="shared" si="21"/>
        <v/>
      </c>
      <c r="M212" s="204" t="str">
        <f>IF($H212="USD",IF(OR($L212="",$L212="-"),"",VLOOKUP($G212,為替!$A:$AX,$L212,FALSE))+$K$3,IF(OR($L212="",$L212="-"),"",VLOOKUP($G212,為替!$A:$AX,$L212,FALSE)))</f>
        <v/>
      </c>
      <c r="N212" s="205" t="str">
        <f t="shared" si="22"/>
        <v/>
      </c>
      <c r="O212" s="206" t="str">
        <f t="shared" si="18"/>
        <v/>
      </c>
      <c r="P212" s="207" t="str">
        <f t="shared" si="23"/>
        <v/>
      </c>
    </row>
    <row r="213" spans="3:16">
      <c r="C213" s="200"/>
      <c r="D213" s="201"/>
      <c r="E213" s="202"/>
      <c r="F213" s="200"/>
      <c r="H213" s="203"/>
      <c r="I213" s="186" t="str">
        <f t="shared" si="19"/>
        <v/>
      </c>
      <c r="J213" s="204" t="str">
        <f>IF($H213="USD",IF(OR($I213="",$I213="-"),"",VLOOKUP($G213,為替!$A:$AX,$I213,FALSE))+$J$3,IF(OR($I213="",$I213="-"),"",VLOOKUP($G213,為替!$A:$AX,$I213,FALSE)))</f>
        <v/>
      </c>
      <c r="K213" s="205" t="str">
        <f t="shared" si="20"/>
        <v/>
      </c>
      <c r="L213" s="189" t="str">
        <f t="shared" si="21"/>
        <v/>
      </c>
      <c r="M213" s="204" t="str">
        <f>IF($H213="USD",IF(OR($L213="",$L213="-"),"",VLOOKUP($G213,為替!$A:$AX,$L213,FALSE))+$K$3,IF(OR($L213="",$L213="-"),"",VLOOKUP($G213,為替!$A:$AX,$L213,FALSE)))</f>
        <v/>
      </c>
      <c r="N213" s="205" t="str">
        <f t="shared" si="22"/>
        <v/>
      </c>
      <c r="O213" s="206" t="str">
        <f t="shared" si="18"/>
        <v/>
      </c>
      <c r="P213" s="207" t="str">
        <f t="shared" si="23"/>
        <v/>
      </c>
    </row>
    <row r="214" spans="3:16">
      <c r="C214" s="200"/>
      <c r="D214" s="201"/>
      <c r="E214" s="202"/>
      <c r="F214" s="200"/>
      <c r="H214" s="203"/>
      <c r="I214" s="186" t="str">
        <f t="shared" si="19"/>
        <v/>
      </c>
      <c r="J214" s="204" t="str">
        <f>IF($H214="USD",IF(OR($I214="",$I214="-"),"",VLOOKUP($G214,為替!$A:$AX,$I214,FALSE))+$J$3,IF(OR($I214="",$I214="-"),"",VLOOKUP($G214,為替!$A:$AX,$I214,FALSE)))</f>
        <v/>
      </c>
      <c r="K214" s="205" t="str">
        <f t="shared" si="20"/>
        <v/>
      </c>
      <c r="L214" s="189" t="str">
        <f t="shared" si="21"/>
        <v/>
      </c>
      <c r="M214" s="204" t="str">
        <f>IF($H214="USD",IF(OR($L214="",$L214="-"),"",VLOOKUP($G214,為替!$A:$AX,$L214,FALSE))+$K$3,IF(OR($L214="",$L214="-"),"",VLOOKUP($G214,為替!$A:$AX,$L214,FALSE)))</f>
        <v/>
      </c>
      <c r="N214" s="205" t="str">
        <f t="shared" si="22"/>
        <v/>
      </c>
      <c r="O214" s="206" t="str">
        <f t="shared" si="18"/>
        <v/>
      </c>
      <c r="P214" s="207" t="str">
        <f t="shared" si="23"/>
        <v/>
      </c>
    </row>
    <row r="215" spans="3:16">
      <c r="C215" s="200"/>
      <c r="D215" s="201"/>
      <c r="E215" s="202"/>
      <c r="F215" s="200"/>
      <c r="H215" s="203"/>
      <c r="I215" s="186" t="str">
        <f t="shared" si="19"/>
        <v/>
      </c>
      <c r="J215" s="204" t="str">
        <f>IF($H215="USD",IF(OR($I215="",$I215="-"),"",VLOOKUP($G215,為替!$A:$AX,$I215,FALSE))+$J$3,IF(OR($I215="",$I215="-"),"",VLOOKUP($G215,為替!$A:$AX,$I215,FALSE)))</f>
        <v/>
      </c>
      <c r="K215" s="205" t="str">
        <f t="shared" si="20"/>
        <v/>
      </c>
      <c r="L215" s="189" t="str">
        <f t="shared" si="21"/>
        <v/>
      </c>
      <c r="M215" s="204" t="str">
        <f>IF($H215="USD",IF(OR($L215="",$L215="-"),"",VLOOKUP($G215,為替!$A:$AX,$L215,FALSE))+$K$3,IF(OR($L215="",$L215="-"),"",VLOOKUP($G215,為替!$A:$AX,$L215,FALSE)))</f>
        <v/>
      </c>
      <c r="N215" s="205" t="str">
        <f t="shared" si="22"/>
        <v/>
      </c>
      <c r="O215" s="206" t="str">
        <f t="shared" si="18"/>
        <v/>
      </c>
      <c r="P215" s="207" t="str">
        <f t="shared" si="23"/>
        <v/>
      </c>
    </row>
    <row r="216" spans="3:16">
      <c r="C216" s="200"/>
      <c r="D216" s="201"/>
      <c r="E216" s="202"/>
      <c r="F216" s="200"/>
      <c r="H216" s="203"/>
      <c r="I216" s="186" t="str">
        <f t="shared" si="19"/>
        <v/>
      </c>
      <c r="J216" s="204" t="str">
        <f>IF($H216="USD",IF(OR($I216="",$I216="-"),"",VLOOKUP($G216,為替!$A:$AX,$I216,FALSE))+$J$3,IF(OR($I216="",$I216="-"),"",VLOOKUP($G216,為替!$A:$AX,$I216,FALSE)))</f>
        <v/>
      </c>
      <c r="K216" s="205" t="str">
        <f t="shared" si="20"/>
        <v/>
      </c>
      <c r="L216" s="189" t="str">
        <f t="shared" si="21"/>
        <v/>
      </c>
      <c r="M216" s="204" t="str">
        <f>IF($H216="USD",IF(OR($L216="",$L216="-"),"",VLOOKUP($G216,為替!$A:$AX,$L216,FALSE))+$K$3,IF(OR($L216="",$L216="-"),"",VLOOKUP($G216,為替!$A:$AX,$L216,FALSE)))</f>
        <v/>
      </c>
      <c r="N216" s="205" t="str">
        <f t="shared" si="22"/>
        <v/>
      </c>
      <c r="O216" s="206" t="str">
        <f t="shared" si="18"/>
        <v/>
      </c>
      <c r="P216" s="207" t="str">
        <f t="shared" si="23"/>
        <v/>
      </c>
    </row>
    <row r="217" spans="3:16">
      <c r="C217" s="200"/>
      <c r="D217" s="201"/>
      <c r="E217" s="202"/>
      <c r="F217" s="200"/>
      <c r="H217" s="203"/>
      <c r="I217" s="186" t="str">
        <f t="shared" si="19"/>
        <v/>
      </c>
      <c r="J217" s="204" t="str">
        <f>IF($H217="USD",IF(OR($I217="",$I217="-"),"",VLOOKUP($G217,為替!$A:$AX,$I217,FALSE))+$J$3,IF(OR($I217="",$I217="-"),"",VLOOKUP($G217,為替!$A:$AX,$I217,FALSE)))</f>
        <v/>
      </c>
      <c r="K217" s="205" t="str">
        <f t="shared" si="20"/>
        <v/>
      </c>
      <c r="L217" s="189" t="str">
        <f t="shared" si="21"/>
        <v/>
      </c>
      <c r="M217" s="204" t="str">
        <f>IF($H217="USD",IF(OR($L217="",$L217="-"),"",VLOOKUP($G217,為替!$A:$AX,$L217,FALSE))+$K$3,IF(OR($L217="",$L217="-"),"",VLOOKUP($G217,為替!$A:$AX,$L217,FALSE)))</f>
        <v/>
      </c>
      <c r="N217" s="205" t="str">
        <f t="shared" si="22"/>
        <v/>
      </c>
      <c r="O217" s="206" t="str">
        <f t="shared" si="18"/>
        <v/>
      </c>
      <c r="P217" s="207" t="str">
        <f t="shared" si="23"/>
        <v/>
      </c>
    </row>
    <row r="218" spans="3:16">
      <c r="C218" s="200"/>
      <c r="D218" s="201"/>
      <c r="E218" s="202"/>
      <c r="F218" s="200"/>
      <c r="H218" s="203"/>
      <c r="I218" s="186" t="str">
        <f t="shared" si="19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 t="str">
        <f t="shared" si="20"/>
        <v/>
      </c>
      <c r="L218" s="189" t="str">
        <f t="shared" si="21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 t="str">
        <f t="shared" si="22"/>
        <v/>
      </c>
      <c r="O218" s="206" t="str">
        <f t="shared" si="18"/>
        <v/>
      </c>
      <c r="P218" s="207" t="str">
        <f t="shared" si="23"/>
        <v/>
      </c>
    </row>
    <row r="219" spans="3:16">
      <c r="C219" s="200"/>
      <c r="D219" s="201"/>
      <c r="E219" s="202"/>
      <c r="F219" s="200"/>
      <c r="H219" s="203"/>
      <c r="I219" s="186" t="str">
        <f t="shared" si="19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 t="str">
        <f t="shared" si="20"/>
        <v/>
      </c>
      <c r="L219" s="189" t="str">
        <f t="shared" si="21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 t="str">
        <f t="shared" si="22"/>
        <v/>
      </c>
      <c r="O219" s="206" t="str">
        <f t="shared" si="18"/>
        <v/>
      </c>
      <c r="P219" s="207" t="str">
        <f t="shared" si="23"/>
        <v/>
      </c>
    </row>
    <row r="220" spans="3:16">
      <c r="C220" s="200"/>
      <c r="D220" s="201"/>
      <c r="E220" s="202"/>
      <c r="F220" s="200"/>
      <c r="H220" s="203"/>
      <c r="I220" s="186" t="str">
        <f t="shared" si="19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 t="str">
        <f t="shared" si="20"/>
        <v/>
      </c>
      <c r="L220" s="189" t="str">
        <f t="shared" si="21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 t="str">
        <f t="shared" si="22"/>
        <v/>
      </c>
      <c r="O220" s="206" t="str">
        <f t="shared" si="18"/>
        <v/>
      </c>
      <c r="P220" s="207" t="str">
        <f t="shared" si="23"/>
        <v/>
      </c>
    </row>
    <row r="221" spans="3:16">
      <c r="C221" s="200"/>
      <c r="D221" s="201"/>
      <c r="E221" s="202"/>
      <c r="F221" s="200"/>
      <c r="H221" s="203"/>
      <c r="I221" s="186" t="str">
        <f t="shared" si="19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0"/>
        <v/>
      </c>
      <c r="L221" s="189" t="str">
        <f t="shared" si="21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2"/>
        <v/>
      </c>
      <c r="O221" s="206" t="str">
        <f t="shared" si="18"/>
        <v/>
      </c>
      <c r="P221" s="207" t="str">
        <f t="shared" si="23"/>
        <v/>
      </c>
    </row>
    <row r="222" spans="3:16">
      <c r="C222" s="200"/>
      <c r="D222" s="201"/>
      <c r="E222" s="202"/>
      <c r="F222" s="200"/>
      <c r="H222" s="203"/>
      <c r="I222" s="186" t="str">
        <f t="shared" si="19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0"/>
        <v/>
      </c>
      <c r="L222" s="189" t="str">
        <f t="shared" si="21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2"/>
        <v/>
      </c>
      <c r="O222" s="206" t="str">
        <f t="shared" si="18"/>
        <v/>
      </c>
      <c r="P222" s="207" t="str">
        <f t="shared" si="23"/>
        <v/>
      </c>
    </row>
    <row r="223" spans="3:16">
      <c r="C223" s="200"/>
      <c r="D223" s="201"/>
      <c r="E223" s="202"/>
      <c r="F223" s="200"/>
      <c r="H223" s="203"/>
      <c r="I223" s="186" t="str">
        <f t="shared" si="19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0"/>
        <v/>
      </c>
      <c r="L223" s="189" t="str">
        <f t="shared" si="21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2"/>
        <v/>
      </c>
      <c r="O223" s="206" t="str">
        <f t="shared" si="18"/>
        <v/>
      </c>
      <c r="P223" s="207" t="str">
        <f t="shared" si="23"/>
        <v/>
      </c>
    </row>
    <row r="224" spans="3:16">
      <c r="C224" s="200"/>
      <c r="D224" s="201"/>
      <c r="E224" s="202"/>
      <c r="F224" s="200"/>
      <c r="H224" s="203"/>
      <c r="I224" s="186" t="str">
        <f t="shared" si="19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0"/>
        <v/>
      </c>
      <c r="L224" s="189" t="str">
        <f t="shared" si="21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2"/>
        <v/>
      </c>
      <c r="O224" s="206" t="str">
        <f t="shared" si="18"/>
        <v/>
      </c>
      <c r="P224" s="207" t="str">
        <f t="shared" si="23"/>
        <v/>
      </c>
    </row>
    <row r="225" spans="3:16">
      <c r="C225" s="200"/>
      <c r="D225" s="201"/>
      <c r="E225" s="202"/>
      <c r="F225" s="200"/>
      <c r="H225" s="203"/>
      <c r="I225" s="186" t="str">
        <f t="shared" si="19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0"/>
        <v/>
      </c>
      <c r="L225" s="189" t="str">
        <f t="shared" si="21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2"/>
        <v/>
      </c>
      <c r="O225" s="206" t="str">
        <f t="shared" si="18"/>
        <v/>
      </c>
      <c r="P225" s="207" t="str">
        <f t="shared" si="23"/>
        <v/>
      </c>
    </row>
    <row r="226" spans="3:16">
      <c r="C226" s="200"/>
      <c r="D226" s="201"/>
      <c r="E226" s="202"/>
      <c r="F226" s="200"/>
      <c r="H226" s="203"/>
      <c r="I226" s="186" t="str">
        <f t="shared" si="19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0"/>
        <v/>
      </c>
      <c r="L226" s="189" t="str">
        <f t="shared" si="21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2"/>
        <v/>
      </c>
      <c r="O226" s="206" t="str">
        <f t="shared" si="18"/>
        <v/>
      </c>
      <c r="P226" s="207" t="str">
        <f t="shared" si="23"/>
        <v/>
      </c>
    </row>
    <row r="227" spans="3:16">
      <c r="C227" s="200"/>
      <c r="D227" s="201"/>
      <c r="E227" s="202"/>
      <c r="F227" s="200"/>
      <c r="H227" s="203"/>
      <c r="I227" s="186" t="str">
        <f t="shared" si="19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0"/>
        <v/>
      </c>
      <c r="L227" s="189" t="str">
        <f t="shared" si="21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2"/>
        <v/>
      </c>
      <c r="O227" s="206" t="str">
        <f t="shared" si="18"/>
        <v/>
      </c>
      <c r="P227" s="207" t="str">
        <f t="shared" si="23"/>
        <v/>
      </c>
    </row>
    <row r="228" spans="3:16">
      <c r="C228" s="200"/>
      <c r="D228" s="201"/>
      <c r="E228" s="202"/>
      <c r="F228" s="200"/>
      <c r="H228" s="203"/>
      <c r="I228" s="186" t="str">
        <f t="shared" si="19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0"/>
        <v/>
      </c>
      <c r="L228" s="189" t="str">
        <f t="shared" si="21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2"/>
        <v/>
      </c>
      <c r="O228" s="206" t="str">
        <f t="shared" si="18"/>
        <v/>
      </c>
      <c r="P228" s="207" t="str">
        <f t="shared" si="23"/>
        <v/>
      </c>
    </row>
    <row r="229" spans="3:16">
      <c r="C229" s="200"/>
      <c r="D229" s="201"/>
      <c r="E229" s="202"/>
      <c r="F229" s="200"/>
      <c r="H229" s="203"/>
      <c r="I229" s="186" t="str">
        <f t="shared" si="19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0"/>
        <v/>
      </c>
      <c r="L229" s="189" t="str">
        <f t="shared" si="21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2"/>
        <v/>
      </c>
      <c r="O229" s="206" t="str">
        <f t="shared" si="18"/>
        <v/>
      </c>
      <c r="P229" s="207" t="str">
        <f t="shared" si="23"/>
        <v/>
      </c>
    </row>
    <row r="230" spans="3:16">
      <c r="C230" s="200"/>
      <c r="D230" s="201"/>
      <c r="E230" s="202"/>
      <c r="F230" s="200"/>
      <c r="H230" s="203"/>
      <c r="I230" s="186" t="str">
        <f t="shared" si="19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0"/>
        <v/>
      </c>
      <c r="L230" s="189" t="str">
        <f t="shared" si="21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2"/>
        <v/>
      </c>
      <c r="O230" s="206" t="str">
        <f t="shared" si="18"/>
        <v/>
      </c>
      <c r="P230" s="207" t="str">
        <f t="shared" si="23"/>
        <v/>
      </c>
    </row>
    <row r="231" spans="3:16">
      <c r="C231" s="200"/>
      <c r="D231" s="201"/>
      <c r="E231" s="202"/>
      <c r="F231" s="200"/>
      <c r="H231" s="203"/>
      <c r="I231" s="186" t="str">
        <f t="shared" si="19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0"/>
        <v/>
      </c>
      <c r="L231" s="189" t="str">
        <f t="shared" si="21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2"/>
        <v/>
      </c>
      <c r="O231" s="206" t="str">
        <f t="shared" si="18"/>
        <v/>
      </c>
      <c r="P231" s="207" t="str">
        <f t="shared" si="23"/>
        <v/>
      </c>
    </row>
    <row r="232" spans="3:16">
      <c r="C232" s="200"/>
      <c r="D232" s="201"/>
      <c r="E232" s="202"/>
      <c r="F232" s="200"/>
      <c r="H232" s="203"/>
      <c r="I232" s="186" t="str">
        <f t="shared" si="19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0"/>
        <v/>
      </c>
      <c r="L232" s="189" t="str">
        <f t="shared" si="21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2"/>
        <v/>
      </c>
      <c r="O232" s="206" t="str">
        <f t="shared" si="18"/>
        <v/>
      </c>
      <c r="P232" s="207" t="str">
        <f t="shared" si="23"/>
        <v/>
      </c>
    </row>
    <row r="233" spans="3:16">
      <c r="C233" s="200"/>
      <c r="D233" s="201"/>
      <c r="E233" s="202"/>
      <c r="F233" s="200"/>
      <c r="H233" s="203"/>
      <c r="I233" s="186" t="str">
        <f t="shared" si="19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0"/>
        <v/>
      </c>
      <c r="L233" s="189" t="str">
        <f t="shared" si="21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2"/>
        <v/>
      </c>
      <c r="O233" s="206" t="str">
        <f t="shared" si="18"/>
        <v/>
      </c>
      <c r="P233" s="207" t="str">
        <f t="shared" si="23"/>
        <v/>
      </c>
    </row>
    <row r="234" spans="3:16">
      <c r="C234" s="200"/>
      <c r="D234" s="201"/>
      <c r="E234" s="202"/>
      <c r="F234" s="200"/>
      <c r="H234" s="203"/>
      <c r="I234" s="186" t="str">
        <f t="shared" si="19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0"/>
        <v/>
      </c>
      <c r="L234" s="189" t="str">
        <f t="shared" si="21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2"/>
        <v/>
      </c>
      <c r="O234" s="206" t="str">
        <f t="shared" si="18"/>
        <v/>
      </c>
      <c r="P234" s="207" t="str">
        <f t="shared" si="23"/>
        <v/>
      </c>
    </row>
    <row r="235" spans="3:16">
      <c r="C235" s="200"/>
      <c r="D235" s="201"/>
      <c r="E235" s="202"/>
      <c r="F235" s="200"/>
      <c r="H235" s="203"/>
      <c r="I235" s="186" t="str">
        <f t="shared" si="19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0"/>
        <v/>
      </c>
      <c r="L235" s="189" t="str">
        <f t="shared" si="21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2"/>
        <v/>
      </c>
      <c r="O235" s="206" t="str">
        <f t="shared" si="18"/>
        <v/>
      </c>
      <c r="P235" s="207" t="str">
        <f t="shared" si="23"/>
        <v/>
      </c>
    </row>
    <row r="236" spans="3:16">
      <c r="C236" s="200"/>
      <c r="D236" s="201"/>
      <c r="E236" s="202"/>
      <c r="F236" s="200"/>
      <c r="H236" s="203"/>
      <c r="I236" s="186" t="str">
        <f t="shared" si="19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0"/>
        <v/>
      </c>
      <c r="L236" s="189" t="str">
        <f t="shared" si="21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2"/>
        <v/>
      </c>
      <c r="O236" s="206" t="str">
        <f t="shared" si="18"/>
        <v/>
      </c>
      <c r="P236" s="207" t="str">
        <f t="shared" si="23"/>
        <v/>
      </c>
    </row>
    <row r="237" spans="3:16">
      <c r="C237" s="200"/>
      <c r="D237" s="201"/>
      <c r="E237" s="202"/>
      <c r="F237" s="200"/>
      <c r="H237" s="203"/>
      <c r="I237" s="186" t="str">
        <f t="shared" si="19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0"/>
        <v/>
      </c>
      <c r="L237" s="189" t="str">
        <f t="shared" si="21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2"/>
        <v/>
      </c>
      <c r="O237" s="206" t="str">
        <f t="shared" si="18"/>
        <v/>
      </c>
      <c r="P237" s="207" t="str">
        <f t="shared" si="23"/>
        <v/>
      </c>
    </row>
    <row r="238" spans="3:16">
      <c r="C238" s="200"/>
      <c r="D238" s="201"/>
      <c r="E238" s="202"/>
      <c r="F238" s="200"/>
      <c r="H238" s="203"/>
      <c r="I238" s="186" t="str">
        <f t="shared" si="19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0"/>
        <v/>
      </c>
      <c r="L238" s="189" t="str">
        <f t="shared" si="21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2"/>
        <v/>
      </c>
      <c r="O238" s="206" t="str">
        <f t="shared" si="18"/>
        <v/>
      </c>
      <c r="P238" s="207" t="str">
        <f t="shared" si="23"/>
        <v/>
      </c>
    </row>
    <row r="239" spans="3:16">
      <c r="C239" s="200"/>
      <c r="D239" s="201"/>
      <c r="E239" s="202"/>
      <c r="F239" s="200"/>
      <c r="H239" s="203"/>
      <c r="I239" s="186" t="str">
        <f t="shared" si="19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0"/>
        <v/>
      </c>
      <c r="L239" s="189" t="str">
        <f t="shared" si="21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2"/>
        <v/>
      </c>
      <c r="O239" s="206" t="str">
        <f t="shared" si="18"/>
        <v/>
      </c>
      <c r="P239" s="207" t="str">
        <f t="shared" si="23"/>
        <v/>
      </c>
    </row>
    <row r="240" spans="3:16">
      <c r="C240" s="200"/>
      <c r="D240" s="201"/>
      <c r="E240" s="202"/>
      <c r="F240" s="200"/>
      <c r="H240" s="203"/>
      <c r="I240" s="186" t="str">
        <f t="shared" si="19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0"/>
        <v/>
      </c>
      <c r="L240" s="189" t="str">
        <f t="shared" si="21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2"/>
        <v/>
      </c>
      <c r="O240" s="206" t="str">
        <f t="shared" si="18"/>
        <v/>
      </c>
      <c r="P240" s="207" t="str">
        <f t="shared" si="23"/>
        <v/>
      </c>
    </row>
    <row r="241" spans="3:16">
      <c r="C241" s="200"/>
      <c r="D241" s="201"/>
      <c r="E241" s="202"/>
      <c r="F241" s="200"/>
      <c r="H241" s="203"/>
      <c r="I241" s="186" t="str">
        <f t="shared" si="19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0"/>
        <v/>
      </c>
      <c r="L241" s="189" t="str">
        <f t="shared" si="21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2"/>
        <v/>
      </c>
      <c r="O241" s="206" t="str">
        <f t="shared" si="18"/>
        <v/>
      </c>
      <c r="P241" s="207" t="str">
        <f t="shared" si="23"/>
        <v/>
      </c>
    </row>
    <row r="242" spans="3:16">
      <c r="C242" s="200"/>
      <c r="D242" s="201"/>
      <c r="E242" s="202"/>
      <c r="F242" s="200"/>
      <c r="H242" s="203"/>
      <c r="I242" s="186" t="str">
        <f t="shared" si="19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0"/>
        <v/>
      </c>
      <c r="L242" s="189" t="str">
        <f t="shared" si="21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2"/>
        <v/>
      </c>
      <c r="O242" s="206" t="str">
        <f t="shared" si="18"/>
        <v/>
      </c>
      <c r="P242" s="207" t="str">
        <f t="shared" si="23"/>
        <v/>
      </c>
    </row>
    <row r="243" spans="3:16">
      <c r="C243" s="200"/>
      <c r="D243" s="201"/>
      <c r="E243" s="202"/>
      <c r="F243" s="200"/>
      <c r="H243" s="203"/>
      <c r="I243" s="186" t="str">
        <f t="shared" si="19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0"/>
        <v/>
      </c>
      <c r="L243" s="189" t="str">
        <f t="shared" si="21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2"/>
        <v/>
      </c>
      <c r="O243" s="206" t="str">
        <f t="shared" si="18"/>
        <v/>
      </c>
      <c r="P243" s="207" t="str">
        <f t="shared" si="23"/>
        <v/>
      </c>
    </row>
    <row r="244" spans="3:16">
      <c r="C244" s="200"/>
      <c r="D244" s="201"/>
      <c r="E244" s="202"/>
      <c r="F244" s="200"/>
      <c r="H244" s="203"/>
      <c r="I244" s="186" t="str">
        <f t="shared" si="19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0"/>
        <v/>
      </c>
      <c r="L244" s="189" t="str">
        <f t="shared" si="21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2"/>
        <v/>
      </c>
      <c r="O244" s="206" t="str">
        <f t="shared" si="18"/>
        <v/>
      </c>
      <c r="P244" s="207" t="str">
        <f t="shared" si="23"/>
        <v/>
      </c>
    </row>
    <row r="245" spans="3:16">
      <c r="C245" s="200"/>
      <c r="D245" s="201"/>
      <c r="E245" s="202"/>
      <c r="F245" s="200"/>
      <c r="H245" s="203"/>
      <c r="I245" s="186" t="str">
        <f t="shared" si="19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0"/>
        <v/>
      </c>
      <c r="L245" s="189" t="str">
        <f t="shared" si="21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2"/>
        <v/>
      </c>
      <c r="O245" s="206" t="str">
        <f t="shared" si="18"/>
        <v/>
      </c>
      <c r="P245" s="207" t="str">
        <f t="shared" si="23"/>
        <v/>
      </c>
    </row>
    <row r="246" spans="3:16">
      <c r="C246" s="200"/>
      <c r="D246" s="201"/>
      <c r="E246" s="202"/>
      <c r="F246" s="200"/>
      <c r="H246" s="203"/>
      <c r="I246" s="186" t="str">
        <f t="shared" si="19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0"/>
        <v/>
      </c>
      <c r="L246" s="189" t="str">
        <f t="shared" si="21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2"/>
        <v/>
      </c>
      <c r="O246" s="206" t="str">
        <f t="shared" si="18"/>
        <v/>
      </c>
      <c r="P246" s="207" t="str">
        <f t="shared" si="23"/>
        <v/>
      </c>
    </row>
    <row r="247" spans="3:16">
      <c r="C247" s="200"/>
      <c r="D247" s="201"/>
      <c r="E247" s="202"/>
      <c r="F247" s="200"/>
      <c r="H247" s="203"/>
      <c r="I247" s="186" t="str">
        <f t="shared" si="19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0"/>
        <v/>
      </c>
      <c r="L247" s="189" t="str">
        <f t="shared" si="21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2"/>
        <v/>
      </c>
      <c r="O247" s="206" t="str">
        <f t="shared" si="18"/>
        <v/>
      </c>
      <c r="P247" s="207" t="str">
        <f t="shared" si="23"/>
        <v/>
      </c>
    </row>
    <row r="248" spans="3:16">
      <c r="C248" s="200"/>
      <c r="D248" s="201"/>
      <c r="E248" s="202"/>
      <c r="F248" s="200"/>
      <c r="H248" s="203"/>
      <c r="I248" s="186" t="str">
        <f t="shared" si="19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0"/>
        <v/>
      </c>
      <c r="L248" s="189" t="str">
        <f t="shared" si="21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2"/>
        <v/>
      </c>
      <c r="O248" s="206" t="str">
        <f t="shared" si="18"/>
        <v/>
      </c>
      <c r="P248" s="207" t="str">
        <f t="shared" si="23"/>
        <v/>
      </c>
    </row>
    <row r="249" spans="3:16">
      <c r="C249" s="200"/>
      <c r="D249" s="201"/>
      <c r="E249" s="202"/>
      <c r="F249" s="200"/>
      <c r="H249" s="203"/>
      <c r="I249" s="186" t="str">
        <f t="shared" si="19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0"/>
        <v/>
      </c>
      <c r="L249" s="189" t="str">
        <f t="shared" si="21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2"/>
        <v/>
      </c>
      <c r="O249" s="206" t="str">
        <f t="shared" si="18"/>
        <v/>
      </c>
      <c r="P249" s="207" t="str">
        <f t="shared" si="23"/>
        <v/>
      </c>
    </row>
    <row r="250" spans="3:16">
      <c r="C250" s="200"/>
      <c r="D250" s="201"/>
      <c r="E250" s="202"/>
      <c r="F250" s="200"/>
      <c r="H250" s="203"/>
      <c r="I250" s="186" t="str">
        <f t="shared" si="19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0"/>
        <v/>
      </c>
      <c r="L250" s="189" t="str">
        <f t="shared" si="21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2"/>
        <v/>
      </c>
      <c r="O250" s="206" t="str">
        <f t="shared" si="18"/>
        <v/>
      </c>
      <c r="P250" s="207" t="str">
        <f t="shared" si="23"/>
        <v/>
      </c>
    </row>
    <row r="251" spans="3:16">
      <c r="C251" s="200"/>
      <c r="D251" s="201"/>
      <c r="E251" s="202"/>
      <c r="F251" s="200"/>
      <c r="H251" s="203"/>
      <c r="I251" s="186" t="str">
        <f t="shared" si="19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0"/>
        <v/>
      </c>
      <c r="L251" s="189" t="str">
        <f t="shared" si="21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2"/>
        <v/>
      </c>
      <c r="O251" s="206" t="str">
        <f t="shared" si="18"/>
        <v/>
      </c>
      <c r="P251" s="207" t="str">
        <f t="shared" si="23"/>
        <v/>
      </c>
    </row>
    <row r="252" spans="3:16">
      <c r="C252" s="200"/>
      <c r="D252" s="201"/>
      <c r="E252" s="202"/>
      <c r="F252" s="200"/>
      <c r="H252" s="203"/>
      <c r="I252" s="186" t="str">
        <f t="shared" si="19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0"/>
        <v/>
      </c>
      <c r="L252" s="189" t="str">
        <f t="shared" si="21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2"/>
        <v/>
      </c>
      <c r="O252" s="206" t="str">
        <f t="shared" si="18"/>
        <v/>
      </c>
      <c r="P252" s="207" t="str">
        <f t="shared" si="23"/>
        <v/>
      </c>
    </row>
    <row r="253" spans="3:16">
      <c r="C253" s="200"/>
      <c r="D253" s="201"/>
      <c r="E253" s="202"/>
      <c r="F253" s="200"/>
      <c r="H253" s="203"/>
      <c r="I253" s="186" t="str">
        <f t="shared" si="19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0"/>
        <v/>
      </c>
      <c r="L253" s="189" t="str">
        <f t="shared" si="21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2"/>
        <v/>
      </c>
      <c r="O253" s="206" t="str">
        <f t="shared" si="18"/>
        <v/>
      </c>
      <c r="P253" s="207" t="str">
        <f t="shared" si="23"/>
        <v/>
      </c>
    </row>
    <row r="254" spans="3:16">
      <c r="C254" s="200"/>
      <c r="D254" s="201"/>
      <c r="E254" s="202"/>
      <c r="F254" s="200"/>
      <c r="H254" s="203"/>
      <c r="I254" s="186" t="str">
        <f t="shared" si="19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0"/>
        <v/>
      </c>
      <c r="L254" s="189" t="str">
        <f t="shared" si="21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2"/>
        <v/>
      </c>
      <c r="O254" s="206" t="str">
        <f t="shared" si="18"/>
        <v/>
      </c>
      <c r="P254" s="207" t="str">
        <f t="shared" si="23"/>
        <v/>
      </c>
    </row>
    <row r="255" spans="3:16">
      <c r="C255" s="200"/>
      <c r="D255" s="201"/>
      <c r="E255" s="202"/>
      <c r="F255" s="200"/>
      <c r="H255" s="203"/>
      <c r="I255" s="186" t="str">
        <f t="shared" si="19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0"/>
        <v/>
      </c>
      <c r="L255" s="189" t="str">
        <f t="shared" si="21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2"/>
        <v/>
      </c>
      <c r="O255" s="206" t="str">
        <f t="shared" si="18"/>
        <v/>
      </c>
      <c r="P255" s="207" t="str">
        <f t="shared" si="23"/>
        <v/>
      </c>
    </row>
    <row r="256" spans="3:16">
      <c r="C256" s="200"/>
      <c r="D256" s="201"/>
      <c r="E256" s="202"/>
      <c r="F256" s="200"/>
      <c r="H256" s="203"/>
      <c r="I256" s="186" t="str">
        <f t="shared" si="19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0"/>
        <v/>
      </c>
      <c r="L256" s="189" t="str">
        <f t="shared" si="21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2"/>
        <v/>
      </c>
      <c r="O256" s="206" t="str">
        <f t="shared" si="18"/>
        <v/>
      </c>
      <c r="P256" s="207" t="str">
        <f t="shared" si="23"/>
        <v/>
      </c>
    </row>
    <row r="257" spans="3:16">
      <c r="C257" s="200"/>
      <c r="D257" s="201"/>
      <c r="E257" s="202"/>
      <c r="F257" s="200"/>
      <c r="H257" s="203"/>
      <c r="I257" s="186" t="str">
        <f t="shared" si="19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0"/>
        <v/>
      </c>
      <c r="L257" s="189" t="str">
        <f t="shared" si="21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2"/>
        <v/>
      </c>
      <c r="O257" s="206" t="str">
        <f t="shared" si="18"/>
        <v/>
      </c>
      <c r="P257" s="207" t="str">
        <f t="shared" si="23"/>
        <v/>
      </c>
    </row>
    <row r="258" spans="3:16">
      <c r="C258" s="200"/>
      <c r="D258" s="201"/>
      <c r="E258" s="202"/>
      <c r="F258" s="200"/>
      <c r="H258" s="203"/>
      <c r="I258" s="186" t="str">
        <f t="shared" si="19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0"/>
        <v/>
      </c>
      <c r="L258" s="189" t="str">
        <f t="shared" si="21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2"/>
        <v/>
      </c>
      <c r="O258" s="206" t="str">
        <f t="shared" si="18"/>
        <v/>
      </c>
      <c r="P258" s="207" t="str">
        <f t="shared" si="23"/>
        <v/>
      </c>
    </row>
    <row r="259" spans="3:16">
      <c r="C259" s="200"/>
      <c r="D259" s="201"/>
      <c r="E259" s="202"/>
      <c r="F259" s="200"/>
      <c r="H259" s="203"/>
      <c r="I259" s="186" t="str">
        <f t="shared" si="19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0"/>
        <v/>
      </c>
      <c r="L259" s="189" t="str">
        <f t="shared" si="21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2"/>
        <v/>
      </c>
      <c r="O259" s="206" t="str">
        <f t="shared" si="18"/>
        <v/>
      </c>
      <c r="P259" s="207" t="str">
        <f t="shared" si="23"/>
        <v/>
      </c>
    </row>
    <row r="260" spans="3:16">
      <c r="C260" s="200"/>
      <c r="D260" s="201"/>
      <c r="E260" s="202"/>
      <c r="F260" s="200"/>
      <c r="H260" s="203"/>
      <c r="I260" s="186" t="str">
        <f t="shared" si="19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0"/>
        <v/>
      </c>
      <c r="L260" s="189" t="str">
        <f t="shared" si="21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2"/>
        <v/>
      </c>
      <c r="O260" s="206" t="str">
        <f t="shared" si="18"/>
        <v/>
      </c>
      <c r="P260" s="207" t="str">
        <f t="shared" si="23"/>
        <v/>
      </c>
    </row>
    <row r="261" spans="3:16">
      <c r="C261" s="200"/>
      <c r="D261" s="201"/>
      <c r="E261" s="202"/>
      <c r="F261" s="200"/>
      <c r="H261" s="203"/>
      <c r="I261" s="186" t="str">
        <f t="shared" si="19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0"/>
        <v/>
      </c>
      <c r="L261" s="189" t="str">
        <f t="shared" si="21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2"/>
        <v/>
      </c>
      <c r="O261" s="206" t="str">
        <f t="shared" si="18"/>
        <v/>
      </c>
      <c r="P261" s="207" t="str">
        <f t="shared" si="23"/>
        <v/>
      </c>
    </row>
    <row r="262" spans="3:16">
      <c r="C262" s="200"/>
      <c r="D262" s="201"/>
      <c r="E262" s="202"/>
      <c r="F262" s="200"/>
      <c r="H262" s="203"/>
      <c r="I262" s="186" t="str">
        <f t="shared" si="19"/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si="20"/>
        <v/>
      </c>
      <c r="L262" s="189" t="str">
        <f t="shared" si="21"/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si="22"/>
        <v/>
      </c>
      <c r="O262" s="206" t="str">
        <f t="shared" ref="O262:O325" si="24">IF(OR(K262="",N262=""),"",K262-N262)</f>
        <v/>
      </c>
      <c r="P262" s="207" t="str">
        <f t="shared" si="23"/>
        <v/>
      </c>
    </row>
    <row r="263" spans="3:16">
      <c r="C263" s="200"/>
      <c r="D263" s="201"/>
      <c r="E263" s="202"/>
      <c r="F263" s="200"/>
      <c r="H263" s="203"/>
      <c r="I263" s="186" t="str">
        <f t="shared" ref="I263:I326" si="25">IF(H263="","",IF(H263="JPY","",IF($H263="USD",4, IF(H263="EUR",7,IF(H263="CNY",47,IF(H263="HKD",34))))))</f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ref="K263:K326" si="26">IF($H263="JPY",$F263,IF($H263="","",$F263*$J263))</f>
        <v/>
      </c>
      <c r="L263" s="189" t="str">
        <f t="shared" ref="L263:L326" si="27">IF(H263="","",IF(H263="JPY","",IF($H263="USD",3, IF(H263="EUR",6,IF(H263="CNY",46,IF(H263="HKD",33))))))</f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ref="N263:N326" si="28">IF($E263="JPY",($C263+$D263),IF($E263="","",($C263+$D263)*$M263))</f>
        <v/>
      </c>
      <c r="O263" s="206" t="str">
        <f t="shared" si="24"/>
        <v/>
      </c>
      <c r="P263" s="207" t="str">
        <f t="shared" ref="P263:P326" si="29">IF(OR(K263="",O263=""),"",O263/K263)</f>
        <v/>
      </c>
    </row>
    <row r="264" spans="3:16">
      <c r="C264" s="200"/>
      <c r="D264" s="201"/>
      <c r="E264" s="202"/>
      <c r="F264" s="200"/>
      <c r="H264" s="203"/>
      <c r="I264" s="186" t="str">
        <f t="shared" si="25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6"/>
        <v/>
      </c>
      <c r="L264" s="189" t="str">
        <f t="shared" si="27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28"/>
        <v/>
      </c>
      <c r="O264" s="206" t="str">
        <f t="shared" si="24"/>
        <v/>
      </c>
      <c r="P264" s="207" t="str">
        <f t="shared" si="29"/>
        <v/>
      </c>
    </row>
    <row r="265" spans="3:16">
      <c r="C265" s="200"/>
      <c r="D265" s="201"/>
      <c r="E265" s="202"/>
      <c r="F265" s="200"/>
      <c r="H265" s="203"/>
      <c r="I265" s="186" t="str">
        <f t="shared" si="25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6"/>
        <v/>
      </c>
      <c r="L265" s="189" t="str">
        <f t="shared" si="27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28"/>
        <v/>
      </c>
      <c r="O265" s="206" t="str">
        <f t="shared" si="24"/>
        <v/>
      </c>
      <c r="P265" s="207" t="str">
        <f t="shared" si="29"/>
        <v/>
      </c>
    </row>
    <row r="266" spans="3:16">
      <c r="C266" s="200"/>
      <c r="D266" s="201"/>
      <c r="E266" s="202"/>
      <c r="F266" s="200"/>
      <c r="H266" s="203"/>
      <c r="I266" s="186" t="str">
        <f t="shared" si="25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6"/>
        <v/>
      </c>
      <c r="L266" s="189" t="str">
        <f t="shared" si="27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28"/>
        <v/>
      </c>
      <c r="O266" s="206" t="str">
        <f t="shared" si="24"/>
        <v/>
      </c>
      <c r="P266" s="207" t="str">
        <f t="shared" si="29"/>
        <v/>
      </c>
    </row>
    <row r="267" spans="3:16">
      <c r="C267" s="200"/>
      <c r="D267" s="201"/>
      <c r="E267" s="202"/>
      <c r="F267" s="200"/>
      <c r="H267" s="203"/>
      <c r="I267" s="186" t="str">
        <f t="shared" si="25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6"/>
        <v/>
      </c>
      <c r="L267" s="189" t="str">
        <f t="shared" si="27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28"/>
        <v/>
      </c>
      <c r="O267" s="206" t="str">
        <f t="shared" si="24"/>
        <v/>
      </c>
      <c r="P267" s="207" t="str">
        <f t="shared" si="29"/>
        <v/>
      </c>
    </row>
    <row r="268" spans="3:16">
      <c r="C268" s="200"/>
      <c r="D268" s="201"/>
      <c r="E268" s="202"/>
      <c r="F268" s="200"/>
      <c r="H268" s="203"/>
      <c r="I268" s="186" t="str">
        <f t="shared" si="25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6"/>
        <v/>
      </c>
      <c r="L268" s="189" t="str">
        <f t="shared" si="27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28"/>
        <v/>
      </c>
      <c r="O268" s="206" t="str">
        <f t="shared" si="24"/>
        <v/>
      </c>
      <c r="P268" s="207" t="str">
        <f t="shared" si="29"/>
        <v/>
      </c>
    </row>
    <row r="269" spans="3:16">
      <c r="C269" s="200"/>
      <c r="D269" s="201"/>
      <c r="E269" s="202"/>
      <c r="F269" s="200"/>
      <c r="H269" s="203"/>
      <c r="I269" s="186" t="str">
        <f t="shared" si="25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6"/>
        <v/>
      </c>
      <c r="L269" s="189" t="str">
        <f t="shared" si="27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28"/>
        <v/>
      </c>
      <c r="O269" s="206" t="str">
        <f t="shared" si="24"/>
        <v/>
      </c>
      <c r="P269" s="207" t="str">
        <f t="shared" si="29"/>
        <v/>
      </c>
    </row>
    <row r="270" spans="3:16">
      <c r="C270" s="200"/>
      <c r="D270" s="201"/>
      <c r="E270" s="202"/>
      <c r="F270" s="200"/>
      <c r="H270" s="203"/>
      <c r="I270" s="186" t="str">
        <f t="shared" si="25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6"/>
        <v/>
      </c>
      <c r="L270" s="189" t="str">
        <f t="shared" si="27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28"/>
        <v/>
      </c>
      <c r="O270" s="206" t="str">
        <f t="shared" si="24"/>
        <v/>
      </c>
      <c r="P270" s="207" t="str">
        <f t="shared" si="29"/>
        <v/>
      </c>
    </row>
    <row r="271" spans="3:16">
      <c r="C271" s="200"/>
      <c r="D271" s="201"/>
      <c r="E271" s="202"/>
      <c r="F271" s="200"/>
      <c r="H271" s="203"/>
      <c r="I271" s="186" t="str">
        <f t="shared" si="25"/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si="26"/>
        <v/>
      </c>
      <c r="L271" s="189" t="str">
        <f t="shared" si="27"/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si="28"/>
        <v/>
      </c>
      <c r="O271" s="206" t="str">
        <f t="shared" si="24"/>
        <v/>
      </c>
      <c r="P271" s="207" t="str">
        <f t="shared" si="29"/>
        <v/>
      </c>
    </row>
    <row r="272" spans="3:16">
      <c r="C272" s="200"/>
      <c r="D272" s="201"/>
      <c r="E272" s="202"/>
      <c r="F272" s="200"/>
      <c r="H272" s="203"/>
      <c r="I272" s="186" t="str">
        <f t="shared" si="25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26"/>
        <v/>
      </c>
      <c r="L272" s="189" t="str">
        <f t="shared" si="27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28"/>
        <v/>
      </c>
      <c r="O272" s="206" t="str">
        <f t="shared" si="24"/>
        <v/>
      </c>
      <c r="P272" s="207" t="str">
        <f t="shared" si="29"/>
        <v/>
      </c>
    </row>
    <row r="273" spans="3:16">
      <c r="C273" s="200"/>
      <c r="D273" s="201"/>
      <c r="E273" s="202"/>
      <c r="F273" s="200"/>
      <c r="H273" s="203"/>
      <c r="I273" s="186" t="str">
        <f t="shared" si="25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26"/>
        <v/>
      </c>
      <c r="L273" s="189" t="str">
        <f t="shared" si="27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28"/>
        <v/>
      </c>
      <c r="O273" s="206" t="str">
        <f t="shared" si="24"/>
        <v/>
      </c>
      <c r="P273" s="207" t="str">
        <f t="shared" si="29"/>
        <v/>
      </c>
    </row>
    <row r="274" spans="3:16">
      <c r="C274" s="200"/>
      <c r="D274" s="201"/>
      <c r="E274" s="202"/>
      <c r="F274" s="200"/>
      <c r="H274" s="203"/>
      <c r="I274" s="186" t="str">
        <f t="shared" si="25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26"/>
        <v/>
      </c>
      <c r="L274" s="189" t="str">
        <f t="shared" si="27"/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28"/>
        <v/>
      </c>
      <c r="O274" s="206" t="str">
        <f t="shared" si="24"/>
        <v/>
      </c>
      <c r="P274" s="207" t="str">
        <f t="shared" si="29"/>
        <v/>
      </c>
    </row>
    <row r="275" spans="3:16">
      <c r="C275" s="200"/>
      <c r="D275" s="201"/>
      <c r="E275" s="202"/>
      <c r="F275" s="200"/>
      <c r="H275" s="203"/>
      <c r="I275" s="186" t="str">
        <f t="shared" si="25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26"/>
        <v/>
      </c>
      <c r="L275" s="189" t="str">
        <f t="shared" si="27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28"/>
        <v/>
      </c>
      <c r="O275" s="206" t="str">
        <f t="shared" si="24"/>
        <v/>
      </c>
      <c r="P275" s="207" t="str">
        <f t="shared" si="29"/>
        <v/>
      </c>
    </row>
    <row r="276" spans="3:16">
      <c r="C276" s="200"/>
      <c r="D276" s="201"/>
      <c r="E276" s="202"/>
      <c r="F276" s="200"/>
      <c r="H276" s="203"/>
      <c r="I276" s="186" t="str">
        <f t="shared" si="25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26"/>
        <v/>
      </c>
      <c r="L276" s="189" t="str">
        <f t="shared" si="27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28"/>
        <v/>
      </c>
      <c r="O276" s="206" t="str">
        <f t="shared" si="24"/>
        <v/>
      </c>
      <c r="P276" s="207" t="str">
        <f t="shared" si="29"/>
        <v/>
      </c>
    </row>
    <row r="277" spans="3:16">
      <c r="C277" s="200"/>
      <c r="D277" s="201"/>
      <c r="E277" s="202"/>
      <c r="F277" s="200"/>
      <c r="H277" s="203"/>
      <c r="I277" s="186" t="str">
        <f t="shared" si="25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26"/>
        <v/>
      </c>
      <c r="L277" s="189" t="str">
        <f t="shared" si="27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28"/>
        <v/>
      </c>
      <c r="O277" s="206" t="str">
        <f t="shared" si="24"/>
        <v/>
      </c>
      <c r="P277" s="207" t="str">
        <f t="shared" si="29"/>
        <v/>
      </c>
    </row>
    <row r="278" spans="3:16">
      <c r="C278" s="200"/>
      <c r="D278" s="201"/>
      <c r="E278" s="202"/>
      <c r="F278" s="200"/>
      <c r="H278" s="203"/>
      <c r="I278" s="186" t="str">
        <f t="shared" si="25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26"/>
        <v/>
      </c>
      <c r="L278" s="189" t="str">
        <f t="shared" si="27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28"/>
        <v/>
      </c>
      <c r="O278" s="206" t="str">
        <f t="shared" si="24"/>
        <v/>
      </c>
      <c r="P278" s="207" t="str">
        <f t="shared" si="29"/>
        <v/>
      </c>
    </row>
    <row r="279" spans="3:16">
      <c r="C279" s="200"/>
      <c r="D279" s="201"/>
      <c r="E279" s="202"/>
      <c r="F279" s="200"/>
      <c r="H279" s="203"/>
      <c r="I279" s="186" t="str">
        <f t="shared" si="25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26"/>
        <v/>
      </c>
      <c r="L279" s="189" t="str">
        <f t="shared" si="27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28"/>
        <v/>
      </c>
      <c r="O279" s="206" t="str">
        <f t="shared" si="24"/>
        <v/>
      </c>
      <c r="P279" s="207" t="str">
        <f t="shared" si="29"/>
        <v/>
      </c>
    </row>
    <row r="280" spans="3:16">
      <c r="C280" s="200"/>
      <c r="D280" s="201"/>
      <c r="E280" s="202"/>
      <c r="F280" s="200"/>
      <c r="H280" s="203"/>
      <c r="I280" s="186" t="str">
        <f t="shared" si="25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26"/>
        <v/>
      </c>
      <c r="L280" s="189" t="str">
        <f t="shared" si="27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28"/>
        <v/>
      </c>
      <c r="O280" s="206" t="str">
        <f t="shared" si="24"/>
        <v/>
      </c>
      <c r="P280" s="207" t="str">
        <f t="shared" si="29"/>
        <v/>
      </c>
    </row>
    <row r="281" spans="3:16">
      <c r="C281" s="200"/>
      <c r="D281" s="201"/>
      <c r="E281" s="202"/>
      <c r="F281" s="200"/>
      <c r="H281" s="203"/>
      <c r="I281" s="186" t="str">
        <f t="shared" si="25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26"/>
        <v/>
      </c>
      <c r="L281" s="189" t="str">
        <f t="shared" si="27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28"/>
        <v/>
      </c>
      <c r="O281" s="206" t="str">
        <f t="shared" si="24"/>
        <v/>
      </c>
      <c r="P281" s="207" t="str">
        <f t="shared" si="29"/>
        <v/>
      </c>
    </row>
    <row r="282" spans="3:16">
      <c r="C282" s="200"/>
      <c r="D282" s="201"/>
      <c r="E282" s="202"/>
      <c r="F282" s="200"/>
      <c r="H282" s="203"/>
      <c r="I282" s="186" t="str">
        <f t="shared" si="25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26"/>
        <v/>
      </c>
      <c r="L282" s="189" t="str">
        <f t="shared" si="27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28"/>
        <v/>
      </c>
      <c r="O282" s="206" t="str">
        <f t="shared" si="24"/>
        <v/>
      </c>
      <c r="P282" s="207" t="str">
        <f t="shared" si="29"/>
        <v/>
      </c>
    </row>
    <row r="283" spans="3:16">
      <c r="C283" s="200"/>
      <c r="D283" s="201"/>
      <c r="E283" s="202"/>
      <c r="F283" s="200"/>
      <c r="H283" s="203"/>
      <c r="I283" s="186" t="str">
        <f t="shared" si="25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26"/>
        <v/>
      </c>
      <c r="L283" s="189" t="str">
        <f t="shared" si="27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28"/>
        <v/>
      </c>
      <c r="O283" s="206" t="str">
        <f t="shared" si="24"/>
        <v/>
      </c>
      <c r="P283" s="207" t="str">
        <f t="shared" si="29"/>
        <v/>
      </c>
    </row>
    <row r="284" spans="3:16">
      <c r="C284" s="200"/>
      <c r="D284" s="201"/>
      <c r="E284" s="202"/>
      <c r="F284" s="200"/>
      <c r="H284" s="203"/>
      <c r="I284" s="186" t="str">
        <f t="shared" si="25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26"/>
        <v/>
      </c>
      <c r="L284" s="189" t="str">
        <f t="shared" si="27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28"/>
        <v/>
      </c>
      <c r="O284" s="206" t="str">
        <f t="shared" si="24"/>
        <v/>
      </c>
      <c r="P284" s="207" t="str">
        <f t="shared" si="29"/>
        <v/>
      </c>
    </row>
    <row r="285" spans="3:16">
      <c r="C285" s="200"/>
      <c r="D285" s="201"/>
      <c r="E285" s="202"/>
      <c r="F285" s="200"/>
      <c r="H285" s="203"/>
      <c r="I285" s="186" t="str">
        <f t="shared" si="25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26"/>
        <v/>
      </c>
      <c r="L285" s="189" t="str">
        <f t="shared" si="27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28"/>
        <v/>
      </c>
      <c r="O285" s="206" t="str">
        <f t="shared" si="24"/>
        <v/>
      </c>
      <c r="P285" s="207" t="str">
        <f t="shared" si="29"/>
        <v/>
      </c>
    </row>
    <row r="286" spans="3:16">
      <c r="C286" s="200"/>
      <c r="D286" s="201"/>
      <c r="E286" s="202"/>
      <c r="F286" s="200"/>
      <c r="H286" s="203"/>
      <c r="I286" s="186" t="str">
        <f t="shared" si="25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26"/>
        <v/>
      </c>
      <c r="L286" s="189" t="str">
        <f t="shared" si="27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28"/>
        <v/>
      </c>
      <c r="O286" s="206" t="str">
        <f t="shared" si="24"/>
        <v/>
      </c>
      <c r="P286" s="207" t="str">
        <f t="shared" si="29"/>
        <v/>
      </c>
    </row>
    <row r="287" spans="3:16">
      <c r="C287" s="200"/>
      <c r="D287" s="201"/>
      <c r="E287" s="202"/>
      <c r="F287" s="200"/>
      <c r="H287" s="203"/>
      <c r="I287" s="186" t="str">
        <f t="shared" si="25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26"/>
        <v/>
      </c>
      <c r="L287" s="189" t="str">
        <f t="shared" si="27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28"/>
        <v/>
      </c>
      <c r="O287" s="206" t="str">
        <f t="shared" si="24"/>
        <v/>
      </c>
      <c r="P287" s="207" t="str">
        <f t="shared" si="29"/>
        <v/>
      </c>
    </row>
    <row r="288" spans="3:16">
      <c r="C288" s="200"/>
      <c r="D288" s="201"/>
      <c r="E288" s="202"/>
      <c r="F288" s="200"/>
      <c r="H288" s="203"/>
      <c r="I288" s="186" t="str">
        <f t="shared" si="25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26"/>
        <v/>
      </c>
      <c r="L288" s="189" t="str">
        <f t="shared" si="27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28"/>
        <v/>
      </c>
      <c r="O288" s="206" t="str">
        <f t="shared" si="24"/>
        <v/>
      </c>
      <c r="P288" s="207" t="str">
        <f t="shared" si="29"/>
        <v/>
      </c>
    </row>
    <row r="289" spans="3:16">
      <c r="C289" s="200"/>
      <c r="D289" s="201"/>
      <c r="E289" s="202"/>
      <c r="F289" s="200"/>
      <c r="H289" s="203"/>
      <c r="I289" s="186" t="str">
        <f t="shared" si="25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26"/>
        <v/>
      </c>
      <c r="L289" s="189" t="str">
        <f t="shared" si="27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28"/>
        <v/>
      </c>
      <c r="O289" s="206" t="str">
        <f t="shared" si="24"/>
        <v/>
      </c>
      <c r="P289" s="207" t="str">
        <f t="shared" si="29"/>
        <v/>
      </c>
    </row>
    <row r="290" spans="3:16">
      <c r="C290" s="200"/>
      <c r="D290" s="201"/>
      <c r="E290" s="202"/>
      <c r="F290" s="200"/>
      <c r="H290" s="203"/>
      <c r="I290" s="186" t="str">
        <f t="shared" si="25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26"/>
        <v/>
      </c>
      <c r="L290" s="189" t="str">
        <f t="shared" si="27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28"/>
        <v/>
      </c>
      <c r="O290" s="206" t="str">
        <f t="shared" si="24"/>
        <v/>
      </c>
      <c r="P290" s="207" t="str">
        <f t="shared" si="29"/>
        <v/>
      </c>
    </row>
    <row r="291" spans="3:16">
      <c r="C291" s="200"/>
      <c r="D291" s="201"/>
      <c r="E291" s="202"/>
      <c r="F291" s="200"/>
      <c r="H291" s="203"/>
      <c r="I291" s="186" t="str">
        <f t="shared" si="25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26"/>
        <v/>
      </c>
      <c r="L291" s="189" t="str">
        <f t="shared" si="27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28"/>
        <v/>
      </c>
      <c r="O291" s="206" t="str">
        <f t="shared" si="24"/>
        <v/>
      </c>
      <c r="P291" s="207" t="str">
        <f t="shared" si="29"/>
        <v/>
      </c>
    </row>
    <row r="292" spans="3:16">
      <c r="C292" s="200"/>
      <c r="D292" s="201"/>
      <c r="E292" s="202"/>
      <c r="F292" s="200"/>
      <c r="H292" s="203"/>
      <c r="I292" s="186" t="str">
        <f t="shared" si="25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26"/>
        <v/>
      </c>
      <c r="L292" s="189" t="str">
        <f t="shared" si="27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28"/>
        <v/>
      </c>
      <c r="O292" s="206" t="str">
        <f t="shared" si="24"/>
        <v/>
      </c>
      <c r="P292" s="207" t="str">
        <f t="shared" si="29"/>
        <v/>
      </c>
    </row>
    <row r="293" spans="3:16">
      <c r="C293" s="200"/>
      <c r="D293" s="201"/>
      <c r="E293" s="202"/>
      <c r="F293" s="200"/>
      <c r="H293" s="203"/>
      <c r="I293" s="186" t="str">
        <f t="shared" si="25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26"/>
        <v/>
      </c>
      <c r="L293" s="189" t="str">
        <f t="shared" si="27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28"/>
        <v/>
      </c>
      <c r="O293" s="206" t="str">
        <f t="shared" si="24"/>
        <v/>
      </c>
      <c r="P293" s="207" t="str">
        <f t="shared" si="29"/>
        <v/>
      </c>
    </row>
    <row r="294" spans="3:16">
      <c r="C294" s="200"/>
      <c r="D294" s="201"/>
      <c r="E294" s="202"/>
      <c r="F294" s="200"/>
      <c r="H294" s="203"/>
      <c r="I294" s="186" t="str">
        <f t="shared" si="25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26"/>
        <v/>
      </c>
      <c r="L294" s="189" t="str">
        <f t="shared" si="27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28"/>
        <v/>
      </c>
      <c r="O294" s="206" t="str">
        <f t="shared" si="24"/>
        <v/>
      </c>
      <c r="P294" s="207" t="str">
        <f t="shared" si="29"/>
        <v/>
      </c>
    </row>
    <row r="295" spans="3:16">
      <c r="C295" s="200"/>
      <c r="D295" s="201"/>
      <c r="E295" s="202"/>
      <c r="F295" s="200"/>
      <c r="H295" s="203"/>
      <c r="I295" s="186" t="str">
        <f t="shared" si="25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26"/>
        <v/>
      </c>
      <c r="L295" s="189" t="str">
        <f t="shared" si="27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28"/>
        <v/>
      </c>
      <c r="O295" s="206" t="str">
        <f t="shared" si="24"/>
        <v/>
      </c>
      <c r="P295" s="207" t="str">
        <f t="shared" si="29"/>
        <v/>
      </c>
    </row>
    <row r="296" spans="3:16">
      <c r="C296" s="200"/>
      <c r="D296" s="201"/>
      <c r="E296" s="202"/>
      <c r="F296" s="200"/>
      <c r="H296" s="203"/>
      <c r="I296" s="186" t="str">
        <f t="shared" si="25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26"/>
        <v/>
      </c>
      <c r="L296" s="189" t="str">
        <f t="shared" si="27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28"/>
        <v/>
      </c>
      <c r="O296" s="206" t="str">
        <f t="shared" si="24"/>
        <v/>
      </c>
      <c r="P296" s="207" t="str">
        <f t="shared" si="29"/>
        <v/>
      </c>
    </row>
    <row r="297" spans="3:16">
      <c r="C297" s="200"/>
      <c r="D297" s="201"/>
      <c r="E297" s="202"/>
      <c r="F297" s="200"/>
      <c r="H297" s="203"/>
      <c r="I297" s="186" t="str">
        <f t="shared" si="25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26"/>
        <v/>
      </c>
      <c r="L297" s="189" t="str">
        <f t="shared" si="27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28"/>
        <v/>
      </c>
      <c r="O297" s="206" t="str">
        <f t="shared" si="24"/>
        <v/>
      </c>
      <c r="P297" s="207" t="str">
        <f t="shared" si="29"/>
        <v/>
      </c>
    </row>
    <row r="298" spans="3:16">
      <c r="C298" s="200"/>
      <c r="D298" s="201"/>
      <c r="E298" s="202"/>
      <c r="F298" s="200"/>
      <c r="H298" s="203"/>
      <c r="I298" s="186" t="str">
        <f t="shared" si="25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26"/>
        <v/>
      </c>
      <c r="L298" s="189" t="str">
        <f t="shared" si="27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28"/>
        <v/>
      </c>
      <c r="O298" s="206" t="str">
        <f t="shared" si="24"/>
        <v/>
      </c>
      <c r="P298" s="207" t="str">
        <f t="shared" si="29"/>
        <v/>
      </c>
    </row>
    <row r="299" spans="3:16">
      <c r="C299" s="200"/>
      <c r="D299" s="201"/>
      <c r="E299" s="202"/>
      <c r="F299" s="200"/>
      <c r="H299" s="203"/>
      <c r="I299" s="186" t="str">
        <f t="shared" si="25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26"/>
        <v/>
      </c>
      <c r="L299" s="189" t="str">
        <f t="shared" si="27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28"/>
        <v/>
      </c>
      <c r="O299" s="206" t="str">
        <f t="shared" si="24"/>
        <v/>
      </c>
      <c r="P299" s="207" t="str">
        <f t="shared" si="29"/>
        <v/>
      </c>
    </row>
    <row r="300" spans="3:16">
      <c r="C300" s="200"/>
      <c r="D300" s="201"/>
      <c r="E300" s="202"/>
      <c r="F300" s="200"/>
      <c r="H300" s="203"/>
      <c r="I300" s="186" t="str">
        <f t="shared" si="25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26"/>
        <v/>
      </c>
      <c r="L300" s="189" t="str">
        <f t="shared" si="27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28"/>
        <v/>
      </c>
      <c r="O300" s="206" t="str">
        <f t="shared" si="24"/>
        <v/>
      </c>
      <c r="P300" s="207" t="str">
        <f t="shared" si="29"/>
        <v/>
      </c>
    </row>
    <row r="301" spans="3:16">
      <c r="C301" s="200"/>
      <c r="D301" s="201"/>
      <c r="E301" s="202"/>
      <c r="F301" s="200"/>
      <c r="H301" s="203"/>
      <c r="I301" s="186" t="str">
        <f t="shared" si="25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26"/>
        <v/>
      </c>
      <c r="L301" s="189" t="str">
        <f t="shared" si="27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28"/>
        <v/>
      </c>
      <c r="O301" s="206" t="str">
        <f t="shared" si="24"/>
        <v/>
      </c>
      <c r="P301" s="207" t="str">
        <f t="shared" si="29"/>
        <v/>
      </c>
    </row>
    <row r="302" spans="3:16">
      <c r="C302" s="200"/>
      <c r="D302" s="201"/>
      <c r="E302" s="202"/>
      <c r="F302" s="200"/>
      <c r="H302" s="203"/>
      <c r="I302" s="186" t="str">
        <f t="shared" si="25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26"/>
        <v/>
      </c>
      <c r="L302" s="189" t="str">
        <f t="shared" si="27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28"/>
        <v/>
      </c>
      <c r="O302" s="206" t="str">
        <f t="shared" si="24"/>
        <v/>
      </c>
      <c r="P302" s="207" t="str">
        <f t="shared" si="29"/>
        <v/>
      </c>
    </row>
    <row r="303" spans="3:16">
      <c r="C303" s="200"/>
      <c r="D303" s="201"/>
      <c r="E303" s="202"/>
      <c r="F303" s="200"/>
      <c r="H303" s="203"/>
      <c r="I303" s="186" t="str">
        <f t="shared" si="25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26"/>
        <v/>
      </c>
      <c r="L303" s="189" t="str">
        <f t="shared" si="27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28"/>
        <v/>
      </c>
      <c r="O303" s="206" t="str">
        <f t="shared" si="24"/>
        <v/>
      </c>
      <c r="P303" s="207" t="str">
        <f t="shared" si="29"/>
        <v/>
      </c>
    </row>
    <row r="304" spans="3:16">
      <c r="C304" s="200"/>
      <c r="D304" s="201"/>
      <c r="E304" s="202"/>
      <c r="F304" s="200"/>
      <c r="H304" s="203"/>
      <c r="I304" s="186" t="str">
        <f t="shared" si="25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26"/>
        <v/>
      </c>
      <c r="L304" s="189" t="str">
        <f t="shared" si="27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28"/>
        <v/>
      </c>
      <c r="O304" s="206" t="str">
        <f t="shared" si="24"/>
        <v/>
      </c>
      <c r="P304" s="207" t="str">
        <f t="shared" si="29"/>
        <v/>
      </c>
    </row>
    <row r="305" spans="3:16">
      <c r="C305" s="200"/>
      <c r="D305" s="201"/>
      <c r="E305" s="202"/>
      <c r="F305" s="200"/>
      <c r="H305" s="203"/>
      <c r="I305" s="186" t="str">
        <f t="shared" si="25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26"/>
        <v/>
      </c>
      <c r="L305" s="189" t="str">
        <f t="shared" si="27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28"/>
        <v/>
      </c>
      <c r="O305" s="206" t="str">
        <f t="shared" si="24"/>
        <v/>
      </c>
      <c r="P305" s="207" t="str">
        <f t="shared" si="29"/>
        <v/>
      </c>
    </row>
    <row r="306" spans="3:16">
      <c r="C306" s="200"/>
      <c r="D306" s="201"/>
      <c r="E306" s="202"/>
      <c r="F306" s="200"/>
      <c r="H306" s="203"/>
      <c r="I306" s="186" t="str">
        <f t="shared" si="25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26"/>
        <v/>
      </c>
      <c r="L306" s="189" t="str">
        <f t="shared" si="27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28"/>
        <v/>
      </c>
      <c r="O306" s="206" t="str">
        <f t="shared" si="24"/>
        <v/>
      </c>
      <c r="P306" s="207" t="str">
        <f t="shared" si="29"/>
        <v/>
      </c>
    </row>
    <row r="307" spans="3:16">
      <c r="C307" s="200"/>
      <c r="D307" s="201"/>
      <c r="E307" s="202"/>
      <c r="F307" s="200"/>
      <c r="H307" s="203"/>
      <c r="I307" s="186" t="str">
        <f t="shared" si="25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26"/>
        <v/>
      </c>
      <c r="L307" s="189" t="str">
        <f t="shared" si="27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28"/>
        <v/>
      </c>
      <c r="O307" s="206" t="str">
        <f t="shared" si="24"/>
        <v/>
      </c>
      <c r="P307" s="207" t="str">
        <f t="shared" si="29"/>
        <v/>
      </c>
    </row>
    <row r="308" spans="3:16">
      <c r="C308" s="200"/>
      <c r="D308" s="201"/>
      <c r="E308" s="202"/>
      <c r="F308" s="200"/>
      <c r="H308" s="203"/>
      <c r="I308" s="186" t="str">
        <f t="shared" si="25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26"/>
        <v/>
      </c>
      <c r="L308" s="189" t="str">
        <f t="shared" si="27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28"/>
        <v/>
      </c>
      <c r="O308" s="206" t="str">
        <f t="shared" si="24"/>
        <v/>
      </c>
      <c r="P308" s="207" t="str">
        <f t="shared" si="29"/>
        <v/>
      </c>
    </row>
    <row r="309" spans="3:16">
      <c r="C309" s="200"/>
      <c r="D309" s="201"/>
      <c r="E309" s="202"/>
      <c r="F309" s="200"/>
      <c r="H309" s="203"/>
      <c r="I309" s="186" t="str">
        <f t="shared" si="25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26"/>
        <v/>
      </c>
      <c r="L309" s="189" t="str">
        <f t="shared" si="27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28"/>
        <v/>
      </c>
      <c r="O309" s="206" t="str">
        <f t="shared" si="24"/>
        <v/>
      </c>
      <c r="P309" s="207" t="str">
        <f t="shared" si="29"/>
        <v/>
      </c>
    </row>
    <row r="310" spans="3:16">
      <c r="C310" s="200"/>
      <c r="D310" s="201"/>
      <c r="E310" s="202"/>
      <c r="F310" s="200"/>
      <c r="H310" s="203"/>
      <c r="I310" s="186" t="str">
        <f t="shared" si="25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26"/>
        <v/>
      </c>
      <c r="L310" s="189" t="str">
        <f t="shared" si="27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28"/>
        <v/>
      </c>
      <c r="O310" s="206" t="str">
        <f t="shared" si="24"/>
        <v/>
      </c>
      <c r="P310" s="207" t="str">
        <f t="shared" si="29"/>
        <v/>
      </c>
    </row>
    <row r="311" spans="3:16">
      <c r="C311" s="200"/>
      <c r="D311" s="201"/>
      <c r="E311" s="202"/>
      <c r="F311" s="200"/>
      <c r="H311" s="203"/>
      <c r="I311" s="186" t="str">
        <f t="shared" si="25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26"/>
        <v/>
      </c>
      <c r="L311" s="189" t="str">
        <f t="shared" si="27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28"/>
        <v/>
      </c>
      <c r="O311" s="206" t="str">
        <f t="shared" si="24"/>
        <v/>
      </c>
      <c r="P311" s="207" t="str">
        <f t="shared" si="29"/>
        <v/>
      </c>
    </row>
    <row r="312" spans="3:16">
      <c r="C312" s="200"/>
      <c r="D312" s="201"/>
      <c r="E312" s="202"/>
      <c r="F312" s="200"/>
      <c r="H312" s="203"/>
      <c r="I312" s="186" t="str">
        <f t="shared" si="25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26"/>
        <v/>
      </c>
      <c r="L312" s="189" t="str">
        <f t="shared" si="27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28"/>
        <v/>
      </c>
      <c r="O312" s="206" t="str">
        <f t="shared" si="24"/>
        <v/>
      </c>
      <c r="P312" s="207" t="str">
        <f t="shared" si="29"/>
        <v/>
      </c>
    </row>
    <row r="313" spans="3:16">
      <c r="C313" s="200"/>
      <c r="D313" s="201"/>
      <c r="E313" s="202"/>
      <c r="F313" s="200"/>
      <c r="H313" s="203"/>
      <c r="I313" s="186" t="str">
        <f t="shared" si="25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26"/>
        <v/>
      </c>
      <c r="L313" s="189" t="str">
        <f t="shared" si="27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28"/>
        <v/>
      </c>
      <c r="O313" s="206" t="str">
        <f t="shared" si="24"/>
        <v/>
      </c>
      <c r="P313" s="207" t="str">
        <f t="shared" si="29"/>
        <v/>
      </c>
    </row>
    <row r="314" spans="3:16">
      <c r="C314" s="200"/>
      <c r="D314" s="201"/>
      <c r="E314" s="202"/>
      <c r="F314" s="200"/>
      <c r="H314" s="203"/>
      <c r="I314" s="186" t="str">
        <f t="shared" si="25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26"/>
        <v/>
      </c>
      <c r="L314" s="189" t="str">
        <f t="shared" si="27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28"/>
        <v/>
      </c>
      <c r="O314" s="206" t="str">
        <f t="shared" si="24"/>
        <v/>
      </c>
      <c r="P314" s="207" t="str">
        <f t="shared" si="29"/>
        <v/>
      </c>
    </row>
    <row r="315" spans="3:16">
      <c r="C315" s="200"/>
      <c r="D315" s="201"/>
      <c r="E315" s="202"/>
      <c r="F315" s="200"/>
      <c r="H315" s="203"/>
      <c r="I315" s="186" t="str">
        <f t="shared" si="25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26"/>
        <v/>
      </c>
      <c r="L315" s="189" t="str">
        <f t="shared" si="27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28"/>
        <v/>
      </c>
      <c r="O315" s="206" t="str">
        <f t="shared" si="24"/>
        <v/>
      </c>
      <c r="P315" s="207" t="str">
        <f t="shared" si="29"/>
        <v/>
      </c>
    </row>
    <row r="316" spans="3:16">
      <c r="C316" s="200"/>
      <c r="D316" s="201"/>
      <c r="E316" s="202"/>
      <c r="F316" s="200"/>
      <c r="H316" s="203"/>
      <c r="I316" s="186" t="str">
        <f t="shared" si="25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26"/>
        <v/>
      </c>
      <c r="L316" s="189" t="str">
        <f t="shared" si="27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28"/>
        <v/>
      </c>
      <c r="O316" s="206" t="str">
        <f t="shared" si="24"/>
        <v/>
      </c>
      <c r="P316" s="207" t="str">
        <f t="shared" si="29"/>
        <v/>
      </c>
    </row>
    <row r="317" spans="3:16">
      <c r="C317" s="200"/>
      <c r="D317" s="201"/>
      <c r="E317" s="202"/>
      <c r="F317" s="200"/>
      <c r="H317" s="203"/>
      <c r="I317" s="186" t="str">
        <f t="shared" si="25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26"/>
        <v/>
      </c>
      <c r="L317" s="189" t="str">
        <f t="shared" si="27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28"/>
        <v/>
      </c>
      <c r="O317" s="206" t="str">
        <f t="shared" si="24"/>
        <v/>
      </c>
      <c r="P317" s="207" t="str">
        <f t="shared" si="29"/>
        <v/>
      </c>
    </row>
    <row r="318" spans="3:16">
      <c r="C318" s="200"/>
      <c r="D318" s="201"/>
      <c r="E318" s="202"/>
      <c r="F318" s="200"/>
      <c r="H318" s="203"/>
      <c r="I318" s="186" t="str">
        <f t="shared" si="25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26"/>
        <v/>
      </c>
      <c r="L318" s="189" t="str">
        <f t="shared" si="27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28"/>
        <v/>
      </c>
      <c r="O318" s="206" t="str">
        <f t="shared" si="24"/>
        <v/>
      </c>
      <c r="P318" s="207" t="str">
        <f t="shared" si="29"/>
        <v/>
      </c>
    </row>
    <row r="319" spans="3:16">
      <c r="C319" s="200"/>
      <c r="D319" s="201"/>
      <c r="E319" s="202"/>
      <c r="F319" s="200"/>
      <c r="H319" s="203"/>
      <c r="I319" s="186" t="str">
        <f t="shared" si="25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26"/>
        <v/>
      </c>
      <c r="L319" s="189" t="str">
        <f t="shared" si="27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28"/>
        <v/>
      </c>
      <c r="O319" s="206" t="str">
        <f t="shared" si="24"/>
        <v/>
      </c>
      <c r="P319" s="207" t="str">
        <f t="shared" si="29"/>
        <v/>
      </c>
    </row>
    <row r="320" spans="3:16">
      <c r="C320" s="200"/>
      <c r="D320" s="201"/>
      <c r="E320" s="202"/>
      <c r="F320" s="200"/>
      <c r="H320" s="203"/>
      <c r="I320" s="186" t="str">
        <f t="shared" si="25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26"/>
        <v/>
      </c>
      <c r="L320" s="189" t="str">
        <f t="shared" si="27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28"/>
        <v/>
      </c>
      <c r="O320" s="206" t="str">
        <f t="shared" si="24"/>
        <v/>
      </c>
      <c r="P320" s="207" t="str">
        <f t="shared" si="29"/>
        <v/>
      </c>
    </row>
    <row r="321" spans="3:16">
      <c r="C321" s="200"/>
      <c r="D321" s="201"/>
      <c r="E321" s="202"/>
      <c r="F321" s="200"/>
      <c r="H321" s="203"/>
      <c r="I321" s="186" t="str">
        <f t="shared" si="25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26"/>
        <v/>
      </c>
      <c r="L321" s="189" t="str">
        <f t="shared" si="27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28"/>
        <v/>
      </c>
      <c r="O321" s="206" t="str">
        <f t="shared" si="24"/>
        <v/>
      </c>
      <c r="P321" s="207" t="str">
        <f t="shared" si="29"/>
        <v/>
      </c>
    </row>
    <row r="322" spans="3:16">
      <c r="C322" s="200"/>
      <c r="D322" s="201"/>
      <c r="E322" s="202"/>
      <c r="F322" s="200"/>
      <c r="H322" s="203"/>
      <c r="I322" s="186" t="str">
        <f t="shared" si="25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26"/>
        <v/>
      </c>
      <c r="L322" s="189" t="str">
        <f t="shared" si="27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28"/>
        <v/>
      </c>
      <c r="O322" s="206" t="str">
        <f t="shared" si="24"/>
        <v/>
      </c>
      <c r="P322" s="207" t="str">
        <f t="shared" si="29"/>
        <v/>
      </c>
    </row>
    <row r="323" spans="3:16">
      <c r="C323" s="200"/>
      <c r="D323" s="201"/>
      <c r="E323" s="202"/>
      <c r="F323" s="200"/>
      <c r="H323" s="203"/>
      <c r="I323" s="186" t="str">
        <f t="shared" si="25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26"/>
        <v/>
      </c>
      <c r="L323" s="189" t="str">
        <f t="shared" si="27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28"/>
        <v/>
      </c>
      <c r="O323" s="206" t="str">
        <f t="shared" si="24"/>
        <v/>
      </c>
      <c r="P323" s="207" t="str">
        <f t="shared" si="29"/>
        <v/>
      </c>
    </row>
    <row r="324" spans="3:16">
      <c r="C324" s="200"/>
      <c r="D324" s="201"/>
      <c r="E324" s="202"/>
      <c r="F324" s="200"/>
      <c r="H324" s="203"/>
      <c r="I324" s="186" t="str">
        <f t="shared" si="25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26"/>
        <v/>
      </c>
      <c r="L324" s="189" t="str">
        <f t="shared" si="27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28"/>
        <v/>
      </c>
      <c r="O324" s="206" t="str">
        <f t="shared" si="24"/>
        <v/>
      </c>
      <c r="P324" s="207" t="str">
        <f t="shared" si="29"/>
        <v/>
      </c>
    </row>
    <row r="325" spans="3:16">
      <c r="C325" s="200"/>
      <c r="D325" s="201"/>
      <c r="E325" s="202"/>
      <c r="F325" s="200"/>
      <c r="H325" s="203"/>
      <c r="I325" s="186" t="str">
        <f t="shared" si="25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26"/>
        <v/>
      </c>
      <c r="L325" s="189" t="str">
        <f t="shared" si="27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28"/>
        <v/>
      </c>
      <c r="O325" s="206" t="str">
        <f t="shared" si="24"/>
        <v/>
      </c>
      <c r="P325" s="207" t="str">
        <f t="shared" si="29"/>
        <v/>
      </c>
    </row>
    <row r="326" spans="3:16">
      <c r="C326" s="200"/>
      <c r="D326" s="201"/>
      <c r="E326" s="202"/>
      <c r="F326" s="200"/>
      <c r="H326" s="203"/>
      <c r="I326" s="186" t="str">
        <f t="shared" si="25"/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si="26"/>
        <v/>
      </c>
      <c r="L326" s="189" t="str">
        <f t="shared" si="27"/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si="28"/>
        <v/>
      </c>
      <c r="O326" s="206" t="str">
        <f t="shared" ref="O326:O389" si="30">IF(OR(K326="",N326=""),"",K326-N326)</f>
        <v/>
      </c>
      <c r="P326" s="207" t="str">
        <f t="shared" si="29"/>
        <v/>
      </c>
    </row>
    <row r="327" spans="3:16">
      <c r="C327" s="200"/>
      <c r="D327" s="201"/>
      <c r="E327" s="202"/>
      <c r="F327" s="200"/>
      <c r="H327" s="203"/>
      <c r="I327" s="186" t="str">
        <f t="shared" ref="I327:I390" si="31">IF(H327="","",IF(H327="JPY","",IF($H327="USD",4, IF(H327="EUR",7,IF(H327="CNY",47,IF(H327="HKD",34))))))</f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ref="K327:K390" si="32">IF($H327="JPY",$F327,IF($H327="","",$F327*$J327))</f>
        <v/>
      </c>
      <c r="L327" s="189" t="str">
        <f t="shared" ref="L327:L390" si="33">IF(H327="","",IF(H327="JPY","",IF($H327="USD",3, IF(H327="EUR",6,IF(H327="CNY",46,IF(H327="HKD",33))))))</f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ref="N327:N390" si="34">IF($E327="JPY",($C327+$D327),IF($E327="","",($C327+$D327)*$M327))</f>
        <v/>
      </c>
      <c r="O327" s="206" t="str">
        <f t="shared" si="30"/>
        <v/>
      </c>
      <c r="P327" s="207" t="str">
        <f t="shared" ref="P327:P390" si="35">IF(OR(K327="",O327=""),"",O327/K327)</f>
        <v/>
      </c>
    </row>
    <row r="328" spans="3:16">
      <c r="C328" s="200"/>
      <c r="D328" s="201"/>
      <c r="E328" s="202"/>
      <c r="F328" s="200"/>
      <c r="H328" s="203"/>
      <c r="I328" s="186" t="str">
        <f t="shared" si="31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2"/>
        <v/>
      </c>
      <c r="L328" s="189" t="str">
        <f t="shared" si="33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4"/>
        <v/>
      </c>
      <c r="O328" s="206" t="str">
        <f t="shared" si="30"/>
        <v/>
      </c>
      <c r="P328" s="207" t="str">
        <f t="shared" si="35"/>
        <v/>
      </c>
    </row>
    <row r="329" spans="3:16">
      <c r="C329" s="200"/>
      <c r="D329" s="201"/>
      <c r="E329" s="202"/>
      <c r="F329" s="200"/>
      <c r="H329" s="203"/>
      <c r="I329" s="186" t="str">
        <f t="shared" si="31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2"/>
        <v/>
      </c>
      <c r="L329" s="189" t="str">
        <f t="shared" si="33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4"/>
        <v/>
      </c>
      <c r="O329" s="206" t="str">
        <f t="shared" si="30"/>
        <v/>
      </c>
      <c r="P329" s="207" t="str">
        <f t="shared" si="35"/>
        <v/>
      </c>
    </row>
    <row r="330" spans="3:16">
      <c r="C330" s="200"/>
      <c r="D330" s="201"/>
      <c r="E330" s="202"/>
      <c r="F330" s="200"/>
      <c r="H330" s="203"/>
      <c r="I330" s="186" t="str">
        <f t="shared" si="31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2"/>
        <v/>
      </c>
      <c r="L330" s="189" t="str">
        <f t="shared" si="33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4"/>
        <v/>
      </c>
      <c r="O330" s="206" t="str">
        <f t="shared" si="30"/>
        <v/>
      </c>
      <c r="P330" s="207" t="str">
        <f t="shared" si="35"/>
        <v/>
      </c>
    </row>
    <row r="331" spans="3:16">
      <c r="C331" s="200"/>
      <c r="D331" s="201"/>
      <c r="E331" s="202"/>
      <c r="F331" s="200"/>
      <c r="H331" s="203"/>
      <c r="I331" s="186" t="str">
        <f t="shared" si="31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2"/>
        <v/>
      </c>
      <c r="L331" s="189" t="str">
        <f t="shared" si="33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4"/>
        <v/>
      </c>
      <c r="O331" s="206" t="str">
        <f t="shared" si="30"/>
        <v/>
      </c>
      <c r="P331" s="207" t="str">
        <f t="shared" si="35"/>
        <v/>
      </c>
    </row>
    <row r="332" spans="3:16">
      <c r="C332" s="200"/>
      <c r="D332" s="201"/>
      <c r="E332" s="202"/>
      <c r="F332" s="200"/>
      <c r="H332" s="203"/>
      <c r="I332" s="186" t="str">
        <f t="shared" si="31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2"/>
        <v/>
      </c>
      <c r="L332" s="189" t="str">
        <f t="shared" si="33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4"/>
        <v/>
      </c>
      <c r="O332" s="206" t="str">
        <f t="shared" si="30"/>
        <v/>
      </c>
      <c r="P332" s="207" t="str">
        <f t="shared" si="35"/>
        <v/>
      </c>
    </row>
    <row r="333" spans="3:16">
      <c r="C333" s="200"/>
      <c r="D333" s="201"/>
      <c r="E333" s="202"/>
      <c r="F333" s="200"/>
      <c r="H333" s="203"/>
      <c r="I333" s="186" t="str">
        <f t="shared" si="31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2"/>
        <v/>
      </c>
      <c r="L333" s="189" t="str">
        <f t="shared" si="33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4"/>
        <v/>
      </c>
      <c r="O333" s="206" t="str">
        <f t="shared" si="30"/>
        <v/>
      </c>
      <c r="P333" s="207" t="str">
        <f t="shared" si="35"/>
        <v/>
      </c>
    </row>
    <row r="334" spans="3:16">
      <c r="C334" s="200"/>
      <c r="D334" s="201"/>
      <c r="E334" s="202"/>
      <c r="F334" s="200"/>
      <c r="H334" s="203"/>
      <c r="I334" s="186" t="str">
        <f t="shared" si="31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2"/>
        <v/>
      </c>
      <c r="L334" s="189" t="str">
        <f t="shared" si="33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4"/>
        <v/>
      </c>
      <c r="O334" s="206" t="str">
        <f t="shared" si="30"/>
        <v/>
      </c>
      <c r="P334" s="207" t="str">
        <f t="shared" si="35"/>
        <v/>
      </c>
    </row>
    <row r="335" spans="3:16">
      <c r="C335" s="200"/>
      <c r="D335" s="201"/>
      <c r="E335" s="202"/>
      <c r="F335" s="200"/>
      <c r="H335" s="203"/>
      <c r="I335" s="186" t="str">
        <f t="shared" si="31"/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si="32"/>
        <v/>
      </c>
      <c r="L335" s="189" t="str">
        <f t="shared" si="33"/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si="34"/>
        <v/>
      </c>
      <c r="O335" s="206" t="str">
        <f t="shared" si="30"/>
        <v/>
      </c>
      <c r="P335" s="207" t="str">
        <f t="shared" si="35"/>
        <v/>
      </c>
    </row>
    <row r="336" spans="3:16">
      <c r="C336" s="200"/>
      <c r="D336" s="201"/>
      <c r="E336" s="202"/>
      <c r="F336" s="200"/>
      <c r="H336" s="203"/>
      <c r="I336" s="186" t="str">
        <f t="shared" si="31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2"/>
        <v/>
      </c>
      <c r="L336" s="189" t="str">
        <f t="shared" si="33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4"/>
        <v/>
      </c>
      <c r="O336" s="206" t="str">
        <f t="shared" si="30"/>
        <v/>
      </c>
      <c r="P336" s="207" t="str">
        <f t="shared" si="35"/>
        <v/>
      </c>
    </row>
    <row r="337" spans="3:16">
      <c r="C337" s="200"/>
      <c r="D337" s="201"/>
      <c r="E337" s="202"/>
      <c r="F337" s="200"/>
      <c r="H337" s="203"/>
      <c r="I337" s="186" t="str">
        <f t="shared" si="31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2"/>
        <v/>
      </c>
      <c r="L337" s="189" t="str">
        <f t="shared" si="33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4"/>
        <v/>
      </c>
      <c r="O337" s="206" t="str">
        <f t="shared" si="30"/>
        <v/>
      </c>
      <c r="P337" s="207" t="str">
        <f t="shared" si="35"/>
        <v/>
      </c>
    </row>
    <row r="338" spans="3:16">
      <c r="C338" s="200"/>
      <c r="D338" s="201"/>
      <c r="E338" s="202"/>
      <c r="F338" s="200"/>
      <c r="H338" s="203"/>
      <c r="I338" s="186" t="str">
        <f t="shared" si="31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2"/>
        <v/>
      </c>
      <c r="L338" s="189" t="str">
        <f t="shared" si="33"/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4"/>
        <v/>
      </c>
      <c r="O338" s="206" t="str">
        <f t="shared" si="30"/>
        <v/>
      </c>
      <c r="P338" s="207" t="str">
        <f t="shared" si="35"/>
        <v/>
      </c>
    </row>
    <row r="339" spans="3:16">
      <c r="C339" s="200"/>
      <c r="D339" s="201"/>
      <c r="E339" s="202"/>
      <c r="F339" s="200"/>
      <c r="H339" s="203"/>
      <c r="I339" s="186" t="str">
        <f t="shared" si="31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2"/>
        <v/>
      </c>
      <c r="L339" s="189" t="str">
        <f t="shared" si="33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4"/>
        <v/>
      </c>
      <c r="O339" s="206" t="str">
        <f t="shared" si="30"/>
        <v/>
      </c>
      <c r="P339" s="207" t="str">
        <f t="shared" si="35"/>
        <v/>
      </c>
    </row>
    <row r="340" spans="3:16">
      <c r="C340" s="200"/>
      <c r="D340" s="201"/>
      <c r="E340" s="202"/>
      <c r="F340" s="200"/>
      <c r="H340" s="203"/>
      <c r="I340" s="186" t="str">
        <f t="shared" si="31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2"/>
        <v/>
      </c>
      <c r="L340" s="189" t="str">
        <f t="shared" si="33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4"/>
        <v/>
      </c>
      <c r="O340" s="206" t="str">
        <f t="shared" si="30"/>
        <v/>
      </c>
      <c r="P340" s="207" t="str">
        <f t="shared" si="35"/>
        <v/>
      </c>
    </row>
    <row r="341" spans="3:16">
      <c r="C341" s="200"/>
      <c r="D341" s="201"/>
      <c r="E341" s="202"/>
      <c r="F341" s="200"/>
      <c r="H341" s="203"/>
      <c r="I341" s="186" t="str">
        <f t="shared" si="31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2"/>
        <v/>
      </c>
      <c r="L341" s="189" t="str">
        <f t="shared" si="33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4"/>
        <v/>
      </c>
      <c r="O341" s="206" t="str">
        <f t="shared" si="30"/>
        <v/>
      </c>
      <c r="P341" s="207" t="str">
        <f t="shared" si="35"/>
        <v/>
      </c>
    </row>
    <row r="342" spans="3:16">
      <c r="C342" s="200"/>
      <c r="D342" s="201"/>
      <c r="E342" s="202"/>
      <c r="F342" s="200"/>
      <c r="H342" s="203"/>
      <c r="I342" s="186" t="str">
        <f t="shared" si="31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2"/>
        <v/>
      </c>
      <c r="L342" s="189" t="str">
        <f t="shared" si="33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4"/>
        <v/>
      </c>
      <c r="O342" s="206" t="str">
        <f t="shared" si="30"/>
        <v/>
      </c>
      <c r="P342" s="207" t="str">
        <f t="shared" si="35"/>
        <v/>
      </c>
    </row>
    <row r="343" spans="3:16">
      <c r="C343" s="200"/>
      <c r="D343" s="201"/>
      <c r="E343" s="202"/>
      <c r="F343" s="200"/>
      <c r="H343" s="203"/>
      <c r="I343" s="186" t="str">
        <f t="shared" si="31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2"/>
        <v/>
      </c>
      <c r="L343" s="189" t="str">
        <f t="shared" si="33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4"/>
        <v/>
      </c>
      <c r="O343" s="206" t="str">
        <f t="shared" si="30"/>
        <v/>
      </c>
      <c r="P343" s="207" t="str">
        <f t="shared" si="35"/>
        <v/>
      </c>
    </row>
    <row r="344" spans="3:16">
      <c r="C344" s="200"/>
      <c r="D344" s="201"/>
      <c r="E344" s="202"/>
      <c r="F344" s="200"/>
      <c r="H344" s="203"/>
      <c r="I344" s="186" t="str">
        <f t="shared" si="31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2"/>
        <v/>
      </c>
      <c r="L344" s="189" t="str">
        <f t="shared" si="33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4"/>
        <v/>
      </c>
      <c r="O344" s="206" t="str">
        <f t="shared" si="30"/>
        <v/>
      </c>
      <c r="P344" s="207" t="str">
        <f t="shared" si="35"/>
        <v/>
      </c>
    </row>
    <row r="345" spans="3:16">
      <c r="C345" s="200"/>
      <c r="D345" s="201"/>
      <c r="E345" s="202"/>
      <c r="F345" s="200"/>
      <c r="H345" s="203"/>
      <c r="I345" s="186" t="str">
        <f t="shared" si="31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2"/>
        <v/>
      </c>
      <c r="L345" s="189" t="str">
        <f t="shared" si="33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4"/>
        <v/>
      </c>
      <c r="O345" s="206" t="str">
        <f t="shared" si="30"/>
        <v/>
      </c>
      <c r="P345" s="207" t="str">
        <f t="shared" si="35"/>
        <v/>
      </c>
    </row>
    <row r="346" spans="3:16">
      <c r="C346" s="200"/>
      <c r="D346" s="201"/>
      <c r="E346" s="202"/>
      <c r="F346" s="200"/>
      <c r="H346" s="203"/>
      <c r="I346" s="186" t="str">
        <f t="shared" si="31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2"/>
        <v/>
      </c>
      <c r="L346" s="189" t="str">
        <f t="shared" si="33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4"/>
        <v/>
      </c>
      <c r="O346" s="206" t="str">
        <f t="shared" si="30"/>
        <v/>
      </c>
      <c r="P346" s="207" t="str">
        <f t="shared" si="35"/>
        <v/>
      </c>
    </row>
    <row r="347" spans="3:16">
      <c r="C347" s="200"/>
      <c r="D347" s="201"/>
      <c r="E347" s="202"/>
      <c r="F347" s="200"/>
      <c r="H347" s="203"/>
      <c r="I347" s="186" t="str">
        <f t="shared" si="31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2"/>
        <v/>
      </c>
      <c r="L347" s="189" t="str">
        <f t="shared" si="33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4"/>
        <v/>
      </c>
      <c r="O347" s="206" t="str">
        <f t="shared" si="30"/>
        <v/>
      </c>
      <c r="P347" s="207" t="str">
        <f t="shared" si="35"/>
        <v/>
      </c>
    </row>
    <row r="348" spans="3:16">
      <c r="C348" s="200"/>
      <c r="D348" s="201"/>
      <c r="E348" s="202"/>
      <c r="F348" s="200"/>
      <c r="H348" s="203"/>
      <c r="I348" s="186" t="str">
        <f t="shared" si="31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2"/>
        <v/>
      </c>
      <c r="L348" s="189" t="str">
        <f t="shared" si="33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4"/>
        <v/>
      </c>
      <c r="O348" s="206" t="str">
        <f t="shared" si="30"/>
        <v/>
      </c>
      <c r="P348" s="207" t="str">
        <f t="shared" si="35"/>
        <v/>
      </c>
    </row>
    <row r="349" spans="3:16">
      <c r="C349" s="200"/>
      <c r="D349" s="201"/>
      <c r="E349" s="202"/>
      <c r="F349" s="200"/>
      <c r="H349" s="203"/>
      <c r="I349" s="186" t="str">
        <f t="shared" si="31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2"/>
        <v/>
      </c>
      <c r="L349" s="189" t="str">
        <f t="shared" si="33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4"/>
        <v/>
      </c>
      <c r="O349" s="206" t="str">
        <f t="shared" si="30"/>
        <v/>
      </c>
      <c r="P349" s="207" t="str">
        <f t="shared" si="35"/>
        <v/>
      </c>
    </row>
    <row r="350" spans="3:16">
      <c r="C350" s="200"/>
      <c r="D350" s="201"/>
      <c r="E350" s="202"/>
      <c r="F350" s="200"/>
      <c r="H350" s="203"/>
      <c r="I350" s="186" t="str">
        <f t="shared" si="31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2"/>
        <v/>
      </c>
      <c r="L350" s="189" t="str">
        <f t="shared" si="33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4"/>
        <v/>
      </c>
      <c r="O350" s="206" t="str">
        <f t="shared" si="30"/>
        <v/>
      </c>
      <c r="P350" s="207" t="str">
        <f t="shared" si="35"/>
        <v/>
      </c>
    </row>
    <row r="351" spans="3:16">
      <c r="C351" s="200"/>
      <c r="D351" s="201"/>
      <c r="E351" s="202"/>
      <c r="F351" s="200"/>
      <c r="H351" s="203"/>
      <c r="I351" s="186" t="str">
        <f t="shared" si="31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2"/>
        <v/>
      </c>
      <c r="L351" s="189" t="str">
        <f t="shared" si="33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4"/>
        <v/>
      </c>
      <c r="O351" s="206" t="str">
        <f t="shared" si="30"/>
        <v/>
      </c>
      <c r="P351" s="207" t="str">
        <f t="shared" si="35"/>
        <v/>
      </c>
    </row>
    <row r="352" spans="3:16">
      <c r="C352" s="200"/>
      <c r="D352" s="201"/>
      <c r="E352" s="202"/>
      <c r="F352" s="200"/>
      <c r="H352" s="203"/>
      <c r="I352" s="186" t="str">
        <f t="shared" si="31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2"/>
        <v/>
      </c>
      <c r="L352" s="189" t="str">
        <f t="shared" si="33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4"/>
        <v/>
      </c>
      <c r="O352" s="206" t="str">
        <f t="shared" si="30"/>
        <v/>
      </c>
      <c r="P352" s="207" t="str">
        <f t="shared" si="35"/>
        <v/>
      </c>
    </row>
    <row r="353" spans="3:16">
      <c r="C353" s="200"/>
      <c r="D353" s="201"/>
      <c r="E353" s="202"/>
      <c r="F353" s="200"/>
      <c r="H353" s="203"/>
      <c r="I353" s="186" t="str">
        <f t="shared" si="31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2"/>
        <v/>
      </c>
      <c r="L353" s="189" t="str">
        <f t="shared" si="33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4"/>
        <v/>
      </c>
      <c r="O353" s="206" t="str">
        <f t="shared" si="30"/>
        <v/>
      </c>
      <c r="P353" s="207" t="str">
        <f t="shared" si="35"/>
        <v/>
      </c>
    </row>
    <row r="354" spans="3:16">
      <c r="C354" s="200"/>
      <c r="D354" s="201"/>
      <c r="E354" s="202"/>
      <c r="F354" s="200"/>
      <c r="H354" s="203"/>
      <c r="I354" s="186" t="str">
        <f t="shared" si="31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2"/>
        <v/>
      </c>
      <c r="L354" s="189" t="str">
        <f t="shared" si="33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4"/>
        <v/>
      </c>
      <c r="O354" s="206" t="str">
        <f t="shared" si="30"/>
        <v/>
      </c>
      <c r="P354" s="207" t="str">
        <f t="shared" si="35"/>
        <v/>
      </c>
    </row>
    <row r="355" spans="3:16">
      <c r="C355" s="200"/>
      <c r="D355" s="201"/>
      <c r="E355" s="202"/>
      <c r="F355" s="200"/>
      <c r="H355" s="203"/>
      <c r="I355" s="186" t="str">
        <f t="shared" si="31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2"/>
        <v/>
      </c>
      <c r="L355" s="189" t="str">
        <f t="shared" si="33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4"/>
        <v/>
      </c>
      <c r="O355" s="206" t="str">
        <f t="shared" si="30"/>
        <v/>
      </c>
      <c r="P355" s="207" t="str">
        <f t="shared" si="35"/>
        <v/>
      </c>
    </row>
    <row r="356" spans="3:16">
      <c r="C356" s="200"/>
      <c r="D356" s="201"/>
      <c r="E356" s="202"/>
      <c r="F356" s="200"/>
      <c r="H356" s="203"/>
      <c r="I356" s="186" t="str">
        <f t="shared" si="31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2"/>
        <v/>
      </c>
      <c r="L356" s="189" t="str">
        <f t="shared" si="33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4"/>
        <v/>
      </c>
      <c r="O356" s="206" t="str">
        <f t="shared" si="30"/>
        <v/>
      </c>
      <c r="P356" s="207" t="str">
        <f t="shared" si="35"/>
        <v/>
      </c>
    </row>
    <row r="357" spans="3:16">
      <c r="C357" s="200"/>
      <c r="D357" s="201"/>
      <c r="E357" s="202"/>
      <c r="F357" s="200"/>
      <c r="H357" s="203"/>
      <c r="I357" s="186" t="str">
        <f t="shared" si="31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2"/>
        <v/>
      </c>
      <c r="L357" s="189" t="str">
        <f t="shared" si="33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4"/>
        <v/>
      </c>
      <c r="O357" s="206" t="str">
        <f t="shared" si="30"/>
        <v/>
      </c>
      <c r="P357" s="207" t="str">
        <f t="shared" si="35"/>
        <v/>
      </c>
    </row>
    <row r="358" spans="3:16">
      <c r="C358" s="200"/>
      <c r="D358" s="201"/>
      <c r="E358" s="202"/>
      <c r="F358" s="200"/>
      <c r="H358" s="203"/>
      <c r="I358" s="186" t="str">
        <f t="shared" si="31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2"/>
        <v/>
      </c>
      <c r="L358" s="189" t="str">
        <f t="shared" si="33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4"/>
        <v/>
      </c>
      <c r="O358" s="206" t="str">
        <f t="shared" si="30"/>
        <v/>
      </c>
      <c r="P358" s="207" t="str">
        <f t="shared" si="35"/>
        <v/>
      </c>
    </row>
    <row r="359" spans="3:16">
      <c r="C359" s="200"/>
      <c r="D359" s="201"/>
      <c r="E359" s="202"/>
      <c r="F359" s="200"/>
      <c r="H359" s="203"/>
      <c r="I359" s="186" t="str">
        <f t="shared" si="31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2"/>
        <v/>
      </c>
      <c r="L359" s="189" t="str">
        <f t="shared" si="33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4"/>
        <v/>
      </c>
      <c r="O359" s="206" t="str">
        <f t="shared" si="30"/>
        <v/>
      </c>
      <c r="P359" s="207" t="str">
        <f t="shared" si="35"/>
        <v/>
      </c>
    </row>
    <row r="360" spans="3:16">
      <c r="C360" s="200"/>
      <c r="D360" s="201"/>
      <c r="E360" s="202"/>
      <c r="F360" s="200"/>
      <c r="H360" s="203"/>
      <c r="I360" s="186" t="str">
        <f t="shared" si="31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2"/>
        <v/>
      </c>
      <c r="L360" s="189" t="str">
        <f t="shared" si="33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4"/>
        <v/>
      </c>
      <c r="O360" s="206" t="str">
        <f t="shared" si="30"/>
        <v/>
      </c>
      <c r="P360" s="207" t="str">
        <f t="shared" si="35"/>
        <v/>
      </c>
    </row>
    <row r="361" spans="3:16">
      <c r="C361" s="200"/>
      <c r="D361" s="201"/>
      <c r="E361" s="202"/>
      <c r="F361" s="200"/>
      <c r="H361" s="203"/>
      <c r="I361" s="186" t="str">
        <f t="shared" si="31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2"/>
        <v/>
      </c>
      <c r="L361" s="189" t="str">
        <f t="shared" si="33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4"/>
        <v/>
      </c>
      <c r="O361" s="206" t="str">
        <f t="shared" si="30"/>
        <v/>
      </c>
      <c r="P361" s="207" t="str">
        <f t="shared" si="35"/>
        <v/>
      </c>
    </row>
    <row r="362" spans="3:16">
      <c r="C362" s="200"/>
      <c r="D362" s="201"/>
      <c r="E362" s="202"/>
      <c r="F362" s="200"/>
      <c r="H362" s="203"/>
      <c r="I362" s="186" t="str">
        <f t="shared" si="31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2"/>
        <v/>
      </c>
      <c r="L362" s="189" t="str">
        <f t="shared" si="33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4"/>
        <v/>
      </c>
      <c r="O362" s="206" t="str">
        <f t="shared" si="30"/>
        <v/>
      </c>
      <c r="P362" s="207" t="str">
        <f t="shared" si="35"/>
        <v/>
      </c>
    </row>
    <row r="363" spans="3:16">
      <c r="C363" s="200"/>
      <c r="D363" s="201"/>
      <c r="E363" s="202"/>
      <c r="F363" s="200"/>
      <c r="H363" s="203"/>
      <c r="I363" s="186" t="str">
        <f t="shared" si="31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2"/>
        <v/>
      </c>
      <c r="L363" s="189" t="str">
        <f t="shared" si="33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4"/>
        <v/>
      </c>
      <c r="O363" s="206" t="str">
        <f t="shared" si="30"/>
        <v/>
      </c>
      <c r="P363" s="207" t="str">
        <f t="shared" si="35"/>
        <v/>
      </c>
    </row>
    <row r="364" spans="3:16">
      <c r="C364" s="200"/>
      <c r="D364" s="201"/>
      <c r="E364" s="202"/>
      <c r="F364" s="200"/>
      <c r="H364" s="203"/>
      <c r="I364" s="186" t="str">
        <f t="shared" si="31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2"/>
        <v/>
      </c>
      <c r="L364" s="189" t="str">
        <f t="shared" si="33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4"/>
        <v/>
      </c>
      <c r="O364" s="206" t="str">
        <f t="shared" si="30"/>
        <v/>
      </c>
      <c r="P364" s="207" t="str">
        <f t="shared" si="35"/>
        <v/>
      </c>
    </row>
    <row r="365" spans="3:16">
      <c r="C365" s="200"/>
      <c r="D365" s="201"/>
      <c r="E365" s="202"/>
      <c r="F365" s="200"/>
      <c r="H365" s="203"/>
      <c r="I365" s="186" t="str">
        <f t="shared" si="31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2"/>
        <v/>
      </c>
      <c r="L365" s="189" t="str">
        <f t="shared" si="33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4"/>
        <v/>
      </c>
      <c r="O365" s="206" t="str">
        <f t="shared" si="30"/>
        <v/>
      </c>
      <c r="P365" s="207" t="str">
        <f t="shared" si="35"/>
        <v/>
      </c>
    </row>
    <row r="366" spans="3:16">
      <c r="C366" s="200"/>
      <c r="D366" s="201"/>
      <c r="E366" s="202"/>
      <c r="F366" s="200"/>
      <c r="H366" s="203"/>
      <c r="I366" s="186" t="str">
        <f t="shared" si="31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2"/>
        <v/>
      </c>
      <c r="L366" s="189" t="str">
        <f t="shared" si="33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4"/>
        <v/>
      </c>
      <c r="O366" s="206" t="str">
        <f t="shared" si="30"/>
        <v/>
      </c>
      <c r="P366" s="207" t="str">
        <f t="shared" si="35"/>
        <v/>
      </c>
    </row>
    <row r="367" spans="3:16">
      <c r="C367" s="200"/>
      <c r="D367" s="201"/>
      <c r="E367" s="202"/>
      <c r="F367" s="200"/>
      <c r="H367" s="203"/>
      <c r="I367" s="186" t="str">
        <f t="shared" si="31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2"/>
        <v/>
      </c>
      <c r="L367" s="189" t="str">
        <f t="shared" si="33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4"/>
        <v/>
      </c>
      <c r="O367" s="206" t="str">
        <f t="shared" si="30"/>
        <v/>
      </c>
      <c r="P367" s="207" t="str">
        <f t="shared" si="35"/>
        <v/>
      </c>
    </row>
    <row r="368" spans="3:16">
      <c r="C368" s="200"/>
      <c r="D368" s="201"/>
      <c r="E368" s="202"/>
      <c r="F368" s="200"/>
      <c r="H368" s="203"/>
      <c r="I368" s="186" t="str">
        <f t="shared" si="31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2"/>
        <v/>
      </c>
      <c r="L368" s="189" t="str">
        <f t="shared" si="33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4"/>
        <v/>
      </c>
      <c r="O368" s="206" t="str">
        <f t="shared" si="30"/>
        <v/>
      </c>
      <c r="P368" s="207" t="str">
        <f t="shared" si="35"/>
        <v/>
      </c>
    </row>
    <row r="369" spans="3:16">
      <c r="C369" s="200"/>
      <c r="D369" s="201"/>
      <c r="E369" s="202"/>
      <c r="F369" s="200"/>
      <c r="H369" s="203"/>
      <c r="I369" s="186" t="str">
        <f t="shared" si="31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2"/>
        <v/>
      </c>
      <c r="L369" s="189" t="str">
        <f t="shared" si="33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4"/>
        <v/>
      </c>
      <c r="O369" s="206" t="str">
        <f t="shared" si="30"/>
        <v/>
      </c>
      <c r="P369" s="207" t="str">
        <f t="shared" si="35"/>
        <v/>
      </c>
    </row>
    <row r="370" spans="3:16">
      <c r="C370" s="200"/>
      <c r="D370" s="201"/>
      <c r="E370" s="202"/>
      <c r="F370" s="200"/>
      <c r="H370" s="203"/>
      <c r="I370" s="186" t="str">
        <f t="shared" si="31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2"/>
        <v/>
      </c>
      <c r="L370" s="189" t="str">
        <f t="shared" si="33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4"/>
        <v/>
      </c>
      <c r="O370" s="206" t="str">
        <f t="shared" si="30"/>
        <v/>
      </c>
      <c r="P370" s="207" t="str">
        <f t="shared" si="35"/>
        <v/>
      </c>
    </row>
    <row r="371" spans="3:16">
      <c r="C371" s="200"/>
      <c r="D371" s="201"/>
      <c r="E371" s="202"/>
      <c r="F371" s="200"/>
      <c r="H371" s="203"/>
      <c r="I371" s="186" t="str">
        <f t="shared" si="31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2"/>
        <v/>
      </c>
      <c r="L371" s="189" t="str">
        <f t="shared" si="33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4"/>
        <v/>
      </c>
      <c r="O371" s="206" t="str">
        <f t="shared" si="30"/>
        <v/>
      </c>
      <c r="P371" s="207" t="str">
        <f t="shared" si="35"/>
        <v/>
      </c>
    </row>
    <row r="372" spans="3:16">
      <c r="C372" s="200"/>
      <c r="D372" s="201"/>
      <c r="E372" s="202"/>
      <c r="F372" s="200"/>
      <c r="H372" s="203"/>
      <c r="I372" s="186" t="str">
        <f t="shared" si="31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2"/>
        <v/>
      </c>
      <c r="L372" s="189" t="str">
        <f t="shared" si="33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4"/>
        <v/>
      </c>
      <c r="O372" s="206" t="str">
        <f t="shared" si="30"/>
        <v/>
      </c>
      <c r="P372" s="207" t="str">
        <f t="shared" si="35"/>
        <v/>
      </c>
    </row>
    <row r="373" spans="3:16">
      <c r="C373" s="200"/>
      <c r="D373" s="201"/>
      <c r="E373" s="202"/>
      <c r="F373" s="200"/>
      <c r="H373" s="203"/>
      <c r="I373" s="186" t="str">
        <f t="shared" si="31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2"/>
        <v/>
      </c>
      <c r="L373" s="189" t="str">
        <f t="shared" si="33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4"/>
        <v/>
      </c>
      <c r="O373" s="206" t="str">
        <f t="shared" si="30"/>
        <v/>
      </c>
      <c r="P373" s="207" t="str">
        <f t="shared" si="35"/>
        <v/>
      </c>
    </row>
    <row r="374" spans="3:16">
      <c r="C374" s="200"/>
      <c r="D374" s="201"/>
      <c r="E374" s="202"/>
      <c r="F374" s="200"/>
      <c r="H374" s="203"/>
      <c r="I374" s="186" t="str">
        <f t="shared" si="31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2"/>
        <v/>
      </c>
      <c r="L374" s="189" t="str">
        <f t="shared" si="33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4"/>
        <v/>
      </c>
      <c r="O374" s="206" t="str">
        <f t="shared" si="30"/>
        <v/>
      </c>
      <c r="P374" s="207" t="str">
        <f t="shared" si="35"/>
        <v/>
      </c>
    </row>
    <row r="375" spans="3:16">
      <c r="C375" s="200"/>
      <c r="D375" s="201"/>
      <c r="E375" s="202"/>
      <c r="F375" s="200"/>
      <c r="H375" s="203"/>
      <c r="I375" s="186" t="str">
        <f t="shared" si="31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2"/>
        <v/>
      </c>
      <c r="L375" s="189" t="str">
        <f t="shared" si="33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4"/>
        <v/>
      </c>
      <c r="O375" s="206" t="str">
        <f t="shared" si="30"/>
        <v/>
      </c>
      <c r="P375" s="207" t="str">
        <f t="shared" si="35"/>
        <v/>
      </c>
    </row>
    <row r="376" spans="3:16">
      <c r="C376" s="200"/>
      <c r="D376" s="201"/>
      <c r="E376" s="202"/>
      <c r="F376" s="200"/>
      <c r="H376" s="203"/>
      <c r="I376" s="186" t="str">
        <f t="shared" si="31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2"/>
        <v/>
      </c>
      <c r="L376" s="189" t="str">
        <f t="shared" si="33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4"/>
        <v/>
      </c>
      <c r="O376" s="206" t="str">
        <f t="shared" si="30"/>
        <v/>
      </c>
      <c r="P376" s="207" t="str">
        <f t="shared" si="35"/>
        <v/>
      </c>
    </row>
    <row r="377" spans="3:16">
      <c r="C377" s="200"/>
      <c r="D377" s="201"/>
      <c r="E377" s="202"/>
      <c r="F377" s="200"/>
      <c r="H377" s="203"/>
      <c r="I377" s="186" t="str">
        <f t="shared" si="31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2"/>
        <v/>
      </c>
      <c r="L377" s="189" t="str">
        <f t="shared" si="33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4"/>
        <v/>
      </c>
      <c r="O377" s="206" t="str">
        <f t="shared" si="30"/>
        <v/>
      </c>
      <c r="P377" s="207" t="str">
        <f t="shared" si="35"/>
        <v/>
      </c>
    </row>
    <row r="378" spans="3:16">
      <c r="C378" s="200"/>
      <c r="D378" s="201"/>
      <c r="E378" s="202"/>
      <c r="F378" s="200"/>
      <c r="H378" s="203"/>
      <c r="I378" s="186" t="str">
        <f t="shared" si="31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2"/>
        <v/>
      </c>
      <c r="L378" s="189" t="str">
        <f t="shared" si="33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4"/>
        <v/>
      </c>
      <c r="O378" s="206" t="str">
        <f t="shared" si="30"/>
        <v/>
      </c>
      <c r="P378" s="207" t="str">
        <f t="shared" si="35"/>
        <v/>
      </c>
    </row>
    <row r="379" spans="3:16">
      <c r="C379" s="200"/>
      <c r="D379" s="201"/>
      <c r="E379" s="202"/>
      <c r="F379" s="200"/>
      <c r="H379" s="203"/>
      <c r="I379" s="186" t="str">
        <f t="shared" si="31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2"/>
        <v/>
      </c>
      <c r="L379" s="189" t="str">
        <f t="shared" si="33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4"/>
        <v/>
      </c>
      <c r="O379" s="206" t="str">
        <f t="shared" si="30"/>
        <v/>
      </c>
      <c r="P379" s="207" t="str">
        <f t="shared" si="35"/>
        <v/>
      </c>
    </row>
    <row r="380" spans="3:16">
      <c r="C380" s="200"/>
      <c r="D380" s="201"/>
      <c r="E380" s="202"/>
      <c r="F380" s="200"/>
      <c r="H380" s="203"/>
      <c r="I380" s="186" t="str">
        <f t="shared" si="31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2"/>
        <v/>
      </c>
      <c r="L380" s="189" t="str">
        <f t="shared" si="33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4"/>
        <v/>
      </c>
      <c r="O380" s="206" t="str">
        <f t="shared" si="30"/>
        <v/>
      </c>
      <c r="P380" s="207" t="str">
        <f t="shared" si="35"/>
        <v/>
      </c>
    </row>
    <row r="381" spans="3:16">
      <c r="C381" s="200"/>
      <c r="D381" s="201"/>
      <c r="E381" s="202"/>
      <c r="F381" s="200"/>
      <c r="H381" s="203"/>
      <c r="I381" s="186" t="str">
        <f t="shared" si="31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2"/>
        <v/>
      </c>
      <c r="L381" s="189" t="str">
        <f t="shared" si="33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4"/>
        <v/>
      </c>
      <c r="O381" s="206" t="str">
        <f t="shared" si="30"/>
        <v/>
      </c>
      <c r="P381" s="207" t="str">
        <f t="shared" si="35"/>
        <v/>
      </c>
    </row>
    <row r="382" spans="3:16">
      <c r="C382" s="200"/>
      <c r="D382" s="201"/>
      <c r="E382" s="202"/>
      <c r="F382" s="200"/>
      <c r="H382" s="203"/>
      <c r="I382" s="186" t="str">
        <f t="shared" si="31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2"/>
        <v/>
      </c>
      <c r="L382" s="189" t="str">
        <f t="shared" si="33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4"/>
        <v/>
      </c>
      <c r="O382" s="206" t="str">
        <f t="shared" si="30"/>
        <v/>
      </c>
      <c r="P382" s="207" t="str">
        <f t="shared" si="35"/>
        <v/>
      </c>
    </row>
    <row r="383" spans="3:16">
      <c r="C383" s="200"/>
      <c r="D383" s="201"/>
      <c r="E383" s="202"/>
      <c r="F383" s="200"/>
      <c r="H383" s="203"/>
      <c r="I383" s="186" t="str">
        <f t="shared" si="31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2"/>
        <v/>
      </c>
      <c r="L383" s="189" t="str">
        <f t="shared" si="33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4"/>
        <v/>
      </c>
      <c r="O383" s="206" t="str">
        <f t="shared" si="30"/>
        <v/>
      </c>
      <c r="P383" s="207" t="str">
        <f t="shared" si="35"/>
        <v/>
      </c>
    </row>
    <row r="384" spans="3:16">
      <c r="C384" s="200"/>
      <c r="D384" s="201"/>
      <c r="E384" s="202"/>
      <c r="F384" s="200"/>
      <c r="H384" s="203"/>
      <c r="I384" s="186" t="str">
        <f t="shared" si="31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2"/>
        <v/>
      </c>
      <c r="L384" s="189" t="str">
        <f t="shared" si="33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4"/>
        <v/>
      </c>
      <c r="O384" s="206" t="str">
        <f t="shared" si="30"/>
        <v/>
      </c>
      <c r="P384" s="207" t="str">
        <f t="shared" si="35"/>
        <v/>
      </c>
    </row>
    <row r="385" spans="3:16">
      <c r="C385" s="200"/>
      <c r="D385" s="201"/>
      <c r="E385" s="202"/>
      <c r="F385" s="200"/>
      <c r="H385" s="203"/>
      <c r="I385" s="186" t="str">
        <f t="shared" si="31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2"/>
        <v/>
      </c>
      <c r="L385" s="189" t="str">
        <f t="shared" si="33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4"/>
        <v/>
      </c>
      <c r="O385" s="206" t="str">
        <f t="shared" si="30"/>
        <v/>
      </c>
      <c r="P385" s="207" t="str">
        <f t="shared" si="35"/>
        <v/>
      </c>
    </row>
    <row r="386" spans="3:16">
      <c r="C386" s="200"/>
      <c r="D386" s="201"/>
      <c r="E386" s="202"/>
      <c r="F386" s="200"/>
      <c r="H386" s="203"/>
      <c r="I386" s="186" t="str">
        <f t="shared" si="31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2"/>
        <v/>
      </c>
      <c r="L386" s="189" t="str">
        <f t="shared" si="33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4"/>
        <v/>
      </c>
      <c r="O386" s="206" t="str">
        <f t="shared" si="30"/>
        <v/>
      </c>
      <c r="P386" s="207" t="str">
        <f t="shared" si="35"/>
        <v/>
      </c>
    </row>
    <row r="387" spans="3:16">
      <c r="C387" s="200"/>
      <c r="D387" s="201"/>
      <c r="E387" s="202"/>
      <c r="F387" s="200"/>
      <c r="H387" s="203"/>
      <c r="I387" s="186" t="str">
        <f t="shared" si="31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2"/>
        <v/>
      </c>
      <c r="L387" s="189" t="str">
        <f t="shared" si="33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4"/>
        <v/>
      </c>
      <c r="O387" s="206" t="str">
        <f t="shared" si="30"/>
        <v/>
      </c>
      <c r="P387" s="207" t="str">
        <f t="shared" si="35"/>
        <v/>
      </c>
    </row>
    <row r="388" spans="3:16">
      <c r="C388" s="200"/>
      <c r="D388" s="201"/>
      <c r="E388" s="202"/>
      <c r="F388" s="200"/>
      <c r="H388" s="203"/>
      <c r="I388" s="186" t="str">
        <f t="shared" si="31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2"/>
        <v/>
      </c>
      <c r="L388" s="189" t="str">
        <f t="shared" si="33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4"/>
        <v/>
      </c>
      <c r="O388" s="206" t="str">
        <f t="shared" si="30"/>
        <v/>
      </c>
      <c r="P388" s="207" t="str">
        <f t="shared" si="35"/>
        <v/>
      </c>
    </row>
    <row r="389" spans="3:16">
      <c r="C389" s="200"/>
      <c r="D389" s="201"/>
      <c r="E389" s="202"/>
      <c r="F389" s="200"/>
      <c r="H389" s="203"/>
      <c r="I389" s="186" t="str">
        <f t="shared" si="31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2"/>
        <v/>
      </c>
      <c r="L389" s="189" t="str">
        <f t="shared" si="33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4"/>
        <v/>
      </c>
      <c r="O389" s="206" t="str">
        <f t="shared" si="30"/>
        <v/>
      </c>
      <c r="P389" s="207" t="str">
        <f t="shared" si="35"/>
        <v/>
      </c>
    </row>
    <row r="390" spans="3:16">
      <c r="C390" s="200"/>
      <c r="D390" s="201"/>
      <c r="E390" s="202"/>
      <c r="F390" s="200"/>
      <c r="H390" s="203"/>
      <c r="I390" s="186" t="str">
        <f t="shared" si="31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32"/>
        <v/>
      </c>
      <c r="L390" s="189" t="str">
        <f t="shared" si="33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34"/>
        <v/>
      </c>
      <c r="O390" s="206" t="str">
        <f t="shared" ref="O390:O400" si="36">IF(OR(K390="",N390=""),"",K390-N390)</f>
        <v/>
      </c>
      <c r="P390" s="207" t="str">
        <f t="shared" si="35"/>
        <v/>
      </c>
    </row>
    <row r="391" spans="3:16">
      <c r="C391" s="200"/>
      <c r="D391" s="201"/>
      <c r="E391" s="202"/>
      <c r="F391" s="200"/>
      <c r="H391" s="203"/>
      <c r="I391" s="186" t="str">
        <f t="shared" ref="I391:I400" si="37">IF(H391="","",IF(H391="JPY","",IF($H391="USD",4, IF(H391="EUR",7,IF(H391="CNY",47,IF(H391="HKD",34))))))</f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ref="K391:K400" si="38">IF($H391="JPY",$F391,IF($H391="","",$F391*$J391))</f>
        <v/>
      </c>
      <c r="L391" s="189" t="str">
        <f t="shared" ref="L391:L400" si="39">IF(H391="","",IF(H391="JPY","",IF($H391="USD",3, IF(H391="EUR",6,IF(H391="CNY",46,IF(H391="HKD",33))))))</f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ref="N391:N400" si="40">IF($E391="JPY",($C391+$D391),IF($E391="","",($C391+$D391)*$M391))</f>
        <v/>
      </c>
      <c r="O391" s="206" t="str">
        <f t="shared" si="36"/>
        <v/>
      </c>
      <c r="P391" s="207" t="str">
        <f t="shared" ref="P391:P400" si="41">IF(OR(K391="",O391=""),"",O391/K391)</f>
        <v/>
      </c>
    </row>
    <row r="392" spans="3:16">
      <c r="C392" s="200"/>
      <c r="D392" s="201"/>
      <c r="E392" s="202"/>
      <c r="F392" s="200"/>
      <c r="H392" s="203"/>
      <c r="I392" s="186" t="str">
        <f t="shared" si="37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38"/>
        <v/>
      </c>
      <c r="L392" s="189" t="str">
        <f t="shared" si="39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40"/>
        <v/>
      </c>
      <c r="O392" s="206" t="str">
        <f t="shared" si="36"/>
        <v/>
      </c>
      <c r="P392" s="207" t="str">
        <f t="shared" si="41"/>
        <v/>
      </c>
    </row>
    <row r="393" spans="3:16">
      <c r="C393" s="200"/>
      <c r="D393" s="201"/>
      <c r="E393" s="202"/>
      <c r="F393" s="200"/>
      <c r="H393" s="203"/>
      <c r="I393" s="186" t="str">
        <f t="shared" si="37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38"/>
        <v/>
      </c>
      <c r="L393" s="189" t="str">
        <f t="shared" si="39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40"/>
        <v/>
      </c>
      <c r="O393" s="206" t="str">
        <f t="shared" si="36"/>
        <v/>
      </c>
      <c r="P393" s="207" t="str">
        <f t="shared" si="41"/>
        <v/>
      </c>
    </row>
    <row r="394" spans="3:16">
      <c r="C394" s="200"/>
      <c r="D394" s="201"/>
      <c r="E394" s="202"/>
      <c r="F394" s="200"/>
      <c r="H394" s="203"/>
      <c r="I394" s="186" t="str">
        <f t="shared" si="37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38"/>
        <v/>
      </c>
      <c r="L394" s="189" t="str">
        <f t="shared" si="39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40"/>
        <v/>
      </c>
      <c r="O394" s="206" t="str">
        <f t="shared" si="36"/>
        <v/>
      </c>
      <c r="P394" s="207" t="str">
        <f t="shared" si="41"/>
        <v/>
      </c>
    </row>
    <row r="395" spans="3:16">
      <c r="C395" s="200"/>
      <c r="D395" s="201"/>
      <c r="E395" s="202"/>
      <c r="F395" s="200"/>
      <c r="H395" s="203"/>
      <c r="I395" s="186" t="str">
        <f t="shared" si="37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38"/>
        <v/>
      </c>
      <c r="L395" s="189" t="str">
        <f t="shared" si="39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40"/>
        <v/>
      </c>
      <c r="O395" s="206" t="str">
        <f t="shared" si="36"/>
        <v/>
      </c>
      <c r="P395" s="207" t="str">
        <f t="shared" si="41"/>
        <v/>
      </c>
    </row>
    <row r="396" spans="3:16">
      <c r="C396" s="200"/>
      <c r="D396" s="201"/>
      <c r="E396" s="202"/>
      <c r="F396" s="200"/>
      <c r="H396" s="203"/>
      <c r="I396" s="186" t="str">
        <f t="shared" si="37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38"/>
        <v/>
      </c>
      <c r="L396" s="189" t="str">
        <f t="shared" si="39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40"/>
        <v/>
      </c>
      <c r="O396" s="206" t="str">
        <f t="shared" si="36"/>
        <v/>
      </c>
      <c r="P396" s="207" t="str">
        <f t="shared" si="41"/>
        <v/>
      </c>
    </row>
    <row r="397" spans="3:16">
      <c r="C397" s="200"/>
      <c r="D397" s="201"/>
      <c r="E397" s="202"/>
      <c r="F397" s="200"/>
      <c r="H397" s="203"/>
      <c r="I397" s="186" t="str">
        <f t="shared" si="37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38"/>
        <v/>
      </c>
      <c r="L397" s="189" t="str">
        <f t="shared" si="39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40"/>
        <v/>
      </c>
      <c r="O397" s="206" t="str">
        <f t="shared" si="36"/>
        <v/>
      </c>
      <c r="P397" s="207" t="str">
        <f t="shared" si="41"/>
        <v/>
      </c>
    </row>
    <row r="398" spans="3:16">
      <c r="C398" s="200"/>
      <c r="D398" s="201"/>
      <c r="E398" s="202"/>
      <c r="F398" s="200"/>
      <c r="H398" s="203"/>
      <c r="I398" s="186" t="str">
        <f t="shared" si="37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38"/>
        <v/>
      </c>
      <c r="L398" s="189" t="str">
        <f t="shared" si="39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40"/>
        <v/>
      </c>
      <c r="O398" s="206" t="str">
        <f t="shared" si="36"/>
        <v/>
      </c>
      <c r="P398" s="207" t="str">
        <f t="shared" si="41"/>
        <v/>
      </c>
    </row>
    <row r="399" spans="3:16">
      <c r="C399" s="200"/>
      <c r="D399" s="201"/>
      <c r="E399" s="202"/>
      <c r="F399" s="200"/>
      <c r="H399" s="203"/>
      <c r="I399" s="186" t="str">
        <f t="shared" si="37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38"/>
        <v/>
      </c>
      <c r="L399" s="189" t="str">
        <f t="shared" si="39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40"/>
        <v/>
      </c>
      <c r="O399" s="206" t="str">
        <f t="shared" si="36"/>
        <v/>
      </c>
      <c r="P399" s="207" t="str">
        <f t="shared" si="41"/>
        <v/>
      </c>
    </row>
    <row r="400" spans="3:16">
      <c r="C400" s="200"/>
      <c r="D400" s="201"/>
      <c r="E400" s="202"/>
      <c r="F400" s="200"/>
      <c r="H400" s="203"/>
      <c r="I400" s="186" t="str">
        <f t="shared" si="37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38"/>
        <v/>
      </c>
      <c r="L400" s="189" t="str">
        <f t="shared" si="39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40"/>
        <v/>
      </c>
      <c r="O400" s="206" t="str">
        <f t="shared" si="36"/>
        <v/>
      </c>
      <c r="P400" s="207" t="str">
        <f t="shared" si="41"/>
        <v/>
      </c>
    </row>
  </sheetData>
  <mergeCells count="1">
    <mergeCell ref="A1:E2"/>
  </mergeCells>
  <phoneticPr fontId="2"/>
  <conditionalFormatting sqref="P6:P400">
    <cfRule type="cellIs" dxfId="2" priority="1" operator="greaterThan">
      <formula>$P$3</formula>
    </cfRule>
  </conditionalFormatting>
  <dataValidations count="2">
    <dataValidation type="list" allowBlank="1" showInputMessage="1" showErrorMessage="1" sqref="A6:A400" xr:uid="{685041A0-11FD-49D5-A75A-7B733963EC01}">
      <formula1>$M$3:$O$3</formula1>
    </dataValidation>
    <dataValidation type="list" allowBlank="1" showInputMessage="1" showErrorMessage="1" sqref="H6:H400 E6:E400" xr:uid="{01A837CC-70F0-4000-B41F-30C7FCD9494A}">
      <formula1>"JPY,USD,EUR,CNY,HKD"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3F11C-0DA2-45F9-98DD-53D1C183FF7E}">
  <sheetPr codeName="Sheet17">
    <tabColor theme="6" tint="0.79998168889431442"/>
  </sheetPr>
  <dimension ref="A1:S59"/>
  <sheetViews>
    <sheetView showGridLines="0" topLeftCell="A3" zoomScale="60" zoomScaleNormal="60" workbookViewId="0">
      <selection activeCell="R46" sqref="R46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140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 ht="18.75" customHeight="1">
      <c r="A7" s="527" t="s">
        <v>75</v>
      </c>
      <c r="B7" s="532" t="s">
        <v>375</v>
      </c>
      <c r="C7" s="450" t="s">
        <v>15</v>
      </c>
      <c r="D7" s="112" t="s">
        <v>13</v>
      </c>
      <c r="E7" s="113">
        <v>2130</v>
      </c>
      <c r="F7" s="114"/>
      <c r="G7" s="114"/>
      <c r="H7" s="114"/>
      <c r="I7" s="114"/>
      <c r="J7" s="115"/>
      <c r="K7" s="116">
        <v>2200</v>
      </c>
      <c r="L7" s="114"/>
      <c r="M7" s="114"/>
      <c r="N7" s="114"/>
      <c r="O7" s="114"/>
      <c r="P7" s="117">
        <v>2500</v>
      </c>
      <c r="Q7" s="118">
        <f>SUM(E7:P7)</f>
        <v>6830</v>
      </c>
      <c r="R7" s="482"/>
      <c r="S7" s="68" t="str">
        <f>IFERROR(Q7/R7,"")</f>
        <v/>
      </c>
    </row>
    <row r="8" spans="1:19" ht="19.5" thickBot="1">
      <c r="A8" s="464"/>
      <c r="B8" s="466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2129.89</v>
      </c>
      <c r="F8" s="136">
        <f ca="1">SUMIFS(INDIRECT($B$1&amp;"INV!$K:$K"),INDIRECT($B$1&amp;"INV!$A:$A"),$A7,INDIRECT($B$1&amp;"INV!$G:$G"),"&gt;="&amp;F$6,INDIRECT($B$1&amp;"INV!$G:$G"),"&lt;"&amp;EOMONTH(F$6,0)+1)/1000</f>
        <v>0</v>
      </c>
      <c r="G8" s="136">
        <f ca="1">SUMIFS(INDIRECT($B$1&amp;"INV!$K:$K"),INDIRECT($B$1&amp;"INV!$A:$A"),$A7,INDIRECT($B$1&amp;"INV!$G:$G"),"&gt;="&amp;G$6,INDIRECT($B$1&amp;"INV!$G:$G"),"&lt;"&amp;EOMONTH(G$6,0)+1)/1000</f>
        <v>2265.84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6">
        <f t="shared" ca="1" si="0"/>
        <v>0</v>
      </c>
      <c r="J8" s="139">
        <f t="shared" ca="1" si="0"/>
        <v>0</v>
      </c>
      <c r="K8" s="135">
        <f t="shared" ca="1" si="0"/>
        <v>0</v>
      </c>
      <c r="L8" s="136">
        <f t="shared" ca="1" si="0"/>
        <v>2129.89</v>
      </c>
      <c r="M8" s="136">
        <f t="shared" ca="1" si="0"/>
        <v>0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6525.619999999999</v>
      </c>
      <c r="R8" s="483"/>
      <c r="S8" s="69" t="str">
        <f ca="1">IFERROR(Q8/R7,"")</f>
        <v/>
      </c>
    </row>
    <row r="9" spans="1:19">
      <c r="A9" s="464"/>
      <c r="B9" s="466"/>
      <c r="C9" s="450"/>
      <c r="D9" s="21" t="s">
        <v>17</v>
      </c>
      <c r="E9" s="11">
        <f ca="1">E8/E7</f>
        <v>0.99994835680751171</v>
      </c>
      <c r="F9" s="4" t="e">
        <f t="shared" ref="F9:Q9" ca="1" si="1">F8/F7</f>
        <v>#DIV/0!</v>
      </c>
      <c r="G9" s="4" t="e">
        <f t="shared" ca="1" si="1"/>
        <v>#DIV/0!</v>
      </c>
      <c r="H9" s="4" t="e">
        <f t="shared" ca="1" si="1"/>
        <v>#DIV/0!</v>
      </c>
      <c r="I9" s="4" t="e">
        <f t="shared" ca="1" si="1"/>
        <v>#DIV/0!</v>
      </c>
      <c r="J9" s="6" t="e">
        <f t="shared" ca="1" si="1"/>
        <v>#DIV/0!</v>
      </c>
      <c r="K9" s="8">
        <f t="shared" ca="1" si="1"/>
        <v>0</v>
      </c>
      <c r="L9" s="4" t="e">
        <f t="shared" ca="1" si="1"/>
        <v>#DIV/0!</v>
      </c>
      <c r="M9" s="4" t="e">
        <f t="shared" ca="1" si="1"/>
        <v>#DIV/0!</v>
      </c>
      <c r="N9" s="4" t="e">
        <f t="shared" ca="1" si="1"/>
        <v>#DIV/0!</v>
      </c>
      <c r="O9" s="4" t="e">
        <f t="shared" ca="1" si="1"/>
        <v>#DIV/0!</v>
      </c>
      <c r="P9" s="16">
        <f t="shared" ca="1" si="1"/>
        <v>0</v>
      </c>
      <c r="Q9" s="26">
        <f t="shared" ca="1" si="1"/>
        <v>0.95543484626647135</v>
      </c>
    </row>
    <row r="10" spans="1:19">
      <c r="A10" s="464"/>
      <c r="B10" s="466"/>
      <c r="C10" s="451"/>
      <c r="D10" s="22" t="s">
        <v>18</v>
      </c>
      <c r="E10" s="12">
        <f ca="1">SUM($E8:E8)/SUM($E7:E7)</f>
        <v>0.99994835680751171</v>
      </c>
      <c r="F10" s="5">
        <f ca="1">SUM($E8:F8)/SUM($E7:F7)</f>
        <v>0.99994835680751171</v>
      </c>
      <c r="G10" s="5">
        <f ca="1">SUM($E8:G8)/SUM($E7:G7)</f>
        <v>2.0637230046948356</v>
      </c>
      <c r="H10" s="5">
        <f ca="1">SUM($E8:H8)/SUM($E7:H7)</f>
        <v>2.0637230046948356</v>
      </c>
      <c r="I10" s="5">
        <f ca="1">SUM($E8:I8)/SUM($E7:I7)</f>
        <v>2.0637230046948356</v>
      </c>
      <c r="J10" s="13">
        <f ca="1">SUM($E8:J8)/SUM($E7:J7)</f>
        <v>2.0637230046948356</v>
      </c>
      <c r="K10" s="9">
        <f ca="1">SUM($E8:K8)/SUM($E7:K7)</f>
        <v>1.0151801385681292</v>
      </c>
      <c r="L10" s="5">
        <f ca="1">SUM($E8:L8)/SUM($E7:L7)</f>
        <v>1.5070715935334871</v>
      </c>
      <c r="M10" s="5">
        <f ca="1">SUM($E8:M8)/SUM($E7:M7)</f>
        <v>1.5070715935334871</v>
      </c>
      <c r="N10" s="5">
        <f ca="1">SUM($E8:N8)/SUM($E7:N7)</f>
        <v>1.5070715935334871</v>
      </c>
      <c r="O10" s="5">
        <f ca="1">SUM($E8:O8)/SUM($E7:O7)</f>
        <v>1.5070715935334871</v>
      </c>
      <c r="P10" s="17">
        <f ca="1">SUM($E8:P8)/SUM($E7:P7)</f>
        <v>0.95543484626647135</v>
      </c>
      <c r="Q10" s="27" t="s">
        <v>22</v>
      </c>
      <c r="R10" s="59"/>
      <c r="S10"/>
    </row>
    <row r="11" spans="1:19">
      <c r="A11" s="464"/>
      <c r="B11" s="466"/>
      <c r="C11" s="469" t="s">
        <v>147</v>
      </c>
      <c r="D11" s="119" t="s">
        <v>13</v>
      </c>
      <c r="E11" s="120">
        <v>2020</v>
      </c>
      <c r="F11" s="121"/>
      <c r="G11" s="121"/>
      <c r="H11" s="121"/>
      <c r="I11" s="121"/>
      <c r="J11" s="122"/>
      <c r="K11" s="123">
        <v>2080</v>
      </c>
      <c r="L11" s="121"/>
      <c r="M11" s="121"/>
      <c r="N11" s="121"/>
      <c r="O11" s="121"/>
      <c r="P11" s="124">
        <v>2350</v>
      </c>
      <c r="Q11" s="125">
        <f>SUM(E11:P11)</f>
        <v>6450</v>
      </c>
      <c r="R11" s="482"/>
      <c r="S11" s="68" t="str">
        <f>IFERROR(Q11/R11,"")</f>
        <v/>
      </c>
    </row>
    <row r="12" spans="1:19">
      <c r="A12" s="464"/>
      <c r="B12" s="466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2021.4259999999999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2">
        <f t="shared" ca="1" si="2"/>
        <v>2148.5949999999998</v>
      </c>
      <c r="H12" s="142">
        <f t="shared" ca="1" si="2"/>
        <v>0</v>
      </c>
      <c r="I12" s="142">
        <f t="shared" ca="1" si="2"/>
        <v>0</v>
      </c>
      <c r="J12" s="145">
        <f t="shared" ca="1" si="2"/>
        <v>0</v>
      </c>
      <c r="K12" s="147">
        <f t="shared" ca="1" si="2"/>
        <v>0</v>
      </c>
      <c r="L12" s="142">
        <f t="shared" ca="1" si="2"/>
        <v>2019.35</v>
      </c>
      <c r="M12" s="142">
        <f t="shared" ca="1" si="2"/>
        <v>0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6189.3709999999992</v>
      </c>
      <c r="R12" s="488"/>
      <c r="S12" s="70" t="str">
        <f ca="1">IFERROR(Q12/R11,"")</f>
        <v/>
      </c>
    </row>
    <row r="13" spans="1:19">
      <c r="A13" s="464"/>
      <c r="B13" s="466"/>
      <c r="C13" s="452" t="s">
        <v>16</v>
      </c>
      <c r="D13" s="119" t="s">
        <v>13</v>
      </c>
      <c r="E13" s="120">
        <f>E7-E11</f>
        <v>110</v>
      </c>
      <c r="F13" s="121">
        <f t="shared" ref="F13:P14" si="3">F7-F11</f>
        <v>0</v>
      </c>
      <c r="G13" s="121">
        <f t="shared" si="3"/>
        <v>0</v>
      </c>
      <c r="H13" s="121">
        <f t="shared" si="3"/>
        <v>0</v>
      </c>
      <c r="I13" s="121">
        <f t="shared" si="3"/>
        <v>0</v>
      </c>
      <c r="J13" s="122">
        <f t="shared" si="3"/>
        <v>0</v>
      </c>
      <c r="K13" s="123">
        <f t="shared" si="3"/>
        <v>120</v>
      </c>
      <c r="L13" s="121">
        <f t="shared" si="3"/>
        <v>0</v>
      </c>
      <c r="M13" s="121">
        <f t="shared" si="3"/>
        <v>0</v>
      </c>
      <c r="N13" s="121">
        <f t="shared" si="3"/>
        <v>0</v>
      </c>
      <c r="O13" s="121">
        <f t="shared" si="3"/>
        <v>0</v>
      </c>
      <c r="P13" s="124">
        <f t="shared" si="3"/>
        <v>150</v>
      </c>
      <c r="Q13" s="125">
        <f>SUM(E13:P13)</f>
        <v>380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6"/>
      <c r="C14" s="453"/>
      <c r="D14" s="134" t="s">
        <v>14</v>
      </c>
      <c r="E14" s="135">
        <f ca="1">E8-E12</f>
        <v>108.46399999999994</v>
      </c>
      <c r="F14" s="136">
        <f t="shared" ca="1" si="3"/>
        <v>0</v>
      </c>
      <c r="G14" s="136">
        <f t="shared" ca="1" si="3"/>
        <v>117.24500000000035</v>
      </c>
      <c r="H14" s="136">
        <f t="shared" ca="1" si="3"/>
        <v>0</v>
      </c>
      <c r="I14" s="136">
        <f t="shared" ca="1" si="3"/>
        <v>0</v>
      </c>
      <c r="J14" s="139">
        <f t="shared" ca="1" si="3"/>
        <v>0</v>
      </c>
      <c r="K14" s="135">
        <f t="shared" ca="1" si="3"/>
        <v>0</v>
      </c>
      <c r="L14" s="136">
        <f t="shared" ca="1" si="3"/>
        <v>110.53999999999996</v>
      </c>
      <c r="M14" s="136">
        <f t="shared" ca="1" si="3"/>
        <v>0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336.24900000000025</v>
      </c>
      <c r="R14" s="483"/>
      <c r="S14" s="69" t="str">
        <f ca="1">IFERROR(Q14/R13,"")</f>
        <v/>
      </c>
    </row>
    <row r="15" spans="1:19">
      <c r="A15" s="464"/>
      <c r="B15" s="466"/>
      <c r="C15" s="453"/>
      <c r="D15" s="21" t="s">
        <v>17</v>
      </c>
      <c r="E15" s="11">
        <f ca="1">E14/E13</f>
        <v>0.98603636363636316</v>
      </c>
      <c r="F15" s="4" t="e">
        <f t="shared" ref="F15:Q15" ca="1" si="4">F14/F13</f>
        <v>#DIV/0!</v>
      </c>
      <c r="G15" s="4" t="e">
        <f t="shared" ca="1" si="4"/>
        <v>#DIV/0!</v>
      </c>
      <c r="H15" s="4" t="e">
        <f t="shared" ca="1" si="4"/>
        <v>#DIV/0!</v>
      </c>
      <c r="I15" s="4" t="e">
        <f t="shared" ca="1" si="4"/>
        <v>#DIV/0!</v>
      </c>
      <c r="J15" s="6" t="e">
        <f t="shared" ca="1" si="4"/>
        <v>#DIV/0!</v>
      </c>
      <c r="K15" s="8">
        <f t="shared" ca="1" si="4"/>
        <v>0</v>
      </c>
      <c r="L15" s="4" t="e">
        <f t="shared" ca="1" si="4"/>
        <v>#DIV/0!</v>
      </c>
      <c r="M15" s="4" t="e">
        <f t="shared" ca="1" si="4"/>
        <v>#DIV/0!</v>
      </c>
      <c r="N15" s="4" t="e">
        <f t="shared" ca="1" si="4"/>
        <v>#DIV/0!</v>
      </c>
      <c r="O15" s="4" t="e">
        <f t="shared" ca="1" si="4"/>
        <v>#DIV/0!</v>
      </c>
      <c r="P15" s="16">
        <f t="shared" ca="1" si="4"/>
        <v>0</v>
      </c>
      <c r="Q15" s="26">
        <f t="shared" ca="1" si="4"/>
        <v>0.88486578947368488</v>
      </c>
    </row>
    <row r="16" spans="1:19" ht="19.5" thickBot="1">
      <c r="A16" s="465"/>
      <c r="B16" s="533"/>
      <c r="C16" s="454"/>
      <c r="D16" s="23" t="s">
        <v>18</v>
      </c>
      <c r="E16" s="14">
        <f ca="1">SUM($E14:E14)/SUM($E13:E13)</f>
        <v>0.98603636363636316</v>
      </c>
      <c r="F16" s="7">
        <f ca="1">SUM($E14:F14)/SUM($E13:F13)</f>
        <v>0.98603636363636316</v>
      </c>
      <c r="G16" s="7">
        <f ca="1">SUM($E14:G14)/SUM($E13:G13)</f>
        <v>2.0519000000000025</v>
      </c>
      <c r="H16" s="7">
        <f ca="1">SUM($E14:H14)/SUM($E13:H13)</f>
        <v>2.0519000000000025</v>
      </c>
      <c r="I16" s="7">
        <f ca="1">SUM($E14:I14)/SUM($E13:I13)</f>
        <v>2.0519000000000025</v>
      </c>
      <c r="J16" s="15">
        <f ca="1">SUM($E14:J14)/SUM($E13:J13)</f>
        <v>2.0519000000000025</v>
      </c>
      <c r="K16" s="10">
        <f ca="1">SUM($E14:K14)/SUM($E13:K13)</f>
        <v>0.98134347826087076</v>
      </c>
      <c r="L16" s="7">
        <f ca="1">SUM($E14:L14)/SUM($E13:L13)</f>
        <v>1.4619521739130446</v>
      </c>
      <c r="M16" s="7">
        <f ca="1">SUM($E14:M14)/SUM($E13:M13)</f>
        <v>1.4619521739130446</v>
      </c>
      <c r="N16" s="7">
        <f ca="1">SUM($E14:N14)/SUM($E13:N13)</f>
        <v>1.4619521739130446</v>
      </c>
      <c r="O16" s="7">
        <f ca="1">SUM($E14:O14)/SUM($E13:O13)</f>
        <v>1.4619521739130446</v>
      </c>
      <c r="P16" s="18">
        <f ca="1">SUM($E14:P14)/SUM($E13:P13)</f>
        <v>0.88486578947368488</v>
      </c>
      <c r="Q16" s="28" t="s">
        <v>22</v>
      </c>
      <c r="R16" s="59"/>
      <c r="S16"/>
    </row>
    <row r="17" spans="1:19" ht="18.75" customHeight="1">
      <c r="A17" s="528" t="s">
        <v>162</v>
      </c>
      <c r="B17" s="532" t="s">
        <v>158</v>
      </c>
      <c r="C17" s="450" t="s">
        <v>15</v>
      </c>
      <c r="D17" s="112" t="s">
        <v>13</v>
      </c>
      <c r="E17" s="113">
        <v>833.33333333333337</v>
      </c>
      <c r="F17" s="114">
        <v>833.33333333333337</v>
      </c>
      <c r="G17" s="114">
        <v>833.33333333333337</v>
      </c>
      <c r="H17" s="114">
        <v>833.33333333333337</v>
      </c>
      <c r="I17" s="114">
        <v>833.33333333333337</v>
      </c>
      <c r="J17" s="115">
        <v>833.33333333333337</v>
      </c>
      <c r="K17" s="116">
        <v>833.33333333333337</v>
      </c>
      <c r="L17" s="114">
        <v>833.33333333333337</v>
      </c>
      <c r="M17" s="114">
        <v>833.33333333333337</v>
      </c>
      <c r="N17" s="114">
        <v>833.33333333333337</v>
      </c>
      <c r="O17" s="114">
        <v>833.33333333333337</v>
      </c>
      <c r="P17" s="117">
        <v>833.33333333333337</v>
      </c>
      <c r="Q17" s="118">
        <f>SUM(E17:P17)</f>
        <v>10000</v>
      </c>
      <c r="R17" s="482"/>
      <c r="S17" s="68" t="str">
        <f>IFERROR(Q17/R17,"")</f>
        <v/>
      </c>
    </row>
    <row r="18" spans="1:19" ht="19.5" thickBot="1">
      <c r="A18" s="463"/>
      <c r="B18" s="466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19.827184000000003</v>
      </c>
      <c r="F18" s="136">
        <f ca="1">SUMIFS(INDIRECT($B$1&amp;"INV!$K:$K"),INDIRECT($B$1&amp;"INV!$A:$A"),$A17,INDIRECT($B$1&amp;"INV!$G:$G"),"&gt;="&amp;F$6,INDIRECT($B$1&amp;"INV!$G:$G"),"&lt;"&amp;EOMONTH(F$6,0)+1)/1000</f>
        <v>0</v>
      </c>
      <c r="G18" s="136">
        <f ca="1">SUMIFS(INDIRECT($B$1&amp;"INV!$K:$K"),INDIRECT($B$1&amp;"INV!$A:$A"),$A17,INDIRECT($B$1&amp;"INV!$G:$G"),"&gt;="&amp;G$6,INDIRECT($B$1&amp;"INV!$G:$G"),"&lt;"&amp;EOMONTH(G$6,0)+1)/1000</f>
        <v>9.5172999999999988</v>
      </c>
      <c r="H18" s="136">
        <f t="shared" ref="H18" ca="1" si="5">SUMIFS(INDIRECT($B$1&amp;"INV!$K:$K"),INDIRECT($B$1&amp;"INV!$A:$A"),$A17,INDIRECT($B$1&amp;"INV!$G:$G"),"&gt;="&amp;H$6,INDIRECT($B$1&amp;"INV!$G:$G"),"&lt;"&amp;EOMONTH(H$6,0)+1)/1000</f>
        <v>0</v>
      </c>
      <c r="I18" s="136">
        <f t="shared" ref="I18" ca="1" si="6">SUMIFS(INDIRECT($B$1&amp;"INV!$K:$K"),INDIRECT($B$1&amp;"INV!$A:$A"),$A17,INDIRECT($B$1&amp;"INV!$G:$G"),"&gt;="&amp;I$6,INDIRECT($B$1&amp;"INV!$G:$G"),"&lt;"&amp;EOMONTH(I$6,0)+1)/1000</f>
        <v>0</v>
      </c>
      <c r="J18" s="139">
        <f t="shared" ref="J18" ca="1" si="7">SUMIFS(INDIRECT($B$1&amp;"INV!$K:$K"),INDIRECT($B$1&amp;"INV!$A:$A"),$A17,INDIRECT($B$1&amp;"INV!$G:$G"),"&gt;="&amp;J$6,INDIRECT($B$1&amp;"INV!$G:$G"),"&lt;"&amp;EOMONTH(J$6,0)+1)/1000</f>
        <v>0</v>
      </c>
      <c r="K18" s="135">
        <f t="shared" ref="K18" ca="1" si="8">SUMIFS(INDIRECT($B$1&amp;"INV!$K:$K"),INDIRECT($B$1&amp;"INV!$A:$A"),$A17,INDIRECT($B$1&amp;"INV!$G:$G"),"&gt;="&amp;K$6,INDIRECT($B$1&amp;"INV!$G:$G"),"&lt;"&amp;EOMONTH(K$6,0)+1)/1000</f>
        <v>0</v>
      </c>
      <c r="L18" s="136">
        <f t="shared" ref="L18" ca="1" si="9">SUMIFS(INDIRECT($B$1&amp;"INV!$K:$K"),INDIRECT($B$1&amp;"INV!$A:$A"),$A17,INDIRECT($B$1&amp;"INV!$G:$G"),"&gt;="&amp;L$6,INDIRECT($B$1&amp;"INV!$G:$G"),"&lt;"&amp;EOMONTH(L$6,0)+1)/1000</f>
        <v>0</v>
      </c>
      <c r="M18" s="136">
        <f t="shared" ref="M18" ca="1" si="10">SUMIFS(INDIRECT($B$1&amp;"INV!$K:$K"),INDIRECT($B$1&amp;"INV!$A:$A"),$A17,INDIRECT($B$1&amp;"INV!$G:$G"),"&gt;="&amp;M$6,INDIRECT($B$1&amp;"INV!$G:$G"),"&lt;"&amp;EOMONTH(M$6,0)+1)/1000</f>
        <v>0</v>
      </c>
      <c r="N18" s="136">
        <f t="shared" ref="N18" ca="1" si="11">SUMIFS(INDIRECT($B$1&amp;"INV!$K:$K"),INDIRECT($B$1&amp;"INV!$A:$A"),$A17,INDIRECT($B$1&amp;"INV!$G:$G"),"&gt;="&amp;N$6,INDIRECT($B$1&amp;"INV!$G:$G"),"&lt;"&amp;EOMONTH(N$6,0)+1)/1000</f>
        <v>0</v>
      </c>
      <c r="O18" s="136">
        <f t="shared" ref="O18" ca="1" si="12">SUMIFS(INDIRECT($B$1&amp;"INV!$K:$K"),INDIRECT($B$1&amp;"INV!$A:$A"),$A17,INDIRECT($B$1&amp;"INV!$G:$G"),"&gt;="&amp;O$6,INDIRECT($B$1&amp;"INV!$G:$G"),"&lt;"&amp;EOMONTH(O$6,0)+1)/1000</f>
        <v>0</v>
      </c>
      <c r="P18" s="137">
        <f t="shared" ref="P18" ca="1" si="13">SUMIFS(INDIRECT($B$1&amp;"INV!$K:$K"),INDIRECT($B$1&amp;"INV!$A:$A"),$A17,INDIRECT($B$1&amp;"INV!$G:$G"),"&gt;="&amp;P$6,INDIRECT($B$1&amp;"INV!$G:$G"),"&lt;"&amp;EOMONTH(P$6,0)+1)/1000</f>
        <v>0</v>
      </c>
      <c r="Q18" s="140">
        <f ca="1">SUM(E18:P18)</f>
        <v>29.344484000000001</v>
      </c>
      <c r="R18" s="483"/>
      <c r="S18" s="69" t="str">
        <f ca="1">IFERROR(Q18/R17,"")</f>
        <v/>
      </c>
    </row>
    <row r="19" spans="1:19">
      <c r="A19" s="463"/>
      <c r="B19" s="466"/>
      <c r="C19" s="450"/>
      <c r="D19" s="21" t="s">
        <v>17</v>
      </c>
      <c r="E19" s="11">
        <f ca="1">E18/E17</f>
        <v>2.3792620800000001E-2</v>
      </c>
      <c r="F19" s="4">
        <f t="shared" ref="F19:Q19" ca="1" si="14">F18/F17</f>
        <v>0</v>
      </c>
      <c r="G19" s="4">
        <f t="shared" ca="1" si="14"/>
        <v>1.1420759999999999E-2</v>
      </c>
      <c r="H19" s="4">
        <f t="shared" ca="1" si="14"/>
        <v>0</v>
      </c>
      <c r="I19" s="4">
        <f t="shared" ca="1" si="14"/>
        <v>0</v>
      </c>
      <c r="J19" s="6">
        <f t="shared" ca="1" si="14"/>
        <v>0</v>
      </c>
      <c r="K19" s="8">
        <f t="shared" ca="1" si="14"/>
        <v>0</v>
      </c>
      <c r="L19" s="4">
        <f t="shared" ca="1" si="14"/>
        <v>0</v>
      </c>
      <c r="M19" s="4">
        <f t="shared" ca="1" si="14"/>
        <v>0</v>
      </c>
      <c r="N19" s="4">
        <f t="shared" ca="1" si="14"/>
        <v>0</v>
      </c>
      <c r="O19" s="4">
        <f t="shared" ca="1" si="14"/>
        <v>0</v>
      </c>
      <c r="P19" s="16">
        <f t="shared" ca="1" si="14"/>
        <v>0</v>
      </c>
      <c r="Q19" s="26">
        <f t="shared" ca="1" si="14"/>
        <v>2.9344484000000002E-3</v>
      </c>
      <c r="R19" s="59"/>
      <c r="S19"/>
    </row>
    <row r="20" spans="1:19">
      <c r="A20" s="463"/>
      <c r="B20" s="466"/>
      <c r="C20" s="451"/>
      <c r="D20" s="22" t="s">
        <v>18</v>
      </c>
      <c r="E20" s="12">
        <f ca="1">SUM($E18:E18)/SUM($E17:E17)</f>
        <v>2.3792620800000001E-2</v>
      </c>
      <c r="F20" s="5">
        <f ca="1">SUM($E18:F18)/SUM($E17:F17)</f>
        <v>1.18963104E-2</v>
      </c>
      <c r="G20" s="5">
        <f ca="1">SUM($E18:G18)/SUM($E17:G17)</f>
        <v>1.1737793600000001E-2</v>
      </c>
      <c r="H20" s="5">
        <f ca="1">SUM($E18:H18)/SUM($E17:H17)</f>
        <v>8.8033451999999998E-3</v>
      </c>
      <c r="I20" s="5">
        <f ca="1">SUM($E18:I18)/SUM($E17:I17)</f>
        <v>7.0426761599999997E-3</v>
      </c>
      <c r="J20" s="13">
        <f ca="1">SUM($E18:J18)/SUM($E17:J17)</f>
        <v>5.8688968000000005E-3</v>
      </c>
      <c r="K20" s="9">
        <f ca="1">SUM($E18:K18)/SUM($E17:K17)</f>
        <v>5.0304829714285723E-3</v>
      </c>
      <c r="L20" s="5">
        <f ca="1">SUM($E18:L18)/SUM($E17:L17)</f>
        <v>4.4016726000000008E-3</v>
      </c>
      <c r="M20" s="5">
        <f ca="1">SUM($E18:M18)/SUM($E17:M17)</f>
        <v>3.9125978666666675E-3</v>
      </c>
      <c r="N20" s="5">
        <f ca="1">SUM($E18:N18)/SUM($E17:N17)</f>
        <v>3.5213380800000007E-3</v>
      </c>
      <c r="O20" s="5">
        <f ca="1">SUM($E18:O18)/SUM($E17:O17)</f>
        <v>3.2012164363636368E-3</v>
      </c>
      <c r="P20" s="17">
        <f ca="1">SUM($E18:P18)/SUM($E17:P17)</f>
        <v>2.9344484000000002E-3</v>
      </c>
      <c r="Q20" s="27" t="s">
        <v>22</v>
      </c>
      <c r="R20" s="59"/>
      <c r="S20"/>
    </row>
    <row r="21" spans="1:19">
      <c r="A21" s="463"/>
      <c r="B21" s="466"/>
      <c r="C21" s="469" t="s">
        <v>147</v>
      </c>
      <c r="D21" s="119" t="s">
        <v>13</v>
      </c>
      <c r="E21" s="120">
        <v>733.33333333333337</v>
      </c>
      <c r="F21" s="121">
        <v>733.33333333333337</v>
      </c>
      <c r="G21" s="121">
        <v>733.33333333333337</v>
      </c>
      <c r="H21" s="121">
        <v>733.33333333333337</v>
      </c>
      <c r="I21" s="121">
        <v>733.33333333333337</v>
      </c>
      <c r="J21" s="122">
        <v>733.33333333333337</v>
      </c>
      <c r="K21" s="123">
        <v>733.33333333333337</v>
      </c>
      <c r="L21" s="121">
        <v>733.33333333333337</v>
      </c>
      <c r="M21" s="121">
        <v>733.33333333333337</v>
      </c>
      <c r="N21" s="121">
        <v>733.33333333333337</v>
      </c>
      <c r="O21" s="121">
        <v>733.33333333333337</v>
      </c>
      <c r="P21" s="124">
        <v>733.33333333333337</v>
      </c>
      <c r="Q21" s="125">
        <f>SUM(E21:P21)</f>
        <v>8799.9999999999982</v>
      </c>
      <c r="R21" s="482"/>
      <c r="S21" s="68" t="str">
        <f>IFERROR(Q21/R21,"")</f>
        <v/>
      </c>
    </row>
    <row r="22" spans="1:19">
      <c r="A22" s="463"/>
      <c r="B22" s="466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16</v>
      </c>
      <c r="F22" s="142">
        <f t="shared" ref="F22:P22" ca="1" si="15">SUMIFS(INDIRECT($B$1&amp;"INV!$N:$N"),INDIRECT($B$1&amp;"INV!$A:$A"),$A17,INDIRECT($B$1&amp;"INV!$G:$G"),"&gt;="&amp;F$6,INDIRECT($B$1&amp;"INV!$G:$G"),"&lt;"&amp;EOMONTH(F$6,0)+1)/1000</f>
        <v>0</v>
      </c>
      <c r="G22" s="142">
        <f t="shared" ca="1" si="15"/>
        <v>8.4471659999999993</v>
      </c>
      <c r="H22" s="142">
        <f t="shared" ca="1" si="15"/>
        <v>0</v>
      </c>
      <c r="I22" s="142">
        <f t="shared" ca="1" si="15"/>
        <v>0</v>
      </c>
      <c r="J22" s="145">
        <f t="shared" ca="1" si="15"/>
        <v>0</v>
      </c>
      <c r="K22" s="147">
        <f t="shared" ca="1" si="15"/>
        <v>0</v>
      </c>
      <c r="L22" s="142">
        <f t="shared" ca="1" si="15"/>
        <v>0</v>
      </c>
      <c r="M22" s="142">
        <f t="shared" ca="1" si="15"/>
        <v>0</v>
      </c>
      <c r="N22" s="142">
        <f t="shared" ca="1" si="15"/>
        <v>0</v>
      </c>
      <c r="O22" s="142">
        <f t="shared" ca="1" si="15"/>
        <v>0</v>
      </c>
      <c r="P22" s="143">
        <f t="shared" ca="1" si="15"/>
        <v>0</v>
      </c>
      <c r="Q22" s="146">
        <f ca="1">SUM(E22:P22)</f>
        <v>24.447165999999999</v>
      </c>
      <c r="R22" s="488"/>
      <c r="S22" s="70" t="str">
        <f ca="1">IFERROR(Q22/R21,"")</f>
        <v/>
      </c>
    </row>
    <row r="23" spans="1:19">
      <c r="A23" s="463"/>
      <c r="B23" s="466"/>
      <c r="C23" s="452" t="s">
        <v>16</v>
      </c>
      <c r="D23" s="119" t="s">
        <v>13</v>
      </c>
      <c r="E23" s="120">
        <f>E17-E21</f>
        <v>100</v>
      </c>
      <c r="F23" s="121">
        <f t="shared" ref="F23:P24" si="16">F17-F21</f>
        <v>100</v>
      </c>
      <c r="G23" s="121">
        <f t="shared" si="16"/>
        <v>100</v>
      </c>
      <c r="H23" s="121">
        <f t="shared" si="16"/>
        <v>100</v>
      </c>
      <c r="I23" s="121">
        <f t="shared" si="16"/>
        <v>100</v>
      </c>
      <c r="J23" s="122">
        <f t="shared" si="16"/>
        <v>100</v>
      </c>
      <c r="K23" s="123">
        <f t="shared" si="16"/>
        <v>100</v>
      </c>
      <c r="L23" s="121">
        <f t="shared" si="16"/>
        <v>100</v>
      </c>
      <c r="M23" s="121">
        <f t="shared" si="16"/>
        <v>100</v>
      </c>
      <c r="N23" s="121">
        <f t="shared" si="16"/>
        <v>100</v>
      </c>
      <c r="O23" s="121">
        <f t="shared" si="16"/>
        <v>100</v>
      </c>
      <c r="P23" s="124">
        <f t="shared" si="16"/>
        <v>100</v>
      </c>
      <c r="Q23" s="125">
        <f>SUM(E23:P23)</f>
        <v>1200</v>
      </c>
      <c r="R23" s="482">
        <f>R17-R21</f>
        <v>0</v>
      </c>
      <c r="S23" s="150" t="str">
        <f>IFERROR(Q23/R23,"")</f>
        <v/>
      </c>
    </row>
    <row r="24" spans="1:19" ht="19.5" thickBot="1">
      <c r="A24" s="463"/>
      <c r="B24" s="466"/>
      <c r="C24" s="453"/>
      <c r="D24" s="134" t="s">
        <v>14</v>
      </c>
      <c r="E24" s="135">
        <f ca="1">E18-E22</f>
        <v>3.8271840000000026</v>
      </c>
      <c r="F24" s="136">
        <f t="shared" ca="1" si="16"/>
        <v>0</v>
      </c>
      <c r="G24" s="136">
        <f t="shared" ca="1" si="16"/>
        <v>1.0701339999999995</v>
      </c>
      <c r="H24" s="136">
        <f t="shared" ca="1" si="16"/>
        <v>0</v>
      </c>
      <c r="I24" s="136">
        <f t="shared" ca="1" si="16"/>
        <v>0</v>
      </c>
      <c r="J24" s="139">
        <f t="shared" ca="1" si="16"/>
        <v>0</v>
      </c>
      <c r="K24" s="135">
        <f t="shared" ca="1" si="16"/>
        <v>0</v>
      </c>
      <c r="L24" s="136">
        <f t="shared" ca="1" si="16"/>
        <v>0</v>
      </c>
      <c r="M24" s="136">
        <f t="shared" ca="1" si="16"/>
        <v>0</v>
      </c>
      <c r="N24" s="136">
        <f t="shared" ca="1" si="16"/>
        <v>0</v>
      </c>
      <c r="O24" s="136">
        <f t="shared" ca="1" si="16"/>
        <v>0</v>
      </c>
      <c r="P24" s="137">
        <f t="shared" ca="1" si="16"/>
        <v>0</v>
      </c>
      <c r="Q24" s="140">
        <f ca="1">SUM(E24:P24)</f>
        <v>4.8973180000000021</v>
      </c>
      <c r="R24" s="483"/>
      <c r="S24" s="69" t="str">
        <f ca="1">IFERROR(Q24/R23,"")</f>
        <v/>
      </c>
    </row>
    <row r="25" spans="1:19">
      <c r="A25" s="463"/>
      <c r="B25" s="466"/>
      <c r="C25" s="453"/>
      <c r="D25" s="21" t="s">
        <v>17</v>
      </c>
      <c r="E25" s="11">
        <f ca="1">E24/E23</f>
        <v>3.8271840000000029E-2</v>
      </c>
      <c r="F25" s="4">
        <f t="shared" ref="F25:Q25" ca="1" si="17">F24/F23</f>
        <v>0</v>
      </c>
      <c r="G25" s="4">
        <f t="shared" ca="1" si="17"/>
        <v>1.0701339999999995E-2</v>
      </c>
      <c r="H25" s="4">
        <f t="shared" ca="1" si="17"/>
        <v>0</v>
      </c>
      <c r="I25" s="4">
        <f t="shared" ca="1" si="17"/>
        <v>0</v>
      </c>
      <c r="J25" s="6">
        <f t="shared" ca="1" si="17"/>
        <v>0</v>
      </c>
      <c r="K25" s="8">
        <f t="shared" ca="1" si="17"/>
        <v>0</v>
      </c>
      <c r="L25" s="4">
        <f t="shared" ca="1" si="17"/>
        <v>0</v>
      </c>
      <c r="M25" s="4">
        <f t="shared" ca="1" si="17"/>
        <v>0</v>
      </c>
      <c r="N25" s="4">
        <f t="shared" ca="1" si="17"/>
        <v>0</v>
      </c>
      <c r="O25" s="4">
        <f t="shared" ca="1" si="17"/>
        <v>0</v>
      </c>
      <c r="P25" s="16">
        <f t="shared" ca="1" si="17"/>
        <v>0</v>
      </c>
      <c r="Q25" s="26">
        <f t="shared" ca="1" si="17"/>
        <v>4.0810983333333349E-3</v>
      </c>
    </row>
    <row r="26" spans="1:19" ht="19.5" thickBot="1">
      <c r="A26" s="529"/>
      <c r="B26" s="533"/>
      <c r="C26" s="454"/>
      <c r="D26" s="23" t="s">
        <v>18</v>
      </c>
      <c r="E26" s="14">
        <f ca="1">SUM($E24:E24)/SUM($E23:E23)</f>
        <v>3.8271840000000029E-2</v>
      </c>
      <c r="F26" s="7">
        <f ca="1">SUM($E24:F24)/SUM($E23:F23)</f>
        <v>1.9135920000000015E-2</v>
      </c>
      <c r="G26" s="7">
        <f ca="1">SUM($E24:G24)/SUM($E23:G23)</f>
        <v>1.632439333333334E-2</v>
      </c>
      <c r="H26" s="7">
        <f ca="1">SUM($E24:H24)/SUM($E23:H23)</f>
        <v>1.2243295000000005E-2</v>
      </c>
      <c r="I26" s="7">
        <f ca="1">SUM($E24:I24)/SUM($E23:I23)</f>
        <v>9.7946360000000041E-3</v>
      </c>
      <c r="J26" s="15">
        <f ca="1">SUM($E24:J24)/SUM($E23:J23)</f>
        <v>8.1621966666666698E-3</v>
      </c>
      <c r="K26" s="10">
        <f ca="1">SUM($E24:K24)/SUM($E23:K23)</f>
        <v>6.9961685714285743E-3</v>
      </c>
      <c r="L26" s="7">
        <f ca="1">SUM($E24:L24)/SUM($E23:L23)</f>
        <v>6.1216475000000024E-3</v>
      </c>
      <c r="M26" s="7">
        <f ca="1">SUM($E24:M24)/SUM($E23:M23)</f>
        <v>5.4414644444444465E-3</v>
      </c>
      <c r="N26" s="7">
        <f ca="1">SUM($E24:N24)/SUM($E23:N23)</f>
        <v>4.8973180000000021E-3</v>
      </c>
      <c r="O26" s="7">
        <f ca="1">SUM($E24:O24)/SUM($E23:O23)</f>
        <v>4.4521072727272742E-3</v>
      </c>
      <c r="P26" s="18">
        <f ca="1">SUM($E24:P24)/SUM($E23:P23)</f>
        <v>4.0810983333333349E-3</v>
      </c>
      <c r="Q26" s="28" t="s">
        <v>22</v>
      </c>
      <c r="R26" s="59"/>
      <c r="S26"/>
    </row>
    <row r="27" spans="1:19">
      <c r="A27" s="527" t="s">
        <v>376</v>
      </c>
      <c r="B27" s="532" t="s">
        <v>377</v>
      </c>
      <c r="C27" s="450" t="s">
        <v>15</v>
      </c>
      <c r="D27" s="112" t="s">
        <v>13</v>
      </c>
      <c r="E27" s="113">
        <v>0</v>
      </c>
      <c r="F27" s="114">
        <v>0</v>
      </c>
      <c r="G27" s="114">
        <v>0</v>
      </c>
      <c r="H27" s="114">
        <v>2000</v>
      </c>
      <c r="I27" s="114">
        <v>0</v>
      </c>
      <c r="J27" s="115">
        <v>2000</v>
      </c>
      <c r="K27" s="116">
        <v>0</v>
      </c>
      <c r="L27" s="114">
        <v>2000</v>
      </c>
      <c r="M27" s="114">
        <v>0</v>
      </c>
      <c r="N27" s="114">
        <v>2000</v>
      </c>
      <c r="O27" s="114">
        <v>0</v>
      </c>
      <c r="P27" s="117">
        <v>2000</v>
      </c>
      <c r="Q27" s="118">
        <f>SUM(E27:P27)</f>
        <v>10000</v>
      </c>
      <c r="R27" s="482"/>
      <c r="S27" s="68" t="str">
        <f>IFERROR(Q27/R27,"")</f>
        <v/>
      </c>
    </row>
    <row r="28" spans="1:19" ht="19.5" thickBot="1">
      <c r="A28" s="464"/>
      <c r="B28" s="466"/>
      <c r="C28" s="450"/>
      <c r="D28" s="134" t="s">
        <v>14</v>
      </c>
      <c r="E28" s="135"/>
      <c r="F28" s="136"/>
      <c r="G28" s="136"/>
      <c r="H28" s="136"/>
      <c r="I28" s="136"/>
      <c r="J28" s="137"/>
      <c r="K28" s="138"/>
      <c r="L28" s="136"/>
      <c r="M28" s="136"/>
      <c r="N28" s="136"/>
      <c r="O28" s="136"/>
      <c r="P28" s="139"/>
      <c r="Q28" s="140">
        <f>SUM(E28:P28)</f>
        <v>0</v>
      </c>
      <c r="R28" s="483"/>
      <c r="S28" s="69" t="str">
        <f>IFERROR(Q28/R27,"")</f>
        <v/>
      </c>
    </row>
    <row r="29" spans="1:19">
      <c r="A29" s="464"/>
      <c r="B29" s="466"/>
      <c r="C29" s="450"/>
      <c r="D29" s="21" t="s">
        <v>17</v>
      </c>
      <c r="E29" s="11" t="e">
        <f>E28/E27</f>
        <v>#DIV/0!</v>
      </c>
      <c r="F29" s="4" t="e">
        <f t="shared" ref="F29:P29" si="18">F28/F27</f>
        <v>#DIV/0!</v>
      </c>
      <c r="G29" s="4" t="e">
        <f t="shared" si="18"/>
        <v>#DIV/0!</v>
      </c>
      <c r="H29" s="4">
        <f t="shared" si="18"/>
        <v>0</v>
      </c>
      <c r="I29" s="4" t="e">
        <f t="shared" si="18"/>
        <v>#DIV/0!</v>
      </c>
      <c r="J29" s="6">
        <f t="shared" si="18"/>
        <v>0</v>
      </c>
      <c r="K29" s="8" t="e">
        <f t="shared" si="18"/>
        <v>#DIV/0!</v>
      </c>
      <c r="L29" s="4">
        <f t="shared" si="18"/>
        <v>0</v>
      </c>
      <c r="M29" s="4" t="e">
        <f t="shared" si="18"/>
        <v>#DIV/0!</v>
      </c>
      <c r="N29" s="4">
        <f t="shared" si="18"/>
        <v>0</v>
      </c>
      <c r="O29" s="4" t="e">
        <f t="shared" si="18"/>
        <v>#DIV/0!</v>
      </c>
      <c r="P29" s="16">
        <f t="shared" si="18"/>
        <v>0</v>
      </c>
      <c r="Q29" s="26">
        <f t="shared" ref="Q29" si="19">Q28/Q27</f>
        <v>0</v>
      </c>
      <c r="R29" s="59"/>
      <c r="S29"/>
    </row>
    <row r="30" spans="1:19">
      <c r="A30" s="464"/>
      <c r="B30" s="466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>
        <f>SUM($E28:H28)/SUM($E27:H27)</f>
        <v>0</v>
      </c>
      <c r="I30" s="5">
        <f>SUM($E28:I28)/SUM($E27:I27)</f>
        <v>0</v>
      </c>
      <c r="J30" s="13">
        <f>SUM($E28:J28)/SUM($E27:J27)</f>
        <v>0</v>
      </c>
      <c r="K30" s="9">
        <f>SUM($E28:K28)/SUM($E27:K27)</f>
        <v>0</v>
      </c>
      <c r="L30" s="5">
        <f>SUM($E28:L28)/SUM($E27:L27)</f>
        <v>0</v>
      </c>
      <c r="M30" s="5">
        <f>SUM($E28:M28)/SUM($E27:M27)</f>
        <v>0</v>
      </c>
      <c r="N30" s="5">
        <f>SUM($E28:N28)/SUM($E27:N27)</f>
        <v>0</v>
      </c>
      <c r="O30" s="5">
        <f>SUM($E28:O28)/SUM($E27:O27)</f>
        <v>0</v>
      </c>
      <c r="P30" s="17">
        <f>SUM($E28:P28)/SUM($E27:P27)</f>
        <v>0</v>
      </c>
      <c r="Q30" s="27" t="s">
        <v>22</v>
      </c>
      <c r="R30" s="59"/>
      <c r="S30"/>
    </row>
    <row r="31" spans="1:19">
      <c r="A31" s="464"/>
      <c r="B31" s="466"/>
      <c r="C31" s="469" t="s">
        <v>147</v>
      </c>
      <c r="D31" s="119" t="s">
        <v>13</v>
      </c>
      <c r="E31" s="120">
        <v>0</v>
      </c>
      <c r="F31" s="121">
        <v>0</v>
      </c>
      <c r="G31" s="121">
        <v>0</v>
      </c>
      <c r="H31" s="121">
        <v>1900</v>
      </c>
      <c r="I31" s="121">
        <v>0</v>
      </c>
      <c r="J31" s="122">
        <v>1900</v>
      </c>
      <c r="K31" s="123">
        <v>0</v>
      </c>
      <c r="L31" s="121">
        <v>1900</v>
      </c>
      <c r="M31" s="121">
        <v>0</v>
      </c>
      <c r="N31" s="121">
        <v>1900</v>
      </c>
      <c r="O31" s="121">
        <v>0</v>
      </c>
      <c r="P31" s="124">
        <v>1900</v>
      </c>
      <c r="Q31" s="125">
        <f>SUM(E31:P31)</f>
        <v>9500</v>
      </c>
      <c r="R31" s="482"/>
      <c r="S31" s="68" t="str">
        <f>IFERROR(Q31/R31,"")</f>
        <v/>
      </c>
    </row>
    <row r="32" spans="1:19">
      <c r="A32" s="464"/>
      <c r="B32" s="466"/>
      <c r="C32" s="470"/>
      <c r="D32" s="141" t="s">
        <v>14</v>
      </c>
      <c r="E32" s="147"/>
      <c r="F32" s="142"/>
      <c r="G32" s="142"/>
      <c r="H32" s="142"/>
      <c r="I32" s="142"/>
      <c r="J32" s="143"/>
      <c r="K32" s="144"/>
      <c r="L32" s="142"/>
      <c r="M32" s="142"/>
      <c r="N32" s="142"/>
      <c r="O32" s="142"/>
      <c r="P32" s="145"/>
      <c r="Q32" s="146">
        <f>SUM(E32:P32)</f>
        <v>0</v>
      </c>
      <c r="R32" s="488"/>
      <c r="S32" s="70" t="str">
        <f>IFERROR(Q32/R31,"")</f>
        <v/>
      </c>
    </row>
    <row r="33" spans="1:19">
      <c r="A33" s="464"/>
      <c r="B33" s="466"/>
      <c r="C33" s="452" t="s">
        <v>16</v>
      </c>
      <c r="D33" s="119" t="s">
        <v>13</v>
      </c>
      <c r="E33" s="120">
        <f>E27-E31</f>
        <v>0</v>
      </c>
      <c r="F33" s="121">
        <f t="shared" ref="F33:P33" si="20">F27-F31</f>
        <v>0</v>
      </c>
      <c r="G33" s="121">
        <f t="shared" si="20"/>
        <v>0</v>
      </c>
      <c r="H33" s="121">
        <f t="shared" si="20"/>
        <v>100</v>
      </c>
      <c r="I33" s="121">
        <f t="shared" si="20"/>
        <v>0</v>
      </c>
      <c r="J33" s="122">
        <f t="shared" si="20"/>
        <v>100</v>
      </c>
      <c r="K33" s="123">
        <f t="shared" si="20"/>
        <v>0</v>
      </c>
      <c r="L33" s="121">
        <f t="shared" si="20"/>
        <v>100</v>
      </c>
      <c r="M33" s="121">
        <f t="shared" si="20"/>
        <v>0</v>
      </c>
      <c r="N33" s="121">
        <f t="shared" si="20"/>
        <v>100</v>
      </c>
      <c r="O33" s="121">
        <f t="shared" si="20"/>
        <v>0</v>
      </c>
      <c r="P33" s="124">
        <f t="shared" si="20"/>
        <v>100</v>
      </c>
      <c r="Q33" s="125">
        <f>SUM(E33:P33)</f>
        <v>500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6"/>
      <c r="C34" s="453"/>
      <c r="D34" s="134" t="s">
        <v>14</v>
      </c>
      <c r="E34" s="135"/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 t="str">
        <f>IFERROR(Q34/R33,"")</f>
        <v/>
      </c>
    </row>
    <row r="35" spans="1:19">
      <c r="A35" s="464"/>
      <c r="B35" s="466"/>
      <c r="C35" s="453"/>
      <c r="D35" s="21" t="s">
        <v>17</v>
      </c>
      <c r="E35" s="11" t="e">
        <f>E34/E33</f>
        <v>#DIV/0!</v>
      </c>
      <c r="F35" s="4" t="e">
        <f t="shared" ref="F35:P35" si="21">F34/F33</f>
        <v>#DIV/0!</v>
      </c>
      <c r="G35" s="4" t="e">
        <f t="shared" si="21"/>
        <v>#DIV/0!</v>
      </c>
      <c r="H35" s="4">
        <f t="shared" si="21"/>
        <v>0</v>
      </c>
      <c r="I35" s="4" t="e">
        <f t="shared" si="21"/>
        <v>#DIV/0!</v>
      </c>
      <c r="J35" s="6">
        <f t="shared" si="21"/>
        <v>0</v>
      </c>
      <c r="K35" s="8" t="e">
        <f t="shared" si="21"/>
        <v>#DIV/0!</v>
      </c>
      <c r="L35" s="4">
        <f t="shared" si="21"/>
        <v>0</v>
      </c>
      <c r="M35" s="4" t="e">
        <f t="shared" si="21"/>
        <v>#DIV/0!</v>
      </c>
      <c r="N35" s="4">
        <f t="shared" si="21"/>
        <v>0</v>
      </c>
      <c r="O35" s="4" t="e">
        <f t="shared" si="21"/>
        <v>#DIV/0!</v>
      </c>
      <c r="P35" s="16">
        <f t="shared" si="21"/>
        <v>0</v>
      </c>
      <c r="Q35" s="26">
        <f t="shared" ref="Q35" si="22">Q34/Q33</f>
        <v>0</v>
      </c>
    </row>
    <row r="36" spans="1:19" ht="19.5" thickBot="1">
      <c r="A36" s="465"/>
      <c r="B36" s="533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>
        <f>SUM($E34:H34)/SUM($E33:H33)</f>
        <v>0</v>
      </c>
      <c r="I36" s="7">
        <f>SUM($E34:I34)/SUM($E33:I33)</f>
        <v>0</v>
      </c>
      <c r="J36" s="15">
        <f>SUM($E34:J34)/SUM($E33:J33)</f>
        <v>0</v>
      </c>
      <c r="K36" s="10">
        <f>SUM($E34:K34)/SUM($E33:K33)</f>
        <v>0</v>
      </c>
      <c r="L36" s="7">
        <f>SUM($E34:L34)/SUM($E33:L33)</f>
        <v>0</v>
      </c>
      <c r="M36" s="7">
        <f>SUM($E34:M34)/SUM($E33:M33)</f>
        <v>0</v>
      </c>
      <c r="N36" s="7">
        <f>SUM($E34:N34)/SUM($E33:N33)</f>
        <v>0</v>
      </c>
      <c r="O36" s="7">
        <f>SUM($E34:O34)/SUM($E33:O33)</f>
        <v>0</v>
      </c>
      <c r="P36" s="18">
        <f>SUM($E34:P34)/SUM($E33:P33)</f>
        <v>0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2963.3333333333335</v>
      </c>
      <c r="F37" s="128">
        <f t="shared" ref="F37:Q38" si="23">SUM(F7,F17,F27)</f>
        <v>833.33333333333337</v>
      </c>
      <c r="G37" s="129">
        <f t="shared" si="23"/>
        <v>833.33333333333337</v>
      </c>
      <c r="H37" s="128">
        <f t="shared" si="23"/>
        <v>2833.3333333333335</v>
      </c>
      <c r="I37" s="128">
        <f t="shared" si="23"/>
        <v>833.33333333333337</v>
      </c>
      <c r="J37" s="130">
        <f t="shared" si="23"/>
        <v>2833.3333333333335</v>
      </c>
      <c r="K37" s="127">
        <f t="shared" si="23"/>
        <v>3033.3333333333335</v>
      </c>
      <c r="L37" s="128">
        <f t="shared" si="23"/>
        <v>2833.3333333333335</v>
      </c>
      <c r="M37" s="129">
        <f t="shared" si="23"/>
        <v>833.33333333333337</v>
      </c>
      <c r="N37" s="128">
        <f t="shared" si="23"/>
        <v>2833.3333333333335</v>
      </c>
      <c r="O37" s="128">
        <f t="shared" si="23"/>
        <v>833.33333333333337</v>
      </c>
      <c r="P37" s="130">
        <f t="shared" si="23"/>
        <v>5333.3333333333339</v>
      </c>
      <c r="Q37" s="131">
        <f t="shared" si="23"/>
        <v>26830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ca="1">SUM(E8,E18,E28)</f>
        <v>2149.7171840000001</v>
      </c>
      <c r="F38" s="136">
        <f t="shared" ca="1" si="23"/>
        <v>0</v>
      </c>
      <c r="G38" s="139">
        <f t="shared" ca="1" si="23"/>
        <v>2275.3573000000001</v>
      </c>
      <c r="H38" s="136">
        <f t="shared" ca="1" si="23"/>
        <v>0</v>
      </c>
      <c r="I38" s="136">
        <f t="shared" ca="1" si="23"/>
        <v>0</v>
      </c>
      <c r="J38" s="137">
        <f t="shared" ca="1" si="23"/>
        <v>0</v>
      </c>
      <c r="K38" s="135">
        <f t="shared" ca="1" si="23"/>
        <v>0</v>
      </c>
      <c r="L38" s="136">
        <f t="shared" ca="1" si="23"/>
        <v>2129.89</v>
      </c>
      <c r="M38" s="139">
        <f t="shared" ca="1" si="23"/>
        <v>0</v>
      </c>
      <c r="N38" s="136">
        <f t="shared" ca="1" si="23"/>
        <v>0</v>
      </c>
      <c r="O38" s="136">
        <f t="shared" ca="1" si="23"/>
        <v>0</v>
      </c>
      <c r="P38" s="137">
        <f t="shared" ca="1" si="23"/>
        <v>0</v>
      </c>
      <c r="Q38" s="149">
        <f t="shared" ca="1" si="23"/>
        <v>6554.9644839999992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>
        <f ca="1">E38/E37</f>
        <v>0.72543886974128236</v>
      </c>
      <c r="F39" s="4">
        <f t="shared" ref="F39:Q39" ca="1" si="24">F38/F37</f>
        <v>0</v>
      </c>
      <c r="G39" s="16">
        <f t="shared" ca="1" si="24"/>
        <v>2.7304287600000001</v>
      </c>
      <c r="H39" s="4">
        <f t="shared" ca="1" si="24"/>
        <v>0</v>
      </c>
      <c r="I39" s="4">
        <f t="shared" ca="1" si="24"/>
        <v>0</v>
      </c>
      <c r="J39" s="6">
        <f t="shared" ca="1" si="24"/>
        <v>0</v>
      </c>
      <c r="K39" s="11">
        <f t="shared" ca="1" si="24"/>
        <v>0</v>
      </c>
      <c r="L39" s="4">
        <f t="shared" ca="1" si="24"/>
        <v>0.75172588235294113</v>
      </c>
      <c r="M39" s="16">
        <f t="shared" ca="1" si="24"/>
        <v>0</v>
      </c>
      <c r="N39" s="4">
        <f t="shared" ca="1" si="24"/>
        <v>0</v>
      </c>
      <c r="O39" s="4">
        <f t="shared" ca="1" si="24"/>
        <v>0</v>
      </c>
      <c r="P39" s="6">
        <f t="shared" ca="1" si="24"/>
        <v>0</v>
      </c>
      <c r="Q39" s="26">
        <f t="shared" ca="1" si="24"/>
        <v>0.24431474036526274</v>
      </c>
    </row>
    <row r="40" spans="1:19">
      <c r="A40" s="19"/>
      <c r="B40" s="447"/>
      <c r="C40" s="451"/>
      <c r="D40" s="25" t="s">
        <v>18</v>
      </c>
      <c r="E40" s="12">
        <f ca="1">SUM($E38:E38)/SUM($E37:E37)</f>
        <v>0.72543886974128236</v>
      </c>
      <c r="F40" s="5">
        <f ca="1">SUM($E38:F38)/SUM($E37:F37)</f>
        <v>0.56621172537313436</v>
      </c>
      <c r="G40" s="17">
        <f ca="1">SUM($E38:G38)/SUM($E37:G37)</f>
        <v>0.9557396293736502</v>
      </c>
      <c r="H40" s="5">
        <f ca="1">SUM($E38:H38)/SUM($E37:H37)</f>
        <v>0.59290859544439489</v>
      </c>
      <c r="I40" s="5">
        <f ca="1">SUM($E38:I38)/SUM($E37:I37)</f>
        <v>0.53335570317396541</v>
      </c>
      <c r="J40" s="13">
        <f ca="1">SUM($E38:J38)/SUM($E37:J37)</f>
        <v>0.39758081617250673</v>
      </c>
      <c r="K40" s="12">
        <f ca="1">SUM($E38:K38)/SUM($E37:K37)</f>
        <v>0.31243171221463872</v>
      </c>
      <c r="L40" s="5">
        <f ca="1">SUM($E38:L38)/SUM($E37:L37)</f>
        <v>0.38566176607177877</v>
      </c>
      <c r="M40" s="17">
        <f ca="1">SUM($E38:M38)/SUM($E37:M37)</f>
        <v>0.36763681906898488</v>
      </c>
      <c r="N40" s="5">
        <f ca="1">SUM($E38:N38)/SUM($E37:N37)</f>
        <v>0.31722686646233267</v>
      </c>
      <c r="O40" s="5">
        <f ca="1">SUM($E38:O38)/SUM($E37:O37)</f>
        <v>0.30492934489068074</v>
      </c>
      <c r="P40" s="13">
        <f ca="1">SUM($E38:P38)/SUM($E37:P37)</f>
        <v>0.24431474036526277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210</v>
      </c>
      <c r="F41" s="114">
        <f t="shared" ref="F41:Q42" si="25">SUM(F13,F23,F33)</f>
        <v>100</v>
      </c>
      <c r="G41" s="117">
        <f t="shared" si="25"/>
        <v>100</v>
      </c>
      <c r="H41" s="114">
        <f t="shared" si="25"/>
        <v>200</v>
      </c>
      <c r="I41" s="114">
        <f t="shared" si="25"/>
        <v>100</v>
      </c>
      <c r="J41" s="115">
        <f t="shared" si="25"/>
        <v>200</v>
      </c>
      <c r="K41" s="113">
        <f t="shared" si="25"/>
        <v>220</v>
      </c>
      <c r="L41" s="114">
        <f t="shared" si="25"/>
        <v>200</v>
      </c>
      <c r="M41" s="117">
        <f t="shared" si="25"/>
        <v>100</v>
      </c>
      <c r="N41" s="114">
        <f t="shared" si="25"/>
        <v>200</v>
      </c>
      <c r="O41" s="114">
        <f t="shared" si="25"/>
        <v>100</v>
      </c>
      <c r="P41" s="115">
        <f t="shared" si="25"/>
        <v>350</v>
      </c>
      <c r="Q41" s="133">
        <f t="shared" si="25"/>
        <v>2080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ca="1">SUM(E14,E24,E34)</f>
        <v>112.29118399999994</v>
      </c>
      <c r="F42" s="136">
        <f t="shared" ca="1" si="25"/>
        <v>0</v>
      </c>
      <c r="G42" s="139">
        <f t="shared" ca="1" si="25"/>
        <v>118.31513400000034</v>
      </c>
      <c r="H42" s="136">
        <f t="shared" ca="1" si="25"/>
        <v>0</v>
      </c>
      <c r="I42" s="136">
        <f t="shared" ca="1" si="25"/>
        <v>0</v>
      </c>
      <c r="J42" s="137">
        <f t="shared" ca="1" si="25"/>
        <v>0</v>
      </c>
      <c r="K42" s="135">
        <f t="shared" ca="1" si="25"/>
        <v>0</v>
      </c>
      <c r="L42" s="136">
        <f t="shared" ca="1" si="25"/>
        <v>110.53999999999996</v>
      </c>
      <c r="M42" s="139">
        <f t="shared" ca="1" si="25"/>
        <v>0</v>
      </c>
      <c r="N42" s="136">
        <f t="shared" ca="1" si="25"/>
        <v>0</v>
      </c>
      <c r="O42" s="136">
        <f t="shared" ca="1" si="25"/>
        <v>0</v>
      </c>
      <c r="P42" s="137">
        <f t="shared" ca="1" si="25"/>
        <v>0</v>
      </c>
      <c r="Q42" s="149">
        <f t="shared" ca="1" si="25"/>
        <v>341.14631800000024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>
        <f ca="1">E42/E41</f>
        <v>0.53471992380952349</v>
      </c>
      <c r="F43" s="4">
        <f t="shared" ref="F43:Q43" ca="1" si="26">F42/F41</f>
        <v>0</v>
      </c>
      <c r="G43" s="16">
        <f t="shared" ca="1" si="26"/>
        <v>1.1831513400000033</v>
      </c>
      <c r="H43" s="4">
        <f t="shared" ca="1" si="26"/>
        <v>0</v>
      </c>
      <c r="I43" s="4">
        <f t="shared" ca="1" si="26"/>
        <v>0</v>
      </c>
      <c r="J43" s="6">
        <f t="shared" ca="1" si="26"/>
        <v>0</v>
      </c>
      <c r="K43" s="11">
        <f t="shared" ca="1" si="26"/>
        <v>0</v>
      </c>
      <c r="L43" s="4">
        <f t="shared" ca="1" si="26"/>
        <v>0.55269999999999986</v>
      </c>
      <c r="M43" s="16">
        <f t="shared" ca="1" si="26"/>
        <v>0</v>
      </c>
      <c r="N43" s="4">
        <f t="shared" ca="1" si="26"/>
        <v>0</v>
      </c>
      <c r="O43" s="4">
        <f t="shared" ca="1" si="26"/>
        <v>0</v>
      </c>
      <c r="P43" s="6">
        <f t="shared" ca="1" si="26"/>
        <v>0</v>
      </c>
      <c r="Q43" s="26">
        <f t="shared" ca="1" si="26"/>
        <v>0.1640126528846155</v>
      </c>
    </row>
    <row r="44" spans="1:19" ht="19.5" thickBot="1">
      <c r="A44" s="19"/>
      <c r="B44" s="448"/>
      <c r="C44" s="454"/>
      <c r="D44" s="30" t="s">
        <v>18</v>
      </c>
      <c r="E44" s="14">
        <f ca="1">SUM($E42:E42)/SUM($E41:E41)</f>
        <v>0.53471992380952349</v>
      </c>
      <c r="F44" s="7">
        <f ca="1">SUM($E42:F42)/SUM($E41:F41)</f>
        <v>0.36222962580645146</v>
      </c>
      <c r="G44" s="18">
        <f ca="1">SUM($E42:G42)/SUM($E41:G41)</f>
        <v>0.56245443414634211</v>
      </c>
      <c r="H44" s="7">
        <f ca="1">SUM($E42:H42)/SUM($E41:H41)</f>
        <v>0.37804314426229552</v>
      </c>
      <c r="I44" s="7">
        <f ca="1">SUM($E42:I42)/SUM($E41:I41)</f>
        <v>0.32479763098591585</v>
      </c>
      <c r="J44" s="15">
        <f ca="1">SUM($E42:J42)/SUM($E41:J41)</f>
        <v>0.25341353626373658</v>
      </c>
      <c r="K44" s="14">
        <f ca="1">SUM($E42:K42)/SUM($E41:K41)</f>
        <v>0.20407638761061972</v>
      </c>
      <c r="L44" s="7">
        <f ca="1">SUM($E42:L42)/SUM($E41:L41)</f>
        <v>0.25650099097744378</v>
      </c>
      <c r="M44" s="18">
        <f ca="1">SUM($E42:M42)/SUM($E41:M41)</f>
        <v>0.23856385874125891</v>
      </c>
      <c r="N44" s="7">
        <f ca="1">SUM($E42:N42)/SUM($E41:N41)</f>
        <v>0.20929221963190198</v>
      </c>
      <c r="O44" s="7">
        <f ca="1">SUM($E42:O42)/SUM($E41:O41)</f>
        <v>0.19719440346820824</v>
      </c>
      <c r="P44" s="15">
        <f ca="1">SUM($E42:P42)/SUM($E41:P41)</f>
        <v>0.1640126528846155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SF上海</v>
      </c>
      <c r="D49" s="81" t="s">
        <v>34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MOBILON
スパンデックス
ラトレ
ワコール案件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5"/>
      <c r="H52" s="74"/>
      <c r="I52" s="96"/>
      <c r="J52" s="75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アパレル
産業資材</v>
      </c>
      <c r="D53" s="81" t="s">
        <v>34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396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MOBILONテープ
MOBILONバンド
JCA製品</v>
      </c>
      <c r="D55" s="89" t="s">
        <v>33</v>
      </c>
      <c r="E55" s="90"/>
      <c r="F55" s="91"/>
      <c r="G55" s="393"/>
      <c r="H55" s="91"/>
      <c r="I55" s="91"/>
      <c r="J55" s="397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441"/>
      <c r="B57" s="442"/>
      <c r="C57" s="486"/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/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K5:P5"/>
    <mergeCell ref="A1:A3"/>
    <mergeCell ref="B1:B3"/>
    <mergeCell ref="C1:E1"/>
    <mergeCell ref="C5:D6"/>
    <mergeCell ref="E5:J5"/>
    <mergeCell ref="Q5:Q6"/>
    <mergeCell ref="A7:A16"/>
    <mergeCell ref="B7:B16"/>
    <mergeCell ref="C7:C10"/>
    <mergeCell ref="C11:C12"/>
    <mergeCell ref="C13:C16"/>
    <mergeCell ref="A27:A36"/>
    <mergeCell ref="B27:B36"/>
    <mergeCell ref="C27:C30"/>
    <mergeCell ref="C31:C32"/>
    <mergeCell ref="C33:C36"/>
    <mergeCell ref="A17:A26"/>
    <mergeCell ref="B17:B26"/>
    <mergeCell ref="C17:C20"/>
    <mergeCell ref="C21:C22"/>
    <mergeCell ref="C23:C26"/>
    <mergeCell ref="K46:P46"/>
    <mergeCell ref="A48:B59"/>
    <mergeCell ref="E46:J46"/>
    <mergeCell ref="B37:B44"/>
    <mergeCell ref="C37:C40"/>
    <mergeCell ref="C41:C44"/>
    <mergeCell ref="A46:B47"/>
    <mergeCell ref="C46:D47"/>
  </mergeCells>
  <phoneticPr fontId="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A8579-0174-4CDF-8F34-DE6C5A2A2E4F}">
  <sheetPr>
    <tabColor theme="6" tint="0.79998168889431442"/>
  </sheetPr>
  <dimension ref="A1:R400"/>
  <sheetViews>
    <sheetView workbookViewId="0">
      <selection activeCell="B11" sqref="B11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新規1!A7</f>
        <v>SF上海</v>
      </c>
      <c r="N3" s="180" t="str">
        <f>新規1!A17</f>
        <v>アパレル
産業資材</v>
      </c>
      <c r="O3" s="180"/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A6" s="163" t="s">
        <v>201</v>
      </c>
      <c r="B6" s="163">
        <v>7184</v>
      </c>
      <c r="C6" s="200">
        <v>1979640</v>
      </c>
      <c r="D6" s="201">
        <v>41786</v>
      </c>
      <c r="E6" s="202" t="s">
        <v>200</v>
      </c>
      <c r="F6" s="200">
        <v>2129890</v>
      </c>
      <c r="G6" s="162">
        <v>45818</v>
      </c>
      <c r="H6" s="203" t="s">
        <v>200</v>
      </c>
      <c r="I6" s="186" t="str">
        <f>IF(H6="","",IF(H6="JPY","",IF($H6="USD",4, IF(H6="EUR",7,IF(H6="CNY",47,IF(H6="HKD",34))))))</f>
        <v/>
      </c>
      <c r="J6" s="204" t="str">
        <f>IF($H6="USD",IF(OR($I6="",$I6="-"),"",VLOOKUP($G6,為替!$A:$AX,$I6,FALSE))+$J$3,IF(OR($I6="",$I6="-"),"",VLOOKUP($G6,為替!$A:$AX,$I6,FALSE)))</f>
        <v/>
      </c>
      <c r="K6" s="205">
        <f>IF($H6="JPY",$F6,IF($H6="","",$F6*$J6))</f>
        <v>2129890</v>
      </c>
      <c r="L6" s="189" t="str">
        <f>IF(H6="","",IF(H6="JPY","",IF($H6="USD",3, IF(H6="EUR",6,IF(H6="CNY",46,IF(H6="HKD",33))))))</f>
        <v/>
      </c>
      <c r="M6" s="204" t="str">
        <f>IF($H6="USD",IF(OR($L6="",$L6="-"),"",VLOOKUP($G6,為替!$A:$AX,$L6,FALSE))+$K$3,IF(OR($L6="",$L6="-"),"",VLOOKUP($G6,為替!$A:$AX,$L6,FALSE)))</f>
        <v/>
      </c>
      <c r="N6" s="205">
        <f>IF($E6="JPY",($C6+$D6),IF($E6="","",($C6+$D6)*$M6))</f>
        <v>2021426</v>
      </c>
      <c r="O6" s="206">
        <f t="shared" ref="O6:O69" si="0">IF(OR(K6="",N6=""),"",K6-N6)</f>
        <v>108464</v>
      </c>
      <c r="P6" s="207">
        <f>IF(OR(K6="",O6=""),"",O6/K6)</f>
        <v>5.0924695641558951E-2</v>
      </c>
      <c r="Q6" s="163" t="s">
        <v>306</v>
      </c>
    </row>
    <row r="7" spans="1:18">
      <c r="A7" s="163" t="s">
        <v>293</v>
      </c>
      <c r="B7" s="163">
        <v>7189</v>
      </c>
      <c r="C7" s="200">
        <v>16000</v>
      </c>
      <c r="D7" s="201">
        <v>0</v>
      </c>
      <c r="E7" s="202" t="s">
        <v>200</v>
      </c>
      <c r="F7" s="200">
        <v>138.4</v>
      </c>
      <c r="G7" s="162">
        <v>45814</v>
      </c>
      <c r="H7" s="203" t="s">
        <v>199</v>
      </c>
      <c r="I7" s="186">
        <f>IF(H7="","",IF(H7="JPY","",IF($H7="USD",4, IF(H7="EUR",7,IF(H7="CNY",47,IF(H7="HKD",34))))))</f>
        <v>4</v>
      </c>
      <c r="J7" s="204">
        <f>IF($H7="USD",IF(OR($I7="",$I7="-"),"",VLOOKUP($G7,為替!$A:$AX,$I7,FALSE))+$J$3,IF(OR($I7="",$I7="-"),"",VLOOKUP($G7,為替!$A:$AX,$I7,FALSE)))</f>
        <v>143.26</v>
      </c>
      <c r="K7" s="205">
        <f>IF($H7="JPY",$F7,IF($H7="","",$F7*$J7))</f>
        <v>19827.184000000001</v>
      </c>
      <c r="L7" s="189">
        <f t="shared" ref="L7:L70" si="1">IF(H7="","",IF(H7="JPY","",IF($H7="USD",3, IF(H7="EUR",6,IF(H7="CNY",46,IF(H7="HKD",33))))))</f>
        <v>3</v>
      </c>
      <c r="M7" s="204">
        <f>IF($H7="USD",IF(OR($L7="",$L7="-"),"",VLOOKUP($G7,為替!$A:$AX,$L7,FALSE))+$K$3,IF(OR($L7="",$L7="-"),"",VLOOKUP($G7,為替!$A:$AX,$L7,FALSE)))</f>
        <v>144.26</v>
      </c>
      <c r="N7" s="205">
        <f t="shared" ref="N7:N70" si="2">IF($E7="JPY",($C7+$D7),IF($E7="","",($C7+$D7)*$M7))</f>
        <v>16000</v>
      </c>
      <c r="O7" s="206">
        <f t="shared" si="0"/>
        <v>3827.1840000000011</v>
      </c>
      <c r="P7" s="207">
        <f t="shared" ref="P7:P70" si="3">IF(OR(K7="",O7=""),"",O7/K7)</f>
        <v>0.19302710864033948</v>
      </c>
      <c r="Q7" s="163" t="s">
        <v>305</v>
      </c>
      <c r="R7" s="208"/>
    </row>
    <row r="8" spans="1:18">
      <c r="A8" s="163" t="s">
        <v>370</v>
      </c>
      <c r="B8" s="163">
        <v>7399</v>
      </c>
      <c r="C8" s="200">
        <v>2106000</v>
      </c>
      <c r="D8" s="201">
        <v>42595</v>
      </c>
      <c r="E8" s="202" t="s">
        <v>200</v>
      </c>
      <c r="F8" s="200">
        <v>2265840</v>
      </c>
      <c r="G8" s="162">
        <v>45898</v>
      </c>
      <c r="H8" s="203" t="s">
        <v>200</v>
      </c>
      <c r="I8" s="186" t="str">
        <f t="shared" ref="I8:I70" si="4">IF(H8="","",IF(H8="JPY","",IF($H8="USD",4, IF(H8="EUR",7,IF(H8="CNY",47,IF(H8="HKD",34))))))</f>
        <v/>
      </c>
      <c r="J8" s="204" t="str">
        <f>IF($H8="USD",IF(OR($I8="",$I8="-"),"",VLOOKUP($G8,為替!$A:$AX,$I8,FALSE))+$J$3,IF(OR($I8="",$I8="-"),"",VLOOKUP($G8,為替!$A:$AX,$I8,FALSE)))</f>
        <v/>
      </c>
      <c r="K8" s="205">
        <f t="shared" ref="K8:K70" si="5">IF($H8="JPY",$F8,IF($H8="","",$F8*$J8))</f>
        <v>2265840</v>
      </c>
      <c r="L8" s="189" t="str">
        <f t="shared" si="1"/>
        <v/>
      </c>
      <c r="M8" s="204" t="str">
        <f>IF($H8="USD",IF(OR($L8="",$L8="-"),"",VLOOKUP($G8,為替!$A:$AX,$L8,FALSE))+$K$3,IF(OR($L8="",$L8="-"),"",VLOOKUP($G8,為替!$A:$AX,$L8,FALSE)))</f>
        <v/>
      </c>
      <c r="N8" s="205">
        <f t="shared" si="2"/>
        <v>2148595</v>
      </c>
      <c r="O8" s="206">
        <f t="shared" si="0"/>
        <v>117245</v>
      </c>
      <c r="P8" s="207">
        <f t="shared" si="3"/>
        <v>5.1744606856618296E-2</v>
      </c>
      <c r="Q8" s="163" t="s">
        <v>306</v>
      </c>
    </row>
    <row r="9" spans="1:18">
      <c r="A9" s="163" t="s">
        <v>293</v>
      </c>
      <c r="B9" s="163">
        <v>7403</v>
      </c>
      <c r="C9" s="200">
        <v>57.3</v>
      </c>
      <c r="D9" s="201">
        <v>0</v>
      </c>
      <c r="E9" s="202" t="s">
        <v>199</v>
      </c>
      <c r="F9" s="200">
        <v>65</v>
      </c>
      <c r="G9" s="162">
        <v>45898</v>
      </c>
      <c r="H9" s="203" t="s">
        <v>199</v>
      </c>
      <c r="I9" s="186">
        <f t="shared" si="4"/>
        <v>4</v>
      </c>
      <c r="J9" s="204">
        <f>IF($H9="USD",IF(OR($I9="",$I9="-"),"",VLOOKUP($G9,為替!$A:$AX,$I9,FALSE))+$J$3,IF(OR($I9="",$I9="-"),"",VLOOKUP($G9,為替!$A:$AX,$I9,FALSE)))</f>
        <v>146.41999999999999</v>
      </c>
      <c r="K9" s="205">
        <f t="shared" si="5"/>
        <v>9517.2999999999993</v>
      </c>
      <c r="L9" s="189">
        <f t="shared" si="1"/>
        <v>3</v>
      </c>
      <c r="M9" s="204">
        <f>IF($H9="USD",IF(OR($L9="",$L9="-"),"",VLOOKUP($G9,為替!$A:$AX,$L9,FALSE))+$K$3,IF(OR($L9="",$L9="-"),"",VLOOKUP($G9,為替!$A:$AX,$L9,FALSE)))</f>
        <v>147.41999999999999</v>
      </c>
      <c r="N9" s="205">
        <f t="shared" si="2"/>
        <v>8447.1659999999993</v>
      </c>
      <c r="O9" s="206">
        <f t="shared" si="0"/>
        <v>1070.134</v>
      </c>
      <c r="P9" s="207">
        <f t="shared" si="3"/>
        <v>0.11244092337112417</v>
      </c>
      <c r="Q9" s="163" t="s">
        <v>305</v>
      </c>
    </row>
    <row r="10" spans="1:18">
      <c r="A10" s="163" t="s">
        <v>201</v>
      </c>
      <c r="B10" s="163">
        <v>7812</v>
      </c>
      <c r="C10" s="200">
        <v>1979640</v>
      </c>
      <c r="D10" s="201">
        <v>39710</v>
      </c>
      <c r="E10" s="202" t="s">
        <v>520</v>
      </c>
      <c r="F10" s="200">
        <v>2129890</v>
      </c>
      <c r="G10" s="162">
        <v>46052</v>
      </c>
      <c r="H10" s="203" t="s">
        <v>520</v>
      </c>
      <c r="I10" s="186" t="str">
        <f t="shared" si="4"/>
        <v/>
      </c>
      <c r="J10" s="204" t="str">
        <f>IF($H10="USD",IF(OR($I10="",$I10="-"),"",VLOOKUP($G10,為替!$A:$AX,$I10,FALSE))+$J$3,IF(OR($I10="",$I10="-"),"",VLOOKUP($G10,為替!$A:$AX,$I10,FALSE)))</f>
        <v/>
      </c>
      <c r="K10" s="205">
        <f t="shared" si="5"/>
        <v>2129890</v>
      </c>
      <c r="L10" s="189" t="str">
        <f t="shared" si="1"/>
        <v/>
      </c>
      <c r="M10" s="204" t="str">
        <f>IF($H10="USD",IF(OR($L10="",$L10="-"),"",VLOOKUP($G10,為替!$A:$AX,$L10,FALSE))+$K$3,IF(OR($L10="",$L10="-"),"",VLOOKUP($G10,為替!$A:$AX,$L10,FALSE)))</f>
        <v/>
      </c>
      <c r="N10" s="205">
        <f t="shared" si="2"/>
        <v>2019350</v>
      </c>
      <c r="O10" s="206">
        <f t="shared" si="0"/>
        <v>110540</v>
      </c>
      <c r="P10" s="207">
        <f t="shared" si="3"/>
        <v>5.1899393865410891E-2</v>
      </c>
      <c r="Q10" s="163" t="s">
        <v>306</v>
      </c>
    </row>
    <row r="11" spans="1:18">
      <c r="C11" s="200"/>
      <c r="D11" s="201"/>
      <c r="E11" s="202"/>
      <c r="F11" s="200"/>
      <c r="H11" s="203"/>
      <c r="I11" s="186" t="str">
        <f t="shared" si="4"/>
        <v/>
      </c>
      <c r="J11" s="204" t="str">
        <f>IF($H11="USD",IF(OR($I11="",$I11="-"),"",VLOOKUP($G11,為替!$A:$AX,$I11,FALSE))+$J$3,IF(OR($I11="",$I11="-"),"",VLOOKUP($G11,為替!$A:$AX,$I11,FALSE)))</f>
        <v/>
      </c>
      <c r="K11" s="205" t="str">
        <f t="shared" si="5"/>
        <v/>
      </c>
      <c r="L11" s="189" t="str">
        <f t="shared" si="1"/>
        <v/>
      </c>
      <c r="M11" s="204" t="str">
        <f>IF($H11="USD",IF(OR($L11="",$L11="-"),"",VLOOKUP($G11,為替!$A:$AX,$L11,FALSE))+$K$3,IF(OR($L11="",$L11="-"),"",VLOOKUP($G11,為替!$A:$AX,$L11,FALSE)))</f>
        <v/>
      </c>
      <c r="N11" s="205" t="str">
        <f t="shared" si="2"/>
        <v/>
      </c>
      <c r="O11" s="206" t="str">
        <f t="shared" si="0"/>
        <v/>
      </c>
      <c r="P11" s="207" t="str">
        <f t="shared" si="3"/>
        <v/>
      </c>
    </row>
    <row r="12" spans="1:18">
      <c r="C12" s="200"/>
      <c r="D12" s="201"/>
      <c r="E12" s="202"/>
      <c r="F12" s="200"/>
      <c r="H12" s="203"/>
      <c r="I12" s="186" t="str">
        <f t="shared" si="4"/>
        <v/>
      </c>
      <c r="J12" s="204" t="str">
        <f>IF($H12="USD",IF(OR($I12="",$I12="-"),"",VLOOKUP($G12,為替!$A:$AX,$I12,FALSE))+$J$3,IF(OR($I12="",$I12="-"),"",VLOOKUP($G12,為替!$A:$AX,$I12,FALSE)))</f>
        <v/>
      </c>
      <c r="K12" s="205" t="str">
        <f t="shared" si="5"/>
        <v/>
      </c>
      <c r="L12" s="189" t="str">
        <f t="shared" si="1"/>
        <v/>
      </c>
      <c r="M12" s="204" t="str">
        <f>IF($H12="USD",IF(OR($L12="",$L12="-"),"",VLOOKUP($G12,為替!$A:$AX,$L12,FALSE))+$K$3,IF(OR($L12="",$L12="-"),"",VLOOKUP($G12,為替!$A:$AX,$L12,FALSE)))</f>
        <v/>
      </c>
      <c r="N12" s="205" t="str">
        <f t="shared" si="2"/>
        <v/>
      </c>
      <c r="O12" s="206" t="str">
        <f t="shared" si="0"/>
        <v/>
      </c>
      <c r="P12" s="207" t="str">
        <f t="shared" si="3"/>
        <v/>
      </c>
    </row>
    <row r="13" spans="1:18">
      <c r="C13" s="200"/>
      <c r="D13" s="201"/>
      <c r="E13" s="202"/>
      <c r="F13" s="200"/>
      <c r="H13" s="203"/>
      <c r="I13" s="186" t="str">
        <f t="shared" si="4"/>
        <v/>
      </c>
      <c r="J13" s="204" t="str">
        <f>IF($H13="USD",IF(OR($I13="",$I13="-"),"",VLOOKUP($G13,為替!$A:$AX,$I13,FALSE))+$J$3,IF(OR($I13="",$I13="-"),"",VLOOKUP($G13,為替!$A:$AX,$I13,FALSE)))</f>
        <v/>
      </c>
      <c r="K13" s="205" t="str">
        <f t="shared" si="5"/>
        <v/>
      </c>
      <c r="L13" s="189" t="str">
        <f t="shared" si="1"/>
        <v/>
      </c>
      <c r="M13" s="204" t="str">
        <f>IF($H13="USD",IF(OR($L13="",$L13="-"),"",VLOOKUP($G13,為替!$A:$AX,$L13,FALSE))+$K$3,IF(OR($L13="",$L13="-"),"",VLOOKUP($G13,為替!$A:$AX,$L13,FALSE)))</f>
        <v/>
      </c>
      <c r="N13" s="205" t="str">
        <f t="shared" si="2"/>
        <v/>
      </c>
      <c r="O13" s="206" t="str">
        <f t="shared" si="0"/>
        <v/>
      </c>
      <c r="P13" s="207" t="str">
        <f t="shared" si="3"/>
        <v/>
      </c>
    </row>
    <row r="14" spans="1:18">
      <c r="C14" s="200"/>
      <c r="D14" s="201"/>
      <c r="E14" s="202"/>
      <c r="F14" s="200"/>
      <c r="H14" s="203"/>
      <c r="I14" s="186" t="str">
        <f t="shared" si="4"/>
        <v/>
      </c>
      <c r="J14" s="204" t="str">
        <f>IF($H14="USD",IF(OR($I14="",$I14="-"),"",VLOOKUP($G14,為替!$A:$AX,$I14,FALSE))+$J$3,IF(OR($I14="",$I14="-"),"",VLOOKUP($G14,為替!$A:$AX,$I14,FALSE)))</f>
        <v/>
      </c>
      <c r="K14" s="205" t="str">
        <f t="shared" si="5"/>
        <v/>
      </c>
      <c r="L14" s="189" t="str">
        <f t="shared" si="1"/>
        <v/>
      </c>
      <c r="M14" s="204" t="str">
        <f>IF($H14="USD",IF(OR($L14="",$L14="-"),"",VLOOKUP($G14,為替!$A:$AX,$L14,FALSE))+$K$3,IF(OR($L14="",$L14="-"),"",VLOOKUP($G14,為替!$A:$AX,$L14,FALSE)))</f>
        <v/>
      </c>
      <c r="N14" s="205" t="str">
        <f t="shared" si="2"/>
        <v/>
      </c>
      <c r="O14" s="206" t="str">
        <f t="shared" si="0"/>
        <v/>
      </c>
      <c r="P14" s="207" t="str">
        <f t="shared" si="3"/>
        <v/>
      </c>
    </row>
    <row r="15" spans="1:18">
      <c r="C15" s="200"/>
      <c r="D15" s="201"/>
      <c r="E15" s="202"/>
      <c r="F15" s="200"/>
      <c r="H15" s="203"/>
      <c r="I15" s="186" t="str">
        <f t="shared" si="4"/>
        <v/>
      </c>
      <c r="J15" s="204" t="str">
        <f>IF($H15="USD",IF(OR($I15="",$I15="-"),"",VLOOKUP($G15,為替!$A:$AX,$I15,FALSE))+$J$3,IF(OR($I15="",$I15="-"),"",VLOOKUP($G15,為替!$A:$AX,$I15,FALSE)))</f>
        <v/>
      </c>
      <c r="K15" s="205" t="str">
        <f t="shared" si="5"/>
        <v/>
      </c>
      <c r="L15" s="189" t="str">
        <f t="shared" si="1"/>
        <v/>
      </c>
      <c r="M15" s="204" t="str">
        <f>IF($H15="USD",IF(OR($L15="",$L15="-"),"",VLOOKUP($G15,為替!$A:$AX,$L15,FALSE))+$K$3,IF(OR($L15="",$L15="-"),"",VLOOKUP($G15,為替!$A:$AX,$L15,FALSE)))</f>
        <v/>
      </c>
      <c r="N15" s="205" t="str">
        <f t="shared" si="2"/>
        <v/>
      </c>
      <c r="O15" s="206" t="str">
        <f t="shared" si="0"/>
        <v/>
      </c>
      <c r="P15" s="207" t="str">
        <f t="shared" si="3"/>
        <v/>
      </c>
    </row>
    <row r="16" spans="1:18">
      <c r="C16" s="200"/>
      <c r="D16" s="201"/>
      <c r="E16" s="202"/>
      <c r="F16" s="200"/>
      <c r="H16" s="203"/>
      <c r="I16" s="186" t="str">
        <f t="shared" si="4"/>
        <v/>
      </c>
      <c r="J16" s="204" t="str">
        <f>IF($H16="USD",IF(OR($I16="",$I16="-"),"",VLOOKUP($G16,為替!$A:$AX,$I16,FALSE))+$J$3,IF(OR($I16="",$I16="-"),"",VLOOKUP($G16,為替!$A:$AX,$I16,FALSE)))</f>
        <v/>
      </c>
      <c r="K16" s="205" t="str">
        <f t="shared" si="5"/>
        <v/>
      </c>
      <c r="L16" s="189" t="str">
        <f t="shared" si="1"/>
        <v/>
      </c>
      <c r="M16" s="204" t="str">
        <f>IF($H16="USD",IF(OR($L16="",$L16="-"),"",VLOOKUP($G16,為替!$A:$AX,$L16,FALSE))+$K$3,IF(OR($L16="",$L16="-"),"",VLOOKUP($G16,為替!$A:$AX,$L16,FALSE)))</f>
        <v/>
      </c>
      <c r="N16" s="205" t="str">
        <f t="shared" si="2"/>
        <v/>
      </c>
      <c r="O16" s="206" t="str">
        <f t="shared" si="0"/>
        <v/>
      </c>
      <c r="P16" s="207" t="str">
        <f t="shared" si="3"/>
        <v/>
      </c>
    </row>
    <row r="17" spans="3:16">
      <c r="C17" s="200"/>
      <c r="D17" s="201"/>
      <c r="E17" s="202"/>
      <c r="F17" s="200"/>
      <c r="H17" s="203"/>
      <c r="I17" s="186" t="str">
        <f t="shared" si="4"/>
        <v/>
      </c>
      <c r="J17" s="204" t="str">
        <f>IF($H17="USD",IF(OR($I17="",$I17="-"),"",VLOOKUP($G17,為替!$A:$AX,$I17,FALSE))+$J$3,IF(OR($I17="",$I17="-"),"",VLOOKUP($G17,為替!$A:$AX,$I17,FALSE)))</f>
        <v/>
      </c>
      <c r="K17" s="205" t="str">
        <f t="shared" si="5"/>
        <v/>
      </c>
      <c r="L17" s="189" t="str">
        <f t="shared" si="1"/>
        <v/>
      </c>
      <c r="M17" s="204" t="str">
        <f>IF($H17="USD",IF(OR($L17="",$L17="-"),"",VLOOKUP($G17,為替!$A:$AX,$L17,FALSE))+$K$3,IF(OR($L17="",$L17="-"),"",VLOOKUP($G17,為替!$A:$AX,$L17,FALSE)))</f>
        <v/>
      </c>
      <c r="N17" s="205" t="str">
        <f t="shared" si="2"/>
        <v/>
      </c>
      <c r="O17" s="206" t="str">
        <f t="shared" si="0"/>
        <v/>
      </c>
      <c r="P17" s="207" t="str">
        <f t="shared" si="3"/>
        <v/>
      </c>
    </row>
    <row r="18" spans="3:16">
      <c r="C18" s="200"/>
      <c r="D18" s="201"/>
      <c r="E18" s="202"/>
      <c r="F18" s="200"/>
      <c r="H18" s="203"/>
      <c r="I18" s="186" t="str">
        <f t="shared" si="4"/>
        <v/>
      </c>
      <c r="J18" s="204" t="str">
        <f>IF($H18="USD",IF(OR($I18="",$I18="-"),"",VLOOKUP($G18,為替!$A:$AX,$I18,FALSE))+$J$3,IF(OR($I18="",$I18="-"),"",VLOOKUP($G18,為替!$A:$AX,$I18,FALSE)))</f>
        <v/>
      </c>
      <c r="K18" s="205" t="str">
        <f t="shared" si="5"/>
        <v/>
      </c>
      <c r="L18" s="189" t="str">
        <f t="shared" si="1"/>
        <v/>
      </c>
      <c r="M18" s="204" t="str">
        <f>IF($H18="USD",IF(OR($L18="",$L18="-"),"",VLOOKUP($G18,為替!$A:$AX,$L18,FALSE))+$K$3,IF(OR($L18="",$L18="-"),"",VLOOKUP($G18,為替!$A:$AX,$L18,FALSE)))</f>
        <v/>
      </c>
      <c r="N18" s="205" t="str">
        <f t="shared" si="2"/>
        <v/>
      </c>
      <c r="O18" s="206" t="str">
        <f t="shared" si="0"/>
        <v/>
      </c>
      <c r="P18" s="207" t="str">
        <f t="shared" si="3"/>
        <v/>
      </c>
    </row>
    <row r="19" spans="3:16">
      <c r="C19" s="200"/>
      <c r="D19" s="201"/>
      <c r="E19" s="202"/>
      <c r="F19" s="200"/>
      <c r="H19" s="203"/>
      <c r="I19" s="186" t="str">
        <f t="shared" si="4"/>
        <v/>
      </c>
      <c r="J19" s="204" t="str">
        <f>IF($H19="USD",IF(OR($I19="",$I19="-"),"",VLOOKUP($G19,為替!$A:$AX,$I19,FALSE))+$J$3,IF(OR($I19="",$I19="-"),"",VLOOKUP($G19,為替!$A:$AX,$I19,FALSE)))</f>
        <v/>
      </c>
      <c r="K19" s="205" t="str">
        <f t="shared" si="5"/>
        <v/>
      </c>
      <c r="L19" s="189" t="str">
        <f t="shared" si="1"/>
        <v/>
      </c>
      <c r="M19" s="204" t="str">
        <f>IF($H19="USD",IF(OR($L19="",$L19="-"),"",VLOOKUP($G19,為替!$A:$AX,$L19,FALSE))+$K$3,IF(OR($L19="",$L19="-"),"",VLOOKUP($G19,為替!$A:$AX,$L19,FALSE)))</f>
        <v/>
      </c>
      <c r="N19" s="205" t="str">
        <f t="shared" si="2"/>
        <v/>
      </c>
      <c r="O19" s="206" t="str">
        <f t="shared" si="0"/>
        <v/>
      </c>
      <c r="P19" s="207" t="str">
        <f t="shared" si="3"/>
        <v/>
      </c>
    </row>
    <row r="20" spans="3:16">
      <c r="C20" s="200"/>
      <c r="D20" s="201"/>
      <c r="E20" s="202"/>
      <c r="F20" s="200"/>
      <c r="H20" s="203"/>
      <c r="I20" s="186" t="str">
        <f t="shared" si="4"/>
        <v/>
      </c>
      <c r="J20" s="204" t="str">
        <f>IF($H20="USD",IF(OR($I20="",$I20="-"),"",VLOOKUP($G20,為替!$A:$AX,$I20,FALSE))+$J$3,IF(OR($I20="",$I20="-"),"",VLOOKUP($G20,為替!$A:$AX,$I20,FALSE)))</f>
        <v/>
      </c>
      <c r="K20" s="205" t="str">
        <f t="shared" si="5"/>
        <v/>
      </c>
      <c r="L20" s="189" t="str">
        <f t="shared" si="1"/>
        <v/>
      </c>
      <c r="M20" s="204" t="str">
        <f>IF($H20="USD",IF(OR($L20="",$L20="-"),"",VLOOKUP($G20,為替!$A:$AX,$L20,FALSE))+$K$3,IF(OR($L20="",$L20="-"),"",VLOOKUP($G20,為替!$A:$AX,$L20,FALSE)))</f>
        <v/>
      </c>
      <c r="N20" s="205" t="str">
        <f t="shared" si="2"/>
        <v/>
      </c>
      <c r="O20" s="206" t="str">
        <f t="shared" si="0"/>
        <v/>
      </c>
      <c r="P20" s="207" t="str">
        <f t="shared" si="3"/>
        <v/>
      </c>
    </row>
    <row r="21" spans="3:16">
      <c r="C21" s="200"/>
      <c r="D21" s="201"/>
      <c r="E21" s="202"/>
      <c r="F21" s="200"/>
      <c r="H21" s="203"/>
      <c r="I21" s="186" t="str">
        <f t="shared" si="4"/>
        <v/>
      </c>
      <c r="J21" s="204" t="str">
        <f>IF($H21="USD",IF(OR($I21="",$I21="-"),"",VLOOKUP($G21,為替!$A:$AX,$I21,FALSE))+$J$3,IF(OR($I21="",$I21="-"),"",VLOOKUP($G21,為替!$A:$AX,$I21,FALSE)))</f>
        <v/>
      </c>
      <c r="K21" s="205" t="str">
        <f t="shared" si="5"/>
        <v/>
      </c>
      <c r="L21" s="189" t="str">
        <f t="shared" si="1"/>
        <v/>
      </c>
      <c r="M21" s="204" t="str">
        <f>IF($H21="USD",IF(OR($L21="",$L21="-"),"",VLOOKUP($G21,為替!$A:$AX,$L21,FALSE))+$K$3,IF(OR($L21="",$L21="-"),"",VLOOKUP($G21,為替!$A:$AX,$L21,FALSE)))</f>
        <v/>
      </c>
      <c r="N21" s="205" t="str">
        <f t="shared" si="2"/>
        <v/>
      </c>
      <c r="O21" s="206" t="str">
        <f t="shared" si="0"/>
        <v/>
      </c>
      <c r="P21" s="207" t="str">
        <f t="shared" si="3"/>
        <v/>
      </c>
    </row>
    <row r="22" spans="3:16">
      <c r="C22" s="200"/>
      <c r="D22" s="201"/>
      <c r="E22" s="202"/>
      <c r="F22" s="200"/>
      <c r="H22" s="203"/>
      <c r="I22" s="186" t="str">
        <f t="shared" si="4"/>
        <v/>
      </c>
      <c r="J22" s="204" t="str">
        <f>IF($H22="USD",IF(OR($I22="",$I22="-"),"",VLOOKUP($G22,為替!$A:$AX,$I22,FALSE))+$J$3,IF(OR($I22="",$I22="-"),"",VLOOKUP($G22,為替!$A:$AX,$I22,FALSE)))</f>
        <v/>
      </c>
      <c r="K22" s="205" t="str">
        <f t="shared" si="5"/>
        <v/>
      </c>
      <c r="L22" s="189" t="str">
        <f t="shared" si="1"/>
        <v/>
      </c>
      <c r="M22" s="204" t="str">
        <f>IF($H22="USD",IF(OR($L22="",$L22="-"),"",VLOOKUP($G22,為替!$A:$AX,$L22,FALSE))+$K$3,IF(OR($L22="",$L22="-"),"",VLOOKUP($G22,為替!$A:$AX,$L22,FALSE)))</f>
        <v/>
      </c>
      <c r="N22" s="205" t="str">
        <f t="shared" si="2"/>
        <v/>
      </c>
      <c r="O22" s="206" t="str">
        <f t="shared" si="0"/>
        <v/>
      </c>
      <c r="P22" s="207" t="str">
        <f t="shared" si="3"/>
        <v/>
      </c>
    </row>
    <row r="23" spans="3:16">
      <c r="C23" s="200"/>
      <c r="D23" s="201"/>
      <c r="E23" s="202"/>
      <c r="F23" s="200"/>
      <c r="H23" s="203"/>
      <c r="I23" s="186" t="str">
        <f t="shared" si="4"/>
        <v/>
      </c>
      <c r="J23" s="204" t="str">
        <f>IF($H23="USD",IF(OR($I23="",$I23="-"),"",VLOOKUP($G23,為替!$A:$AX,$I23,FALSE))+$J$3,IF(OR($I23="",$I23="-"),"",VLOOKUP($G23,為替!$A:$AX,$I23,FALSE)))</f>
        <v/>
      </c>
      <c r="K23" s="205" t="str">
        <f t="shared" si="5"/>
        <v/>
      </c>
      <c r="L23" s="189" t="str">
        <f t="shared" si="1"/>
        <v/>
      </c>
      <c r="M23" s="204" t="str">
        <f>IF($H23="USD",IF(OR($L23="",$L23="-"),"",VLOOKUP($G23,為替!$A:$AX,$L23,FALSE))+$K$3,IF(OR($L23="",$L23="-"),"",VLOOKUP($G23,為替!$A:$AX,$L23,FALSE)))</f>
        <v/>
      </c>
      <c r="N23" s="205" t="str">
        <f t="shared" si="2"/>
        <v/>
      </c>
      <c r="O23" s="206" t="str">
        <f t="shared" si="0"/>
        <v/>
      </c>
      <c r="P23" s="207" t="str">
        <f t="shared" si="3"/>
        <v/>
      </c>
    </row>
    <row r="24" spans="3:16">
      <c r="C24" s="200"/>
      <c r="D24" s="201"/>
      <c r="E24" s="202"/>
      <c r="F24" s="200"/>
      <c r="H24" s="203"/>
      <c r="I24" s="186" t="str">
        <f t="shared" si="4"/>
        <v/>
      </c>
      <c r="J24" s="204" t="str">
        <f>IF($H24="USD",IF(OR($I24="",$I24="-"),"",VLOOKUP($G24,為替!$A:$AX,$I24,FALSE))+$J$3,IF(OR($I24="",$I24="-"),"",VLOOKUP($G24,為替!$A:$AX,$I24,FALSE)))</f>
        <v/>
      </c>
      <c r="K24" s="205" t="str">
        <f t="shared" si="5"/>
        <v/>
      </c>
      <c r="L24" s="189" t="str">
        <f t="shared" si="1"/>
        <v/>
      </c>
      <c r="M24" s="204" t="str">
        <f>IF($H24="USD",IF(OR($L24="",$L24="-"),"",VLOOKUP($G24,為替!$A:$AX,$L24,FALSE))+$K$3,IF(OR($L24="",$L24="-"),"",VLOOKUP($G24,為替!$A:$AX,$L24,FALSE)))</f>
        <v/>
      </c>
      <c r="N24" s="205" t="str">
        <f t="shared" si="2"/>
        <v/>
      </c>
      <c r="O24" s="206" t="str">
        <f t="shared" si="0"/>
        <v/>
      </c>
      <c r="P24" s="207" t="str">
        <f t="shared" si="3"/>
        <v/>
      </c>
    </row>
    <row r="25" spans="3:16">
      <c r="C25" s="200"/>
      <c r="D25" s="201"/>
      <c r="E25" s="202"/>
      <c r="F25" s="200"/>
      <c r="H25" s="203"/>
      <c r="I25" s="186" t="str">
        <f t="shared" si="4"/>
        <v/>
      </c>
      <c r="J25" s="204" t="str">
        <f>IF($H25="USD",IF(OR($I25="",$I25="-"),"",VLOOKUP($G25,為替!$A:$AX,$I25,FALSE))+$J$3,IF(OR($I25="",$I25="-"),"",VLOOKUP($G25,為替!$A:$AX,$I25,FALSE)))</f>
        <v/>
      </c>
      <c r="K25" s="205" t="str">
        <f t="shared" si="5"/>
        <v/>
      </c>
      <c r="L25" s="189" t="str">
        <f t="shared" si="1"/>
        <v/>
      </c>
      <c r="M25" s="204" t="str">
        <f>IF($H25="USD",IF(OR($L25="",$L25="-"),"",VLOOKUP($G25,為替!$A:$AX,$L25,FALSE))+$K$3,IF(OR($L25="",$L25="-"),"",VLOOKUP($G25,為替!$A:$AX,$L25,FALSE)))</f>
        <v/>
      </c>
      <c r="N25" s="205" t="str">
        <f t="shared" si="2"/>
        <v/>
      </c>
      <c r="O25" s="206" t="str">
        <f t="shared" si="0"/>
        <v/>
      </c>
      <c r="P25" s="207" t="str">
        <f t="shared" si="3"/>
        <v/>
      </c>
    </row>
    <row r="26" spans="3:16">
      <c r="C26" s="200"/>
      <c r="D26" s="201"/>
      <c r="E26" s="202"/>
      <c r="F26" s="200"/>
      <c r="H26" s="203"/>
      <c r="I26" s="186" t="str">
        <f t="shared" si="4"/>
        <v/>
      </c>
      <c r="J26" s="204" t="str">
        <f>IF($H26="USD",IF(OR($I26="",$I26="-"),"",VLOOKUP($G26,為替!$A:$AX,$I26,FALSE))+$J$3,IF(OR($I26="",$I26="-"),"",VLOOKUP($G26,為替!$A:$AX,$I26,FALSE)))</f>
        <v/>
      </c>
      <c r="K26" s="205" t="str">
        <f t="shared" si="5"/>
        <v/>
      </c>
      <c r="L26" s="189" t="str">
        <f t="shared" si="1"/>
        <v/>
      </c>
      <c r="M26" s="204" t="str">
        <f>IF($H26="USD",IF(OR($L26="",$L26="-"),"",VLOOKUP($G26,為替!$A:$AX,$L26,FALSE))+$K$3,IF(OR($L26="",$L26="-"),"",VLOOKUP($G26,為替!$A:$AX,$L26,FALSE)))</f>
        <v/>
      </c>
      <c r="N26" s="205" t="str">
        <f t="shared" si="2"/>
        <v/>
      </c>
      <c r="O26" s="206" t="str">
        <f t="shared" si="0"/>
        <v/>
      </c>
      <c r="P26" s="207" t="str">
        <f t="shared" si="3"/>
        <v/>
      </c>
    </row>
    <row r="27" spans="3:16">
      <c r="C27" s="200"/>
      <c r="D27" s="201"/>
      <c r="E27" s="202"/>
      <c r="F27" s="200"/>
      <c r="H27" s="203"/>
      <c r="I27" s="186" t="str">
        <f t="shared" si="4"/>
        <v/>
      </c>
      <c r="J27" s="204" t="str">
        <f>IF($H27="USD",IF(OR($I27="",$I27="-"),"",VLOOKUP($G27,為替!$A:$AX,$I27,FALSE))+$J$3,IF(OR($I27="",$I27="-"),"",VLOOKUP($G27,為替!$A:$AX,$I27,FALSE)))</f>
        <v/>
      </c>
      <c r="K27" s="205" t="str">
        <f t="shared" si="5"/>
        <v/>
      </c>
      <c r="L27" s="189" t="str">
        <f t="shared" si="1"/>
        <v/>
      </c>
      <c r="M27" s="204" t="str">
        <f>IF($H27="USD",IF(OR($L27="",$L27="-"),"",VLOOKUP($G27,為替!$A:$AX,$L27,FALSE))+$K$3,IF(OR($L27="",$L27="-"),"",VLOOKUP($G27,為替!$A:$AX,$L27,FALSE)))</f>
        <v/>
      </c>
      <c r="N27" s="205" t="str">
        <f t="shared" si="2"/>
        <v/>
      </c>
      <c r="O27" s="206" t="str">
        <f t="shared" si="0"/>
        <v/>
      </c>
      <c r="P27" s="207" t="str">
        <f t="shared" si="3"/>
        <v/>
      </c>
    </row>
    <row r="28" spans="3:16">
      <c r="C28" s="200"/>
      <c r="D28" s="201"/>
      <c r="E28" s="202"/>
      <c r="F28" s="200"/>
      <c r="H28" s="203"/>
      <c r="I28" s="186" t="str">
        <f t="shared" si="4"/>
        <v/>
      </c>
      <c r="J28" s="204" t="str">
        <f>IF($H28="USD",IF(OR($I28="",$I28="-"),"",VLOOKUP($G28,為替!$A:$AX,$I28,FALSE))+$J$3,IF(OR($I28="",$I28="-"),"",VLOOKUP($G28,為替!$A:$AX,$I28,FALSE)))</f>
        <v/>
      </c>
      <c r="K28" s="205" t="str">
        <f t="shared" si="5"/>
        <v/>
      </c>
      <c r="L28" s="189" t="str">
        <f t="shared" si="1"/>
        <v/>
      </c>
      <c r="M28" s="204" t="str">
        <f>IF($H28="USD",IF(OR($L28="",$L28="-"),"",VLOOKUP($G28,為替!$A:$AX,$L28,FALSE))+$K$3,IF(OR($L28="",$L28="-"),"",VLOOKUP($G28,為替!$A:$AX,$L28,FALSE)))</f>
        <v/>
      </c>
      <c r="N28" s="205" t="str">
        <f t="shared" si="2"/>
        <v/>
      </c>
      <c r="O28" s="206" t="str">
        <f t="shared" si="0"/>
        <v/>
      </c>
      <c r="P28" s="207" t="str">
        <f t="shared" si="3"/>
        <v/>
      </c>
    </row>
    <row r="29" spans="3:16">
      <c r="C29" s="200"/>
      <c r="D29" s="201"/>
      <c r="E29" s="202"/>
      <c r="F29" s="200"/>
      <c r="H29" s="203"/>
      <c r="I29" s="186" t="str">
        <f t="shared" si="4"/>
        <v/>
      </c>
      <c r="J29" s="204" t="str">
        <f>IF($H29="USD",IF(OR($I29="",$I29="-"),"",VLOOKUP($G29,為替!$A:$AX,$I29,FALSE))+$J$3,IF(OR($I29="",$I29="-"),"",VLOOKUP($G29,為替!$A:$AX,$I29,FALSE)))</f>
        <v/>
      </c>
      <c r="K29" s="205" t="str">
        <f t="shared" si="5"/>
        <v/>
      </c>
      <c r="L29" s="189" t="str">
        <f t="shared" si="1"/>
        <v/>
      </c>
      <c r="M29" s="204" t="str">
        <f>IF($H29="USD",IF(OR($L29="",$L29="-"),"",VLOOKUP($G29,為替!$A:$AX,$L29,FALSE))+$K$3,IF(OR($L29="",$L29="-"),"",VLOOKUP($G29,為替!$A:$AX,$L29,FALSE)))</f>
        <v/>
      </c>
      <c r="N29" s="205" t="str">
        <f t="shared" si="2"/>
        <v/>
      </c>
      <c r="O29" s="206" t="str">
        <f t="shared" si="0"/>
        <v/>
      </c>
      <c r="P29" s="207" t="str">
        <f t="shared" si="3"/>
        <v/>
      </c>
    </row>
    <row r="30" spans="3:16">
      <c r="C30" s="200"/>
      <c r="D30" s="201"/>
      <c r="E30" s="202"/>
      <c r="F30" s="200"/>
      <c r="H30" s="203"/>
      <c r="I30" s="186" t="str">
        <f t="shared" si="4"/>
        <v/>
      </c>
      <c r="J30" s="204" t="str">
        <f>IF($H30="USD",IF(OR($I30="",$I30="-"),"",VLOOKUP($G30,為替!$A:$AX,$I30,FALSE))+$J$3,IF(OR($I30="",$I30="-"),"",VLOOKUP($G30,為替!$A:$AX,$I30,FALSE)))</f>
        <v/>
      </c>
      <c r="K30" s="205" t="str">
        <f t="shared" si="5"/>
        <v/>
      </c>
      <c r="L30" s="189" t="str">
        <f t="shared" si="1"/>
        <v/>
      </c>
      <c r="M30" s="204" t="str">
        <f>IF($H30="USD",IF(OR($L30="",$L30="-"),"",VLOOKUP($G30,為替!$A:$AX,$L30,FALSE))+$K$3,IF(OR($L30="",$L30="-"),"",VLOOKUP($G30,為替!$A:$AX,$L30,FALSE)))</f>
        <v/>
      </c>
      <c r="N30" s="205" t="str">
        <f t="shared" si="2"/>
        <v/>
      </c>
      <c r="O30" s="206" t="str">
        <f t="shared" si="0"/>
        <v/>
      </c>
      <c r="P30" s="207" t="str">
        <f t="shared" si="3"/>
        <v/>
      </c>
    </row>
    <row r="31" spans="3:16">
      <c r="C31" s="200"/>
      <c r="D31" s="201"/>
      <c r="E31" s="202"/>
      <c r="F31" s="200"/>
      <c r="H31" s="203"/>
      <c r="I31" s="186" t="str">
        <f t="shared" si="4"/>
        <v/>
      </c>
      <c r="J31" s="204" t="str">
        <f>IF($H31="USD",IF(OR($I31="",$I31="-"),"",VLOOKUP($G31,為替!$A:$AX,$I31,FALSE))+$J$3,IF(OR($I31="",$I31="-"),"",VLOOKUP($G31,為替!$A:$AX,$I31,FALSE)))</f>
        <v/>
      </c>
      <c r="K31" s="205" t="str">
        <f t="shared" si="5"/>
        <v/>
      </c>
      <c r="L31" s="189" t="str">
        <f t="shared" si="1"/>
        <v/>
      </c>
      <c r="M31" s="204" t="str">
        <f>IF($H31="USD",IF(OR($L31="",$L31="-"),"",VLOOKUP($G31,為替!$A:$AX,$L31,FALSE))+$K$3,IF(OR($L31="",$L31="-"),"",VLOOKUP($G31,為替!$A:$AX,$L31,FALSE)))</f>
        <v/>
      </c>
      <c r="N31" s="205" t="str">
        <f t="shared" si="2"/>
        <v/>
      </c>
      <c r="O31" s="206" t="str">
        <f t="shared" si="0"/>
        <v/>
      </c>
      <c r="P31" s="207" t="str">
        <f t="shared" si="3"/>
        <v/>
      </c>
    </row>
    <row r="32" spans="3:16">
      <c r="C32" s="200"/>
      <c r="D32" s="201"/>
      <c r="E32" s="202"/>
      <c r="F32" s="200"/>
      <c r="H32" s="203"/>
      <c r="I32" s="186" t="str">
        <f t="shared" si="4"/>
        <v/>
      </c>
      <c r="J32" s="204" t="str">
        <f>IF($H32="USD",IF(OR($I32="",$I32="-"),"",VLOOKUP($G32,為替!$A:$AX,$I32,FALSE))+$J$3,IF(OR($I32="",$I32="-"),"",VLOOKUP($G32,為替!$A:$AX,$I32,FALSE)))</f>
        <v/>
      </c>
      <c r="K32" s="205" t="str">
        <f t="shared" si="5"/>
        <v/>
      </c>
      <c r="L32" s="189" t="str">
        <f t="shared" si="1"/>
        <v/>
      </c>
      <c r="M32" s="204" t="str">
        <f>IF($H32="USD",IF(OR($L32="",$L32="-"),"",VLOOKUP($G32,為替!$A:$AX,$L32,FALSE))+$K$3,IF(OR($L32="",$L32="-"),"",VLOOKUP($G32,為替!$A:$AX,$L32,FALSE)))</f>
        <v/>
      </c>
      <c r="N32" s="205" t="str">
        <f t="shared" si="2"/>
        <v/>
      </c>
      <c r="O32" s="206" t="str">
        <f t="shared" si="0"/>
        <v/>
      </c>
      <c r="P32" s="207" t="str">
        <f t="shared" si="3"/>
        <v/>
      </c>
    </row>
    <row r="33" spans="3:16">
      <c r="C33" s="200"/>
      <c r="D33" s="201"/>
      <c r="E33" s="202"/>
      <c r="F33" s="200"/>
      <c r="H33" s="203"/>
      <c r="I33" s="186" t="str">
        <f t="shared" si="4"/>
        <v/>
      </c>
      <c r="J33" s="204" t="str">
        <f>IF($H33="USD",IF(OR($I33="",$I33="-"),"",VLOOKUP($G33,為替!$A:$AX,$I33,FALSE))+$J$3,IF(OR($I33="",$I33="-"),"",VLOOKUP($G33,為替!$A:$AX,$I33,FALSE)))</f>
        <v/>
      </c>
      <c r="K33" s="205" t="str">
        <f t="shared" si="5"/>
        <v/>
      </c>
      <c r="L33" s="189" t="str">
        <f t="shared" si="1"/>
        <v/>
      </c>
      <c r="M33" s="204" t="str">
        <f>IF($H33="USD",IF(OR($L33="",$L33="-"),"",VLOOKUP($G33,為替!$A:$AX,$L33,FALSE))+$K$3,IF(OR($L33="",$L33="-"),"",VLOOKUP($G33,為替!$A:$AX,$L33,FALSE)))</f>
        <v/>
      </c>
      <c r="N33" s="205" t="str">
        <f t="shared" si="2"/>
        <v/>
      </c>
      <c r="O33" s="206" t="str">
        <f t="shared" si="0"/>
        <v/>
      </c>
      <c r="P33" s="207" t="str">
        <f t="shared" si="3"/>
        <v/>
      </c>
    </row>
    <row r="34" spans="3:16">
      <c r="C34" s="200"/>
      <c r="D34" s="201"/>
      <c r="E34" s="202"/>
      <c r="F34" s="200"/>
      <c r="H34" s="203"/>
      <c r="I34" s="186" t="str">
        <f t="shared" si="4"/>
        <v/>
      </c>
      <c r="J34" s="204" t="str">
        <f>IF($H34="USD",IF(OR($I34="",$I34="-"),"",VLOOKUP($G34,為替!$A:$AX,$I34,FALSE))+$J$3,IF(OR($I34="",$I34="-"),"",VLOOKUP($G34,為替!$A:$AX,$I34,FALSE)))</f>
        <v/>
      </c>
      <c r="K34" s="205" t="str">
        <f t="shared" si="5"/>
        <v/>
      </c>
      <c r="L34" s="189" t="str">
        <f t="shared" si="1"/>
        <v/>
      </c>
      <c r="M34" s="204" t="str">
        <f>IF($H34="USD",IF(OR($L34="",$L34="-"),"",VLOOKUP($G34,為替!$A:$AX,$L34,FALSE))+$K$3,IF(OR($L34="",$L34="-"),"",VLOOKUP($G34,為替!$A:$AX,$L34,FALSE)))</f>
        <v/>
      </c>
      <c r="N34" s="205" t="str">
        <f t="shared" si="2"/>
        <v/>
      </c>
      <c r="O34" s="206" t="str">
        <f t="shared" si="0"/>
        <v/>
      </c>
      <c r="P34" s="207" t="str">
        <f t="shared" si="3"/>
        <v/>
      </c>
    </row>
    <row r="35" spans="3:16">
      <c r="C35" s="200"/>
      <c r="D35" s="201"/>
      <c r="E35" s="202"/>
      <c r="F35" s="200"/>
      <c r="H35" s="203"/>
      <c r="I35" s="186" t="str">
        <f t="shared" si="4"/>
        <v/>
      </c>
      <c r="J35" s="204" t="str">
        <f>IF($H35="USD",IF(OR($I35="",$I35="-"),"",VLOOKUP($G35,為替!$A:$AX,$I35,FALSE))+$J$3,IF(OR($I35="",$I35="-"),"",VLOOKUP($G35,為替!$A:$AX,$I35,FALSE)))</f>
        <v/>
      </c>
      <c r="K35" s="205" t="str">
        <f t="shared" si="5"/>
        <v/>
      </c>
      <c r="L35" s="189" t="str">
        <f t="shared" si="1"/>
        <v/>
      </c>
      <c r="M35" s="204" t="str">
        <f>IF($H35="USD",IF(OR($L35="",$L35="-"),"",VLOOKUP($G35,為替!$A:$AX,$L35,FALSE))+$K$3,IF(OR($L35="",$L35="-"),"",VLOOKUP($G35,為替!$A:$AX,$L35,FALSE)))</f>
        <v/>
      </c>
      <c r="N35" s="205" t="str">
        <f t="shared" si="2"/>
        <v/>
      </c>
      <c r="O35" s="206" t="str">
        <f t="shared" si="0"/>
        <v/>
      </c>
      <c r="P35" s="207" t="str">
        <f t="shared" si="3"/>
        <v/>
      </c>
    </row>
    <row r="36" spans="3:16">
      <c r="C36" s="200"/>
      <c r="D36" s="201"/>
      <c r="E36" s="202"/>
      <c r="F36" s="200"/>
      <c r="H36" s="203"/>
      <c r="I36" s="186" t="str">
        <f t="shared" si="4"/>
        <v/>
      </c>
      <c r="J36" s="204" t="str">
        <f>IF($H36="USD",IF(OR($I36="",$I36="-"),"",VLOOKUP($G36,為替!$A:$AX,$I36,FALSE))+$J$3,IF(OR($I36="",$I36="-"),"",VLOOKUP($G36,為替!$A:$AX,$I36,FALSE)))</f>
        <v/>
      </c>
      <c r="K36" s="205" t="str">
        <f t="shared" si="5"/>
        <v/>
      </c>
      <c r="L36" s="189" t="str">
        <f t="shared" si="1"/>
        <v/>
      </c>
      <c r="M36" s="204" t="str">
        <f>IF($H36="USD",IF(OR($L36="",$L36="-"),"",VLOOKUP($G36,為替!$A:$AX,$L36,FALSE))+$K$3,IF(OR($L36="",$L36="-"),"",VLOOKUP($G36,為替!$A:$AX,$L36,FALSE)))</f>
        <v/>
      </c>
      <c r="N36" s="205" t="str">
        <f t="shared" si="2"/>
        <v/>
      </c>
      <c r="O36" s="206" t="str">
        <f t="shared" si="0"/>
        <v/>
      </c>
      <c r="P36" s="207" t="str">
        <f t="shared" si="3"/>
        <v/>
      </c>
    </row>
    <row r="37" spans="3:16">
      <c r="C37" s="200"/>
      <c r="D37" s="201"/>
      <c r="E37" s="202"/>
      <c r="F37" s="200"/>
      <c r="H37" s="203"/>
      <c r="I37" s="186" t="str">
        <f t="shared" si="4"/>
        <v/>
      </c>
      <c r="J37" s="204" t="str">
        <f>IF($H37="USD",IF(OR($I37="",$I37="-"),"",VLOOKUP($G37,為替!$A:$AX,$I37,FALSE))+$J$3,IF(OR($I37="",$I37="-"),"",VLOOKUP($G37,為替!$A:$AX,$I37,FALSE)))</f>
        <v/>
      </c>
      <c r="K37" s="205" t="str">
        <f t="shared" si="5"/>
        <v/>
      </c>
      <c r="L37" s="189" t="str">
        <f t="shared" si="1"/>
        <v/>
      </c>
      <c r="M37" s="204" t="str">
        <f>IF($H37="USD",IF(OR($L37="",$L37="-"),"",VLOOKUP($G37,為替!$A:$AX,$L37,FALSE))+$K$3,IF(OR($L37="",$L37="-"),"",VLOOKUP($G37,為替!$A:$AX,$L37,FALSE)))</f>
        <v/>
      </c>
      <c r="N37" s="205" t="str">
        <f t="shared" si="2"/>
        <v/>
      </c>
      <c r="O37" s="206" t="str">
        <f t="shared" si="0"/>
        <v/>
      </c>
      <c r="P37" s="207" t="str">
        <f t="shared" si="3"/>
        <v/>
      </c>
    </row>
    <row r="38" spans="3:16">
      <c r="C38" s="200"/>
      <c r="D38" s="201"/>
      <c r="E38" s="202"/>
      <c r="F38" s="200"/>
      <c r="H38" s="203"/>
      <c r="I38" s="186" t="str">
        <f t="shared" si="4"/>
        <v/>
      </c>
      <c r="J38" s="204" t="str">
        <f>IF($H38="USD",IF(OR($I38="",$I38="-"),"",VLOOKUP($G38,為替!$A:$AX,$I38,FALSE))+$J$3,IF(OR($I38="",$I38="-"),"",VLOOKUP($G38,為替!$A:$AX,$I38,FALSE)))</f>
        <v/>
      </c>
      <c r="K38" s="205" t="str">
        <f t="shared" si="5"/>
        <v/>
      </c>
      <c r="L38" s="189" t="str">
        <f t="shared" si="1"/>
        <v/>
      </c>
      <c r="M38" s="204" t="str">
        <f>IF($H38="USD",IF(OR($L38="",$L38="-"),"",VLOOKUP($G38,為替!$A:$AX,$L38,FALSE))+$K$3,IF(OR($L38="",$L38="-"),"",VLOOKUP($G38,為替!$A:$AX,$L38,FALSE)))</f>
        <v/>
      </c>
      <c r="N38" s="205" t="str">
        <f t="shared" si="2"/>
        <v/>
      </c>
      <c r="O38" s="206" t="str">
        <f t="shared" si="0"/>
        <v/>
      </c>
      <c r="P38" s="207" t="str">
        <f t="shared" si="3"/>
        <v/>
      </c>
    </row>
    <row r="39" spans="3:16">
      <c r="C39" s="200"/>
      <c r="D39" s="201"/>
      <c r="E39" s="202"/>
      <c r="F39" s="200"/>
      <c r="H39" s="203"/>
      <c r="I39" s="186" t="str">
        <f t="shared" si="4"/>
        <v/>
      </c>
      <c r="J39" s="204" t="str">
        <f>IF($H39="USD",IF(OR($I39="",$I39="-"),"",VLOOKUP($G39,為替!$A:$AX,$I39,FALSE))+$J$3,IF(OR($I39="",$I39="-"),"",VLOOKUP($G39,為替!$A:$AX,$I39,FALSE)))</f>
        <v/>
      </c>
      <c r="K39" s="205" t="str">
        <f t="shared" si="5"/>
        <v/>
      </c>
      <c r="L39" s="189" t="str">
        <f t="shared" si="1"/>
        <v/>
      </c>
      <c r="M39" s="204" t="str">
        <f>IF($H39="USD",IF(OR($L39="",$L39="-"),"",VLOOKUP($G39,為替!$A:$AX,$L39,FALSE))+$K$3,IF(OR($L39="",$L39="-"),"",VLOOKUP($G39,為替!$A:$AX,$L39,FALSE)))</f>
        <v/>
      </c>
      <c r="N39" s="205" t="str">
        <f t="shared" si="2"/>
        <v/>
      </c>
      <c r="O39" s="206" t="str">
        <f t="shared" si="0"/>
        <v/>
      </c>
      <c r="P39" s="207" t="str">
        <f t="shared" si="3"/>
        <v/>
      </c>
    </row>
    <row r="40" spans="3:16">
      <c r="C40" s="200"/>
      <c r="D40" s="201"/>
      <c r="E40" s="202"/>
      <c r="F40" s="200"/>
      <c r="H40" s="203"/>
      <c r="I40" s="186" t="str">
        <f t="shared" si="4"/>
        <v/>
      </c>
      <c r="J40" s="204" t="str">
        <f>IF($H40="USD",IF(OR($I40="",$I40="-"),"",VLOOKUP($G40,為替!$A:$AX,$I40,FALSE))+$J$3,IF(OR($I40="",$I40="-"),"",VLOOKUP($G40,為替!$A:$AX,$I40,FALSE)))</f>
        <v/>
      </c>
      <c r="K40" s="205" t="str">
        <f t="shared" si="5"/>
        <v/>
      </c>
      <c r="L40" s="189" t="str">
        <f t="shared" si="1"/>
        <v/>
      </c>
      <c r="M40" s="204" t="str">
        <f>IF($H40="USD",IF(OR($L40="",$L40="-"),"",VLOOKUP($G40,為替!$A:$AX,$L40,FALSE))+$K$3,IF(OR($L40="",$L40="-"),"",VLOOKUP($G40,為替!$A:$AX,$L40,FALSE)))</f>
        <v/>
      </c>
      <c r="N40" s="205" t="str">
        <f t="shared" si="2"/>
        <v/>
      </c>
      <c r="O40" s="206" t="str">
        <f t="shared" si="0"/>
        <v/>
      </c>
      <c r="P40" s="207" t="str">
        <f t="shared" si="3"/>
        <v/>
      </c>
    </row>
    <row r="41" spans="3:16">
      <c r="C41" s="200"/>
      <c r="D41" s="201"/>
      <c r="E41" s="202"/>
      <c r="F41" s="200"/>
      <c r="H41" s="203"/>
      <c r="I41" s="186" t="str">
        <f t="shared" si="4"/>
        <v/>
      </c>
      <c r="J41" s="204" t="str">
        <f>IF($H41="USD",IF(OR($I41="",$I41="-"),"",VLOOKUP($G41,為替!$A:$AX,$I41,FALSE))+$J$3,IF(OR($I41="",$I41="-"),"",VLOOKUP($G41,為替!$A:$AX,$I41,FALSE)))</f>
        <v/>
      </c>
      <c r="K41" s="205" t="str">
        <f t="shared" si="5"/>
        <v/>
      </c>
      <c r="L41" s="189" t="str">
        <f t="shared" si="1"/>
        <v/>
      </c>
      <c r="M41" s="204" t="str">
        <f>IF($H41="USD",IF(OR($L41="",$L41="-"),"",VLOOKUP($G41,為替!$A:$AX,$L41,FALSE))+$K$3,IF(OR($L41="",$L41="-"),"",VLOOKUP($G41,為替!$A:$AX,$L41,FALSE)))</f>
        <v/>
      </c>
      <c r="N41" s="205" t="str">
        <f t="shared" si="2"/>
        <v/>
      </c>
      <c r="O41" s="206" t="str">
        <f t="shared" si="0"/>
        <v/>
      </c>
      <c r="P41" s="207" t="str">
        <f t="shared" si="3"/>
        <v/>
      </c>
    </row>
    <row r="42" spans="3:16">
      <c r="C42" s="200"/>
      <c r="D42" s="201"/>
      <c r="E42" s="202"/>
      <c r="F42" s="200"/>
      <c r="H42" s="203"/>
      <c r="I42" s="186" t="str">
        <f t="shared" si="4"/>
        <v/>
      </c>
      <c r="J42" s="204" t="str">
        <f>IF($H42="USD",IF(OR($I42="",$I42="-"),"",VLOOKUP($G42,為替!$A:$AX,$I42,FALSE))+$J$3,IF(OR($I42="",$I42="-"),"",VLOOKUP($G42,為替!$A:$AX,$I42,FALSE)))</f>
        <v/>
      </c>
      <c r="K42" s="205" t="str">
        <f t="shared" si="5"/>
        <v/>
      </c>
      <c r="L42" s="189" t="str">
        <f t="shared" si="1"/>
        <v/>
      </c>
      <c r="M42" s="204" t="str">
        <f>IF($H42="USD",IF(OR($L42="",$L42="-"),"",VLOOKUP($G42,為替!$A:$AX,$L42,FALSE))+$K$3,IF(OR($L42="",$L42="-"),"",VLOOKUP($G42,為替!$A:$AX,$L42,FALSE)))</f>
        <v/>
      </c>
      <c r="N42" s="205" t="str">
        <f t="shared" si="2"/>
        <v/>
      </c>
      <c r="O42" s="206" t="str">
        <f t="shared" si="0"/>
        <v/>
      </c>
      <c r="P42" s="207" t="str">
        <f t="shared" si="3"/>
        <v/>
      </c>
    </row>
    <row r="43" spans="3:16">
      <c r="C43" s="200"/>
      <c r="D43" s="201"/>
      <c r="E43" s="202"/>
      <c r="F43" s="200"/>
      <c r="H43" s="203"/>
      <c r="I43" s="186" t="str">
        <f t="shared" si="4"/>
        <v/>
      </c>
      <c r="J43" s="204" t="str">
        <f>IF($H43="USD",IF(OR($I43="",$I43="-"),"",VLOOKUP($G43,為替!$A:$AX,$I43,FALSE))+$J$3,IF(OR($I43="",$I43="-"),"",VLOOKUP($G43,為替!$A:$AX,$I43,FALSE)))</f>
        <v/>
      </c>
      <c r="K43" s="205" t="str">
        <f t="shared" si="5"/>
        <v/>
      </c>
      <c r="L43" s="189" t="str">
        <f t="shared" si="1"/>
        <v/>
      </c>
      <c r="M43" s="204" t="str">
        <f>IF($H43="USD",IF(OR($L43="",$L43="-"),"",VLOOKUP($G43,為替!$A:$AX,$L43,FALSE))+$K$3,IF(OR($L43="",$L43="-"),"",VLOOKUP($G43,為替!$A:$AX,$L43,FALSE)))</f>
        <v/>
      </c>
      <c r="N43" s="205" t="str">
        <f t="shared" si="2"/>
        <v/>
      </c>
      <c r="O43" s="206" t="str">
        <f t="shared" si="0"/>
        <v/>
      </c>
      <c r="P43" s="207" t="str">
        <f t="shared" si="3"/>
        <v/>
      </c>
    </row>
    <row r="44" spans="3:16">
      <c r="C44" s="200"/>
      <c r="D44" s="201"/>
      <c r="E44" s="202"/>
      <c r="F44" s="200"/>
      <c r="H44" s="203"/>
      <c r="I44" s="186" t="str">
        <f t="shared" si="4"/>
        <v/>
      </c>
      <c r="J44" s="204" t="str">
        <f>IF($H44="USD",IF(OR($I44="",$I44="-"),"",VLOOKUP($G44,為替!$A:$AX,$I44,FALSE))+$J$3,IF(OR($I44="",$I44="-"),"",VLOOKUP($G44,為替!$A:$AX,$I44,FALSE)))</f>
        <v/>
      </c>
      <c r="K44" s="205" t="str">
        <f t="shared" si="5"/>
        <v/>
      </c>
      <c r="L44" s="189" t="str">
        <f t="shared" si="1"/>
        <v/>
      </c>
      <c r="M44" s="204" t="str">
        <f>IF($H44="USD",IF(OR($L44="",$L44="-"),"",VLOOKUP($G44,為替!$A:$AX,$L44,FALSE))+$K$3,IF(OR($L44="",$L44="-"),"",VLOOKUP($G44,為替!$A:$AX,$L44,FALSE)))</f>
        <v/>
      </c>
      <c r="N44" s="205" t="str">
        <f t="shared" si="2"/>
        <v/>
      </c>
      <c r="O44" s="206" t="str">
        <f t="shared" si="0"/>
        <v/>
      </c>
      <c r="P44" s="207" t="str">
        <f t="shared" si="3"/>
        <v/>
      </c>
    </row>
    <row r="45" spans="3:16">
      <c r="C45" s="200"/>
      <c r="D45" s="201"/>
      <c r="E45" s="202"/>
      <c r="F45" s="200"/>
      <c r="H45" s="203"/>
      <c r="I45" s="186" t="str">
        <f t="shared" si="4"/>
        <v/>
      </c>
      <c r="J45" s="204" t="str">
        <f>IF($H45="USD",IF(OR($I45="",$I45="-"),"",VLOOKUP($G45,為替!$A:$AX,$I45,FALSE))+$J$3,IF(OR($I45="",$I45="-"),"",VLOOKUP($G45,為替!$A:$AX,$I45,FALSE)))</f>
        <v/>
      </c>
      <c r="K45" s="205" t="str">
        <f t="shared" si="5"/>
        <v/>
      </c>
      <c r="L45" s="189" t="str">
        <f t="shared" si="1"/>
        <v/>
      </c>
      <c r="M45" s="204" t="str">
        <f>IF($H45="USD",IF(OR($L45="",$L45="-"),"",VLOOKUP($G45,為替!$A:$AX,$L45,FALSE))+$K$3,IF(OR($L45="",$L45="-"),"",VLOOKUP($G45,為替!$A:$AX,$L45,FALSE)))</f>
        <v/>
      </c>
      <c r="N45" s="205" t="str">
        <f t="shared" si="2"/>
        <v/>
      </c>
      <c r="O45" s="206" t="str">
        <f t="shared" si="0"/>
        <v/>
      </c>
      <c r="P45" s="207" t="str">
        <f t="shared" si="3"/>
        <v/>
      </c>
    </row>
    <row r="46" spans="3:16">
      <c r="C46" s="200"/>
      <c r="D46" s="201"/>
      <c r="E46" s="202"/>
      <c r="F46" s="200"/>
      <c r="H46" s="203"/>
      <c r="I46" s="186" t="str">
        <f t="shared" si="4"/>
        <v/>
      </c>
      <c r="J46" s="204" t="str">
        <f>IF($H46="USD",IF(OR($I46="",$I46="-"),"",VLOOKUP($G46,為替!$A:$AX,$I46,FALSE))+$J$3,IF(OR($I46="",$I46="-"),"",VLOOKUP($G46,為替!$A:$AX,$I46,FALSE)))</f>
        <v/>
      </c>
      <c r="K46" s="205" t="str">
        <f t="shared" si="5"/>
        <v/>
      </c>
      <c r="L46" s="189" t="str">
        <f t="shared" si="1"/>
        <v/>
      </c>
      <c r="M46" s="204" t="str">
        <f>IF($H46="USD",IF(OR($L46="",$L46="-"),"",VLOOKUP($G46,為替!$A:$AX,$L46,FALSE))+$K$3,IF(OR($L46="",$L46="-"),"",VLOOKUP($G46,為替!$A:$AX,$L46,FALSE)))</f>
        <v/>
      </c>
      <c r="N46" s="205" t="str">
        <f t="shared" si="2"/>
        <v/>
      </c>
      <c r="O46" s="206" t="str">
        <f t="shared" si="0"/>
        <v/>
      </c>
      <c r="P46" s="207" t="str">
        <f t="shared" si="3"/>
        <v/>
      </c>
    </row>
    <row r="47" spans="3:16">
      <c r="C47" s="200"/>
      <c r="D47" s="201"/>
      <c r="E47" s="202"/>
      <c r="F47" s="200"/>
      <c r="H47" s="203"/>
      <c r="I47" s="186" t="str">
        <f t="shared" si="4"/>
        <v/>
      </c>
      <c r="J47" s="204" t="str">
        <f>IF($H47="USD",IF(OR($I47="",$I47="-"),"",VLOOKUP($G47,為替!$A:$AX,$I47,FALSE))+$J$3,IF(OR($I47="",$I47="-"),"",VLOOKUP($G47,為替!$A:$AX,$I47,FALSE)))</f>
        <v/>
      </c>
      <c r="K47" s="205" t="str">
        <f t="shared" si="5"/>
        <v/>
      </c>
      <c r="L47" s="189" t="str">
        <f t="shared" si="1"/>
        <v/>
      </c>
      <c r="M47" s="204" t="str">
        <f>IF($H47="USD",IF(OR($L47="",$L47="-"),"",VLOOKUP($G47,為替!$A:$AX,$L47,FALSE))+$K$3,IF(OR($L47="",$L47="-"),"",VLOOKUP($G47,為替!$A:$AX,$L47,FALSE)))</f>
        <v/>
      </c>
      <c r="N47" s="205" t="str">
        <f t="shared" si="2"/>
        <v/>
      </c>
      <c r="O47" s="206" t="str">
        <f t="shared" si="0"/>
        <v/>
      </c>
      <c r="P47" s="207" t="str">
        <f t="shared" si="3"/>
        <v/>
      </c>
    </row>
    <row r="48" spans="3:16">
      <c r="C48" s="200"/>
      <c r="D48" s="201"/>
      <c r="E48" s="202"/>
      <c r="F48" s="200"/>
      <c r="H48" s="203"/>
      <c r="I48" s="186" t="str">
        <f t="shared" si="4"/>
        <v/>
      </c>
      <c r="J48" s="204" t="str">
        <f>IF($H48="USD",IF(OR($I48="",$I48="-"),"",VLOOKUP($G48,為替!$A:$AX,$I48,FALSE))+$J$3,IF(OR($I48="",$I48="-"),"",VLOOKUP($G48,為替!$A:$AX,$I48,FALSE)))</f>
        <v/>
      </c>
      <c r="K48" s="205" t="str">
        <f t="shared" si="5"/>
        <v/>
      </c>
      <c r="L48" s="189" t="str">
        <f t="shared" si="1"/>
        <v/>
      </c>
      <c r="M48" s="204" t="str">
        <f>IF($H48="USD",IF(OR($L48="",$L48="-"),"",VLOOKUP($G48,為替!$A:$AX,$L48,FALSE))+$K$3,IF(OR($L48="",$L48="-"),"",VLOOKUP($G48,為替!$A:$AX,$L48,FALSE)))</f>
        <v/>
      </c>
      <c r="N48" s="205" t="str">
        <f t="shared" si="2"/>
        <v/>
      </c>
      <c r="O48" s="206" t="str">
        <f t="shared" si="0"/>
        <v/>
      </c>
      <c r="P48" s="207" t="str">
        <f t="shared" si="3"/>
        <v/>
      </c>
    </row>
    <row r="49" spans="3:16">
      <c r="C49" s="200"/>
      <c r="D49" s="201"/>
      <c r="E49" s="202"/>
      <c r="F49" s="200"/>
      <c r="H49" s="203"/>
      <c r="I49" s="186" t="str">
        <f t="shared" si="4"/>
        <v/>
      </c>
      <c r="J49" s="204" t="str">
        <f>IF($H49="USD",IF(OR($I49="",$I49="-"),"",VLOOKUP($G49,為替!$A:$AX,$I49,FALSE))+$J$3,IF(OR($I49="",$I49="-"),"",VLOOKUP($G49,為替!$A:$AX,$I49,FALSE)))</f>
        <v/>
      </c>
      <c r="K49" s="205" t="str">
        <f t="shared" si="5"/>
        <v/>
      </c>
      <c r="L49" s="189" t="str">
        <f t="shared" si="1"/>
        <v/>
      </c>
      <c r="M49" s="204" t="str">
        <f>IF($H49="USD",IF(OR($L49="",$L49="-"),"",VLOOKUP($G49,為替!$A:$AX,$L49,FALSE))+$K$3,IF(OR($L49="",$L49="-"),"",VLOOKUP($G49,為替!$A:$AX,$L49,FALSE)))</f>
        <v/>
      </c>
      <c r="N49" s="205" t="str">
        <f t="shared" si="2"/>
        <v/>
      </c>
      <c r="O49" s="206" t="str">
        <f t="shared" si="0"/>
        <v/>
      </c>
      <c r="P49" s="207" t="str">
        <f t="shared" si="3"/>
        <v/>
      </c>
    </row>
    <row r="50" spans="3:16">
      <c r="C50" s="200"/>
      <c r="D50" s="201"/>
      <c r="E50" s="202"/>
      <c r="F50" s="200"/>
      <c r="H50" s="203"/>
      <c r="I50" s="186" t="str">
        <f t="shared" si="4"/>
        <v/>
      </c>
      <c r="J50" s="204" t="str">
        <f>IF($H50="USD",IF(OR($I50="",$I50="-"),"",VLOOKUP($G50,為替!$A:$AX,$I50,FALSE))+$J$3,IF(OR($I50="",$I50="-"),"",VLOOKUP($G50,為替!$A:$AX,$I50,FALSE)))</f>
        <v/>
      </c>
      <c r="K50" s="205" t="str">
        <f t="shared" si="5"/>
        <v/>
      </c>
      <c r="L50" s="189" t="str">
        <f t="shared" si="1"/>
        <v/>
      </c>
      <c r="M50" s="204" t="str">
        <f>IF($H50="USD",IF(OR($L50="",$L50="-"),"",VLOOKUP($G50,為替!$A:$AX,$L50,FALSE))+$K$3,IF(OR($L50="",$L50="-"),"",VLOOKUP($G50,為替!$A:$AX,$L50,FALSE)))</f>
        <v/>
      </c>
      <c r="N50" s="205" t="str">
        <f t="shared" si="2"/>
        <v/>
      </c>
      <c r="O50" s="206" t="str">
        <f t="shared" si="0"/>
        <v/>
      </c>
      <c r="P50" s="207" t="str">
        <f t="shared" si="3"/>
        <v/>
      </c>
    </row>
    <row r="51" spans="3:16">
      <c r="C51" s="200"/>
      <c r="D51" s="201"/>
      <c r="E51" s="202"/>
      <c r="F51" s="200"/>
      <c r="H51" s="203"/>
      <c r="I51" s="186" t="str">
        <f t="shared" si="4"/>
        <v/>
      </c>
      <c r="J51" s="204" t="str">
        <f>IF($H51="USD",IF(OR($I51="",$I51="-"),"",VLOOKUP($G51,為替!$A:$AX,$I51,FALSE))+$J$3,IF(OR($I51="",$I51="-"),"",VLOOKUP($G51,為替!$A:$AX,$I51,FALSE)))</f>
        <v/>
      </c>
      <c r="K51" s="205" t="str">
        <f t="shared" si="5"/>
        <v/>
      </c>
      <c r="L51" s="189" t="str">
        <f t="shared" si="1"/>
        <v/>
      </c>
      <c r="M51" s="204" t="str">
        <f>IF($H51="USD",IF(OR($L51="",$L51="-"),"",VLOOKUP($G51,為替!$A:$AX,$L51,FALSE))+$K$3,IF(OR($L51="",$L51="-"),"",VLOOKUP($G51,為替!$A:$AX,$L51,FALSE)))</f>
        <v/>
      </c>
      <c r="N51" s="205" t="str">
        <f t="shared" si="2"/>
        <v/>
      </c>
      <c r="O51" s="206" t="str">
        <f t="shared" si="0"/>
        <v/>
      </c>
      <c r="P51" s="207" t="str">
        <f t="shared" si="3"/>
        <v/>
      </c>
    </row>
    <row r="52" spans="3:16">
      <c r="C52" s="200"/>
      <c r="D52" s="201"/>
      <c r="E52" s="202"/>
      <c r="F52" s="200"/>
      <c r="H52" s="203"/>
      <c r="I52" s="186" t="str">
        <f t="shared" si="4"/>
        <v/>
      </c>
      <c r="J52" s="204" t="str">
        <f>IF($H52="USD",IF(OR($I52="",$I52="-"),"",VLOOKUP($G52,為替!$A:$AX,$I52,FALSE))+$J$3,IF(OR($I52="",$I52="-"),"",VLOOKUP($G52,為替!$A:$AX,$I52,FALSE)))</f>
        <v/>
      </c>
      <c r="K52" s="205" t="str">
        <f t="shared" si="5"/>
        <v/>
      </c>
      <c r="L52" s="189" t="str">
        <f t="shared" si="1"/>
        <v/>
      </c>
      <c r="M52" s="204" t="str">
        <f>IF($H52="USD",IF(OR($L52="",$L52="-"),"",VLOOKUP($G52,為替!$A:$AX,$L52,FALSE))+$K$3,IF(OR($L52="",$L52="-"),"",VLOOKUP($G52,為替!$A:$AX,$L52,FALSE)))</f>
        <v/>
      </c>
      <c r="N52" s="205" t="str">
        <f t="shared" si="2"/>
        <v/>
      </c>
      <c r="O52" s="206" t="str">
        <f t="shared" si="0"/>
        <v/>
      </c>
      <c r="P52" s="207" t="str">
        <f t="shared" si="3"/>
        <v/>
      </c>
    </row>
    <row r="53" spans="3:16">
      <c r="C53" s="200"/>
      <c r="D53" s="201"/>
      <c r="E53" s="202"/>
      <c r="F53" s="200"/>
      <c r="H53" s="203"/>
      <c r="I53" s="186" t="str">
        <f t="shared" si="4"/>
        <v/>
      </c>
      <c r="J53" s="204" t="str">
        <f>IF($H53="USD",IF(OR($I53="",$I53="-"),"",VLOOKUP($G53,為替!$A:$AX,$I53,FALSE))+$J$3,IF(OR($I53="",$I53="-"),"",VLOOKUP($G53,為替!$A:$AX,$I53,FALSE)))</f>
        <v/>
      </c>
      <c r="K53" s="205" t="str">
        <f t="shared" si="5"/>
        <v/>
      </c>
      <c r="L53" s="189" t="str">
        <f t="shared" si="1"/>
        <v/>
      </c>
      <c r="M53" s="204" t="str">
        <f>IF($H53="USD",IF(OR($L53="",$L53="-"),"",VLOOKUP($G53,為替!$A:$AX,$L53,FALSE))+$K$3,IF(OR($L53="",$L53="-"),"",VLOOKUP($G53,為替!$A:$AX,$L53,FALSE)))</f>
        <v/>
      </c>
      <c r="N53" s="205" t="str">
        <f t="shared" si="2"/>
        <v/>
      </c>
      <c r="O53" s="206" t="str">
        <f t="shared" si="0"/>
        <v/>
      </c>
      <c r="P53" s="207" t="str">
        <f t="shared" si="3"/>
        <v/>
      </c>
    </row>
    <row r="54" spans="3:16">
      <c r="C54" s="200"/>
      <c r="D54" s="201"/>
      <c r="E54" s="202"/>
      <c r="F54" s="200"/>
      <c r="H54" s="203"/>
      <c r="I54" s="186" t="str">
        <f t="shared" si="4"/>
        <v/>
      </c>
      <c r="J54" s="204" t="str">
        <f>IF($H54="USD",IF(OR($I54="",$I54="-"),"",VLOOKUP($G54,為替!$A:$AX,$I54,FALSE))+$J$3,IF(OR($I54="",$I54="-"),"",VLOOKUP($G54,為替!$A:$AX,$I54,FALSE)))</f>
        <v/>
      </c>
      <c r="K54" s="205" t="str">
        <f t="shared" si="5"/>
        <v/>
      </c>
      <c r="L54" s="189" t="str">
        <f t="shared" si="1"/>
        <v/>
      </c>
      <c r="M54" s="204" t="str">
        <f>IF($H54="USD",IF(OR($L54="",$L54="-"),"",VLOOKUP($G54,為替!$A:$AX,$L54,FALSE))+$K$3,IF(OR($L54="",$L54="-"),"",VLOOKUP($G54,為替!$A:$AX,$L54,FALSE)))</f>
        <v/>
      </c>
      <c r="N54" s="205" t="str">
        <f t="shared" si="2"/>
        <v/>
      </c>
      <c r="O54" s="206" t="str">
        <f t="shared" si="0"/>
        <v/>
      </c>
      <c r="P54" s="207" t="str">
        <f t="shared" si="3"/>
        <v/>
      </c>
    </row>
    <row r="55" spans="3:16">
      <c r="C55" s="200"/>
      <c r="D55" s="201"/>
      <c r="E55" s="202"/>
      <c r="F55" s="200"/>
      <c r="H55" s="203"/>
      <c r="I55" s="186" t="str">
        <f t="shared" si="4"/>
        <v/>
      </c>
      <c r="J55" s="204" t="str">
        <f>IF($H55="USD",IF(OR($I55="",$I55="-"),"",VLOOKUP($G55,為替!$A:$AX,$I55,FALSE))+$J$3,IF(OR($I55="",$I55="-"),"",VLOOKUP($G55,為替!$A:$AX,$I55,FALSE)))</f>
        <v/>
      </c>
      <c r="K55" s="205" t="str">
        <f t="shared" si="5"/>
        <v/>
      </c>
      <c r="L55" s="189" t="str">
        <f t="shared" si="1"/>
        <v/>
      </c>
      <c r="M55" s="204" t="str">
        <f>IF($H55="USD",IF(OR($L55="",$L55="-"),"",VLOOKUP($G55,為替!$A:$AX,$L55,FALSE))+$K$3,IF(OR($L55="",$L55="-"),"",VLOOKUP($G55,為替!$A:$AX,$L55,FALSE)))</f>
        <v/>
      </c>
      <c r="N55" s="205" t="str">
        <f t="shared" si="2"/>
        <v/>
      </c>
      <c r="O55" s="206" t="str">
        <f t="shared" si="0"/>
        <v/>
      </c>
      <c r="P55" s="207" t="str">
        <f t="shared" si="3"/>
        <v/>
      </c>
    </row>
    <row r="56" spans="3:16">
      <c r="C56" s="200"/>
      <c r="D56" s="201"/>
      <c r="E56" s="202"/>
      <c r="F56" s="200"/>
      <c r="H56" s="203"/>
      <c r="I56" s="186" t="str">
        <f t="shared" si="4"/>
        <v/>
      </c>
      <c r="J56" s="204" t="str">
        <f>IF($H56="USD",IF(OR($I56="",$I56="-"),"",VLOOKUP($G56,為替!$A:$AX,$I56,FALSE))+$J$3,IF(OR($I56="",$I56="-"),"",VLOOKUP($G56,為替!$A:$AX,$I56,FALSE)))</f>
        <v/>
      </c>
      <c r="K56" s="205" t="str">
        <f t="shared" si="5"/>
        <v/>
      </c>
      <c r="L56" s="189" t="str">
        <f t="shared" si="1"/>
        <v/>
      </c>
      <c r="M56" s="204" t="str">
        <f>IF($H56="USD",IF(OR($L56="",$L56="-"),"",VLOOKUP($G56,為替!$A:$AX,$L56,FALSE))+$K$3,IF(OR($L56="",$L56="-"),"",VLOOKUP($G56,為替!$A:$AX,$L56,FALSE)))</f>
        <v/>
      </c>
      <c r="N56" s="205" t="str">
        <f t="shared" si="2"/>
        <v/>
      </c>
      <c r="O56" s="206" t="str">
        <f t="shared" si="0"/>
        <v/>
      </c>
      <c r="P56" s="207" t="str">
        <f t="shared" si="3"/>
        <v/>
      </c>
    </row>
    <row r="57" spans="3:16">
      <c r="C57" s="200"/>
      <c r="D57" s="201"/>
      <c r="E57" s="202"/>
      <c r="F57" s="200"/>
      <c r="H57" s="203"/>
      <c r="I57" s="186" t="str">
        <f t="shared" si="4"/>
        <v/>
      </c>
      <c r="J57" s="204" t="str">
        <f>IF($H57="USD",IF(OR($I57="",$I57="-"),"",VLOOKUP($G57,為替!$A:$AX,$I57,FALSE))+$J$3,IF(OR($I57="",$I57="-"),"",VLOOKUP($G57,為替!$A:$AX,$I57,FALSE)))</f>
        <v/>
      </c>
      <c r="K57" s="205" t="str">
        <f t="shared" si="5"/>
        <v/>
      </c>
      <c r="L57" s="189" t="str">
        <f t="shared" si="1"/>
        <v/>
      </c>
      <c r="M57" s="204" t="str">
        <f>IF($H57="USD",IF(OR($L57="",$L57="-"),"",VLOOKUP($G57,為替!$A:$AX,$L57,FALSE))+$K$3,IF(OR($L57="",$L57="-"),"",VLOOKUP($G57,為替!$A:$AX,$L57,FALSE)))</f>
        <v/>
      </c>
      <c r="N57" s="205" t="str">
        <f t="shared" si="2"/>
        <v/>
      </c>
      <c r="O57" s="206" t="str">
        <f t="shared" si="0"/>
        <v/>
      </c>
      <c r="P57" s="207" t="str">
        <f t="shared" si="3"/>
        <v/>
      </c>
    </row>
    <row r="58" spans="3:16">
      <c r="C58" s="200"/>
      <c r="D58" s="201"/>
      <c r="E58" s="202"/>
      <c r="F58" s="200"/>
      <c r="H58" s="203"/>
      <c r="I58" s="186" t="str">
        <f t="shared" si="4"/>
        <v/>
      </c>
      <c r="J58" s="204" t="str">
        <f>IF($H58="USD",IF(OR($I58="",$I58="-"),"",VLOOKUP($G58,為替!$A:$AX,$I58,FALSE))+$J$3,IF(OR($I58="",$I58="-"),"",VLOOKUP($G58,為替!$A:$AX,$I58,FALSE)))</f>
        <v/>
      </c>
      <c r="K58" s="205" t="str">
        <f t="shared" si="5"/>
        <v/>
      </c>
      <c r="L58" s="189" t="str">
        <f t="shared" si="1"/>
        <v/>
      </c>
      <c r="M58" s="204" t="str">
        <f>IF($H58="USD",IF(OR($L58="",$L58="-"),"",VLOOKUP($G58,為替!$A:$AX,$L58,FALSE))+$K$3,IF(OR($L58="",$L58="-"),"",VLOOKUP($G58,為替!$A:$AX,$L58,FALSE)))</f>
        <v/>
      </c>
      <c r="N58" s="205" t="str">
        <f t="shared" si="2"/>
        <v/>
      </c>
      <c r="O58" s="206" t="str">
        <f t="shared" si="0"/>
        <v/>
      </c>
      <c r="P58" s="207" t="str">
        <f t="shared" si="3"/>
        <v/>
      </c>
    </row>
    <row r="59" spans="3:16">
      <c r="C59" s="200"/>
      <c r="D59" s="201"/>
      <c r="E59" s="202"/>
      <c r="F59" s="200"/>
      <c r="H59" s="203"/>
      <c r="I59" s="186" t="str">
        <f t="shared" si="4"/>
        <v/>
      </c>
      <c r="J59" s="204" t="str">
        <f>IF($H59="USD",IF(OR($I59="",$I59="-"),"",VLOOKUP($G59,為替!$A:$AX,$I59,FALSE))+$J$3,IF(OR($I59="",$I59="-"),"",VLOOKUP($G59,為替!$A:$AX,$I59,FALSE)))</f>
        <v/>
      </c>
      <c r="K59" s="205" t="str">
        <f t="shared" si="5"/>
        <v/>
      </c>
      <c r="L59" s="189" t="str">
        <f t="shared" si="1"/>
        <v/>
      </c>
      <c r="M59" s="204" t="str">
        <f>IF($H59="USD",IF(OR($L59="",$L59="-"),"",VLOOKUP($G59,為替!$A:$AX,$L59,FALSE))+$K$3,IF(OR($L59="",$L59="-"),"",VLOOKUP($G59,為替!$A:$AX,$L59,FALSE)))</f>
        <v/>
      </c>
      <c r="N59" s="205" t="str">
        <f t="shared" si="2"/>
        <v/>
      </c>
      <c r="O59" s="206" t="str">
        <f t="shared" si="0"/>
        <v/>
      </c>
      <c r="P59" s="207" t="str">
        <f t="shared" si="3"/>
        <v/>
      </c>
    </row>
    <row r="60" spans="3:16">
      <c r="C60" s="200"/>
      <c r="D60" s="201"/>
      <c r="E60" s="202"/>
      <c r="F60" s="200"/>
      <c r="H60" s="203"/>
      <c r="I60" s="186" t="str">
        <f t="shared" si="4"/>
        <v/>
      </c>
      <c r="J60" s="204" t="str">
        <f>IF($H60="USD",IF(OR($I60="",$I60="-"),"",VLOOKUP($G60,為替!$A:$AX,$I60,FALSE))+$J$3,IF(OR($I60="",$I60="-"),"",VLOOKUP($G60,為替!$A:$AX,$I60,FALSE)))</f>
        <v/>
      </c>
      <c r="K60" s="205" t="str">
        <f t="shared" si="5"/>
        <v/>
      </c>
      <c r="L60" s="189" t="str">
        <f t="shared" si="1"/>
        <v/>
      </c>
      <c r="M60" s="204" t="str">
        <f>IF($H60="USD",IF(OR($L60="",$L60="-"),"",VLOOKUP($G60,為替!$A:$AX,$L60,FALSE))+$K$3,IF(OR($L60="",$L60="-"),"",VLOOKUP($G60,為替!$A:$AX,$L60,FALSE)))</f>
        <v/>
      </c>
      <c r="N60" s="205" t="str">
        <f t="shared" si="2"/>
        <v/>
      </c>
      <c r="O60" s="206" t="str">
        <f t="shared" si="0"/>
        <v/>
      </c>
      <c r="P60" s="207" t="str">
        <f t="shared" si="3"/>
        <v/>
      </c>
    </row>
    <row r="61" spans="3:16">
      <c r="C61" s="200"/>
      <c r="D61" s="201"/>
      <c r="E61" s="202"/>
      <c r="F61" s="200"/>
      <c r="H61" s="203"/>
      <c r="I61" s="186" t="str">
        <f t="shared" si="4"/>
        <v/>
      </c>
      <c r="J61" s="204" t="str">
        <f>IF($H61="USD",IF(OR($I61="",$I61="-"),"",VLOOKUP($G61,為替!$A:$AX,$I61,FALSE))+$J$3,IF(OR($I61="",$I61="-"),"",VLOOKUP($G61,為替!$A:$AX,$I61,FALSE)))</f>
        <v/>
      </c>
      <c r="K61" s="205" t="str">
        <f t="shared" si="5"/>
        <v/>
      </c>
      <c r="L61" s="189" t="str">
        <f t="shared" si="1"/>
        <v/>
      </c>
      <c r="M61" s="204" t="str">
        <f>IF($H61="USD",IF(OR($L61="",$L61="-"),"",VLOOKUP($G61,為替!$A:$AX,$L61,FALSE))+$K$3,IF(OR($L61="",$L61="-"),"",VLOOKUP($G61,為替!$A:$AX,$L61,FALSE)))</f>
        <v/>
      </c>
      <c r="N61" s="205" t="str">
        <f t="shared" si="2"/>
        <v/>
      </c>
      <c r="O61" s="206" t="str">
        <f t="shared" si="0"/>
        <v/>
      </c>
      <c r="P61" s="207" t="str">
        <f t="shared" si="3"/>
        <v/>
      </c>
    </row>
    <row r="62" spans="3:16">
      <c r="C62" s="200"/>
      <c r="D62" s="201"/>
      <c r="E62" s="202"/>
      <c r="F62" s="200"/>
      <c r="H62" s="203"/>
      <c r="I62" s="186" t="str">
        <f t="shared" si="4"/>
        <v/>
      </c>
      <c r="J62" s="204" t="str">
        <f>IF($H62="USD",IF(OR($I62="",$I62="-"),"",VLOOKUP($G62,為替!$A:$AX,$I62,FALSE))+$J$3,IF(OR($I62="",$I62="-"),"",VLOOKUP($G62,為替!$A:$AX,$I62,FALSE)))</f>
        <v/>
      </c>
      <c r="K62" s="205" t="str">
        <f t="shared" si="5"/>
        <v/>
      </c>
      <c r="L62" s="189" t="str">
        <f t="shared" si="1"/>
        <v/>
      </c>
      <c r="M62" s="204" t="str">
        <f>IF($H62="USD",IF(OR($L62="",$L62="-"),"",VLOOKUP($G62,為替!$A:$AX,$L62,FALSE))+$K$3,IF(OR($L62="",$L62="-"),"",VLOOKUP($G62,為替!$A:$AX,$L62,FALSE)))</f>
        <v/>
      </c>
      <c r="N62" s="205" t="str">
        <f t="shared" si="2"/>
        <v/>
      </c>
      <c r="O62" s="206" t="str">
        <f t="shared" si="0"/>
        <v/>
      </c>
      <c r="P62" s="207" t="str">
        <f t="shared" si="3"/>
        <v/>
      </c>
    </row>
    <row r="63" spans="3:16">
      <c r="C63" s="200"/>
      <c r="D63" s="201"/>
      <c r="E63" s="202"/>
      <c r="F63" s="200"/>
      <c r="H63" s="203"/>
      <c r="I63" s="186" t="str">
        <f t="shared" si="4"/>
        <v/>
      </c>
      <c r="J63" s="204" t="str">
        <f>IF($H63="USD",IF(OR($I63="",$I63="-"),"",VLOOKUP($G63,為替!$A:$AX,$I63,FALSE))+$J$3,IF(OR($I63="",$I63="-"),"",VLOOKUP($G63,為替!$A:$AX,$I63,FALSE)))</f>
        <v/>
      </c>
      <c r="K63" s="205" t="str">
        <f t="shared" si="5"/>
        <v/>
      </c>
      <c r="L63" s="189" t="str">
        <f t="shared" si="1"/>
        <v/>
      </c>
      <c r="M63" s="204" t="str">
        <f>IF($H63="USD",IF(OR($L63="",$L63="-"),"",VLOOKUP($G63,為替!$A:$AX,$L63,FALSE))+$K$3,IF(OR($L63="",$L63="-"),"",VLOOKUP($G63,為替!$A:$AX,$L63,FALSE)))</f>
        <v/>
      </c>
      <c r="N63" s="205" t="str">
        <f t="shared" si="2"/>
        <v/>
      </c>
      <c r="O63" s="206" t="str">
        <f t="shared" si="0"/>
        <v/>
      </c>
      <c r="P63" s="207" t="str">
        <f t="shared" si="3"/>
        <v/>
      </c>
    </row>
    <row r="64" spans="3:16">
      <c r="C64" s="200"/>
      <c r="D64" s="201"/>
      <c r="E64" s="202"/>
      <c r="F64" s="200"/>
      <c r="H64" s="203"/>
      <c r="I64" s="186" t="str">
        <f t="shared" si="4"/>
        <v/>
      </c>
      <c r="J64" s="204" t="str">
        <f>IF($H64="USD",IF(OR($I64="",$I64="-"),"",VLOOKUP($G64,為替!$A:$AX,$I64,FALSE))+$J$3,IF(OR($I64="",$I64="-"),"",VLOOKUP($G64,為替!$A:$AX,$I64,FALSE)))</f>
        <v/>
      </c>
      <c r="K64" s="205" t="str">
        <f t="shared" si="5"/>
        <v/>
      </c>
      <c r="L64" s="189" t="str">
        <f t="shared" si="1"/>
        <v/>
      </c>
      <c r="M64" s="204" t="str">
        <f>IF($H64="USD",IF(OR($L64="",$L64="-"),"",VLOOKUP($G64,為替!$A:$AX,$L64,FALSE))+$K$3,IF(OR($L64="",$L64="-"),"",VLOOKUP($G64,為替!$A:$AX,$L64,FALSE)))</f>
        <v/>
      </c>
      <c r="N64" s="205" t="str">
        <f t="shared" si="2"/>
        <v/>
      </c>
      <c r="O64" s="206" t="str">
        <f t="shared" si="0"/>
        <v/>
      </c>
      <c r="P64" s="207" t="str">
        <f t="shared" si="3"/>
        <v/>
      </c>
    </row>
    <row r="65" spans="3:16">
      <c r="C65" s="200"/>
      <c r="D65" s="201"/>
      <c r="E65" s="202"/>
      <c r="F65" s="200"/>
      <c r="H65" s="203"/>
      <c r="I65" s="186" t="str">
        <f t="shared" si="4"/>
        <v/>
      </c>
      <c r="J65" s="204" t="str">
        <f>IF($H65="USD",IF(OR($I65="",$I65="-"),"",VLOOKUP($G65,為替!$A:$AX,$I65,FALSE))+$J$3,IF(OR($I65="",$I65="-"),"",VLOOKUP($G65,為替!$A:$AX,$I65,FALSE)))</f>
        <v/>
      </c>
      <c r="K65" s="205" t="str">
        <f t="shared" si="5"/>
        <v/>
      </c>
      <c r="L65" s="189" t="str">
        <f t="shared" si="1"/>
        <v/>
      </c>
      <c r="M65" s="204" t="str">
        <f>IF($H65="USD",IF(OR($L65="",$L65="-"),"",VLOOKUP($G65,為替!$A:$AX,$L65,FALSE))+$K$3,IF(OR($L65="",$L65="-"),"",VLOOKUP($G65,為替!$A:$AX,$L65,FALSE)))</f>
        <v/>
      </c>
      <c r="N65" s="205" t="str">
        <f t="shared" si="2"/>
        <v/>
      </c>
      <c r="O65" s="206" t="str">
        <f t="shared" si="0"/>
        <v/>
      </c>
      <c r="P65" s="207" t="str">
        <f t="shared" si="3"/>
        <v/>
      </c>
    </row>
    <row r="66" spans="3:16">
      <c r="C66" s="200"/>
      <c r="D66" s="201"/>
      <c r="E66" s="202"/>
      <c r="F66" s="200"/>
      <c r="H66" s="203"/>
      <c r="I66" s="186" t="str">
        <f t="shared" si="4"/>
        <v/>
      </c>
      <c r="J66" s="204" t="str">
        <f>IF($H66="USD",IF(OR($I66="",$I66="-"),"",VLOOKUP($G66,為替!$A:$AX,$I66,FALSE))+$J$3,IF(OR($I66="",$I66="-"),"",VLOOKUP($G66,為替!$A:$AX,$I66,FALSE)))</f>
        <v/>
      </c>
      <c r="K66" s="205" t="str">
        <f t="shared" si="5"/>
        <v/>
      </c>
      <c r="L66" s="189" t="str">
        <f t="shared" si="1"/>
        <v/>
      </c>
      <c r="M66" s="204" t="str">
        <f>IF($H66="USD",IF(OR($L66="",$L66="-"),"",VLOOKUP($G66,為替!$A:$AX,$L66,FALSE))+$K$3,IF(OR($L66="",$L66="-"),"",VLOOKUP($G66,為替!$A:$AX,$L66,FALSE)))</f>
        <v/>
      </c>
      <c r="N66" s="205" t="str">
        <f t="shared" si="2"/>
        <v/>
      </c>
      <c r="O66" s="206" t="str">
        <f t="shared" si="0"/>
        <v/>
      </c>
      <c r="P66" s="207" t="str">
        <f t="shared" si="3"/>
        <v/>
      </c>
    </row>
    <row r="67" spans="3:16">
      <c r="C67" s="200"/>
      <c r="D67" s="201"/>
      <c r="E67" s="202"/>
      <c r="F67" s="200"/>
      <c r="H67" s="203"/>
      <c r="I67" s="186" t="str">
        <f t="shared" si="4"/>
        <v/>
      </c>
      <c r="J67" s="204" t="str">
        <f>IF($H67="USD",IF(OR($I67="",$I67="-"),"",VLOOKUP($G67,為替!$A:$AX,$I67,FALSE))+$J$3,IF(OR($I67="",$I67="-"),"",VLOOKUP($G67,為替!$A:$AX,$I67,FALSE)))</f>
        <v/>
      </c>
      <c r="K67" s="205" t="str">
        <f t="shared" si="5"/>
        <v/>
      </c>
      <c r="L67" s="189" t="str">
        <f t="shared" si="1"/>
        <v/>
      </c>
      <c r="M67" s="204" t="str">
        <f>IF($H67="USD",IF(OR($L67="",$L67="-"),"",VLOOKUP($G67,為替!$A:$AX,$L67,FALSE))+$K$3,IF(OR($L67="",$L67="-"),"",VLOOKUP($G67,為替!$A:$AX,$L67,FALSE)))</f>
        <v/>
      </c>
      <c r="N67" s="205" t="str">
        <f t="shared" si="2"/>
        <v/>
      </c>
      <c r="O67" s="206" t="str">
        <f t="shared" si="0"/>
        <v/>
      </c>
      <c r="P67" s="207" t="str">
        <f t="shared" si="3"/>
        <v/>
      </c>
    </row>
    <row r="68" spans="3:16">
      <c r="C68" s="200"/>
      <c r="D68" s="201"/>
      <c r="E68" s="202"/>
      <c r="F68" s="200"/>
      <c r="H68" s="203"/>
      <c r="I68" s="186" t="str">
        <f t="shared" si="4"/>
        <v/>
      </c>
      <c r="J68" s="204" t="str">
        <f>IF($H68="USD",IF(OR($I68="",$I68="-"),"",VLOOKUP($G68,為替!$A:$AX,$I68,FALSE))+$J$3,IF(OR($I68="",$I68="-"),"",VLOOKUP($G68,為替!$A:$AX,$I68,FALSE)))</f>
        <v/>
      </c>
      <c r="K68" s="205" t="str">
        <f t="shared" si="5"/>
        <v/>
      </c>
      <c r="L68" s="189" t="str">
        <f t="shared" si="1"/>
        <v/>
      </c>
      <c r="M68" s="204" t="str">
        <f>IF($H68="USD",IF(OR($L68="",$L68="-"),"",VLOOKUP($G68,為替!$A:$AX,$L68,FALSE))+$K$3,IF(OR($L68="",$L68="-"),"",VLOOKUP($G68,為替!$A:$AX,$L68,FALSE)))</f>
        <v/>
      </c>
      <c r="N68" s="205" t="str">
        <f t="shared" si="2"/>
        <v/>
      </c>
      <c r="O68" s="206" t="str">
        <f t="shared" si="0"/>
        <v/>
      </c>
      <c r="P68" s="207" t="str">
        <f t="shared" si="3"/>
        <v/>
      </c>
    </row>
    <row r="69" spans="3:16">
      <c r="C69" s="200"/>
      <c r="D69" s="201"/>
      <c r="E69" s="202"/>
      <c r="F69" s="200"/>
      <c r="H69" s="203"/>
      <c r="I69" s="186" t="str">
        <f t="shared" si="4"/>
        <v/>
      </c>
      <c r="J69" s="204" t="str">
        <f>IF($H69="USD",IF(OR($I69="",$I69="-"),"",VLOOKUP($G69,為替!$A:$AX,$I69,FALSE))+$J$3,IF(OR($I69="",$I69="-"),"",VLOOKUP($G69,為替!$A:$AX,$I69,FALSE)))</f>
        <v/>
      </c>
      <c r="K69" s="205" t="str">
        <f t="shared" si="5"/>
        <v/>
      </c>
      <c r="L69" s="189" t="str">
        <f t="shared" si="1"/>
        <v/>
      </c>
      <c r="M69" s="204" t="str">
        <f>IF($H69="USD",IF(OR($L69="",$L69="-"),"",VLOOKUP($G69,為替!$A:$AX,$L69,FALSE))+$K$3,IF(OR($L69="",$L69="-"),"",VLOOKUP($G69,為替!$A:$AX,$L69,FALSE)))</f>
        <v/>
      </c>
      <c r="N69" s="205" t="str">
        <f t="shared" si="2"/>
        <v/>
      </c>
      <c r="O69" s="206" t="str">
        <f t="shared" si="0"/>
        <v/>
      </c>
      <c r="P69" s="207" t="str">
        <f t="shared" si="3"/>
        <v/>
      </c>
    </row>
    <row r="70" spans="3:16">
      <c r="C70" s="200"/>
      <c r="D70" s="201"/>
      <c r="E70" s="202"/>
      <c r="F70" s="200"/>
      <c r="H70" s="203"/>
      <c r="I70" s="186" t="str">
        <f t="shared" si="4"/>
        <v/>
      </c>
      <c r="J70" s="204" t="str">
        <f>IF($H70="USD",IF(OR($I70="",$I70="-"),"",VLOOKUP($G70,為替!$A:$AX,$I70,FALSE))+$J$3,IF(OR($I70="",$I70="-"),"",VLOOKUP($G70,為替!$A:$AX,$I70,FALSE)))</f>
        <v/>
      </c>
      <c r="K70" s="205" t="str">
        <f t="shared" si="5"/>
        <v/>
      </c>
      <c r="L70" s="189" t="str">
        <f t="shared" si="1"/>
        <v/>
      </c>
      <c r="M70" s="204" t="str">
        <f>IF($H70="USD",IF(OR($L70="",$L70="-"),"",VLOOKUP($G70,為替!$A:$AX,$L70,FALSE))+$K$3,IF(OR($L70="",$L70="-"),"",VLOOKUP($G70,為替!$A:$AX,$L70,FALSE)))</f>
        <v/>
      </c>
      <c r="N70" s="205" t="str">
        <f t="shared" si="2"/>
        <v/>
      </c>
      <c r="O70" s="206" t="str">
        <f t="shared" ref="O70:O133" si="6">IF(OR(K70="",N70=""),"",K70-N70)</f>
        <v/>
      </c>
      <c r="P70" s="207" t="str">
        <f t="shared" si="3"/>
        <v/>
      </c>
    </row>
    <row r="71" spans="3:16">
      <c r="C71" s="200"/>
      <c r="D71" s="201"/>
      <c r="E71" s="202"/>
      <c r="F71" s="200"/>
      <c r="H71" s="203"/>
      <c r="I71" s="186" t="str">
        <f t="shared" ref="I71:I134" si="7">IF(H71="","",IF(H71="JPY","",IF($H71="USD",4, IF(H71="EUR",7,IF(H71="CNY",47,IF(H71="HKD",34))))))</f>
        <v/>
      </c>
      <c r="J71" s="204" t="str">
        <f>IF($H71="USD",IF(OR($I71="",$I71="-"),"",VLOOKUP($G71,為替!$A:$AX,$I71,FALSE))+$J$3,IF(OR($I71="",$I71="-"),"",VLOOKUP($G71,為替!$A:$AX,$I71,FALSE)))</f>
        <v/>
      </c>
      <c r="K71" s="205" t="str">
        <f t="shared" ref="K71:K134" si="8">IF($H71="JPY",$F71,IF($H71="","",$F71*$J71))</f>
        <v/>
      </c>
      <c r="L71" s="189" t="str">
        <f t="shared" ref="L71:L134" si="9">IF(H71="","",IF(H71="JPY","",IF($H71="USD",3, IF(H71="EUR",6,IF(H71="CNY",46,IF(H71="HKD",33))))))</f>
        <v/>
      </c>
      <c r="M71" s="204" t="str">
        <f>IF($H71="USD",IF(OR($L71="",$L71="-"),"",VLOOKUP($G71,為替!$A:$AX,$L71,FALSE))+$K$3,IF(OR($L71="",$L71="-"),"",VLOOKUP($G71,為替!$A:$AX,$L71,FALSE)))</f>
        <v/>
      </c>
      <c r="N71" s="205" t="str">
        <f t="shared" ref="N71:N134" si="10">IF($E71="JPY",($C71+$D71),IF($E71="","",($C71+$D71)*$M71))</f>
        <v/>
      </c>
      <c r="O71" s="206" t="str">
        <f t="shared" si="6"/>
        <v/>
      </c>
      <c r="P71" s="207" t="str">
        <f t="shared" ref="P71:P134" si="11">IF(OR(K71="",O71=""),"",O71/K71)</f>
        <v/>
      </c>
    </row>
    <row r="72" spans="3:16">
      <c r="C72" s="200"/>
      <c r="D72" s="201"/>
      <c r="E72" s="202"/>
      <c r="F72" s="200"/>
      <c r="H72" s="203"/>
      <c r="I72" s="186" t="str">
        <f t="shared" si="7"/>
        <v/>
      </c>
      <c r="J72" s="204" t="str">
        <f>IF($H72="USD",IF(OR($I72="",$I72="-"),"",VLOOKUP($G72,為替!$A:$AX,$I72,FALSE))+$J$3,IF(OR($I72="",$I72="-"),"",VLOOKUP($G72,為替!$A:$AX,$I72,FALSE)))</f>
        <v/>
      </c>
      <c r="K72" s="205" t="str">
        <f t="shared" si="8"/>
        <v/>
      </c>
      <c r="L72" s="189" t="str">
        <f t="shared" si="9"/>
        <v/>
      </c>
      <c r="M72" s="204" t="str">
        <f>IF($H72="USD",IF(OR($L72="",$L72="-"),"",VLOOKUP($G72,為替!$A:$AX,$L72,FALSE))+$K$3,IF(OR($L72="",$L72="-"),"",VLOOKUP($G72,為替!$A:$AX,$L72,FALSE)))</f>
        <v/>
      </c>
      <c r="N72" s="205" t="str">
        <f t="shared" si="10"/>
        <v/>
      </c>
      <c r="O72" s="206" t="str">
        <f t="shared" si="6"/>
        <v/>
      </c>
      <c r="P72" s="207" t="str">
        <f t="shared" si="11"/>
        <v/>
      </c>
    </row>
    <row r="73" spans="3:16">
      <c r="C73" s="200"/>
      <c r="D73" s="201"/>
      <c r="E73" s="202"/>
      <c r="F73" s="200"/>
      <c r="H73" s="203"/>
      <c r="I73" s="186" t="str">
        <f t="shared" si="7"/>
        <v/>
      </c>
      <c r="J73" s="204" t="str">
        <f>IF($H73="USD",IF(OR($I73="",$I73="-"),"",VLOOKUP($G73,為替!$A:$AX,$I73,FALSE))+$J$3,IF(OR($I73="",$I73="-"),"",VLOOKUP($G73,為替!$A:$AX,$I73,FALSE)))</f>
        <v/>
      </c>
      <c r="K73" s="205" t="str">
        <f t="shared" si="8"/>
        <v/>
      </c>
      <c r="L73" s="189" t="str">
        <f t="shared" si="9"/>
        <v/>
      </c>
      <c r="M73" s="204" t="str">
        <f>IF($H73="USD",IF(OR($L73="",$L73="-"),"",VLOOKUP($G73,為替!$A:$AX,$L73,FALSE))+$K$3,IF(OR($L73="",$L73="-"),"",VLOOKUP($G73,為替!$A:$AX,$L73,FALSE)))</f>
        <v/>
      </c>
      <c r="N73" s="205" t="str">
        <f t="shared" si="10"/>
        <v/>
      </c>
      <c r="O73" s="206" t="str">
        <f t="shared" si="6"/>
        <v/>
      </c>
      <c r="P73" s="207" t="str">
        <f t="shared" si="11"/>
        <v/>
      </c>
    </row>
    <row r="74" spans="3:16">
      <c r="C74" s="200"/>
      <c r="D74" s="201"/>
      <c r="E74" s="202"/>
      <c r="F74" s="200"/>
      <c r="H74" s="203"/>
      <c r="I74" s="186" t="str">
        <f t="shared" si="7"/>
        <v/>
      </c>
      <c r="J74" s="204" t="str">
        <f>IF($H74="USD",IF(OR($I74="",$I74="-"),"",VLOOKUP($G74,為替!$A:$AX,$I74,FALSE))+$J$3,IF(OR($I74="",$I74="-"),"",VLOOKUP($G74,為替!$A:$AX,$I74,FALSE)))</f>
        <v/>
      </c>
      <c r="K74" s="205" t="str">
        <f t="shared" si="8"/>
        <v/>
      </c>
      <c r="L74" s="189" t="str">
        <f t="shared" si="9"/>
        <v/>
      </c>
      <c r="M74" s="204" t="str">
        <f>IF($H74="USD",IF(OR($L74="",$L74="-"),"",VLOOKUP($G74,為替!$A:$AX,$L74,FALSE))+$K$3,IF(OR($L74="",$L74="-"),"",VLOOKUP($G74,為替!$A:$AX,$L74,FALSE)))</f>
        <v/>
      </c>
      <c r="N74" s="205" t="str">
        <f t="shared" si="10"/>
        <v/>
      </c>
      <c r="O74" s="206" t="str">
        <f t="shared" si="6"/>
        <v/>
      </c>
      <c r="P74" s="207" t="str">
        <f t="shared" si="11"/>
        <v/>
      </c>
    </row>
    <row r="75" spans="3:16">
      <c r="C75" s="200"/>
      <c r="D75" s="201"/>
      <c r="E75" s="202"/>
      <c r="F75" s="200"/>
      <c r="H75" s="203"/>
      <c r="I75" s="186" t="str">
        <f t="shared" si="7"/>
        <v/>
      </c>
      <c r="J75" s="204" t="str">
        <f>IF($H75="USD",IF(OR($I75="",$I75="-"),"",VLOOKUP($G75,為替!$A:$AX,$I75,FALSE))+$J$3,IF(OR($I75="",$I75="-"),"",VLOOKUP($G75,為替!$A:$AX,$I75,FALSE)))</f>
        <v/>
      </c>
      <c r="K75" s="205" t="str">
        <f t="shared" si="8"/>
        <v/>
      </c>
      <c r="L75" s="189" t="str">
        <f t="shared" si="9"/>
        <v/>
      </c>
      <c r="M75" s="204" t="str">
        <f>IF($H75="USD",IF(OR($L75="",$L75="-"),"",VLOOKUP($G75,為替!$A:$AX,$L75,FALSE))+$K$3,IF(OR($L75="",$L75="-"),"",VLOOKUP($G75,為替!$A:$AX,$L75,FALSE)))</f>
        <v/>
      </c>
      <c r="N75" s="205" t="str">
        <f t="shared" si="10"/>
        <v/>
      </c>
      <c r="O75" s="206" t="str">
        <f t="shared" si="6"/>
        <v/>
      </c>
      <c r="P75" s="207" t="str">
        <f t="shared" si="11"/>
        <v/>
      </c>
    </row>
    <row r="76" spans="3:16">
      <c r="C76" s="200"/>
      <c r="D76" s="201"/>
      <c r="E76" s="202"/>
      <c r="F76" s="200"/>
      <c r="H76" s="203"/>
      <c r="I76" s="186" t="str">
        <f t="shared" si="7"/>
        <v/>
      </c>
      <c r="J76" s="204" t="str">
        <f>IF($H76="USD",IF(OR($I76="",$I76="-"),"",VLOOKUP($G76,為替!$A:$AX,$I76,FALSE))+$J$3,IF(OR($I76="",$I76="-"),"",VLOOKUP($G76,為替!$A:$AX,$I76,FALSE)))</f>
        <v/>
      </c>
      <c r="K76" s="205" t="str">
        <f t="shared" si="8"/>
        <v/>
      </c>
      <c r="L76" s="189" t="str">
        <f t="shared" si="9"/>
        <v/>
      </c>
      <c r="M76" s="204" t="str">
        <f>IF($H76="USD",IF(OR($L76="",$L76="-"),"",VLOOKUP($G76,為替!$A:$AX,$L76,FALSE))+$K$3,IF(OR($L76="",$L76="-"),"",VLOOKUP($G76,為替!$A:$AX,$L76,FALSE)))</f>
        <v/>
      </c>
      <c r="N76" s="205" t="str">
        <f t="shared" si="10"/>
        <v/>
      </c>
      <c r="O76" s="206" t="str">
        <f t="shared" si="6"/>
        <v/>
      </c>
      <c r="P76" s="207" t="str">
        <f t="shared" si="11"/>
        <v/>
      </c>
    </row>
    <row r="77" spans="3:16">
      <c r="C77" s="200"/>
      <c r="D77" s="201"/>
      <c r="E77" s="202"/>
      <c r="F77" s="200"/>
      <c r="H77" s="203"/>
      <c r="I77" s="186" t="str">
        <f t="shared" si="7"/>
        <v/>
      </c>
      <c r="J77" s="204" t="str">
        <f>IF($H77="USD",IF(OR($I77="",$I77="-"),"",VLOOKUP($G77,為替!$A:$AX,$I77,FALSE))+$J$3,IF(OR($I77="",$I77="-"),"",VLOOKUP($G77,為替!$A:$AX,$I77,FALSE)))</f>
        <v/>
      </c>
      <c r="K77" s="205" t="str">
        <f t="shared" si="8"/>
        <v/>
      </c>
      <c r="L77" s="189" t="str">
        <f t="shared" si="9"/>
        <v/>
      </c>
      <c r="M77" s="204" t="str">
        <f>IF($H77="USD",IF(OR($L77="",$L77="-"),"",VLOOKUP($G77,為替!$A:$AX,$L77,FALSE))+$K$3,IF(OR($L77="",$L77="-"),"",VLOOKUP($G77,為替!$A:$AX,$L77,FALSE)))</f>
        <v/>
      </c>
      <c r="N77" s="205" t="str">
        <f t="shared" si="10"/>
        <v/>
      </c>
      <c r="O77" s="206" t="str">
        <f t="shared" si="6"/>
        <v/>
      </c>
      <c r="P77" s="207" t="str">
        <f t="shared" si="11"/>
        <v/>
      </c>
    </row>
    <row r="78" spans="3:16">
      <c r="C78" s="200"/>
      <c r="D78" s="201"/>
      <c r="E78" s="202"/>
      <c r="F78" s="200"/>
      <c r="H78" s="203"/>
      <c r="I78" s="186" t="str">
        <f t="shared" si="7"/>
        <v/>
      </c>
      <c r="J78" s="204" t="str">
        <f>IF($H78="USD",IF(OR($I78="",$I78="-"),"",VLOOKUP($G78,為替!$A:$AX,$I78,FALSE))+$J$3,IF(OR($I78="",$I78="-"),"",VLOOKUP($G78,為替!$A:$AX,$I78,FALSE)))</f>
        <v/>
      </c>
      <c r="K78" s="205" t="str">
        <f t="shared" si="8"/>
        <v/>
      </c>
      <c r="L78" s="189" t="str">
        <f t="shared" si="9"/>
        <v/>
      </c>
      <c r="M78" s="204" t="str">
        <f>IF($H78="USD",IF(OR($L78="",$L78="-"),"",VLOOKUP($G78,為替!$A:$AX,$L78,FALSE))+$K$3,IF(OR($L78="",$L78="-"),"",VLOOKUP($G78,為替!$A:$AX,$L78,FALSE)))</f>
        <v/>
      </c>
      <c r="N78" s="205" t="str">
        <f t="shared" si="10"/>
        <v/>
      </c>
      <c r="O78" s="206" t="str">
        <f t="shared" si="6"/>
        <v/>
      </c>
      <c r="P78" s="207" t="str">
        <f t="shared" si="11"/>
        <v/>
      </c>
    </row>
    <row r="79" spans="3:16">
      <c r="C79" s="200"/>
      <c r="D79" s="201"/>
      <c r="E79" s="202"/>
      <c r="F79" s="200"/>
      <c r="H79" s="203"/>
      <c r="I79" s="186" t="str">
        <f t="shared" si="7"/>
        <v/>
      </c>
      <c r="J79" s="204" t="str">
        <f>IF($H79="USD",IF(OR($I79="",$I79="-"),"",VLOOKUP($G79,為替!$A:$AX,$I79,FALSE))+$J$3,IF(OR($I79="",$I79="-"),"",VLOOKUP($G79,為替!$A:$AX,$I79,FALSE)))</f>
        <v/>
      </c>
      <c r="K79" s="205" t="str">
        <f t="shared" si="8"/>
        <v/>
      </c>
      <c r="L79" s="189" t="str">
        <f t="shared" si="9"/>
        <v/>
      </c>
      <c r="M79" s="204" t="str">
        <f>IF($H79="USD",IF(OR($L79="",$L79="-"),"",VLOOKUP($G79,為替!$A:$AX,$L79,FALSE))+$K$3,IF(OR($L79="",$L79="-"),"",VLOOKUP($G79,為替!$A:$AX,$L79,FALSE)))</f>
        <v/>
      </c>
      <c r="N79" s="205" t="str">
        <f t="shared" si="10"/>
        <v/>
      </c>
      <c r="O79" s="206" t="str">
        <f t="shared" si="6"/>
        <v/>
      </c>
      <c r="P79" s="207" t="str">
        <f t="shared" si="11"/>
        <v/>
      </c>
    </row>
    <row r="80" spans="3:16">
      <c r="C80" s="200"/>
      <c r="D80" s="201"/>
      <c r="E80" s="202"/>
      <c r="F80" s="200"/>
      <c r="H80" s="203"/>
      <c r="I80" s="186" t="str">
        <f t="shared" si="7"/>
        <v/>
      </c>
      <c r="J80" s="204" t="str">
        <f>IF($H80="USD",IF(OR($I80="",$I80="-"),"",VLOOKUP($G80,為替!$A:$AX,$I80,FALSE))+$J$3,IF(OR($I80="",$I80="-"),"",VLOOKUP($G80,為替!$A:$AX,$I80,FALSE)))</f>
        <v/>
      </c>
      <c r="K80" s="205" t="str">
        <f t="shared" si="8"/>
        <v/>
      </c>
      <c r="L80" s="189" t="str">
        <f t="shared" si="9"/>
        <v/>
      </c>
      <c r="M80" s="204" t="str">
        <f>IF($H80="USD",IF(OR($L80="",$L80="-"),"",VLOOKUP($G80,為替!$A:$AX,$L80,FALSE))+$K$3,IF(OR($L80="",$L80="-"),"",VLOOKUP($G80,為替!$A:$AX,$L80,FALSE)))</f>
        <v/>
      </c>
      <c r="N80" s="205" t="str">
        <f t="shared" si="10"/>
        <v/>
      </c>
      <c r="O80" s="206" t="str">
        <f t="shared" si="6"/>
        <v/>
      </c>
      <c r="P80" s="207" t="str">
        <f t="shared" si="11"/>
        <v/>
      </c>
    </row>
    <row r="81" spans="3:16">
      <c r="C81" s="200"/>
      <c r="D81" s="201"/>
      <c r="E81" s="202"/>
      <c r="F81" s="200"/>
      <c r="H81" s="203"/>
      <c r="I81" s="186" t="str">
        <f t="shared" si="7"/>
        <v/>
      </c>
      <c r="J81" s="204" t="str">
        <f>IF($H81="USD",IF(OR($I81="",$I81="-"),"",VLOOKUP($G81,為替!$A:$AX,$I81,FALSE))+$J$3,IF(OR($I81="",$I81="-"),"",VLOOKUP($G81,為替!$A:$AX,$I81,FALSE)))</f>
        <v/>
      </c>
      <c r="K81" s="205" t="str">
        <f t="shared" si="8"/>
        <v/>
      </c>
      <c r="L81" s="189" t="str">
        <f t="shared" si="9"/>
        <v/>
      </c>
      <c r="M81" s="204" t="str">
        <f>IF($H81="USD",IF(OR($L81="",$L81="-"),"",VLOOKUP($G81,為替!$A:$AX,$L81,FALSE))+$K$3,IF(OR($L81="",$L81="-"),"",VLOOKUP($G81,為替!$A:$AX,$L81,FALSE)))</f>
        <v/>
      </c>
      <c r="N81" s="205" t="str">
        <f t="shared" si="10"/>
        <v/>
      </c>
      <c r="O81" s="206" t="str">
        <f t="shared" si="6"/>
        <v/>
      </c>
      <c r="P81" s="207" t="str">
        <f t="shared" si="11"/>
        <v/>
      </c>
    </row>
    <row r="82" spans="3:16">
      <c r="C82" s="200"/>
      <c r="D82" s="201"/>
      <c r="E82" s="202"/>
      <c r="F82" s="200"/>
      <c r="H82" s="203"/>
      <c r="I82" s="186" t="str">
        <f t="shared" si="7"/>
        <v/>
      </c>
      <c r="J82" s="204" t="str">
        <f>IF($H82="USD",IF(OR($I82="",$I82="-"),"",VLOOKUP($G82,為替!$A:$AX,$I82,FALSE))+$J$3,IF(OR($I82="",$I82="-"),"",VLOOKUP($G82,為替!$A:$AX,$I82,FALSE)))</f>
        <v/>
      </c>
      <c r="K82" s="205" t="str">
        <f t="shared" si="8"/>
        <v/>
      </c>
      <c r="L82" s="189" t="str">
        <f t="shared" si="9"/>
        <v/>
      </c>
      <c r="M82" s="204" t="str">
        <f>IF($H82="USD",IF(OR($L82="",$L82="-"),"",VLOOKUP($G82,為替!$A:$AX,$L82,FALSE))+$K$3,IF(OR($L82="",$L82="-"),"",VLOOKUP($G82,為替!$A:$AX,$L82,FALSE)))</f>
        <v/>
      </c>
      <c r="N82" s="205" t="str">
        <f t="shared" si="10"/>
        <v/>
      </c>
      <c r="O82" s="206" t="str">
        <f t="shared" si="6"/>
        <v/>
      </c>
      <c r="P82" s="207" t="str">
        <f t="shared" si="11"/>
        <v/>
      </c>
    </row>
    <row r="83" spans="3:16">
      <c r="C83" s="200"/>
      <c r="D83" s="201"/>
      <c r="E83" s="202"/>
      <c r="F83" s="200"/>
      <c r="H83" s="203"/>
      <c r="I83" s="186" t="str">
        <f t="shared" si="7"/>
        <v/>
      </c>
      <c r="J83" s="204" t="str">
        <f>IF($H83="USD",IF(OR($I83="",$I83="-"),"",VLOOKUP($G83,為替!$A:$AX,$I83,FALSE))+$J$3,IF(OR($I83="",$I83="-"),"",VLOOKUP($G83,為替!$A:$AX,$I83,FALSE)))</f>
        <v/>
      </c>
      <c r="K83" s="205" t="str">
        <f t="shared" si="8"/>
        <v/>
      </c>
      <c r="L83" s="189" t="str">
        <f t="shared" si="9"/>
        <v/>
      </c>
      <c r="M83" s="204" t="str">
        <f>IF($H83="USD",IF(OR($L83="",$L83="-"),"",VLOOKUP($G83,為替!$A:$AX,$L83,FALSE))+$K$3,IF(OR($L83="",$L83="-"),"",VLOOKUP($G83,為替!$A:$AX,$L83,FALSE)))</f>
        <v/>
      </c>
      <c r="N83" s="205" t="str">
        <f t="shared" si="10"/>
        <v/>
      </c>
      <c r="O83" s="206" t="str">
        <f t="shared" si="6"/>
        <v/>
      </c>
      <c r="P83" s="207" t="str">
        <f t="shared" si="11"/>
        <v/>
      </c>
    </row>
    <row r="84" spans="3:16">
      <c r="C84" s="200"/>
      <c r="D84" s="201"/>
      <c r="E84" s="202"/>
      <c r="F84" s="200"/>
      <c r="H84" s="203"/>
      <c r="I84" s="186" t="str">
        <f t="shared" si="7"/>
        <v/>
      </c>
      <c r="J84" s="204" t="str">
        <f>IF($H84="USD",IF(OR($I84="",$I84="-"),"",VLOOKUP($G84,為替!$A:$AX,$I84,FALSE))+$J$3,IF(OR($I84="",$I84="-"),"",VLOOKUP($G84,為替!$A:$AX,$I84,FALSE)))</f>
        <v/>
      </c>
      <c r="K84" s="205" t="str">
        <f t="shared" si="8"/>
        <v/>
      </c>
      <c r="L84" s="189" t="str">
        <f t="shared" si="9"/>
        <v/>
      </c>
      <c r="M84" s="204" t="str">
        <f>IF($H84="USD",IF(OR($L84="",$L84="-"),"",VLOOKUP($G84,為替!$A:$AX,$L84,FALSE))+$K$3,IF(OR($L84="",$L84="-"),"",VLOOKUP($G84,為替!$A:$AX,$L84,FALSE)))</f>
        <v/>
      </c>
      <c r="N84" s="205" t="str">
        <f t="shared" si="10"/>
        <v/>
      </c>
      <c r="O84" s="206" t="str">
        <f t="shared" si="6"/>
        <v/>
      </c>
      <c r="P84" s="207" t="str">
        <f t="shared" si="11"/>
        <v/>
      </c>
    </row>
    <row r="85" spans="3:16">
      <c r="C85" s="200"/>
      <c r="D85" s="201"/>
      <c r="E85" s="202"/>
      <c r="F85" s="200"/>
      <c r="H85" s="203"/>
      <c r="I85" s="186" t="str">
        <f t="shared" si="7"/>
        <v/>
      </c>
      <c r="J85" s="204" t="str">
        <f>IF($H85="USD",IF(OR($I85="",$I85="-"),"",VLOOKUP($G85,為替!$A:$AX,$I85,FALSE))+$J$3,IF(OR($I85="",$I85="-"),"",VLOOKUP($G85,為替!$A:$AX,$I85,FALSE)))</f>
        <v/>
      </c>
      <c r="K85" s="205" t="str">
        <f t="shared" si="8"/>
        <v/>
      </c>
      <c r="L85" s="189" t="str">
        <f t="shared" si="9"/>
        <v/>
      </c>
      <c r="M85" s="204" t="str">
        <f>IF($H85="USD",IF(OR($L85="",$L85="-"),"",VLOOKUP($G85,為替!$A:$AX,$L85,FALSE))+$K$3,IF(OR($L85="",$L85="-"),"",VLOOKUP($G85,為替!$A:$AX,$L85,FALSE)))</f>
        <v/>
      </c>
      <c r="N85" s="205" t="str">
        <f t="shared" si="10"/>
        <v/>
      </c>
      <c r="O85" s="206" t="str">
        <f t="shared" si="6"/>
        <v/>
      </c>
      <c r="P85" s="207" t="str">
        <f t="shared" si="11"/>
        <v/>
      </c>
    </row>
    <row r="86" spans="3:16">
      <c r="C86" s="200"/>
      <c r="D86" s="201"/>
      <c r="E86" s="202"/>
      <c r="F86" s="200"/>
      <c r="H86" s="203"/>
      <c r="I86" s="186" t="str">
        <f t="shared" si="7"/>
        <v/>
      </c>
      <c r="J86" s="204" t="str">
        <f>IF($H86="USD",IF(OR($I86="",$I86="-"),"",VLOOKUP($G86,為替!$A:$AX,$I86,FALSE))+$J$3,IF(OR($I86="",$I86="-"),"",VLOOKUP($G86,為替!$A:$AX,$I86,FALSE)))</f>
        <v/>
      </c>
      <c r="K86" s="205" t="str">
        <f t="shared" si="8"/>
        <v/>
      </c>
      <c r="L86" s="189" t="str">
        <f t="shared" si="9"/>
        <v/>
      </c>
      <c r="M86" s="204" t="str">
        <f>IF($H86="USD",IF(OR($L86="",$L86="-"),"",VLOOKUP($G86,為替!$A:$AX,$L86,FALSE))+$K$3,IF(OR($L86="",$L86="-"),"",VLOOKUP($G86,為替!$A:$AX,$L86,FALSE)))</f>
        <v/>
      </c>
      <c r="N86" s="205" t="str">
        <f t="shared" si="10"/>
        <v/>
      </c>
      <c r="O86" s="206" t="str">
        <f t="shared" si="6"/>
        <v/>
      </c>
      <c r="P86" s="207" t="str">
        <f t="shared" si="11"/>
        <v/>
      </c>
    </row>
    <row r="87" spans="3:16">
      <c r="C87" s="200"/>
      <c r="D87" s="201"/>
      <c r="E87" s="202"/>
      <c r="F87" s="200"/>
      <c r="H87" s="203"/>
      <c r="I87" s="186" t="str">
        <f t="shared" si="7"/>
        <v/>
      </c>
      <c r="J87" s="204" t="str">
        <f>IF($H87="USD",IF(OR($I87="",$I87="-"),"",VLOOKUP($G87,為替!$A:$AX,$I87,FALSE))+$J$3,IF(OR($I87="",$I87="-"),"",VLOOKUP($G87,為替!$A:$AX,$I87,FALSE)))</f>
        <v/>
      </c>
      <c r="K87" s="205" t="str">
        <f t="shared" si="8"/>
        <v/>
      </c>
      <c r="L87" s="189" t="str">
        <f t="shared" si="9"/>
        <v/>
      </c>
      <c r="M87" s="204" t="str">
        <f>IF($H87="USD",IF(OR($L87="",$L87="-"),"",VLOOKUP($G87,為替!$A:$AX,$L87,FALSE))+$K$3,IF(OR($L87="",$L87="-"),"",VLOOKUP($G87,為替!$A:$AX,$L87,FALSE)))</f>
        <v/>
      </c>
      <c r="N87" s="205" t="str">
        <f t="shared" si="10"/>
        <v/>
      </c>
      <c r="O87" s="206" t="str">
        <f t="shared" si="6"/>
        <v/>
      </c>
      <c r="P87" s="207" t="str">
        <f t="shared" si="11"/>
        <v/>
      </c>
    </row>
    <row r="88" spans="3:16">
      <c r="C88" s="200"/>
      <c r="D88" s="201"/>
      <c r="E88" s="202"/>
      <c r="F88" s="200"/>
      <c r="H88" s="203"/>
      <c r="I88" s="186" t="str">
        <f t="shared" si="7"/>
        <v/>
      </c>
      <c r="J88" s="204" t="str">
        <f>IF($H88="USD",IF(OR($I88="",$I88="-"),"",VLOOKUP($G88,為替!$A:$AX,$I88,FALSE))+$J$3,IF(OR($I88="",$I88="-"),"",VLOOKUP($G88,為替!$A:$AX,$I88,FALSE)))</f>
        <v/>
      </c>
      <c r="K88" s="205" t="str">
        <f t="shared" si="8"/>
        <v/>
      </c>
      <c r="L88" s="189" t="str">
        <f t="shared" si="9"/>
        <v/>
      </c>
      <c r="M88" s="204" t="str">
        <f>IF($H88="USD",IF(OR($L88="",$L88="-"),"",VLOOKUP($G88,為替!$A:$AX,$L88,FALSE))+$K$3,IF(OR($L88="",$L88="-"),"",VLOOKUP($G88,為替!$A:$AX,$L88,FALSE)))</f>
        <v/>
      </c>
      <c r="N88" s="205" t="str">
        <f t="shared" si="10"/>
        <v/>
      </c>
      <c r="O88" s="206" t="str">
        <f t="shared" si="6"/>
        <v/>
      </c>
      <c r="P88" s="207" t="str">
        <f t="shared" si="11"/>
        <v/>
      </c>
    </row>
    <row r="89" spans="3:16">
      <c r="C89" s="200"/>
      <c r="D89" s="201"/>
      <c r="E89" s="202"/>
      <c r="F89" s="200"/>
      <c r="H89" s="203"/>
      <c r="I89" s="186" t="str">
        <f t="shared" si="7"/>
        <v/>
      </c>
      <c r="J89" s="204" t="str">
        <f>IF($H89="USD",IF(OR($I89="",$I89="-"),"",VLOOKUP($G89,為替!$A:$AX,$I89,FALSE))+$J$3,IF(OR($I89="",$I89="-"),"",VLOOKUP($G89,為替!$A:$AX,$I89,FALSE)))</f>
        <v/>
      </c>
      <c r="K89" s="205" t="str">
        <f t="shared" si="8"/>
        <v/>
      </c>
      <c r="L89" s="189" t="str">
        <f t="shared" si="9"/>
        <v/>
      </c>
      <c r="M89" s="204" t="str">
        <f>IF($H89="USD",IF(OR($L89="",$L89="-"),"",VLOOKUP($G89,為替!$A:$AX,$L89,FALSE))+$K$3,IF(OR($L89="",$L89="-"),"",VLOOKUP($G89,為替!$A:$AX,$L89,FALSE)))</f>
        <v/>
      </c>
      <c r="N89" s="205" t="str">
        <f t="shared" si="10"/>
        <v/>
      </c>
      <c r="O89" s="206" t="str">
        <f t="shared" si="6"/>
        <v/>
      </c>
      <c r="P89" s="207" t="str">
        <f t="shared" si="11"/>
        <v/>
      </c>
    </row>
    <row r="90" spans="3:16">
      <c r="C90" s="200"/>
      <c r="D90" s="201"/>
      <c r="E90" s="202"/>
      <c r="F90" s="200"/>
      <c r="H90" s="203"/>
      <c r="I90" s="186" t="str">
        <f t="shared" si="7"/>
        <v/>
      </c>
      <c r="J90" s="204" t="str">
        <f>IF($H90="USD",IF(OR($I90="",$I90="-"),"",VLOOKUP($G90,為替!$A:$AX,$I90,FALSE))+$J$3,IF(OR($I90="",$I90="-"),"",VLOOKUP($G90,為替!$A:$AX,$I90,FALSE)))</f>
        <v/>
      </c>
      <c r="K90" s="205" t="str">
        <f t="shared" si="8"/>
        <v/>
      </c>
      <c r="L90" s="189" t="str">
        <f t="shared" si="9"/>
        <v/>
      </c>
      <c r="M90" s="204" t="str">
        <f>IF($H90="USD",IF(OR($L90="",$L90="-"),"",VLOOKUP($G90,為替!$A:$AX,$L90,FALSE))+$K$3,IF(OR($L90="",$L90="-"),"",VLOOKUP($G90,為替!$A:$AX,$L90,FALSE)))</f>
        <v/>
      </c>
      <c r="N90" s="205" t="str">
        <f t="shared" si="10"/>
        <v/>
      </c>
      <c r="O90" s="206" t="str">
        <f t="shared" si="6"/>
        <v/>
      </c>
      <c r="P90" s="207" t="str">
        <f t="shared" si="11"/>
        <v/>
      </c>
    </row>
    <row r="91" spans="3:16">
      <c r="C91" s="200"/>
      <c r="D91" s="201"/>
      <c r="E91" s="202"/>
      <c r="F91" s="200"/>
      <c r="H91" s="203"/>
      <c r="I91" s="186" t="str">
        <f t="shared" si="7"/>
        <v/>
      </c>
      <c r="J91" s="204" t="str">
        <f>IF($H91="USD",IF(OR($I91="",$I91="-"),"",VLOOKUP($G91,為替!$A:$AX,$I91,FALSE))+$J$3,IF(OR($I91="",$I91="-"),"",VLOOKUP($G91,為替!$A:$AX,$I91,FALSE)))</f>
        <v/>
      </c>
      <c r="K91" s="205" t="str">
        <f t="shared" si="8"/>
        <v/>
      </c>
      <c r="L91" s="189" t="str">
        <f t="shared" si="9"/>
        <v/>
      </c>
      <c r="M91" s="204" t="str">
        <f>IF($H91="USD",IF(OR($L91="",$L91="-"),"",VLOOKUP($G91,為替!$A:$AX,$L91,FALSE))+$K$3,IF(OR($L91="",$L91="-"),"",VLOOKUP($G91,為替!$A:$AX,$L91,FALSE)))</f>
        <v/>
      </c>
      <c r="N91" s="205" t="str">
        <f t="shared" si="10"/>
        <v/>
      </c>
      <c r="O91" s="206" t="str">
        <f t="shared" si="6"/>
        <v/>
      </c>
      <c r="P91" s="207" t="str">
        <f t="shared" si="11"/>
        <v/>
      </c>
    </row>
    <row r="92" spans="3:16">
      <c r="C92" s="200"/>
      <c r="D92" s="201"/>
      <c r="E92" s="202"/>
      <c r="F92" s="200"/>
      <c r="H92" s="203"/>
      <c r="I92" s="186" t="str">
        <f t="shared" si="7"/>
        <v/>
      </c>
      <c r="J92" s="204" t="str">
        <f>IF($H92="USD",IF(OR($I92="",$I92="-"),"",VLOOKUP($G92,為替!$A:$AX,$I92,FALSE))+$J$3,IF(OR($I92="",$I92="-"),"",VLOOKUP($G92,為替!$A:$AX,$I92,FALSE)))</f>
        <v/>
      </c>
      <c r="K92" s="205" t="str">
        <f t="shared" si="8"/>
        <v/>
      </c>
      <c r="L92" s="189" t="str">
        <f t="shared" si="9"/>
        <v/>
      </c>
      <c r="M92" s="204" t="str">
        <f>IF($H92="USD",IF(OR($L92="",$L92="-"),"",VLOOKUP($G92,為替!$A:$AX,$L92,FALSE))+$K$3,IF(OR($L92="",$L92="-"),"",VLOOKUP($G92,為替!$A:$AX,$L92,FALSE)))</f>
        <v/>
      </c>
      <c r="N92" s="205" t="str">
        <f t="shared" si="10"/>
        <v/>
      </c>
      <c r="O92" s="206" t="str">
        <f t="shared" si="6"/>
        <v/>
      </c>
      <c r="P92" s="207" t="str">
        <f t="shared" si="11"/>
        <v/>
      </c>
    </row>
    <row r="93" spans="3:16">
      <c r="C93" s="200"/>
      <c r="D93" s="201"/>
      <c r="E93" s="202"/>
      <c r="F93" s="200"/>
      <c r="H93" s="203"/>
      <c r="I93" s="186" t="str">
        <f t="shared" si="7"/>
        <v/>
      </c>
      <c r="J93" s="204" t="str">
        <f>IF($H93="USD",IF(OR($I93="",$I93="-"),"",VLOOKUP($G93,為替!$A:$AX,$I93,FALSE))+$J$3,IF(OR($I93="",$I93="-"),"",VLOOKUP($G93,為替!$A:$AX,$I93,FALSE)))</f>
        <v/>
      </c>
      <c r="K93" s="205" t="str">
        <f t="shared" si="8"/>
        <v/>
      </c>
      <c r="L93" s="189" t="str">
        <f t="shared" si="9"/>
        <v/>
      </c>
      <c r="M93" s="204" t="str">
        <f>IF($H93="USD",IF(OR($L93="",$L93="-"),"",VLOOKUP($G93,為替!$A:$AX,$L93,FALSE))+$K$3,IF(OR($L93="",$L93="-"),"",VLOOKUP($G93,為替!$A:$AX,$L93,FALSE)))</f>
        <v/>
      </c>
      <c r="N93" s="205" t="str">
        <f t="shared" si="10"/>
        <v/>
      </c>
      <c r="O93" s="206" t="str">
        <f t="shared" si="6"/>
        <v/>
      </c>
      <c r="P93" s="207" t="str">
        <f t="shared" si="11"/>
        <v/>
      </c>
    </row>
    <row r="94" spans="3:16">
      <c r="C94" s="200"/>
      <c r="D94" s="201"/>
      <c r="E94" s="202"/>
      <c r="F94" s="200"/>
      <c r="H94" s="203"/>
      <c r="I94" s="186" t="str">
        <f t="shared" si="7"/>
        <v/>
      </c>
      <c r="J94" s="204" t="str">
        <f>IF($H94="USD",IF(OR($I94="",$I94="-"),"",VLOOKUP($G94,為替!$A:$AX,$I94,FALSE))+$J$3,IF(OR($I94="",$I94="-"),"",VLOOKUP($G94,為替!$A:$AX,$I94,FALSE)))</f>
        <v/>
      </c>
      <c r="K94" s="205" t="str">
        <f t="shared" si="8"/>
        <v/>
      </c>
      <c r="L94" s="189" t="str">
        <f t="shared" si="9"/>
        <v/>
      </c>
      <c r="M94" s="204" t="str">
        <f>IF($H94="USD",IF(OR($L94="",$L94="-"),"",VLOOKUP($G94,為替!$A:$AX,$L94,FALSE))+$K$3,IF(OR($L94="",$L94="-"),"",VLOOKUP($G94,為替!$A:$AX,$L94,FALSE)))</f>
        <v/>
      </c>
      <c r="N94" s="205" t="str">
        <f t="shared" si="10"/>
        <v/>
      </c>
      <c r="O94" s="206" t="str">
        <f t="shared" si="6"/>
        <v/>
      </c>
      <c r="P94" s="207" t="str">
        <f t="shared" si="11"/>
        <v/>
      </c>
    </row>
    <row r="95" spans="3:16">
      <c r="C95" s="200"/>
      <c r="D95" s="201"/>
      <c r="E95" s="202"/>
      <c r="F95" s="200"/>
      <c r="H95" s="203"/>
      <c r="I95" s="186" t="str">
        <f t="shared" si="7"/>
        <v/>
      </c>
      <c r="J95" s="204" t="str">
        <f>IF($H95="USD",IF(OR($I95="",$I95="-"),"",VLOOKUP($G95,為替!$A:$AX,$I95,FALSE))+$J$3,IF(OR($I95="",$I95="-"),"",VLOOKUP($G95,為替!$A:$AX,$I95,FALSE)))</f>
        <v/>
      </c>
      <c r="K95" s="205" t="str">
        <f t="shared" si="8"/>
        <v/>
      </c>
      <c r="L95" s="189" t="str">
        <f t="shared" si="9"/>
        <v/>
      </c>
      <c r="M95" s="204" t="str">
        <f>IF($H95="USD",IF(OR($L95="",$L95="-"),"",VLOOKUP($G95,為替!$A:$AX,$L95,FALSE))+$K$3,IF(OR($L95="",$L95="-"),"",VLOOKUP($G95,為替!$A:$AX,$L95,FALSE)))</f>
        <v/>
      </c>
      <c r="N95" s="205" t="str">
        <f t="shared" si="10"/>
        <v/>
      </c>
      <c r="O95" s="206" t="str">
        <f t="shared" si="6"/>
        <v/>
      </c>
      <c r="P95" s="207" t="str">
        <f t="shared" si="11"/>
        <v/>
      </c>
    </row>
    <row r="96" spans="3:16">
      <c r="C96" s="200"/>
      <c r="D96" s="201"/>
      <c r="E96" s="202"/>
      <c r="F96" s="200"/>
      <c r="H96" s="203"/>
      <c r="I96" s="186" t="str">
        <f t="shared" si="7"/>
        <v/>
      </c>
      <c r="J96" s="204" t="str">
        <f>IF($H96="USD",IF(OR($I96="",$I96="-"),"",VLOOKUP($G96,為替!$A:$AX,$I96,FALSE))+$J$3,IF(OR($I96="",$I96="-"),"",VLOOKUP($G96,為替!$A:$AX,$I96,FALSE)))</f>
        <v/>
      </c>
      <c r="K96" s="205" t="str">
        <f t="shared" si="8"/>
        <v/>
      </c>
      <c r="L96" s="189" t="str">
        <f t="shared" si="9"/>
        <v/>
      </c>
      <c r="M96" s="204" t="str">
        <f>IF($H96="USD",IF(OR($L96="",$L96="-"),"",VLOOKUP($G96,為替!$A:$AX,$L96,FALSE))+$K$3,IF(OR($L96="",$L96="-"),"",VLOOKUP($G96,為替!$A:$AX,$L96,FALSE)))</f>
        <v/>
      </c>
      <c r="N96" s="205" t="str">
        <f t="shared" si="10"/>
        <v/>
      </c>
      <c r="O96" s="206" t="str">
        <f t="shared" si="6"/>
        <v/>
      </c>
      <c r="P96" s="207" t="str">
        <f t="shared" si="11"/>
        <v/>
      </c>
    </row>
    <row r="97" spans="3:16">
      <c r="C97" s="200"/>
      <c r="D97" s="201"/>
      <c r="E97" s="202"/>
      <c r="F97" s="200"/>
      <c r="H97" s="203"/>
      <c r="I97" s="186" t="str">
        <f t="shared" si="7"/>
        <v/>
      </c>
      <c r="J97" s="204" t="str">
        <f>IF($H97="USD",IF(OR($I97="",$I97="-"),"",VLOOKUP($G97,為替!$A:$AX,$I97,FALSE))+$J$3,IF(OR($I97="",$I97="-"),"",VLOOKUP($G97,為替!$A:$AX,$I97,FALSE)))</f>
        <v/>
      </c>
      <c r="K97" s="205" t="str">
        <f t="shared" si="8"/>
        <v/>
      </c>
      <c r="L97" s="189" t="str">
        <f t="shared" si="9"/>
        <v/>
      </c>
      <c r="M97" s="204" t="str">
        <f>IF($H97="USD",IF(OR($L97="",$L97="-"),"",VLOOKUP($G97,為替!$A:$AX,$L97,FALSE))+$K$3,IF(OR($L97="",$L97="-"),"",VLOOKUP($G97,為替!$A:$AX,$L97,FALSE)))</f>
        <v/>
      </c>
      <c r="N97" s="205" t="str">
        <f t="shared" si="10"/>
        <v/>
      </c>
      <c r="O97" s="206" t="str">
        <f t="shared" si="6"/>
        <v/>
      </c>
      <c r="P97" s="207" t="str">
        <f t="shared" si="11"/>
        <v/>
      </c>
    </row>
    <row r="98" spans="3:16">
      <c r="C98" s="200"/>
      <c r="D98" s="201"/>
      <c r="E98" s="202"/>
      <c r="F98" s="200"/>
      <c r="H98" s="203"/>
      <c r="I98" s="186" t="str">
        <f t="shared" si="7"/>
        <v/>
      </c>
      <c r="J98" s="204" t="str">
        <f>IF($H98="USD",IF(OR($I98="",$I98="-"),"",VLOOKUP($G98,為替!$A:$AX,$I98,FALSE))+$J$3,IF(OR($I98="",$I98="-"),"",VLOOKUP($G98,為替!$A:$AX,$I98,FALSE)))</f>
        <v/>
      </c>
      <c r="K98" s="205" t="str">
        <f t="shared" si="8"/>
        <v/>
      </c>
      <c r="L98" s="189" t="str">
        <f t="shared" si="9"/>
        <v/>
      </c>
      <c r="M98" s="204" t="str">
        <f>IF($H98="USD",IF(OR($L98="",$L98="-"),"",VLOOKUP($G98,為替!$A:$AX,$L98,FALSE))+$K$3,IF(OR($L98="",$L98="-"),"",VLOOKUP($G98,為替!$A:$AX,$L98,FALSE)))</f>
        <v/>
      </c>
      <c r="N98" s="205" t="str">
        <f t="shared" si="10"/>
        <v/>
      </c>
      <c r="O98" s="206" t="str">
        <f t="shared" si="6"/>
        <v/>
      </c>
      <c r="P98" s="207" t="str">
        <f t="shared" si="11"/>
        <v/>
      </c>
    </row>
    <row r="99" spans="3:16">
      <c r="C99" s="200"/>
      <c r="D99" s="201"/>
      <c r="E99" s="202"/>
      <c r="F99" s="200"/>
      <c r="H99" s="203"/>
      <c r="I99" s="186" t="str">
        <f t="shared" si="7"/>
        <v/>
      </c>
      <c r="J99" s="204" t="str">
        <f>IF($H99="USD",IF(OR($I99="",$I99="-"),"",VLOOKUP($G99,為替!$A:$AX,$I99,FALSE))+$J$3,IF(OR($I99="",$I99="-"),"",VLOOKUP($G99,為替!$A:$AX,$I99,FALSE)))</f>
        <v/>
      </c>
      <c r="K99" s="205" t="str">
        <f t="shared" si="8"/>
        <v/>
      </c>
      <c r="L99" s="189" t="str">
        <f t="shared" si="9"/>
        <v/>
      </c>
      <c r="M99" s="204" t="str">
        <f>IF($H99="USD",IF(OR($L99="",$L99="-"),"",VLOOKUP($G99,為替!$A:$AX,$L99,FALSE))+$K$3,IF(OR($L99="",$L99="-"),"",VLOOKUP($G99,為替!$A:$AX,$L99,FALSE)))</f>
        <v/>
      </c>
      <c r="N99" s="205" t="str">
        <f t="shared" si="10"/>
        <v/>
      </c>
      <c r="O99" s="206" t="str">
        <f t="shared" si="6"/>
        <v/>
      </c>
      <c r="P99" s="207" t="str">
        <f t="shared" si="11"/>
        <v/>
      </c>
    </row>
    <row r="100" spans="3:16">
      <c r="C100" s="200"/>
      <c r="D100" s="201"/>
      <c r="E100" s="202"/>
      <c r="F100" s="200"/>
      <c r="H100" s="203"/>
      <c r="I100" s="186" t="str">
        <f t="shared" si="7"/>
        <v/>
      </c>
      <c r="J100" s="204" t="str">
        <f>IF($H100="USD",IF(OR($I100="",$I100="-"),"",VLOOKUP($G100,為替!$A:$AX,$I100,FALSE))+$J$3,IF(OR($I100="",$I100="-"),"",VLOOKUP($G100,為替!$A:$AX,$I100,FALSE)))</f>
        <v/>
      </c>
      <c r="K100" s="205" t="str">
        <f t="shared" si="8"/>
        <v/>
      </c>
      <c r="L100" s="189" t="str">
        <f t="shared" si="9"/>
        <v/>
      </c>
      <c r="M100" s="204" t="str">
        <f>IF($H100="USD",IF(OR($L100="",$L100="-"),"",VLOOKUP($G100,為替!$A:$AX,$L100,FALSE))+$K$3,IF(OR($L100="",$L100="-"),"",VLOOKUP($G100,為替!$A:$AX,$L100,FALSE)))</f>
        <v/>
      </c>
      <c r="N100" s="205" t="str">
        <f t="shared" si="10"/>
        <v/>
      </c>
      <c r="O100" s="206" t="str">
        <f t="shared" si="6"/>
        <v/>
      </c>
      <c r="P100" s="207" t="str">
        <f t="shared" si="11"/>
        <v/>
      </c>
    </row>
    <row r="101" spans="3:16">
      <c r="C101" s="200"/>
      <c r="D101" s="201"/>
      <c r="E101" s="202"/>
      <c r="F101" s="200"/>
      <c r="H101" s="203"/>
      <c r="I101" s="186" t="str">
        <f t="shared" si="7"/>
        <v/>
      </c>
      <c r="J101" s="204" t="str">
        <f>IF($H101="USD",IF(OR($I101="",$I101="-"),"",VLOOKUP($G101,為替!$A:$AX,$I101,FALSE))+$J$3,IF(OR($I101="",$I101="-"),"",VLOOKUP($G101,為替!$A:$AX,$I101,FALSE)))</f>
        <v/>
      </c>
      <c r="K101" s="205" t="str">
        <f t="shared" si="8"/>
        <v/>
      </c>
      <c r="L101" s="189" t="str">
        <f t="shared" si="9"/>
        <v/>
      </c>
      <c r="M101" s="204" t="str">
        <f>IF($H101="USD",IF(OR($L101="",$L101="-"),"",VLOOKUP($G101,為替!$A:$AX,$L101,FALSE))+$K$3,IF(OR($L101="",$L101="-"),"",VLOOKUP($G101,為替!$A:$AX,$L101,FALSE)))</f>
        <v/>
      </c>
      <c r="N101" s="205" t="str">
        <f t="shared" si="10"/>
        <v/>
      </c>
      <c r="O101" s="206" t="str">
        <f t="shared" si="6"/>
        <v/>
      </c>
      <c r="P101" s="207" t="str">
        <f t="shared" si="11"/>
        <v/>
      </c>
    </row>
    <row r="102" spans="3:16">
      <c r="C102" s="200"/>
      <c r="D102" s="201"/>
      <c r="E102" s="202"/>
      <c r="F102" s="200"/>
      <c r="H102" s="203"/>
      <c r="I102" s="186" t="str">
        <f t="shared" si="7"/>
        <v/>
      </c>
      <c r="J102" s="204" t="str">
        <f>IF($H102="USD",IF(OR($I102="",$I102="-"),"",VLOOKUP($G102,為替!$A:$AX,$I102,FALSE))+$J$3,IF(OR($I102="",$I102="-"),"",VLOOKUP($G102,為替!$A:$AX,$I102,FALSE)))</f>
        <v/>
      </c>
      <c r="K102" s="205" t="str">
        <f t="shared" si="8"/>
        <v/>
      </c>
      <c r="L102" s="189" t="str">
        <f t="shared" si="9"/>
        <v/>
      </c>
      <c r="M102" s="204" t="str">
        <f>IF($H102="USD",IF(OR($L102="",$L102="-"),"",VLOOKUP($G102,為替!$A:$AX,$L102,FALSE))+$K$3,IF(OR($L102="",$L102="-"),"",VLOOKUP($G102,為替!$A:$AX,$L102,FALSE)))</f>
        <v/>
      </c>
      <c r="N102" s="205" t="str">
        <f t="shared" si="10"/>
        <v/>
      </c>
      <c r="O102" s="206" t="str">
        <f t="shared" si="6"/>
        <v/>
      </c>
      <c r="P102" s="207" t="str">
        <f t="shared" si="11"/>
        <v/>
      </c>
    </row>
    <row r="103" spans="3:16">
      <c r="C103" s="200"/>
      <c r="D103" s="201"/>
      <c r="E103" s="202"/>
      <c r="F103" s="200"/>
      <c r="H103" s="203"/>
      <c r="I103" s="186" t="str">
        <f t="shared" si="7"/>
        <v/>
      </c>
      <c r="J103" s="204" t="str">
        <f>IF($H103="USD",IF(OR($I103="",$I103="-"),"",VLOOKUP($G103,為替!$A:$AX,$I103,FALSE))+$J$3,IF(OR($I103="",$I103="-"),"",VLOOKUP($G103,為替!$A:$AX,$I103,FALSE)))</f>
        <v/>
      </c>
      <c r="K103" s="205" t="str">
        <f t="shared" si="8"/>
        <v/>
      </c>
      <c r="L103" s="189" t="str">
        <f t="shared" si="9"/>
        <v/>
      </c>
      <c r="M103" s="204" t="str">
        <f>IF($H103="USD",IF(OR($L103="",$L103="-"),"",VLOOKUP($G103,為替!$A:$AX,$L103,FALSE))+$K$3,IF(OR($L103="",$L103="-"),"",VLOOKUP($G103,為替!$A:$AX,$L103,FALSE)))</f>
        <v/>
      </c>
      <c r="N103" s="205" t="str">
        <f t="shared" si="10"/>
        <v/>
      </c>
      <c r="O103" s="206" t="str">
        <f t="shared" si="6"/>
        <v/>
      </c>
      <c r="P103" s="207" t="str">
        <f t="shared" si="11"/>
        <v/>
      </c>
    </row>
    <row r="104" spans="3:16">
      <c r="C104" s="200"/>
      <c r="D104" s="201"/>
      <c r="E104" s="202"/>
      <c r="F104" s="200"/>
      <c r="H104" s="203"/>
      <c r="I104" s="186" t="str">
        <f t="shared" si="7"/>
        <v/>
      </c>
      <c r="J104" s="204" t="str">
        <f>IF($H104="USD",IF(OR($I104="",$I104="-"),"",VLOOKUP($G104,為替!$A:$AX,$I104,FALSE))+$J$3,IF(OR($I104="",$I104="-"),"",VLOOKUP($G104,為替!$A:$AX,$I104,FALSE)))</f>
        <v/>
      </c>
      <c r="K104" s="205" t="str">
        <f t="shared" si="8"/>
        <v/>
      </c>
      <c r="L104" s="189" t="str">
        <f t="shared" si="9"/>
        <v/>
      </c>
      <c r="M104" s="204" t="str">
        <f>IF($H104="USD",IF(OR($L104="",$L104="-"),"",VLOOKUP($G104,為替!$A:$AX,$L104,FALSE))+$K$3,IF(OR($L104="",$L104="-"),"",VLOOKUP($G104,為替!$A:$AX,$L104,FALSE)))</f>
        <v/>
      </c>
      <c r="N104" s="205" t="str">
        <f t="shared" si="10"/>
        <v/>
      </c>
      <c r="O104" s="206" t="str">
        <f t="shared" si="6"/>
        <v/>
      </c>
      <c r="P104" s="207" t="str">
        <f t="shared" si="11"/>
        <v/>
      </c>
    </row>
    <row r="105" spans="3:16">
      <c r="C105" s="200"/>
      <c r="D105" s="201"/>
      <c r="E105" s="202"/>
      <c r="F105" s="200"/>
      <c r="H105" s="203"/>
      <c r="I105" s="186" t="str">
        <f t="shared" si="7"/>
        <v/>
      </c>
      <c r="J105" s="204" t="str">
        <f>IF($H105="USD",IF(OR($I105="",$I105="-"),"",VLOOKUP($G105,為替!$A:$AX,$I105,FALSE))+$J$3,IF(OR($I105="",$I105="-"),"",VLOOKUP($G105,為替!$A:$AX,$I105,FALSE)))</f>
        <v/>
      </c>
      <c r="K105" s="205" t="str">
        <f t="shared" si="8"/>
        <v/>
      </c>
      <c r="L105" s="189" t="str">
        <f t="shared" si="9"/>
        <v/>
      </c>
      <c r="M105" s="204" t="str">
        <f>IF($H105="USD",IF(OR($L105="",$L105="-"),"",VLOOKUP($G105,為替!$A:$AX,$L105,FALSE))+$K$3,IF(OR($L105="",$L105="-"),"",VLOOKUP($G105,為替!$A:$AX,$L105,FALSE)))</f>
        <v/>
      </c>
      <c r="N105" s="205" t="str">
        <f t="shared" si="10"/>
        <v/>
      </c>
      <c r="O105" s="206" t="str">
        <f t="shared" si="6"/>
        <v/>
      </c>
      <c r="P105" s="207" t="str">
        <f t="shared" si="11"/>
        <v/>
      </c>
    </row>
    <row r="106" spans="3:16">
      <c r="C106" s="200"/>
      <c r="D106" s="201"/>
      <c r="E106" s="202"/>
      <c r="F106" s="200"/>
      <c r="H106" s="203"/>
      <c r="I106" s="186" t="str">
        <f t="shared" si="7"/>
        <v/>
      </c>
      <c r="J106" s="204" t="str">
        <f>IF($H106="USD",IF(OR($I106="",$I106="-"),"",VLOOKUP($G106,為替!$A:$AX,$I106,FALSE))+$J$3,IF(OR($I106="",$I106="-"),"",VLOOKUP($G106,為替!$A:$AX,$I106,FALSE)))</f>
        <v/>
      </c>
      <c r="K106" s="205" t="str">
        <f t="shared" si="8"/>
        <v/>
      </c>
      <c r="L106" s="189" t="str">
        <f t="shared" si="9"/>
        <v/>
      </c>
      <c r="M106" s="204" t="str">
        <f>IF($H106="USD",IF(OR($L106="",$L106="-"),"",VLOOKUP($G106,為替!$A:$AX,$L106,FALSE))+$K$3,IF(OR($L106="",$L106="-"),"",VLOOKUP($G106,為替!$A:$AX,$L106,FALSE)))</f>
        <v/>
      </c>
      <c r="N106" s="205" t="str">
        <f t="shared" si="10"/>
        <v/>
      </c>
      <c r="O106" s="206" t="str">
        <f t="shared" si="6"/>
        <v/>
      </c>
      <c r="P106" s="207" t="str">
        <f t="shared" si="11"/>
        <v/>
      </c>
    </row>
    <row r="107" spans="3:16">
      <c r="C107" s="200"/>
      <c r="D107" s="201"/>
      <c r="E107" s="202"/>
      <c r="F107" s="200"/>
      <c r="H107" s="203"/>
      <c r="I107" s="186" t="str">
        <f t="shared" si="7"/>
        <v/>
      </c>
      <c r="J107" s="204" t="str">
        <f>IF($H107="USD",IF(OR($I107="",$I107="-"),"",VLOOKUP($G107,為替!$A:$AX,$I107,FALSE))+$J$3,IF(OR($I107="",$I107="-"),"",VLOOKUP($G107,為替!$A:$AX,$I107,FALSE)))</f>
        <v/>
      </c>
      <c r="K107" s="205" t="str">
        <f t="shared" si="8"/>
        <v/>
      </c>
      <c r="L107" s="189" t="str">
        <f t="shared" si="9"/>
        <v/>
      </c>
      <c r="M107" s="204" t="str">
        <f>IF($H107="USD",IF(OR($L107="",$L107="-"),"",VLOOKUP($G107,為替!$A:$AX,$L107,FALSE))+$K$3,IF(OR($L107="",$L107="-"),"",VLOOKUP($G107,為替!$A:$AX,$L107,FALSE)))</f>
        <v/>
      </c>
      <c r="N107" s="205" t="str">
        <f t="shared" si="10"/>
        <v/>
      </c>
      <c r="O107" s="206" t="str">
        <f t="shared" si="6"/>
        <v/>
      </c>
      <c r="P107" s="207" t="str">
        <f t="shared" si="11"/>
        <v/>
      </c>
    </row>
    <row r="108" spans="3:16">
      <c r="C108" s="200"/>
      <c r="D108" s="201"/>
      <c r="E108" s="202"/>
      <c r="F108" s="200"/>
      <c r="H108" s="203"/>
      <c r="I108" s="186" t="str">
        <f t="shared" si="7"/>
        <v/>
      </c>
      <c r="J108" s="204" t="str">
        <f>IF($H108="USD",IF(OR($I108="",$I108="-"),"",VLOOKUP($G108,為替!$A:$AX,$I108,FALSE))+$J$3,IF(OR($I108="",$I108="-"),"",VLOOKUP($G108,為替!$A:$AX,$I108,FALSE)))</f>
        <v/>
      </c>
      <c r="K108" s="205" t="str">
        <f t="shared" si="8"/>
        <v/>
      </c>
      <c r="L108" s="189" t="str">
        <f t="shared" si="9"/>
        <v/>
      </c>
      <c r="M108" s="204" t="str">
        <f>IF($H108="USD",IF(OR($L108="",$L108="-"),"",VLOOKUP($G108,為替!$A:$AX,$L108,FALSE))+$K$3,IF(OR($L108="",$L108="-"),"",VLOOKUP($G108,為替!$A:$AX,$L108,FALSE)))</f>
        <v/>
      </c>
      <c r="N108" s="205" t="str">
        <f t="shared" si="10"/>
        <v/>
      </c>
      <c r="O108" s="206" t="str">
        <f t="shared" si="6"/>
        <v/>
      </c>
      <c r="P108" s="207" t="str">
        <f t="shared" si="11"/>
        <v/>
      </c>
    </row>
    <row r="109" spans="3:16">
      <c r="C109" s="200"/>
      <c r="D109" s="201"/>
      <c r="E109" s="202"/>
      <c r="F109" s="200"/>
      <c r="H109" s="203"/>
      <c r="I109" s="186" t="str">
        <f t="shared" si="7"/>
        <v/>
      </c>
      <c r="J109" s="204" t="str">
        <f>IF($H109="USD",IF(OR($I109="",$I109="-"),"",VLOOKUP($G109,為替!$A:$AX,$I109,FALSE))+$J$3,IF(OR($I109="",$I109="-"),"",VLOOKUP($G109,為替!$A:$AX,$I109,FALSE)))</f>
        <v/>
      </c>
      <c r="K109" s="205" t="str">
        <f t="shared" si="8"/>
        <v/>
      </c>
      <c r="L109" s="189" t="str">
        <f t="shared" si="9"/>
        <v/>
      </c>
      <c r="M109" s="204" t="str">
        <f>IF($H109="USD",IF(OR($L109="",$L109="-"),"",VLOOKUP($G109,為替!$A:$AX,$L109,FALSE))+$K$3,IF(OR($L109="",$L109="-"),"",VLOOKUP($G109,為替!$A:$AX,$L109,FALSE)))</f>
        <v/>
      </c>
      <c r="N109" s="205" t="str">
        <f t="shared" si="10"/>
        <v/>
      </c>
      <c r="O109" s="206" t="str">
        <f t="shared" si="6"/>
        <v/>
      </c>
      <c r="P109" s="207" t="str">
        <f t="shared" si="11"/>
        <v/>
      </c>
    </row>
    <row r="110" spans="3:16">
      <c r="C110" s="200"/>
      <c r="D110" s="201"/>
      <c r="E110" s="202"/>
      <c r="F110" s="200"/>
      <c r="H110" s="203"/>
      <c r="I110" s="186" t="str">
        <f t="shared" si="7"/>
        <v/>
      </c>
      <c r="J110" s="204" t="str">
        <f>IF($H110="USD",IF(OR($I110="",$I110="-"),"",VLOOKUP($G110,為替!$A:$AX,$I110,FALSE))+$J$3,IF(OR($I110="",$I110="-"),"",VLOOKUP($G110,為替!$A:$AX,$I110,FALSE)))</f>
        <v/>
      </c>
      <c r="K110" s="205" t="str">
        <f t="shared" si="8"/>
        <v/>
      </c>
      <c r="L110" s="189" t="str">
        <f t="shared" si="9"/>
        <v/>
      </c>
      <c r="M110" s="204" t="str">
        <f>IF($H110="USD",IF(OR($L110="",$L110="-"),"",VLOOKUP($G110,為替!$A:$AX,$L110,FALSE))+$K$3,IF(OR($L110="",$L110="-"),"",VLOOKUP($G110,為替!$A:$AX,$L110,FALSE)))</f>
        <v/>
      </c>
      <c r="N110" s="205" t="str">
        <f t="shared" si="10"/>
        <v/>
      </c>
      <c r="O110" s="206" t="str">
        <f t="shared" si="6"/>
        <v/>
      </c>
      <c r="P110" s="207" t="str">
        <f t="shared" si="11"/>
        <v/>
      </c>
    </row>
    <row r="111" spans="3:16">
      <c r="C111" s="200"/>
      <c r="D111" s="201"/>
      <c r="E111" s="202"/>
      <c r="F111" s="200"/>
      <c r="H111" s="203"/>
      <c r="I111" s="186" t="str">
        <f t="shared" si="7"/>
        <v/>
      </c>
      <c r="J111" s="204" t="str">
        <f>IF($H111="USD",IF(OR($I111="",$I111="-"),"",VLOOKUP($G111,為替!$A:$AX,$I111,FALSE))+$J$3,IF(OR($I111="",$I111="-"),"",VLOOKUP($G111,為替!$A:$AX,$I111,FALSE)))</f>
        <v/>
      </c>
      <c r="K111" s="205" t="str">
        <f t="shared" si="8"/>
        <v/>
      </c>
      <c r="L111" s="189" t="str">
        <f t="shared" si="9"/>
        <v/>
      </c>
      <c r="M111" s="204" t="str">
        <f>IF($H111="USD",IF(OR($L111="",$L111="-"),"",VLOOKUP($G111,為替!$A:$AX,$L111,FALSE))+$K$3,IF(OR($L111="",$L111="-"),"",VLOOKUP($G111,為替!$A:$AX,$L111,FALSE)))</f>
        <v/>
      </c>
      <c r="N111" s="205" t="str">
        <f t="shared" si="10"/>
        <v/>
      </c>
      <c r="O111" s="206" t="str">
        <f t="shared" si="6"/>
        <v/>
      </c>
      <c r="P111" s="207" t="str">
        <f t="shared" si="11"/>
        <v/>
      </c>
    </row>
    <row r="112" spans="3:16">
      <c r="C112" s="200"/>
      <c r="D112" s="201"/>
      <c r="E112" s="202"/>
      <c r="F112" s="200"/>
      <c r="H112" s="203"/>
      <c r="I112" s="186" t="str">
        <f t="shared" si="7"/>
        <v/>
      </c>
      <c r="J112" s="204" t="str">
        <f>IF($H112="USD",IF(OR($I112="",$I112="-"),"",VLOOKUP($G112,為替!$A:$AX,$I112,FALSE))+$J$3,IF(OR($I112="",$I112="-"),"",VLOOKUP($G112,為替!$A:$AX,$I112,FALSE)))</f>
        <v/>
      </c>
      <c r="K112" s="205" t="str">
        <f t="shared" si="8"/>
        <v/>
      </c>
      <c r="L112" s="189" t="str">
        <f t="shared" si="9"/>
        <v/>
      </c>
      <c r="M112" s="204" t="str">
        <f>IF($H112="USD",IF(OR($L112="",$L112="-"),"",VLOOKUP($G112,為替!$A:$AX,$L112,FALSE))+$K$3,IF(OR($L112="",$L112="-"),"",VLOOKUP($G112,為替!$A:$AX,$L112,FALSE)))</f>
        <v/>
      </c>
      <c r="N112" s="205" t="str">
        <f t="shared" si="10"/>
        <v/>
      </c>
      <c r="O112" s="206" t="str">
        <f t="shared" si="6"/>
        <v/>
      </c>
      <c r="P112" s="207" t="str">
        <f t="shared" si="11"/>
        <v/>
      </c>
    </row>
    <row r="113" spans="3:16">
      <c r="C113" s="200"/>
      <c r="D113" s="201"/>
      <c r="E113" s="202"/>
      <c r="F113" s="200"/>
      <c r="H113" s="203"/>
      <c r="I113" s="186" t="str">
        <f t="shared" si="7"/>
        <v/>
      </c>
      <c r="J113" s="204" t="str">
        <f>IF($H113="USD",IF(OR($I113="",$I113="-"),"",VLOOKUP($G113,為替!$A:$AX,$I113,FALSE))+$J$3,IF(OR($I113="",$I113="-"),"",VLOOKUP($G113,為替!$A:$AX,$I113,FALSE)))</f>
        <v/>
      </c>
      <c r="K113" s="205" t="str">
        <f t="shared" si="8"/>
        <v/>
      </c>
      <c r="L113" s="189" t="str">
        <f t="shared" si="9"/>
        <v/>
      </c>
      <c r="M113" s="204" t="str">
        <f>IF($H113="USD",IF(OR($L113="",$L113="-"),"",VLOOKUP($G113,為替!$A:$AX,$L113,FALSE))+$K$3,IF(OR($L113="",$L113="-"),"",VLOOKUP($G113,為替!$A:$AX,$L113,FALSE)))</f>
        <v/>
      </c>
      <c r="N113" s="205" t="str">
        <f t="shared" si="10"/>
        <v/>
      </c>
      <c r="O113" s="206" t="str">
        <f t="shared" si="6"/>
        <v/>
      </c>
      <c r="P113" s="207" t="str">
        <f t="shared" si="11"/>
        <v/>
      </c>
    </row>
    <row r="114" spans="3:16">
      <c r="C114" s="200"/>
      <c r="D114" s="201"/>
      <c r="E114" s="202"/>
      <c r="F114" s="200"/>
      <c r="H114" s="203"/>
      <c r="I114" s="186" t="str">
        <f t="shared" si="7"/>
        <v/>
      </c>
      <c r="J114" s="204" t="str">
        <f>IF($H114="USD",IF(OR($I114="",$I114="-"),"",VLOOKUP($G114,為替!$A:$AX,$I114,FALSE))+$J$3,IF(OR($I114="",$I114="-"),"",VLOOKUP($G114,為替!$A:$AX,$I114,FALSE)))</f>
        <v/>
      </c>
      <c r="K114" s="205" t="str">
        <f t="shared" si="8"/>
        <v/>
      </c>
      <c r="L114" s="189" t="str">
        <f t="shared" si="9"/>
        <v/>
      </c>
      <c r="M114" s="204" t="str">
        <f>IF($H114="USD",IF(OR($L114="",$L114="-"),"",VLOOKUP($G114,為替!$A:$AX,$L114,FALSE))+$K$3,IF(OR($L114="",$L114="-"),"",VLOOKUP($G114,為替!$A:$AX,$L114,FALSE)))</f>
        <v/>
      </c>
      <c r="N114" s="205" t="str">
        <f t="shared" si="10"/>
        <v/>
      </c>
      <c r="O114" s="206" t="str">
        <f t="shared" si="6"/>
        <v/>
      </c>
      <c r="P114" s="207" t="str">
        <f t="shared" si="11"/>
        <v/>
      </c>
    </row>
    <row r="115" spans="3:16">
      <c r="C115" s="200"/>
      <c r="D115" s="201"/>
      <c r="E115" s="202"/>
      <c r="F115" s="200"/>
      <c r="H115" s="203"/>
      <c r="I115" s="186" t="str">
        <f t="shared" si="7"/>
        <v/>
      </c>
      <c r="J115" s="204" t="str">
        <f>IF($H115="USD",IF(OR($I115="",$I115="-"),"",VLOOKUP($G115,為替!$A:$AX,$I115,FALSE))+$J$3,IF(OR($I115="",$I115="-"),"",VLOOKUP($G115,為替!$A:$AX,$I115,FALSE)))</f>
        <v/>
      </c>
      <c r="K115" s="205" t="str">
        <f t="shared" si="8"/>
        <v/>
      </c>
      <c r="L115" s="189" t="str">
        <f t="shared" si="9"/>
        <v/>
      </c>
      <c r="M115" s="204" t="str">
        <f>IF($H115="USD",IF(OR($L115="",$L115="-"),"",VLOOKUP($G115,為替!$A:$AX,$L115,FALSE))+$K$3,IF(OR($L115="",$L115="-"),"",VLOOKUP($G115,為替!$A:$AX,$L115,FALSE)))</f>
        <v/>
      </c>
      <c r="N115" s="205" t="str">
        <f t="shared" si="10"/>
        <v/>
      </c>
      <c r="O115" s="206" t="str">
        <f t="shared" si="6"/>
        <v/>
      </c>
      <c r="P115" s="207" t="str">
        <f t="shared" si="11"/>
        <v/>
      </c>
    </row>
    <row r="116" spans="3:16">
      <c r="C116" s="200"/>
      <c r="D116" s="201"/>
      <c r="E116" s="202"/>
      <c r="F116" s="200"/>
      <c r="H116" s="203"/>
      <c r="I116" s="186" t="str">
        <f t="shared" si="7"/>
        <v/>
      </c>
      <c r="J116" s="204" t="str">
        <f>IF($H116="USD",IF(OR($I116="",$I116="-"),"",VLOOKUP($G116,為替!$A:$AX,$I116,FALSE))+$J$3,IF(OR($I116="",$I116="-"),"",VLOOKUP($G116,為替!$A:$AX,$I116,FALSE)))</f>
        <v/>
      </c>
      <c r="K116" s="205" t="str">
        <f t="shared" si="8"/>
        <v/>
      </c>
      <c r="L116" s="189" t="str">
        <f t="shared" si="9"/>
        <v/>
      </c>
      <c r="M116" s="204" t="str">
        <f>IF($H116="USD",IF(OR($L116="",$L116="-"),"",VLOOKUP($G116,為替!$A:$AX,$L116,FALSE))+$K$3,IF(OR($L116="",$L116="-"),"",VLOOKUP($G116,為替!$A:$AX,$L116,FALSE)))</f>
        <v/>
      </c>
      <c r="N116" s="205" t="str">
        <f t="shared" si="10"/>
        <v/>
      </c>
      <c r="O116" s="206" t="str">
        <f t="shared" si="6"/>
        <v/>
      </c>
      <c r="P116" s="207" t="str">
        <f t="shared" si="11"/>
        <v/>
      </c>
    </row>
    <row r="117" spans="3:16">
      <c r="C117" s="200"/>
      <c r="D117" s="201"/>
      <c r="E117" s="202"/>
      <c r="F117" s="200"/>
      <c r="H117" s="203"/>
      <c r="I117" s="186" t="str">
        <f t="shared" si="7"/>
        <v/>
      </c>
      <c r="J117" s="204" t="str">
        <f>IF($H117="USD",IF(OR($I117="",$I117="-"),"",VLOOKUP($G117,為替!$A:$AX,$I117,FALSE))+$J$3,IF(OR($I117="",$I117="-"),"",VLOOKUP($G117,為替!$A:$AX,$I117,FALSE)))</f>
        <v/>
      </c>
      <c r="K117" s="205" t="str">
        <f t="shared" si="8"/>
        <v/>
      </c>
      <c r="L117" s="189" t="str">
        <f t="shared" si="9"/>
        <v/>
      </c>
      <c r="M117" s="204" t="str">
        <f>IF($H117="USD",IF(OR($L117="",$L117="-"),"",VLOOKUP($G117,為替!$A:$AX,$L117,FALSE))+$K$3,IF(OR($L117="",$L117="-"),"",VLOOKUP($G117,為替!$A:$AX,$L117,FALSE)))</f>
        <v/>
      </c>
      <c r="N117" s="205" t="str">
        <f t="shared" si="10"/>
        <v/>
      </c>
      <c r="O117" s="206" t="str">
        <f t="shared" si="6"/>
        <v/>
      </c>
      <c r="P117" s="207" t="str">
        <f t="shared" si="11"/>
        <v/>
      </c>
    </row>
    <row r="118" spans="3:16">
      <c r="C118" s="200"/>
      <c r="D118" s="201"/>
      <c r="E118" s="202"/>
      <c r="F118" s="200"/>
      <c r="H118" s="203"/>
      <c r="I118" s="186" t="str">
        <f t="shared" si="7"/>
        <v/>
      </c>
      <c r="J118" s="204" t="str">
        <f>IF($H118="USD",IF(OR($I118="",$I118="-"),"",VLOOKUP($G118,為替!$A:$AX,$I118,FALSE))+$J$3,IF(OR($I118="",$I118="-"),"",VLOOKUP($G118,為替!$A:$AX,$I118,FALSE)))</f>
        <v/>
      </c>
      <c r="K118" s="205" t="str">
        <f t="shared" si="8"/>
        <v/>
      </c>
      <c r="L118" s="189" t="str">
        <f t="shared" si="9"/>
        <v/>
      </c>
      <c r="M118" s="204" t="str">
        <f>IF($H118="USD",IF(OR($L118="",$L118="-"),"",VLOOKUP($G118,為替!$A:$AX,$L118,FALSE))+$K$3,IF(OR($L118="",$L118="-"),"",VLOOKUP($G118,為替!$A:$AX,$L118,FALSE)))</f>
        <v/>
      </c>
      <c r="N118" s="205" t="str">
        <f t="shared" si="10"/>
        <v/>
      </c>
      <c r="O118" s="206" t="str">
        <f t="shared" si="6"/>
        <v/>
      </c>
      <c r="P118" s="207" t="str">
        <f t="shared" si="11"/>
        <v/>
      </c>
    </row>
    <row r="119" spans="3:16">
      <c r="C119" s="200"/>
      <c r="D119" s="201"/>
      <c r="E119" s="202"/>
      <c r="F119" s="200"/>
      <c r="H119" s="203"/>
      <c r="I119" s="186" t="str">
        <f t="shared" si="7"/>
        <v/>
      </c>
      <c r="J119" s="204" t="str">
        <f>IF($H119="USD",IF(OR($I119="",$I119="-"),"",VLOOKUP($G119,為替!$A:$AX,$I119,FALSE))+$J$3,IF(OR($I119="",$I119="-"),"",VLOOKUP($G119,為替!$A:$AX,$I119,FALSE)))</f>
        <v/>
      </c>
      <c r="K119" s="205" t="str">
        <f t="shared" si="8"/>
        <v/>
      </c>
      <c r="L119" s="189" t="str">
        <f t="shared" si="9"/>
        <v/>
      </c>
      <c r="M119" s="204" t="str">
        <f>IF($H119="USD",IF(OR($L119="",$L119="-"),"",VLOOKUP($G119,為替!$A:$AX,$L119,FALSE))+$K$3,IF(OR($L119="",$L119="-"),"",VLOOKUP($G119,為替!$A:$AX,$L119,FALSE)))</f>
        <v/>
      </c>
      <c r="N119" s="205" t="str">
        <f t="shared" si="10"/>
        <v/>
      </c>
      <c r="O119" s="206" t="str">
        <f t="shared" si="6"/>
        <v/>
      </c>
      <c r="P119" s="207" t="str">
        <f t="shared" si="11"/>
        <v/>
      </c>
    </row>
    <row r="120" spans="3:16">
      <c r="C120" s="200"/>
      <c r="D120" s="201"/>
      <c r="E120" s="202"/>
      <c r="F120" s="200"/>
      <c r="H120" s="203"/>
      <c r="I120" s="186" t="str">
        <f t="shared" si="7"/>
        <v/>
      </c>
      <c r="J120" s="204" t="str">
        <f>IF($H120="USD",IF(OR($I120="",$I120="-"),"",VLOOKUP($G120,為替!$A:$AX,$I120,FALSE))+$J$3,IF(OR($I120="",$I120="-"),"",VLOOKUP($G120,為替!$A:$AX,$I120,FALSE)))</f>
        <v/>
      </c>
      <c r="K120" s="205" t="str">
        <f t="shared" si="8"/>
        <v/>
      </c>
      <c r="L120" s="189" t="str">
        <f t="shared" si="9"/>
        <v/>
      </c>
      <c r="M120" s="204" t="str">
        <f>IF($H120="USD",IF(OR($L120="",$L120="-"),"",VLOOKUP($G120,為替!$A:$AX,$L120,FALSE))+$K$3,IF(OR($L120="",$L120="-"),"",VLOOKUP($G120,為替!$A:$AX,$L120,FALSE)))</f>
        <v/>
      </c>
      <c r="N120" s="205" t="str">
        <f t="shared" si="10"/>
        <v/>
      </c>
      <c r="O120" s="206" t="str">
        <f t="shared" si="6"/>
        <v/>
      </c>
      <c r="P120" s="207" t="str">
        <f t="shared" si="11"/>
        <v/>
      </c>
    </row>
    <row r="121" spans="3:16">
      <c r="C121" s="200"/>
      <c r="D121" s="201"/>
      <c r="E121" s="202"/>
      <c r="F121" s="200"/>
      <c r="H121" s="203"/>
      <c r="I121" s="186" t="str">
        <f t="shared" si="7"/>
        <v/>
      </c>
      <c r="J121" s="204" t="str">
        <f>IF($H121="USD",IF(OR($I121="",$I121="-"),"",VLOOKUP($G121,為替!$A:$AX,$I121,FALSE))+$J$3,IF(OR($I121="",$I121="-"),"",VLOOKUP($G121,為替!$A:$AX,$I121,FALSE)))</f>
        <v/>
      </c>
      <c r="K121" s="205" t="str">
        <f t="shared" si="8"/>
        <v/>
      </c>
      <c r="L121" s="189" t="str">
        <f t="shared" si="9"/>
        <v/>
      </c>
      <c r="M121" s="204" t="str">
        <f>IF($H121="USD",IF(OR($L121="",$L121="-"),"",VLOOKUP($G121,為替!$A:$AX,$L121,FALSE))+$K$3,IF(OR($L121="",$L121="-"),"",VLOOKUP($G121,為替!$A:$AX,$L121,FALSE)))</f>
        <v/>
      </c>
      <c r="N121" s="205" t="str">
        <f t="shared" si="10"/>
        <v/>
      </c>
      <c r="O121" s="206" t="str">
        <f t="shared" si="6"/>
        <v/>
      </c>
      <c r="P121" s="207" t="str">
        <f t="shared" si="11"/>
        <v/>
      </c>
    </row>
    <row r="122" spans="3:16">
      <c r="C122" s="200"/>
      <c r="D122" s="201"/>
      <c r="E122" s="202"/>
      <c r="F122" s="200"/>
      <c r="H122" s="203"/>
      <c r="I122" s="186" t="str">
        <f t="shared" si="7"/>
        <v/>
      </c>
      <c r="J122" s="204" t="str">
        <f>IF($H122="USD",IF(OR($I122="",$I122="-"),"",VLOOKUP($G122,為替!$A:$AX,$I122,FALSE))+$J$3,IF(OR($I122="",$I122="-"),"",VLOOKUP($G122,為替!$A:$AX,$I122,FALSE)))</f>
        <v/>
      </c>
      <c r="K122" s="205" t="str">
        <f t="shared" si="8"/>
        <v/>
      </c>
      <c r="L122" s="189" t="str">
        <f t="shared" si="9"/>
        <v/>
      </c>
      <c r="M122" s="204" t="str">
        <f>IF($H122="USD",IF(OR($L122="",$L122="-"),"",VLOOKUP($G122,為替!$A:$AX,$L122,FALSE))+$K$3,IF(OR($L122="",$L122="-"),"",VLOOKUP($G122,為替!$A:$AX,$L122,FALSE)))</f>
        <v/>
      </c>
      <c r="N122" s="205" t="str">
        <f t="shared" si="10"/>
        <v/>
      </c>
      <c r="O122" s="206" t="str">
        <f t="shared" si="6"/>
        <v/>
      </c>
      <c r="P122" s="207" t="str">
        <f t="shared" si="11"/>
        <v/>
      </c>
    </row>
    <row r="123" spans="3:16">
      <c r="C123" s="200"/>
      <c r="D123" s="201"/>
      <c r="E123" s="202"/>
      <c r="F123" s="200"/>
      <c r="H123" s="203"/>
      <c r="I123" s="186" t="str">
        <f t="shared" si="7"/>
        <v/>
      </c>
      <c r="J123" s="204" t="str">
        <f>IF($H123="USD",IF(OR($I123="",$I123="-"),"",VLOOKUP($G123,為替!$A:$AX,$I123,FALSE))+$J$3,IF(OR($I123="",$I123="-"),"",VLOOKUP($G123,為替!$A:$AX,$I123,FALSE)))</f>
        <v/>
      </c>
      <c r="K123" s="205" t="str">
        <f t="shared" si="8"/>
        <v/>
      </c>
      <c r="L123" s="189" t="str">
        <f t="shared" si="9"/>
        <v/>
      </c>
      <c r="M123" s="204" t="str">
        <f>IF($H123="USD",IF(OR($L123="",$L123="-"),"",VLOOKUP($G123,為替!$A:$AX,$L123,FALSE))+$K$3,IF(OR($L123="",$L123="-"),"",VLOOKUP($G123,為替!$A:$AX,$L123,FALSE)))</f>
        <v/>
      </c>
      <c r="N123" s="205" t="str">
        <f t="shared" si="10"/>
        <v/>
      </c>
      <c r="O123" s="206" t="str">
        <f t="shared" si="6"/>
        <v/>
      </c>
      <c r="P123" s="207" t="str">
        <f t="shared" si="11"/>
        <v/>
      </c>
    </row>
    <row r="124" spans="3:16">
      <c r="C124" s="200"/>
      <c r="D124" s="201"/>
      <c r="E124" s="202"/>
      <c r="F124" s="200"/>
      <c r="H124" s="203"/>
      <c r="I124" s="186" t="str">
        <f t="shared" si="7"/>
        <v/>
      </c>
      <c r="J124" s="204" t="str">
        <f>IF($H124="USD",IF(OR($I124="",$I124="-"),"",VLOOKUP($G124,為替!$A:$AX,$I124,FALSE))+$J$3,IF(OR($I124="",$I124="-"),"",VLOOKUP($G124,為替!$A:$AX,$I124,FALSE)))</f>
        <v/>
      </c>
      <c r="K124" s="205" t="str">
        <f t="shared" si="8"/>
        <v/>
      </c>
      <c r="L124" s="189" t="str">
        <f t="shared" si="9"/>
        <v/>
      </c>
      <c r="M124" s="204" t="str">
        <f>IF($H124="USD",IF(OR($L124="",$L124="-"),"",VLOOKUP($G124,為替!$A:$AX,$L124,FALSE))+$K$3,IF(OR($L124="",$L124="-"),"",VLOOKUP($G124,為替!$A:$AX,$L124,FALSE)))</f>
        <v/>
      </c>
      <c r="N124" s="205" t="str">
        <f t="shared" si="10"/>
        <v/>
      </c>
      <c r="O124" s="206" t="str">
        <f t="shared" si="6"/>
        <v/>
      </c>
      <c r="P124" s="207" t="str">
        <f t="shared" si="11"/>
        <v/>
      </c>
    </row>
    <row r="125" spans="3:16">
      <c r="C125" s="200"/>
      <c r="D125" s="201"/>
      <c r="E125" s="202"/>
      <c r="F125" s="200"/>
      <c r="H125" s="203"/>
      <c r="I125" s="186" t="str">
        <f t="shared" si="7"/>
        <v/>
      </c>
      <c r="J125" s="204" t="str">
        <f>IF($H125="USD",IF(OR($I125="",$I125="-"),"",VLOOKUP($G125,為替!$A:$AX,$I125,FALSE))+$J$3,IF(OR($I125="",$I125="-"),"",VLOOKUP($G125,為替!$A:$AX,$I125,FALSE)))</f>
        <v/>
      </c>
      <c r="K125" s="205" t="str">
        <f t="shared" si="8"/>
        <v/>
      </c>
      <c r="L125" s="189" t="str">
        <f t="shared" si="9"/>
        <v/>
      </c>
      <c r="M125" s="204" t="str">
        <f>IF($H125="USD",IF(OR($L125="",$L125="-"),"",VLOOKUP($G125,為替!$A:$AX,$L125,FALSE))+$K$3,IF(OR($L125="",$L125="-"),"",VLOOKUP($G125,為替!$A:$AX,$L125,FALSE)))</f>
        <v/>
      </c>
      <c r="N125" s="205" t="str">
        <f t="shared" si="10"/>
        <v/>
      </c>
      <c r="O125" s="206" t="str">
        <f t="shared" si="6"/>
        <v/>
      </c>
      <c r="P125" s="207" t="str">
        <f t="shared" si="11"/>
        <v/>
      </c>
    </row>
    <row r="126" spans="3:16">
      <c r="C126" s="200"/>
      <c r="D126" s="201"/>
      <c r="E126" s="202"/>
      <c r="F126" s="200"/>
      <c r="H126" s="203"/>
      <c r="I126" s="186" t="str">
        <f t="shared" si="7"/>
        <v/>
      </c>
      <c r="J126" s="204" t="str">
        <f>IF($H126="USD",IF(OR($I126="",$I126="-"),"",VLOOKUP($G126,為替!$A:$AX,$I126,FALSE))+$J$3,IF(OR($I126="",$I126="-"),"",VLOOKUP($G126,為替!$A:$AX,$I126,FALSE)))</f>
        <v/>
      </c>
      <c r="K126" s="205" t="str">
        <f t="shared" si="8"/>
        <v/>
      </c>
      <c r="L126" s="189" t="str">
        <f t="shared" si="9"/>
        <v/>
      </c>
      <c r="M126" s="204" t="str">
        <f>IF($H126="USD",IF(OR($L126="",$L126="-"),"",VLOOKUP($G126,為替!$A:$AX,$L126,FALSE))+$K$3,IF(OR($L126="",$L126="-"),"",VLOOKUP($G126,為替!$A:$AX,$L126,FALSE)))</f>
        <v/>
      </c>
      <c r="N126" s="205" t="str">
        <f t="shared" si="10"/>
        <v/>
      </c>
      <c r="O126" s="206" t="str">
        <f t="shared" si="6"/>
        <v/>
      </c>
      <c r="P126" s="207" t="str">
        <f t="shared" si="11"/>
        <v/>
      </c>
    </row>
    <row r="127" spans="3:16">
      <c r="C127" s="200"/>
      <c r="D127" s="201"/>
      <c r="E127" s="202"/>
      <c r="F127" s="200"/>
      <c r="H127" s="203"/>
      <c r="I127" s="186" t="str">
        <f t="shared" si="7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 t="str">
        <f t="shared" si="8"/>
        <v/>
      </c>
      <c r="L127" s="189" t="str">
        <f t="shared" si="9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 t="str">
        <f t="shared" si="10"/>
        <v/>
      </c>
      <c r="O127" s="206" t="str">
        <f t="shared" si="6"/>
        <v/>
      </c>
      <c r="P127" s="207" t="str">
        <f t="shared" si="11"/>
        <v/>
      </c>
    </row>
    <row r="128" spans="3:16">
      <c r="C128" s="200"/>
      <c r="D128" s="201"/>
      <c r="E128" s="202"/>
      <c r="F128" s="200"/>
      <c r="H128" s="203"/>
      <c r="I128" s="186" t="str">
        <f t="shared" si="7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 t="str">
        <f t="shared" si="8"/>
        <v/>
      </c>
      <c r="L128" s="189" t="str">
        <f t="shared" si="9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 t="str">
        <f t="shared" si="10"/>
        <v/>
      </c>
      <c r="O128" s="206" t="str">
        <f t="shared" si="6"/>
        <v/>
      </c>
      <c r="P128" s="207" t="str">
        <f t="shared" si="11"/>
        <v/>
      </c>
    </row>
    <row r="129" spans="3:16">
      <c r="C129" s="200"/>
      <c r="D129" s="201"/>
      <c r="E129" s="202"/>
      <c r="F129" s="200"/>
      <c r="H129" s="203"/>
      <c r="I129" s="186" t="str">
        <f t="shared" si="7"/>
        <v/>
      </c>
      <c r="J129" s="204" t="str">
        <f>IF($H129="USD",IF(OR($I129="",$I129="-"),"",VLOOKUP($G129,為替!$A:$AX,$I129,FALSE))+$J$3,IF(OR($I129="",$I129="-"),"",VLOOKUP($G129,為替!$A:$AX,$I129,FALSE)))</f>
        <v/>
      </c>
      <c r="K129" s="205" t="str">
        <f t="shared" si="8"/>
        <v/>
      </c>
      <c r="L129" s="189" t="str">
        <f t="shared" si="9"/>
        <v/>
      </c>
      <c r="M129" s="204" t="str">
        <f>IF($H129="USD",IF(OR($L129="",$L129="-"),"",VLOOKUP($G129,為替!$A:$AX,$L129,FALSE))+$K$3,IF(OR($L129="",$L129="-"),"",VLOOKUP($G129,為替!$A:$AX,$L129,FALSE)))</f>
        <v/>
      </c>
      <c r="N129" s="205" t="str">
        <f t="shared" si="10"/>
        <v/>
      </c>
      <c r="O129" s="206" t="str">
        <f t="shared" si="6"/>
        <v/>
      </c>
      <c r="P129" s="207" t="str">
        <f t="shared" si="11"/>
        <v/>
      </c>
    </row>
    <row r="130" spans="3:16">
      <c r="C130" s="200"/>
      <c r="D130" s="201"/>
      <c r="E130" s="202"/>
      <c r="F130" s="200"/>
      <c r="H130" s="203"/>
      <c r="I130" s="186" t="str">
        <f t="shared" si="7"/>
        <v/>
      </c>
      <c r="J130" s="204" t="str">
        <f>IF($H130="USD",IF(OR($I130="",$I130="-"),"",VLOOKUP($G130,為替!$A:$AX,$I130,FALSE))+$J$3,IF(OR($I130="",$I130="-"),"",VLOOKUP($G130,為替!$A:$AX,$I130,FALSE)))</f>
        <v/>
      </c>
      <c r="K130" s="205" t="str">
        <f t="shared" si="8"/>
        <v/>
      </c>
      <c r="L130" s="189" t="str">
        <f t="shared" si="9"/>
        <v/>
      </c>
      <c r="M130" s="204" t="str">
        <f>IF($H130="USD",IF(OR($L130="",$L130="-"),"",VLOOKUP($G130,為替!$A:$AX,$L130,FALSE))+$K$3,IF(OR($L130="",$L130="-"),"",VLOOKUP($G130,為替!$A:$AX,$L130,FALSE)))</f>
        <v/>
      </c>
      <c r="N130" s="205" t="str">
        <f t="shared" si="10"/>
        <v/>
      </c>
      <c r="O130" s="206" t="str">
        <f t="shared" si="6"/>
        <v/>
      </c>
      <c r="P130" s="207" t="str">
        <f t="shared" si="11"/>
        <v/>
      </c>
    </row>
    <row r="131" spans="3:16">
      <c r="C131" s="200"/>
      <c r="D131" s="201"/>
      <c r="E131" s="202"/>
      <c r="F131" s="200"/>
      <c r="H131" s="203"/>
      <c r="I131" s="186" t="str">
        <f t="shared" si="7"/>
        <v/>
      </c>
      <c r="J131" s="204" t="str">
        <f>IF($H131="USD",IF(OR($I131="",$I131="-"),"",VLOOKUP($G131,為替!$A:$AX,$I131,FALSE))+$J$3,IF(OR($I131="",$I131="-"),"",VLOOKUP($G131,為替!$A:$AX,$I131,FALSE)))</f>
        <v/>
      </c>
      <c r="K131" s="205" t="str">
        <f t="shared" si="8"/>
        <v/>
      </c>
      <c r="L131" s="189" t="str">
        <f t="shared" si="9"/>
        <v/>
      </c>
      <c r="M131" s="204" t="str">
        <f>IF($H131="USD",IF(OR($L131="",$L131="-"),"",VLOOKUP($G131,為替!$A:$AX,$L131,FALSE))+$K$3,IF(OR($L131="",$L131="-"),"",VLOOKUP($G131,為替!$A:$AX,$L131,FALSE)))</f>
        <v/>
      </c>
      <c r="N131" s="205" t="str">
        <f t="shared" si="10"/>
        <v/>
      </c>
      <c r="O131" s="206" t="str">
        <f t="shared" si="6"/>
        <v/>
      </c>
      <c r="P131" s="207" t="str">
        <f t="shared" si="11"/>
        <v/>
      </c>
    </row>
    <row r="132" spans="3:16">
      <c r="C132" s="200"/>
      <c r="D132" s="201"/>
      <c r="E132" s="202"/>
      <c r="F132" s="200"/>
      <c r="H132" s="203"/>
      <c r="I132" s="186" t="str">
        <f t="shared" si="7"/>
        <v/>
      </c>
      <c r="J132" s="204" t="str">
        <f>IF($H132="USD",IF(OR($I132="",$I132="-"),"",VLOOKUP($G132,為替!$A:$AX,$I132,FALSE))+$J$3,IF(OR($I132="",$I132="-"),"",VLOOKUP($G132,為替!$A:$AX,$I132,FALSE)))</f>
        <v/>
      </c>
      <c r="K132" s="205" t="str">
        <f t="shared" si="8"/>
        <v/>
      </c>
      <c r="L132" s="189" t="str">
        <f t="shared" si="9"/>
        <v/>
      </c>
      <c r="M132" s="204" t="str">
        <f>IF($H132="USD",IF(OR($L132="",$L132="-"),"",VLOOKUP($G132,為替!$A:$AX,$L132,FALSE))+$K$3,IF(OR($L132="",$L132="-"),"",VLOOKUP($G132,為替!$A:$AX,$L132,FALSE)))</f>
        <v/>
      </c>
      <c r="N132" s="205" t="str">
        <f t="shared" si="10"/>
        <v/>
      </c>
      <c r="O132" s="206" t="str">
        <f t="shared" si="6"/>
        <v/>
      </c>
      <c r="P132" s="207" t="str">
        <f t="shared" si="11"/>
        <v/>
      </c>
    </row>
    <row r="133" spans="3:16">
      <c r="C133" s="200"/>
      <c r="D133" s="201"/>
      <c r="E133" s="202"/>
      <c r="F133" s="200"/>
      <c r="H133" s="203"/>
      <c r="I133" s="186" t="str">
        <f t="shared" si="7"/>
        <v/>
      </c>
      <c r="J133" s="204" t="str">
        <f>IF($H133="USD",IF(OR($I133="",$I133="-"),"",VLOOKUP($G133,為替!$A:$AX,$I133,FALSE))+$J$3,IF(OR($I133="",$I133="-"),"",VLOOKUP($G133,為替!$A:$AX,$I133,FALSE)))</f>
        <v/>
      </c>
      <c r="K133" s="205" t="str">
        <f t="shared" si="8"/>
        <v/>
      </c>
      <c r="L133" s="189" t="str">
        <f t="shared" si="9"/>
        <v/>
      </c>
      <c r="M133" s="204" t="str">
        <f>IF($H133="USD",IF(OR($L133="",$L133="-"),"",VLOOKUP($G133,為替!$A:$AX,$L133,FALSE))+$K$3,IF(OR($L133="",$L133="-"),"",VLOOKUP($G133,為替!$A:$AX,$L133,FALSE)))</f>
        <v/>
      </c>
      <c r="N133" s="205" t="str">
        <f t="shared" si="10"/>
        <v/>
      </c>
      <c r="O133" s="206" t="str">
        <f t="shared" si="6"/>
        <v/>
      </c>
      <c r="P133" s="207" t="str">
        <f t="shared" si="11"/>
        <v/>
      </c>
    </row>
    <row r="134" spans="3:16">
      <c r="C134" s="200"/>
      <c r="D134" s="201"/>
      <c r="E134" s="202"/>
      <c r="F134" s="200"/>
      <c r="H134" s="203"/>
      <c r="I134" s="186" t="str">
        <f t="shared" si="7"/>
        <v/>
      </c>
      <c r="J134" s="204" t="str">
        <f>IF($H134="USD",IF(OR($I134="",$I134="-"),"",VLOOKUP($G134,為替!$A:$AX,$I134,FALSE))+$J$3,IF(OR($I134="",$I134="-"),"",VLOOKUP($G134,為替!$A:$AX,$I134,FALSE)))</f>
        <v/>
      </c>
      <c r="K134" s="205" t="str">
        <f t="shared" si="8"/>
        <v/>
      </c>
      <c r="L134" s="189" t="str">
        <f t="shared" si="9"/>
        <v/>
      </c>
      <c r="M134" s="204" t="str">
        <f>IF($H134="USD",IF(OR($L134="",$L134="-"),"",VLOOKUP($G134,為替!$A:$AX,$L134,FALSE))+$K$3,IF(OR($L134="",$L134="-"),"",VLOOKUP($G134,為替!$A:$AX,$L134,FALSE)))</f>
        <v/>
      </c>
      <c r="N134" s="205" t="str">
        <f t="shared" si="10"/>
        <v/>
      </c>
      <c r="O134" s="206" t="str">
        <f t="shared" ref="O134:O197" si="12">IF(OR(K134="",N134=""),"",K134-N134)</f>
        <v/>
      </c>
      <c r="P134" s="207" t="str">
        <f t="shared" si="11"/>
        <v/>
      </c>
    </row>
    <row r="135" spans="3:16">
      <c r="C135" s="200"/>
      <c r="D135" s="201"/>
      <c r="E135" s="202"/>
      <c r="F135" s="200"/>
      <c r="H135" s="203"/>
      <c r="I135" s="186" t="str">
        <f t="shared" ref="I135:I198" si="13">IF(H135="","",IF(H135="JPY","",IF($H135="USD",4, IF(H135="EUR",7,IF(H135="CNY",47,IF(H135="HKD",34))))))</f>
        <v/>
      </c>
      <c r="J135" s="204" t="str">
        <f>IF($H135="USD",IF(OR($I135="",$I135="-"),"",VLOOKUP($G135,為替!$A:$AX,$I135,FALSE))+$J$3,IF(OR($I135="",$I135="-"),"",VLOOKUP($G135,為替!$A:$AX,$I135,FALSE)))</f>
        <v/>
      </c>
      <c r="K135" s="205" t="str">
        <f t="shared" ref="K135:K198" si="14">IF($H135="JPY",$F135,IF($H135="","",$F135*$J135))</f>
        <v/>
      </c>
      <c r="L135" s="189" t="str">
        <f t="shared" ref="L135:L198" si="15">IF(H135="","",IF(H135="JPY","",IF($H135="USD",3, IF(H135="EUR",6,IF(H135="CNY",46,IF(H135="HKD",33))))))</f>
        <v/>
      </c>
      <c r="M135" s="204" t="str">
        <f>IF($H135="USD",IF(OR($L135="",$L135="-"),"",VLOOKUP($G135,為替!$A:$AX,$L135,FALSE))+$K$3,IF(OR($L135="",$L135="-"),"",VLOOKUP($G135,為替!$A:$AX,$L135,FALSE)))</f>
        <v/>
      </c>
      <c r="N135" s="205" t="str">
        <f t="shared" ref="N135:N198" si="16">IF($E135="JPY",($C135+$D135),IF($E135="","",($C135+$D135)*$M135))</f>
        <v/>
      </c>
      <c r="O135" s="206" t="str">
        <f t="shared" si="12"/>
        <v/>
      </c>
      <c r="P135" s="207" t="str">
        <f t="shared" ref="P135:P198" si="17">IF(OR(K135="",O135=""),"",O135/K135)</f>
        <v/>
      </c>
    </row>
    <row r="136" spans="3:16">
      <c r="C136" s="200"/>
      <c r="D136" s="201"/>
      <c r="E136" s="202"/>
      <c r="F136" s="200"/>
      <c r="H136" s="203"/>
      <c r="I136" s="186" t="str">
        <f t="shared" si="13"/>
        <v/>
      </c>
      <c r="J136" s="204" t="str">
        <f>IF($H136="USD",IF(OR($I136="",$I136="-"),"",VLOOKUP($G136,為替!$A:$AX,$I136,FALSE))+$J$3,IF(OR($I136="",$I136="-"),"",VLOOKUP($G136,為替!$A:$AX,$I136,FALSE)))</f>
        <v/>
      </c>
      <c r="K136" s="205" t="str">
        <f t="shared" si="14"/>
        <v/>
      </c>
      <c r="L136" s="189" t="str">
        <f t="shared" si="15"/>
        <v/>
      </c>
      <c r="M136" s="204" t="str">
        <f>IF($H136="USD",IF(OR($L136="",$L136="-"),"",VLOOKUP($G136,為替!$A:$AX,$L136,FALSE))+$K$3,IF(OR($L136="",$L136="-"),"",VLOOKUP($G136,為替!$A:$AX,$L136,FALSE)))</f>
        <v/>
      </c>
      <c r="N136" s="205" t="str">
        <f t="shared" si="16"/>
        <v/>
      </c>
      <c r="O136" s="206" t="str">
        <f t="shared" si="12"/>
        <v/>
      </c>
      <c r="P136" s="207" t="str">
        <f t="shared" si="17"/>
        <v/>
      </c>
    </row>
    <row r="137" spans="3:16">
      <c r="C137" s="200"/>
      <c r="D137" s="201"/>
      <c r="E137" s="202"/>
      <c r="F137" s="200"/>
      <c r="H137" s="203"/>
      <c r="I137" s="186" t="str">
        <f t="shared" si="13"/>
        <v/>
      </c>
      <c r="J137" s="204" t="str">
        <f>IF($H137="USD",IF(OR($I137="",$I137="-"),"",VLOOKUP($G137,為替!$A:$AX,$I137,FALSE))+$J$3,IF(OR($I137="",$I137="-"),"",VLOOKUP($G137,為替!$A:$AX,$I137,FALSE)))</f>
        <v/>
      </c>
      <c r="K137" s="205" t="str">
        <f t="shared" si="14"/>
        <v/>
      </c>
      <c r="L137" s="189" t="str">
        <f t="shared" si="15"/>
        <v/>
      </c>
      <c r="M137" s="204" t="str">
        <f>IF($H137="USD",IF(OR($L137="",$L137="-"),"",VLOOKUP($G137,為替!$A:$AX,$L137,FALSE))+$K$3,IF(OR($L137="",$L137="-"),"",VLOOKUP($G137,為替!$A:$AX,$L137,FALSE)))</f>
        <v/>
      </c>
      <c r="N137" s="205" t="str">
        <f t="shared" si="16"/>
        <v/>
      </c>
      <c r="O137" s="206" t="str">
        <f t="shared" si="12"/>
        <v/>
      </c>
      <c r="P137" s="207" t="str">
        <f t="shared" si="17"/>
        <v/>
      </c>
    </row>
    <row r="138" spans="3:16">
      <c r="C138" s="200"/>
      <c r="D138" s="201"/>
      <c r="E138" s="202"/>
      <c r="F138" s="200"/>
      <c r="H138" s="203"/>
      <c r="I138" s="186" t="str">
        <f t="shared" si="13"/>
        <v/>
      </c>
      <c r="J138" s="204" t="str">
        <f>IF($H138="USD",IF(OR($I138="",$I138="-"),"",VLOOKUP($G138,為替!$A:$AX,$I138,FALSE))+$J$3,IF(OR($I138="",$I138="-"),"",VLOOKUP($G138,為替!$A:$AX,$I138,FALSE)))</f>
        <v/>
      </c>
      <c r="K138" s="205" t="str">
        <f t="shared" si="14"/>
        <v/>
      </c>
      <c r="L138" s="189" t="str">
        <f t="shared" si="15"/>
        <v/>
      </c>
      <c r="M138" s="204" t="str">
        <f>IF($H138="USD",IF(OR($L138="",$L138="-"),"",VLOOKUP($G138,為替!$A:$AX,$L138,FALSE))+$K$3,IF(OR($L138="",$L138="-"),"",VLOOKUP($G138,為替!$A:$AX,$L138,FALSE)))</f>
        <v/>
      </c>
      <c r="N138" s="205" t="str">
        <f t="shared" si="16"/>
        <v/>
      </c>
      <c r="O138" s="206" t="str">
        <f t="shared" si="12"/>
        <v/>
      </c>
      <c r="P138" s="207" t="str">
        <f t="shared" si="17"/>
        <v/>
      </c>
    </row>
    <row r="139" spans="3:16">
      <c r="C139" s="200"/>
      <c r="D139" s="201"/>
      <c r="E139" s="202"/>
      <c r="F139" s="200"/>
      <c r="H139" s="203"/>
      <c r="I139" s="186" t="str">
        <f t="shared" si="13"/>
        <v/>
      </c>
      <c r="J139" s="204" t="str">
        <f>IF($H139="USD",IF(OR($I139="",$I139="-"),"",VLOOKUP($G139,為替!$A:$AX,$I139,FALSE))+$J$3,IF(OR($I139="",$I139="-"),"",VLOOKUP($G139,為替!$A:$AX,$I139,FALSE)))</f>
        <v/>
      </c>
      <c r="K139" s="205" t="str">
        <f t="shared" si="14"/>
        <v/>
      </c>
      <c r="L139" s="189" t="str">
        <f t="shared" si="15"/>
        <v/>
      </c>
      <c r="M139" s="204" t="str">
        <f>IF($H139="USD",IF(OR($L139="",$L139="-"),"",VLOOKUP($G139,為替!$A:$AX,$L139,FALSE))+$K$3,IF(OR($L139="",$L139="-"),"",VLOOKUP($G139,為替!$A:$AX,$L139,FALSE)))</f>
        <v/>
      </c>
      <c r="N139" s="205" t="str">
        <f t="shared" si="16"/>
        <v/>
      </c>
      <c r="O139" s="206" t="str">
        <f t="shared" si="12"/>
        <v/>
      </c>
      <c r="P139" s="207" t="str">
        <f t="shared" si="17"/>
        <v/>
      </c>
    </row>
    <row r="140" spans="3:16">
      <c r="C140" s="200"/>
      <c r="D140" s="201"/>
      <c r="E140" s="202"/>
      <c r="F140" s="200"/>
      <c r="H140" s="203"/>
      <c r="I140" s="186" t="str">
        <f t="shared" si="13"/>
        <v/>
      </c>
      <c r="J140" s="204" t="str">
        <f>IF($H140="USD",IF(OR($I140="",$I140="-"),"",VLOOKUP($G140,為替!$A:$AX,$I140,FALSE))+$J$3,IF(OR($I140="",$I140="-"),"",VLOOKUP($G140,為替!$A:$AX,$I140,FALSE)))</f>
        <v/>
      </c>
      <c r="K140" s="205" t="str">
        <f t="shared" si="14"/>
        <v/>
      </c>
      <c r="L140" s="189" t="str">
        <f t="shared" si="15"/>
        <v/>
      </c>
      <c r="M140" s="204" t="str">
        <f>IF($H140="USD",IF(OR($L140="",$L140="-"),"",VLOOKUP($G140,為替!$A:$AX,$L140,FALSE))+$K$3,IF(OR($L140="",$L140="-"),"",VLOOKUP($G140,為替!$A:$AX,$L140,FALSE)))</f>
        <v/>
      </c>
      <c r="N140" s="205" t="str">
        <f t="shared" si="16"/>
        <v/>
      </c>
      <c r="O140" s="206" t="str">
        <f t="shared" si="12"/>
        <v/>
      </c>
      <c r="P140" s="207" t="str">
        <f t="shared" si="17"/>
        <v/>
      </c>
    </row>
    <row r="141" spans="3:16">
      <c r="C141" s="200"/>
      <c r="D141" s="201"/>
      <c r="E141" s="202"/>
      <c r="F141" s="200"/>
      <c r="H141" s="203"/>
      <c r="I141" s="186" t="str">
        <f t="shared" si="13"/>
        <v/>
      </c>
      <c r="J141" s="204" t="str">
        <f>IF($H141="USD",IF(OR($I141="",$I141="-"),"",VLOOKUP($G141,為替!$A:$AX,$I141,FALSE))+$J$3,IF(OR($I141="",$I141="-"),"",VLOOKUP($G141,為替!$A:$AX,$I141,FALSE)))</f>
        <v/>
      </c>
      <c r="K141" s="205" t="str">
        <f t="shared" si="14"/>
        <v/>
      </c>
      <c r="L141" s="189" t="str">
        <f t="shared" si="15"/>
        <v/>
      </c>
      <c r="M141" s="204" t="str">
        <f>IF($H141="USD",IF(OR($L141="",$L141="-"),"",VLOOKUP($G141,為替!$A:$AX,$L141,FALSE))+$K$3,IF(OR($L141="",$L141="-"),"",VLOOKUP($G141,為替!$A:$AX,$L141,FALSE)))</f>
        <v/>
      </c>
      <c r="N141" s="205" t="str">
        <f t="shared" si="16"/>
        <v/>
      </c>
      <c r="O141" s="206" t="str">
        <f t="shared" si="12"/>
        <v/>
      </c>
      <c r="P141" s="207" t="str">
        <f t="shared" si="17"/>
        <v/>
      </c>
    </row>
    <row r="142" spans="3:16">
      <c r="C142" s="200"/>
      <c r="D142" s="201"/>
      <c r="E142" s="202"/>
      <c r="F142" s="200"/>
      <c r="H142" s="203"/>
      <c r="I142" s="186" t="str">
        <f t="shared" si="13"/>
        <v/>
      </c>
      <c r="J142" s="204" t="str">
        <f>IF($H142="USD",IF(OR($I142="",$I142="-"),"",VLOOKUP($G142,為替!$A:$AX,$I142,FALSE))+$J$3,IF(OR($I142="",$I142="-"),"",VLOOKUP($G142,為替!$A:$AX,$I142,FALSE)))</f>
        <v/>
      </c>
      <c r="K142" s="205" t="str">
        <f t="shared" si="14"/>
        <v/>
      </c>
      <c r="L142" s="189" t="str">
        <f t="shared" si="15"/>
        <v/>
      </c>
      <c r="M142" s="204" t="str">
        <f>IF($H142="USD",IF(OR($L142="",$L142="-"),"",VLOOKUP($G142,為替!$A:$AX,$L142,FALSE))+$K$3,IF(OR($L142="",$L142="-"),"",VLOOKUP($G142,為替!$A:$AX,$L142,FALSE)))</f>
        <v/>
      </c>
      <c r="N142" s="205" t="str">
        <f t="shared" si="16"/>
        <v/>
      </c>
      <c r="O142" s="206" t="str">
        <f t="shared" si="12"/>
        <v/>
      </c>
      <c r="P142" s="207" t="str">
        <f t="shared" si="17"/>
        <v/>
      </c>
    </row>
    <row r="143" spans="3:16">
      <c r="C143" s="200"/>
      <c r="D143" s="201"/>
      <c r="E143" s="202"/>
      <c r="F143" s="200"/>
      <c r="H143" s="203"/>
      <c r="I143" s="186" t="str">
        <f t="shared" si="13"/>
        <v/>
      </c>
      <c r="J143" s="204" t="str">
        <f>IF($H143="USD",IF(OR($I143="",$I143="-"),"",VLOOKUP($G143,為替!$A:$AX,$I143,FALSE))+$J$3,IF(OR($I143="",$I143="-"),"",VLOOKUP($G143,為替!$A:$AX,$I143,FALSE)))</f>
        <v/>
      </c>
      <c r="K143" s="205" t="str">
        <f t="shared" si="14"/>
        <v/>
      </c>
      <c r="L143" s="189" t="str">
        <f t="shared" si="15"/>
        <v/>
      </c>
      <c r="M143" s="204" t="str">
        <f>IF($H143="USD",IF(OR($L143="",$L143="-"),"",VLOOKUP($G143,為替!$A:$AX,$L143,FALSE))+$K$3,IF(OR($L143="",$L143="-"),"",VLOOKUP($G143,為替!$A:$AX,$L143,FALSE)))</f>
        <v/>
      </c>
      <c r="N143" s="205" t="str">
        <f t="shared" si="16"/>
        <v/>
      </c>
      <c r="O143" s="206" t="str">
        <f t="shared" si="12"/>
        <v/>
      </c>
      <c r="P143" s="207" t="str">
        <f t="shared" si="17"/>
        <v/>
      </c>
    </row>
    <row r="144" spans="3:16">
      <c r="C144" s="200"/>
      <c r="D144" s="201"/>
      <c r="E144" s="202"/>
      <c r="F144" s="200"/>
      <c r="H144" s="203"/>
      <c r="I144" s="186" t="str">
        <f t="shared" si="13"/>
        <v/>
      </c>
      <c r="J144" s="204" t="str">
        <f>IF($H144="USD",IF(OR($I144="",$I144="-"),"",VLOOKUP($G144,為替!$A:$AX,$I144,FALSE))+$J$3,IF(OR($I144="",$I144="-"),"",VLOOKUP($G144,為替!$A:$AX,$I144,FALSE)))</f>
        <v/>
      </c>
      <c r="K144" s="205" t="str">
        <f t="shared" si="14"/>
        <v/>
      </c>
      <c r="L144" s="189" t="str">
        <f t="shared" si="15"/>
        <v/>
      </c>
      <c r="M144" s="204" t="str">
        <f>IF($H144="USD",IF(OR($L144="",$L144="-"),"",VLOOKUP($G144,為替!$A:$AX,$L144,FALSE))+$K$3,IF(OR($L144="",$L144="-"),"",VLOOKUP($G144,為替!$A:$AX,$L144,FALSE)))</f>
        <v/>
      </c>
      <c r="N144" s="205" t="str">
        <f t="shared" si="16"/>
        <v/>
      </c>
      <c r="O144" s="206" t="str">
        <f t="shared" si="12"/>
        <v/>
      </c>
      <c r="P144" s="207" t="str">
        <f t="shared" si="17"/>
        <v/>
      </c>
    </row>
    <row r="145" spans="3:16">
      <c r="C145" s="200"/>
      <c r="D145" s="201"/>
      <c r="E145" s="202"/>
      <c r="F145" s="200"/>
      <c r="H145" s="203"/>
      <c r="I145" s="186" t="str">
        <f t="shared" si="13"/>
        <v/>
      </c>
      <c r="J145" s="204" t="str">
        <f>IF($H145="USD",IF(OR($I145="",$I145="-"),"",VLOOKUP($G145,為替!$A:$AX,$I145,FALSE))+$J$3,IF(OR($I145="",$I145="-"),"",VLOOKUP($G145,為替!$A:$AX,$I145,FALSE)))</f>
        <v/>
      </c>
      <c r="K145" s="205" t="str">
        <f t="shared" si="14"/>
        <v/>
      </c>
      <c r="L145" s="189" t="str">
        <f t="shared" si="15"/>
        <v/>
      </c>
      <c r="M145" s="204" t="str">
        <f>IF($H145="USD",IF(OR($L145="",$L145="-"),"",VLOOKUP($G145,為替!$A:$AX,$L145,FALSE))+$K$3,IF(OR($L145="",$L145="-"),"",VLOOKUP($G145,為替!$A:$AX,$L145,FALSE)))</f>
        <v/>
      </c>
      <c r="N145" s="205" t="str">
        <f t="shared" si="16"/>
        <v/>
      </c>
      <c r="O145" s="206" t="str">
        <f t="shared" si="12"/>
        <v/>
      </c>
      <c r="P145" s="207" t="str">
        <f t="shared" si="17"/>
        <v/>
      </c>
    </row>
    <row r="146" spans="3:16">
      <c r="C146" s="200"/>
      <c r="D146" s="201"/>
      <c r="E146" s="202"/>
      <c r="F146" s="200"/>
      <c r="H146" s="203"/>
      <c r="I146" s="186" t="str">
        <f t="shared" si="13"/>
        <v/>
      </c>
      <c r="J146" s="204" t="str">
        <f>IF($H146="USD",IF(OR($I146="",$I146="-"),"",VLOOKUP($G146,為替!$A:$AX,$I146,FALSE))+$J$3,IF(OR($I146="",$I146="-"),"",VLOOKUP($G146,為替!$A:$AX,$I146,FALSE)))</f>
        <v/>
      </c>
      <c r="K146" s="205" t="str">
        <f t="shared" si="14"/>
        <v/>
      </c>
      <c r="L146" s="189" t="str">
        <f t="shared" si="15"/>
        <v/>
      </c>
      <c r="M146" s="204" t="str">
        <f>IF($H146="USD",IF(OR($L146="",$L146="-"),"",VLOOKUP($G146,為替!$A:$AX,$L146,FALSE))+$K$3,IF(OR($L146="",$L146="-"),"",VLOOKUP($G146,為替!$A:$AX,$L146,FALSE)))</f>
        <v/>
      </c>
      <c r="N146" s="205" t="str">
        <f t="shared" si="16"/>
        <v/>
      </c>
      <c r="O146" s="206" t="str">
        <f t="shared" si="12"/>
        <v/>
      </c>
      <c r="P146" s="207" t="str">
        <f t="shared" si="17"/>
        <v/>
      </c>
    </row>
    <row r="147" spans="3:16">
      <c r="C147" s="200"/>
      <c r="D147" s="201"/>
      <c r="E147" s="202"/>
      <c r="F147" s="200"/>
      <c r="H147" s="203"/>
      <c r="I147" s="186" t="str">
        <f t="shared" si="13"/>
        <v/>
      </c>
      <c r="J147" s="204" t="str">
        <f>IF($H147="USD",IF(OR($I147="",$I147="-"),"",VLOOKUP($G147,為替!$A:$AX,$I147,FALSE))+$J$3,IF(OR($I147="",$I147="-"),"",VLOOKUP($G147,為替!$A:$AX,$I147,FALSE)))</f>
        <v/>
      </c>
      <c r="K147" s="205" t="str">
        <f t="shared" si="14"/>
        <v/>
      </c>
      <c r="L147" s="189" t="str">
        <f t="shared" si="15"/>
        <v/>
      </c>
      <c r="M147" s="204" t="str">
        <f>IF($H147="USD",IF(OR($L147="",$L147="-"),"",VLOOKUP($G147,為替!$A:$AX,$L147,FALSE))+$K$3,IF(OR($L147="",$L147="-"),"",VLOOKUP($G147,為替!$A:$AX,$L147,FALSE)))</f>
        <v/>
      </c>
      <c r="N147" s="205" t="str">
        <f t="shared" si="16"/>
        <v/>
      </c>
      <c r="O147" s="206" t="str">
        <f t="shared" si="12"/>
        <v/>
      </c>
      <c r="P147" s="207" t="str">
        <f t="shared" si="17"/>
        <v/>
      </c>
    </row>
    <row r="148" spans="3:16">
      <c r="C148" s="200"/>
      <c r="D148" s="201"/>
      <c r="E148" s="202"/>
      <c r="F148" s="200"/>
      <c r="H148" s="203"/>
      <c r="I148" s="186" t="str">
        <f t="shared" si="13"/>
        <v/>
      </c>
      <c r="J148" s="204" t="str">
        <f>IF($H148="USD",IF(OR($I148="",$I148="-"),"",VLOOKUP($G148,為替!$A:$AX,$I148,FALSE))+$J$3,IF(OR($I148="",$I148="-"),"",VLOOKUP($G148,為替!$A:$AX,$I148,FALSE)))</f>
        <v/>
      </c>
      <c r="K148" s="205" t="str">
        <f t="shared" si="14"/>
        <v/>
      </c>
      <c r="L148" s="189" t="str">
        <f t="shared" si="15"/>
        <v/>
      </c>
      <c r="M148" s="204" t="str">
        <f>IF($H148="USD",IF(OR($L148="",$L148="-"),"",VLOOKUP($G148,為替!$A:$AX,$L148,FALSE))+$K$3,IF(OR($L148="",$L148="-"),"",VLOOKUP($G148,為替!$A:$AX,$L148,FALSE)))</f>
        <v/>
      </c>
      <c r="N148" s="205" t="str">
        <f t="shared" si="16"/>
        <v/>
      </c>
      <c r="O148" s="206" t="str">
        <f t="shared" si="12"/>
        <v/>
      </c>
      <c r="P148" s="207" t="str">
        <f t="shared" si="17"/>
        <v/>
      </c>
    </row>
    <row r="149" spans="3:16">
      <c r="C149" s="200"/>
      <c r="D149" s="201"/>
      <c r="E149" s="202"/>
      <c r="F149" s="200"/>
      <c r="H149" s="203"/>
      <c r="I149" s="186" t="str">
        <f t="shared" si="13"/>
        <v/>
      </c>
      <c r="J149" s="204" t="str">
        <f>IF($H149="USD",IF(OR($I149="",$I149="-"),"",VLOOKUP($G149,為替!$A:$AX,$I149,FALSE))+$J$3,IF(OR($I149="",$I149="-"),"",VLOOKUP($G149,為替!$A:$AX,$I149,FALSE)))</f>
        <v/>
      </c>
      <c r="K149" s="205" t="str">
        <f t="shared" si="14"/>
        <v/>
      </c>
      <c r="L149" s="189" t="str">
        <f t="shared" si="15"/>
        <v/>
      </c>
      <c r="M149" s="204" t="str">
        <f>IF($H149="USD",IF(OR($L149="",$L149="-"),"",VLOOKUP($G149,為替!$A:$AX,$L149,FALSE))+$K$3,IF(OR($L149="",$L149="-"),"",VLOOKUP($G149,為替!$A:$AX,$L149,FALSE)))</f>
        <v/>
      </c>
      <c r="N149" s="205" t="str">
        <f t="shared" si="16"/>
        <v/>
      </c>
      <c r="O149" s="206" t="str">
        <f t="shared" si="12"/>
        <v/>
      </c>
      <c r="P149" s="207" t="str">
        <f t="shared" si="17"/>
        <v/>
      </c>
    </row>
    <row r="150" spans="3:16">
      <c r="C150" s="200"/>
      <c r="D150" s="201"/>
      <c r="E150" s="202"/>
      <c r="F150" s="200"/>
      <c r="H150" s="203"/>
      <c r="I150" s="186" t="str">
        <f t="shared" si="13"/>
        <v/>
      </c>
      <c r="J150" s="204" t="str">
        <f>IF($H150="USD",IF(OR($I150="",$I150="-"),"",VLOOKUP($G150,為替!$A:$AX,$I150,FALSE))+$J$3,IF(OR($I150="",$I150="-"),"",VLOOKUP($G150,為替!$A:$AX,$I150,FALSE)))</f>
        <v/>
      </c>
      <c r="K150" s="205" t="str">
        <f t="shared" si="14"/>
        <v/>
      </c>
      <c r="L150" s="189" t="str">
        <f t="shared" si="15"/>
        <v/>
      </c>
      <c r="M150" s="204" t="str">
        <f>IF($H150="USD",IF(OR($L150="",$L150="-"),"",VLOOKUP($G150,為替!$A:$AX,$L150,FALSE))+$K$3,IF(OR($L150="",$L150="-"),"",VLOOKUP($G150,為替!$A:$AX,$L150,FALSE)))</f>
        <v/>
      </c>
      <c r="N150" s="205" t="str">
        <f t="shared" si="16"/>
        <v/>
      </c>
      <c r="O150" s="206" t="str">
        <f t="shared" si="12"/>
        <v/>
      </c>
      <c r="P150" s="207" t="str">
        <f t="shared" si="17"/>
        <v/>
      </c>
    </row>
    <row r="151" spans="3:16">
      <c r="C151" s="200"/>
      <c r="D151" s="201"/>
      <c r="E151" s="202"/>
      <c r="F151" s="200"/>
      <c r="H151" s="203"/>
      <c r="I151" s="186" t="str">
        <f t="shared" si="13"/>
        <v/>
      </c>
      <c r="J151" s="204" t="str">
        <f>IF($H151="USD",IF(OR($I151="",$I151="-"),"",VLOOKUP($G151,為替!$A:$AX,$I151,FALSE))+$J$3,IF(OR($I151="",$I151="-"),"",VLOOKUP($G151,為替!$A:$AX,$I151,FALSE)))</f>
        <v/>
      </c>
      <c r="K151" s="205" t="str">
        <f t="shared" si="14"/>
        <v/>
      </c>
      <c r="L151" s="189" t="str">
        <f t="shared" si="15"/>
        <v/>
      </c>
      <c r="M151" s="204" t="str">
        <f>IF($H151="USD",IF(OR($L151="",$L151="-"),"",VLOOKUP($G151,為替!$A:$AX,$L151,FALSE))+$K$3,IF(OR($L151="",$L151="-"),"",VLOOKUP($G151,為替!$A:$AX,$L151,FALSE)))</f>
        <v/>
      </c>
      <c r="N151" s="205" t="str">
        <f t="shared" si="16"/>
        <v/>
      </c>
      <c r="O151" s="206" t="str">
        <f t="shared" si="12"/>
        <v/>
      </c>
      <c r="P151" s="207" t="str">
        <f t="shared" si="17"/>
        <v/>
      </c>
    </row>
    <row r="152" spans="3:16">
      <c r="C152" s="200"/>
      <c r="D152" s="201"/>
      <c r="E152" s="202"/>
      <c r="F152" s="200"/>
      <c r="H152" s="203"/>
      <c r="I152" s="186" t="str">
        <f t="shared" si="13"/>
        <v/>
      </c>
      <c r="J152" s="204" t="str">
        <f>IF($H152="USD",IF(OR($I152="",$I152="-"),"",VLOOKUP($G152,為替!$A:$AX,$I152,FALSE))+$J$3,IF(OR($I152="",$I152="-"),"",VLOOKUP($G152,為替!$A:$AX,$I152,FALSE)))</f>
        <v/>
      </c>
      <c r="K152" s="205" t="str">
        <f t="shared" si="14"/>
        <v/>
      </c>
      <c r="L152" s="189" t="str">
        <f t="shared" si="15"/>
        <v/>
      </c>
      <c r="M152" s="204" t="str">
        <f>IF($H152="USD",IF(OR($L152="",$L152="-"),"",VLOOKUP($G152,為替!$A:$AX,$L152,FALSE))+$K$3,IF(OR($L152="",$L152="-"),"",VLOOKUP($G152,為替!$A:$AX,$L152,FALSE)))</f>
        <v/>
      </c>
      <c r="N152" s="205" t="str">
        <f t="shared" si="16"/>
        <v/>
      </c>
      <c r="O152" s="206" t="str">
        <f t="shared" si="12"/>
        <v/>
      </c>
      <c r="P152" s="207" t="str">
        <f t="shared" si="17"/>
        <v/>
      </c>
    </row>
    <row r="153" spans="3:16">
      <c r="C153" s="200"/>
      <c r="D153" s="201"/>
      <c r="E153" s="202"/>
      <c r="F153" s="200"/>
      <c r="H153" s="203"/>
      <c r="I153" s="186" t="str">
        <f t="shared" si="13"/>
        <v/>
      </c>
      <c r="J153" s="204" t="str">
        <f>IF($H153="USD",IF(OR($I153="",$I153="-"),"",VLOOKUP($G153,為替!$A:$AX,$I153,FALSE))+$J$3,IF(OR($I153="",$I153="-"),"",VLOOKUP($G153,為替!$A:$AX,$I153,FALSE)))</f>
        <v/>
      </c>
      <c r="K153" s="205" t="str">
        <f t="shared" si="14"/>
        <v/>
      </c>
      <c r="L153" s="189" t="str">
        <f t="shared" si="15"/>
        <v/>
      </c>
      <c r="M153" s="204" t="str">
        <f>IF($H153="USD",IF(OR($L153="",$L153="-"),"",VLOOKUP($G153,為替!$A:$AX,$L153,FALSE))+$K$3,IF(OR($L153="",$L153="-"),"",VLOOKUP($G153,為替!$A:$AX,$L153,FALSE)))</f>
        <v/>
      </c>
      <c r="N153" s="205" t="str">
        <f t="shared" si="16"/>
        <v/>
      </c>
      <c r="O153" s="206" t="str">
        <f t="shared" si="12"/>
        <v/>
      </c>
      <c r="P153" s="207" t="str">
        <f t="shared" si="17"/>
        <v/>
      </c>
    </row>
    <row r="154" spans="3:16">
      <c r="C154" s="200"/>
      <c r="D154" s="201"/>
      <c r="E154" s="202"/>
      <c r="F154" s="200"/>
      <c r="H154" s="203"/>
      <c r="I154" s="186" t="str">
        <f t="shared" si="13"/>
        <v/>
      </c>
      <c r="J154" s="204" t="str">
        <f>IF($H154="USD",IF(OR($I154="",$I154="-"),"",VLOOKUP($G154,為替!$A:$AX,$I154,FALSE))+$J$3,IF(OR($I154="",$I154="-"),"",VLOOKUP($G154,為替!$A:$AX,$I154,FALSE)))</f>
        <v/>
      </c>
      <c r="K154" s="205" t="str">
        <f t="shared" si="14"/>
        <v/>
      </c>
      <c r="L154" s="189" t="str">
        <f t="shared" si="15"/>
        <v/>
      </c>
      <c r="M154" s="204" t="str">
        <f>IF($H154="USD",IF(OR($L154="",$L154="-"),"",VLOOKUP($G154,為替!$A:$AX,$L154,FALSE))+$K$3,IF(OR($L154="",$L154="-"),"",VLOOKUP($G154,為替!$A:$AX,$L154,FALSE)))</f>
        <v/>
      </c>
      <c r="N154" s="205" t="str">
        <f t="shared" si="16"/>
        <v/>
      </c>
      <c r="O154" s="206" t="str">
        <f t="shared" si="12"/>
        <v/>
      </c>
      <c r="P154" s="207" t="str">
        <f t="shared" si="17"/>
        <v/>
      </c>
    </row>
    <row r="155" spans="3:16">
      <c r="C155" s="200"/>
      <c r="D155" s="201"/>
      <c r="E155" s="202"/>
      <c r="F155" s="200"/>
      <c r="H155" s="203"/>
      <c r="I155" s="186" t="str">
        <f t="shared" si="13"/>
        <v/>
      </c>
      <c r="J155" s="204" t="str">
        <f>IF($H155="USD",IF(OR($I155="",$I155="-"),"",VLOOKUP($G155,為替!$A:$AX,$I155,FALSE))+$J$3,IF(OR($I155="",$I155="-"),"",VLOOKUP($G155,為替!$A:$AX,$I155,FALSE)))</f>
        <v/>
      </c>
      <c r="K155" s="205" t="str">
        <f t="shared" si="14"/>
        <v/>
      </c>
      <c r="L155" s="189" t="str">
        <f t="shared" si="15"/>
        <v/>
      </c>
      <c r="M155" s="204" t="str">
        <f>IF($H155="USD",IF(OR($L155="",$L155="-"),"",VLOOKUP($G155,為替!$A:$AX,$L155,FALSE))+$K$3,IF(OR($L155="",$L155="-"),"",VLOOKUP($G155,為替!$A:$AX,$L155,FALSE)))</f>
        <v/>
      </c>
      <c r="N155" s="205" t="str">
        <f t="shared" si="16"/>
        <v/>
      </c>
      <c r="O155" s="206" t="str">
        <f t="shared" si="12"/>
        <v/>
      </c>
      <c r="P155" s="207" t="str">
        <f t="shared" si="17"/>
        <v/>
      </c>
    </row>
    <row r="156" spans="3:16">
      <c r="C156" s="200"/>
      <c r="D156" s="201"/>
      <c r="E156" s="202"/>
      <c r="F156" s="200"/>
      <c r="H156" s="203"/>
      <c r="I156" s="186" t="str">
        <f t="shared" si="13"/>
        <v/>
      </c>
      <c r="J156" s="204" t="str">
        <f>IF($H156="USD",IF(OR($I156="",$I156="-"),"",VLOOKUP($G156,為替!$A:$AX,$I156,FALSE))+$J$3,IF(OR($I156="",$I156="-"),"",VLOOKUP($G156,為替!$A:$AX,$I156,FALSE)))</f>
        <v/>
      </c>
      <c r="K156" s="205" t="str">
        <f t="shared" si="14"/>
        <v/>
      </c>
      <c r="L156" s="189" t="str">
        <f t="shared" si="15"/>
        <v/>
      </c>
      <c r="M156" s="204" t="str">
        <f>IF($H156="USD",IF(OR($L156="",$L156="-"),"",VLOOKUP($G156,為替!$A:$AX,$L156,FALSE))+$K$3,IF(OR($L156="",$L156="-"),"",VLOOKUP($G156,為替!$A:$AX,$L156,FALSE)))</f>
        <v/>
      </c>
      <c r="N156" s="205" t="str">
        <f t="shared" si="16"/>
        <v/>
      </c>
      <c r="O156" s="206" t="str">
        <f t="shared" si="12"/>
        <v/>
      </c>
      <c r="P156" s="207" t="str">
        <f t="shared" si="17"/>
        <v/>
      </c>
    </row>
    <row r="157" spans="3:16">
      <c r="C157" s="200"/>
      <c r="D157" s="201"/>
      <c r="E157" s="202"/>
      <c r="F157" s="200"/>
      <c r="H157" s="203"/>
      <c r="I157" s="186" t="str">
        <f t="shared" si="13"/>
        <v/>
      </c>
      <c r="J157" s="204" t="str">
        <f>IF($H157="USD",IF(OR($I157="",$I157="-"),"",VLOOKUP($G157,為替!$A:$AX,$I157,FALSE))+$J$3,IF(OR($I157="",$I157="-"),"",VLOOKUP($G157,為替!$A:$AX,$I157,FALSE)))</f>
        <v/>
      </c>
      <c r="K157" s="205" t="str">
        <f t="shared" si="14"/>
        <v/>
      </c>
      <c r="L157" s="189" t="str">
        <f t="shared" si="15"/>
        <v/>
      </c>
      <c r="M157" s="204" t="str">
        <f>IF($H157="USD",IF(OR($L157="",$L157="-"),"",VLOOKUP($G157,為替!$A:$AX,$L157,FALSE))+$K$3,IF(OR($L157="",$L157="-"),"",VLOOKUP($G157,為替!$A:$AX,$L157,FALSE)))</f>
        <v/>
      </c>
      <c r="N157" s="205" t="str">
        <f t="shared" si="16"/>
        <v/>
      </c>
      <c r="O157" s="206" t="str">
        <f t="shared" si="12"/>
        <v/>
      </c>
      <c r="P157" s="207" t="str">
        <f t="shared" si="17"/>
        <v/>
      </c>
    </row>
    <row r="158" spans="3:16">
      <c r="C158" s="200"/>
      <c r="D158" s="201"/>
      <c r="E158" s="202"/>
      <c r="F158" s="200"/>
      <c r="H158" s="203"/>
      <c r="I158" s="186" t="str">
        <f t="shared" si="13"/>
        <v/>
      </c>
      <c r="J158" s="204" t="str">
        <f>IF($H158="USD",IF(OR($I158="",$I158="-"),"",VLOOKUP($G158,為替!$A:$AX,$I158,FALSE))+$J$3,IF(OR($I158="",$I158="-"),"",VLOOKUP($G158,為替!$A:$AX,$I158,FALSE)))</f>
        <v/>
      </c>
      <c r="K158" s="205" t="str">
        <f t="shared" si="14"/>
        <v/>
      </c>
      <c r="L158" s="189" t="str">
        <f t="shared" si="15"/>
        <v/>
      </c>
      <c r="M158" s="204" t="str">
        <f>IF($H158="USD",IF(OR($L158="",$L158="-"),"",VLOOKUP($G158,為替!$A:$AX,$L158,FALSE))+$K$3,IF(OR($L158="",$L158="-"),"",VLOOKUP($G158,為替!$A:$AX,$L158,FALSE)))</f>
        <v/>
      </c>
      <c r="N158" s="205" t="str">
        <f t="shared" si="16"/>
        <v/>
      </c>
      <c r="O158" s="206" t="str">
        <f t="shared" si="12"/>
        <v/>
      </c>
      <c r="P158" s="207" t="str">
        <f t="shared" si="17"/>
        <v/>
      </c>
    </row>
    <row r="159" spans="3:16">
      <c r="C159" s="200"/>
      <c r="D159" s="201"/>
      <c r="E159" s="202"/>
      <c r="F159" s="200"/>
      <c r="H159" s="203"/>
      <c r="I159" s="186" t="str">
        <f t="shared" si="13"/>
        <v/>
      </c>
      <c r="J159" s="204" t="str">
        <f>IF($H159="USD",IF(OR($I159="",$I159="-"),"",VLOOKUP($G159,為替!$A:$AX,$I159,FALSE))+$J$3,IF(OR($I159="",$I159="-"),"",VLOOKUP($G159,為替!$A:$AX,$I159,FALSE)))</f>
        <v/>
      </c>
      <c r="K159" s="205" t="str">
        <f t="shared" si="14"/>
        <v/>
      </c>
      <c r="L159" s="189" t="str">
        <f t="shared" si="15"/>
        <v/>
      </c>
      <c r="M159" s="204" t="str">
        <f>IF($H159="USD",IF(OR($L159="",$L159="-"),"",VLOOKUP($G159,為替!$A:$AX,$L159,FALSE))+$K$3,IF(OR($L159="",$L159="-"),"",VLOOKUP($G159,為替!$A:$AX,$L159,FALSE)))</f>
        <v/>
      </c>
      <c r="N159" s="205" t="str">
        <f t="shared" si="16"/>
        <v/>
      </c>
      <c r="O159" s="206" t="str">
        <f t="shared" si="12"/>
        <v/>
      </c>
      <c r="P159" s="207" t="str">
        <f t="shared" si="17"/>
        <v/>
      </c>
    </row>
    <row r="160" spans="3:16">
      <c r="C160" s="200"/>
      <c r="D160" s="201"/>
      <c r="E160" s="202"/>
      <c r="F160" s="200"/>
      <c r="H160" s="203"/>
      <c r="I160" s="186" t="str">
        <f t="shared" si="13"/>
        <v/>
      </c>
      <c r="J160" s="204" t="str">
        <f>IF($H160="USD",IF(OR($I160="",$I160="-"),"",VLOOKUP($G160,為替!$A:$AX,$I160,FALSE))+$J$3,IF(OR($I160="",$I160="-"),"",VLOOKUP($G160,為替!$A:$AX,$I160,FALSE)))</f>
        <v/>
      </c>
      <c r="K160" s="205" t="str">
        <f t="shared" si="14"/>
        <v/>
      </c>
      <c r="L160" s="189" t="str">
        <f t="shared" si="15"/>
        <v/>
      </c>
      <c r="M160" s="204" t="str">
        <f>IF($H160="USD",IF(OR($L160="",$L160="-"),"",VLOOKUP($G160,為替!$A:$AX,$L160,FALSE))+$K$3,IF(OR($L160="",$L160="-"),"",VLOOKUP($G160,為替!$A:$AX,$L160,FALSE)))</f>
        <v/>
      </c>
      <c r="N160" s="205" t="str">
        <f t="shared" si="16"/>
        <v/>
      </c>
      <c r="O160" s="206" t="str">
        <f t="shared" si="12"/>
        <v/>
      </c>
      <c r="P160" s="207" t="str">
        <f t="shared" si="17"/>
        <v/>
      </c>
    </row>
    <row r="161" spans="3:16">
      <c r="C161" s="200"/>
      <c r="D161" s="201"/>
      <c r="E161" s="202"/>
      <c r="F161" s="200"/>
      <c r="H161" s="203"/>
      <c r="I161" s="186" t="str">
        <f t="shared" si="13"/>
        <v/>
      </c>
      <c r="J161" s="204" t="str">
        <f>IF($H161="USD",IF(OR($I161="",$I161="-"),"",VLOOKUP($G161,為替!$A:$AX,$I161,FALSE))+$J$3,IF(OR($I161="",$I161="-"),"",VLOOKUP($G161,為替!$A:$AX,$I161,FALSE)))</f>
        <v/>
      </c>
      <c r="K161" s="205" t="str">
        <f t="shared" si="14"/>
        <v/>
      </c>
      <c r="L161" s="189" t="str">
        <f t="shared" si="15"/>
        <v/>
      </c>
      <c r="M161" s="204" t="str">
        <f>IF($H161="USD",IF(OR($L161="",$L161="-"),"",VLOOKUP($G161,為替!$A:$AX,$L161,FALSE))+$K$3,IF(OR($L161="",$L161="-"),"",VLOOKUP($G161,為替!$A:$AX,$L161,FALSE)))</f>
        <v/>
      </c>
      <c r="N161" s="205" t="str">
        <f t="shared" si="16"/>
        <v/>
      </c>
      <c r="O161" s="206" t="str">
        <f t="shared" si="12"/>
        <v/>
      </c>
      <c r="P161" s="207" t="str">
        <f t="shared" si="17"/>
        <v/>
      </c>
    </row>
    <row r="162" spans="3:16">
      <c r="C162" s="200"/>
      <c r="D162" s="201"/>
      <c r="E162" s="202"/>
      <c r="F162" s="200"/>
      <c r="H162" s="203"/>
      <c r="I162" s="186" t="str">
        <f t="shared" si="13"/>
        <v/>
      </c>
      <c r="J162" s="204" t="str">
        <f>IF($H162="USD",IF(OR($I162="",$I162="-"),"",VLOOKUP($G162,為替!$A:$AX,$I162,FALSE))+$J$3,IF(OR($I162="",$I162="-"),"",VLOOKUP($G162,為替!$A:$AX,$I162,FALSE)))</f>
        <v/>
      </c>
      <c r="K162" s="205" t="str">
        <f t="shared" si="14"/>
        <v/>
      </c>
      <c r="L162" s="189" t="str">
        <f t="shared" si="15"/>
        <v/>
      </c>
      <c r="M162" s="204" t="str">
        <f>IF($H162="USD",IF(OR($L162="",$L162="-"),"",VLOOKUP($G162,為替!$A:$AX,$L162,FALSE))+$K$3,IF(OR($L162="",$L162="-"),"",VLOOKUP($G162,為替!$A:$AX,$L162,FALSE)))</f>
        <v/>
      </c>
      <c r="N162" s="205" t="str">
        <f t="shared" si="16"/>
        <v/>
      </c>
      <c r="O162" s="206" t="str">
        <f t="shared" si="12"/>
        <v/>
      </c>
      <c r="P162" s="207" t="str">
        <f t="shared" si="17"/>
        <v/>
      </c>
    </row>
    <row r="163" spans="3:16">
      <c r="C163" s="200"/>
      <c r="D163" s="201"/>
      <c r="E163" s="202"/>
      <c r="F163" s="200"/>
      <c r="H163" s="203"/>
      <c r="I163" s="186" t="str">
        <f t="shared" si="13"/>
        <v/>
      </c>
      <c r="J163" s="204" t="str">
        <f>IF($H163="USD",IF(OR($I163="",$I163="-"),"",VLOOKUP($G163,為替!$A:$AX,$I163,FALSE))+$J$3,IF(OR($I163="",$I163="-"),"",VLOOKUP($G163,為替!$A:$AX,$I163,FALSE)))</f>
        <v/>
      </c>
      <c r="K163" s="205" t="str">
        <f t="shared" si="14"/>
        <v/>
      </c>
      <c r="L163" s="189" t="str">
        <f t="shared" si="15"/>
        <v/>
      </c>
      <c r="M163" s="204" t="str">
        <f>IF($H163="USD",IF(OR($L163="",$L163="-"),"",VLOOKUP($G163,為替!$A:$AX,$L163,FALSE))+$K$3,IF(OR($L163="",$L163="-"),"",VLOOKUP($G163,為替!$A:$AX,$L163,FALSE)))</f>
        <v/>
      </c>
      <c r="N163" s="205" t="str">
        <f t="shared" si="16"/>
        <v/>
      </c>
      <c r="O163" s="206" t="str">
        <f t="shared" si="12"/>
        <v/>
      </c>
      <c r="P163" s="207" t="str">
        <f t="shared" si="17"/>
        <v/>
      </c>
    </row>
    <row r="164" spans="3:16">
      <c r="C164" s="200"/>
      <c r="D164" s="201"/>
      <c r="E164" s="202"/>
      <c r="F164" s="200"/>
      <c r="H164" s="203"/>
      <c r="I164" s="186" t="str">
        <f t="shared" si="13"/>
        <v/>
      </c>
      <c r="J164" s="204" t="str">
        <f>IF($H164="USD",IF(OR($I164="",$I164="-"),"",VLOOKUP($G164,為替!$A:$AX,$I164,FALSE))+$J$3,IF(OR($I164="",$I164="-"),"",VLOOKUP($G164,為替!$A:$AX,$I164,FALSE)))</f>
        <v/>
      </c>
      <c r="K164" s="205" t="str">
        <f t="shared" si="14"/>
        <v/>
      </c>
      <c r="L164" s="189" t="str">
        <f t="shared" si="15"/>
        <v/>
      </c>
      <c r="M164" s="204" t="str">
        <f>IF($H164="USD",IF(OR($L164="",$L164="-"),"",VLOOKUP($G164,為替!$A:$AX,$L164,FALSE))+$K$3,IF(OR($L164="",$L164="-"),"",VLOOKUP($G164,為替!$A:$AX,$L164,FALSE)))</f>
        <v/>
      </c>
      <c r="N164" s="205" t="str">
        <f t="shared" si="16"/>
        <v/>
      </c>
      <c r="O164" s="206" t="str">
        <f t="shared" si="12"/>
        <v/>
      </c>
      <c r="P164" s="207" t="str">
        <f t="shared" si="17"/>
        <v/>
      </c>
    </row>
    <row r="165" spans="3:16">
      <c r="C165" s="200"/>
      <c r="D165" s="201"/>
      <c r="E165" s="202"/>
      <c r="F165" s="200"/>
      <c r="H165" s="203"/>
      <c r="I165" s="186" t="str">
        <f t="shared" si="13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 t="str">
        <f t="shared" si="14"/>
        <v/>
      </c>
      <c r="L165" s="189" t="str">
        <f t="shared" si="15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 t="str">
        <f t="shared" si="16"/>
        <v/>
      </c>
      <c r="O165" s="206" t="str">
        <f t="shared" si="12"/>
        <v/>
      </c>
      <c r="P165" s="207" t="str">
        <f t="shared" si="17"/>
        <v/>
      </c>
    </row>
    <row r="166" spans="3:16">
      <c r="C166" s="200"/>
      <c r="D166" s="201"/>
      <c r="E166" s="202"/>
      <c r="F166" s="200"/>
      <c r="H166" s="203"/>
      <c r="I166" s="186" t="str">
        <f t="shared" si="13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 t="str">
        <f t="shared" si="14"/>
        <v/>
      </c>
      <c r="L166" s="189" t="str">
        <f t="shared" si="15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 t="str">
        <f t="shared" si="16"/>
        <v/>
      </c>
      <c r="O166" s="206" t="str">
        <f t="shared" si="12"/>
        <v/>
      </c>
      <c r="P166" s="207" t="str">
        <f t="shared" si="17"/>
        <v/>
      </c>
    </row>
    <row r="167" spans="3:16">
      <c r="C167" s="200"/>
      <c r="D167" s="201"/>
      <c r="E167" s="202"/>
      <c r="F167" s="200"/>
      <c r="H167" s="203"/>
      <c r="I167" s="186" t="str">
        <f t="shared" si="13"/>
        <v/>
      </c>
      <c r="J167" s="204" t="str">
        <f>IF($H167="USD",IF(OR($I167="",$I167="-"),"",VLOOKUP($G167,為替!$A:$AX,$I167,FALSE))+$J$3,IF(OR($I167="",$I167="-"),"",VLOOKUP($G167,為替!$A:$AX,$I167,FALSE)))</f>
        <v/>
      </c>
      <c r="K167" s="205" t="str">
        <f t="shared" si="14"/>
        <v/>
      </c>
      <c r="L167" s="189" t="str">
        <f t="shared" si="15"/>
        <v/>
      </c>
      <c r="M167" s="204" t="str">
        <f>IF($H167="USD",IF(OR($L167="",$L167="-"),"",VLOOKUP($G167,為替!$A:$AX,$L167,FALSE))+$K$3,IF(OR($L167="",$L167="-"),"",VLOOKUP($G167,為替!$A:$AX,$L167,FALSE)))</f>
        <v/>
      </c>
      <c r="N167" s="205" t="str">
        <f t="shared" si="16"/>
        <v/>
      </c>
      <c r="O167" s="206" t="str">
        <f t="shared" si="12"/>
        <v/>
      </c>
      <c r="P167" s="207" t="str">
        <f t="shared" si="17"/>
        <v/>
      </c>
    </row>
    <row r="168" spans="3:16">
      <c r="C168" s="200"/>
      <c r="D168" s="201"/>
      <c r="E168" s="202"/>
      <c r="F168" s="200"/>
      <c r="H168" s="203"/>
      <c r="I168" s="186" t="str">
        <f t="shared" si="13"/>
        <v/>
      </c>
      <c r="J168" s="204" t="str">
        <f>IF($H168="USD",IF(OR($I168="",$I168="-"),"",VLOOKUP($G168,為替!$A:$AX,$I168,FALSE))+$J$3,IF(OR($I168="",$I168="-"),"",VLOOKUP($G168,為替!$A:$AX,$I168,FALSE)))</f>
        <v/>
      </c>
      <c r="K168" s="205" t="str">
        <f t="shared" si="14"/>
        <v/>
      </c>
      <c r="L168" s="189" t="str">
        <f t="shared" si="15"/>
        <v/>
      </c>
      <c r="M168" s="204" t="str">
        <f>IF($H168="USD",IF(OR($L168="",$L168="-"),"",VLOOKUP($G168,為替!$A:$AX,$L168,FALSE))+$K$3,IF(OR($L168="",$L168="-"),"",VLOOKUP($G168,為替!$A:$AX,$L168,FALSE)))</f>
        <v/>
      </c>
      <c r="N168" s="205" t="str">
        <f t="shared" si="16"/>
        <v/>
      </c>
      <c r="O168" s="206" t="str">
        <f t="shared" si="12"/>
        <v/>
      </c>
      <c r="P168" s="207" t="str">
        <f t="shared" si="17"/>
        <v/>
      </c>
    </row>
    <row r="169" spans="3:16">
      <c r="C169" s="200"/>
      <c r="D169" s="201"/>
      <c r="E169" s="202"/>
      <c r="F169" s="200"/>
      <c r="H169" s="203"/>
      <c r="I169" s="186" t="str">
        <f t="shared" si="13"/>
        <v/>
      </c>
      <c r="J169" s="204" t="str">
        <f>IF($H169="USD",IF(OR($I169="",$I169="-"),"",VLOOKUP($G169,為替!$A:$AX,$I169,FALSE))+$J$3,IF(OR($I169="",$I169="-"),"",VLOOKUP($G169,為替!$A:$AX,$I169,FALSE)))</f>
        <v/>
      </c>
      <c r="K169" s="205" t="str">
        <f t="shared" si="14"/>
        <v/>
      </c>
      <c r="L169" s="189" t="str">
        <f t="shared" si="15"/>
        <v/>
      </c>
      <c r="M169" s="204" t="str">
        <f>IF($H169="USD",IF(OR($L169="",$L169="-"),"",VLOOKUP($G169,為替!$A:$AX,$L169,FALSE))+$K$3,IF(OR($L169="",$L169="-"),"",VLOOKUP($G169,為替!$A:$AX,$L169,FALSE)))</f>
        <v/>
      </c>
      <c r="N169" s="205" t="str">
        <f t="shared" si="16"/>
        <v/>
      </c>
      <c r="O169" s="206" t="str">
        <f t="shared" si="12"/>
        <v/>
      </c>
      <c r="P169" s="207" t="str">
        <f t="shared" si="17"/>
        <v/>
      </c>
    </row>
    <row r="170" spans="3:16">
      <c r="C170" s="200"/>
      <c r="D170" s="201"/>
      <c r="E170" s="202"/>
      <c r="F170" s="200"/>
      <c r="H170" s="203"/>
      <c r="I170" s="186" t="str">
        <f t="shared" si="13"/>
        <v/>
      </c>
      <c r="J170" s="204" t="str">
        <f>IF($H170="USD",IF(OR($I170="",$I170="-"),"",VLOOKUP($G170,為替!$A:$AX,$I170,FALSE))+$J$3,IF(OR($I170="",$I170="-"),"",VLOOKUP($G170,為替!$A:$AX,$I170,FALSE)))</f>
        <v/>
      </c>
      <c r="K170" s="205" t="str">
        <f t="shared" si="14"/>
        <v/>
      </c>
      <c r="L170" s="189" t="str">
        <f t="shared" si="15"/>
        <v/>
      </c>
      <c r="M170" s="204" t="str">
        <f>IF($H170="USD",IF(OR($L170="",$L170="-"),"",VLOOKUP($G170,為替!$A:$AX,$L170,FALSE))+$K$3,IF(OR($L170="",$L170="-"),"",VLOOKUP($G170,為替!$A:$AX,$L170,FALSE)))</f>
        <v/>
      </c>
      <c r="N170" s="205" t="str">
        <f t="shared" si="16"/>
        <v/>
      </c>
      <c r="O170" s="206" t="str">
        <f t="shared" si="12"/>
        <v/>
      </c>
      <c r="P170" s="207" t="str">
        <f t="shared" si="17"/>
        <v/>
      </c>
    </row>
    <row r="171" spans="3:16">
      <c r="C171" s="200"/>
      <c r="D171" s="201"/>
      <c r="E171" s="202"/>
      <c r="F171" s="200"/>
      <c r="H171" s="203"/>
      <c r="I171" s="186" t="str">
        <f t="shared" si="13"/>
        <v/>
      </c>
      <c r="J171" s="204" t="str">
        <f>IF($H171="USD",IF(OR($I171="",$I171="-"),"",VLOOKUP($G171,為替!$A:$AX,$I171,FALSE))+$J$3,IF(OR($I171="",$I171="-"),"",VLOOKUP($G171,為替!$A:$AX,$I171,FALSE)))</f>
        <v/>
      </c>
      <c r="K171" s="205" t="str">
        <f t="shared" si="14"/>
        <v/>
      </c>
      <c r="L171" s="189" t="str">
        <f t="shared" si="15"/>
        <v/>
      </c>
      <c r="M171" s="204" t="str">
        <f>IF($H171="USD",IF(OR($L171="",$L171="-"),"",VLOOKUP($G171,為替!$A:$AX,$L171,FALSE))+$K$3,IF(OR($L171="",$L171="-"),"",VLOOKUP($G171,為替!$A:$AX,$L171,FALSE)))</f>
        <v/>
      </c>
      <c r="N171" s="205" t="str">
        <f t="shared" si="16"/>
        <v/>
      </c>
      <c r="O171" s="206" t="str">
        <f t="shared" si="12"/>
        <v/>
      </c>
      <c r="P171" s="207" t="str">
        <f t="shared" si="17"/>
        <v/>
      </c>
    </row>
    <row r="172" spans="3:16">
      <c r="C172" s="200"/>
      <c r="D172" s="201"/>
      <c r="E172" s="202"/>
      <c r="F172" s="200"/>
      <c r="H172" s="203"/>
      <c r="I172" s="186" t="str">
        <f t="shared" si="13"/>
        <v/>
      </c>
      <c r="J172" s="204" t="str">
        <f>IF($H172="USD",IF(OR($I172="",$I172="-"),"",VLOOKUP($G172,為替!$A:$AX,$I172,FALSE))+$J$3,IF(OR($I172="",$I172="-"),"",VLOOKUP($G172,為替!$A:$AX,$I172,FALSE)))</f>
        <v/>
      </c>
      <c r="K172" s="205" t="str">
        <f t="shared" si="14"/>
        <v/>
      </c>
      <c r="L172" s="189" t="str">
        <f t="shared" si="15"/>
        <v/>
      </c>
      <c r="M172" s="204" t="str">
        <f>IF($H172="USD",IF(OR($L172="",$L172="-"),"",VLOOKUP($G172,為替!$A:$AX,$L172,FALSE))+$K$3,IF(OR($L172="",$L172="-"),"",VLOOKUP($G172,為替!$A:$AX,$L172,FALSE)))</f>
        <v/>
      </c>
      <c r="N172" s="205" t="str">
        <f t="shared" si="16"/>
        <v/>
      </c>
      <c r="O172" s="206" t="str">
        <f t="shared" si="12"/>
        <v/>
      </c>
      <c r="P172" s="207" t="str">
        <f t="shared" si="17"/>
        <v/>
      </c>
    </row>
    <row r="173" spans="3:16">
      <c r="C173" s="200"/>
      <c r="D173" s="201"/>
      <c r="E173" s="202"/>
      <c r="F173" s="200"/>
      <c r="H173" s="203"/>
      <c r="I173" s="186" t="str">
        <f t="shared" si="13"/>
        <v/>
      </c>
      <c r="J173" s="204" t="str">
        <f>IF($H173="USD",IF(OR($I173="",$I173="-"),"",VLOOKUP($G173,為替!$A:$AX,$I173,FALSE))+$J$3,IF(OR($I173="",$I173="-"),"",VLOOKUP($G173,為替!$A:$AX,$I173,FALSE)))</f>
        <v/>
      </c>
      <c r="K173" s="205" t="str">
        <f t="shared" si="14"/>
        <v/>
      </c>
      <c r="L173" s="189" t="str">
        <f t="shared" si="15"/>
        <v/>
      </c>
      <c r="M173" s="204" t="str">
        <f>IF($H173="USD",IF(OR($L173="",$L173="-"),"",VLOOKUP($G173,為替!$A:$AX,$L173,FALSE))+$K$3,IF(OR($L173="",$L173="-"),"",VLOOKUP($G173,為替!$A:$AX,$L173,FALSE)))</f>
        <v/>
      </c>
      <c r="N173" s="205" t="str">
        <f t="shared" si="16"/>
        <v/>
      </c>
      <c r="O173" s="206" t="str">
        <f t="shared" si="12"/>
        <v/>
      </c>
      <c r="P173" s="207" t="str">
        <f t="shared" si="17"/>
        <v/>
      </c>
    </row>
    <row r="174" spans="3:16">
      <c r="C174" s="200"/>
      <c r="D174" s="201"/>
      <c r="E174" s="202"/>
      <c r="F174" s="200"/>
      <c r="H174" s="203"/>
      <c r="I174" s="186" t="str">
        <f t="shared" si="13"/>
        <v/>
      </c>
      <c r="J174" s="204" t="str">
        <f>IF($H174="USD",IF(OR($I174="",$I174="-"),"",VLOOKUP($G174,為替!$A:$AX,$I174,FALSE))+$J$3,IF(OR($I174="",$I174="-"),"",VLOOKUP($G174,為替!$A:$AX,$I174,FALSE)))</f>
        <v/>
      </c>
      <c r="K174" s="205" t="str">
        <f t="shared" si="14"/>
        <v/>
      </c>
      <c r="L174" s="189" t="str">
        <f t="shared" si="15"/>
        <v/>
      </c>
      <c r="M174" s="204" t="str">
        <f>IF($H174="USD",IF(OR($L174="",$L174="-"),"",VLOOKUP($G174,為替!$A:$AX,$L174,FALSE))+$K$3,IF(OR($L174="",$L174="-"),"",VLOOKUP($G174,為替!$A:$AX,$L174,FALSE)))</f>
        <v/>
      </c>
      <c r="N174" s="205" t="str">
        <f t="shared" si="16"/>
        <v/>
      </c>
      <c r="O174" s="206" t="str">
        <f t="shared" si="12"/>
        <v/>
      </c>
      <c r="P174" s="207" t="str">
        <f t="shared" si="17"/>
        <v/>
      </c>
    </row>
    <row r="175" spans="3:16">
      <c r="C175" s="200"/>
      <c r="D175" s="201"/>
      <c r="E175" s="202"/>
      <c r="F175" s="200"/>
      <c r="H175" s="203"/>
      <c r="I175" s="186" t="str">
        <f t="shared" si="13"/>
        <v/>
      </c>
      <c r="J175" s="204" t="str">
        <f>IF($H175="USD",IF(OR($I175="",$I175="-"),"",VLOOKUP($G175,為替!$A:$AX,$I175,FALSE))+$J$3,IF(OR($I175="",$I175="-"),"",VLOOKUP($G175,為替!$A:$AX,$I175,FALSE)))</f>
        <v/>
      </c>
      <c r="K175" s="205" t="str">
        <f t="shared" si="14"/>
        <v/>
      </c>
      <c r="L175" s="189" t="str">
        <f t="shared" si="15"/>
        <v/>
      </c>
      <c r="M175" s="204" t="str">
        <f>IF($H175="USD",IF(OR($L175="",$L175="-"),"",VLOOKUP($G175,為替!$A:$AX,$L175,FALSE))+$K$3,IF(OR($L175="",$L175="-"),"",VLOOKUP($G175,為替!$A:$AX,$L175,FALSE)))</f>
        <v/>
      </c>
      <c r="N175" s="205" t="str">
        <f t="shared" si="16"/>
        <v/>
      </c>
      <c r="O175" s="206" t="str">
        <f t="shared" si="12"/>
        <v/>
      </c>
      <c r="P175" s="207" t="str">
        <f t="shared" si="17"/>
        <v/>
      </c>
    </row>
    <row r="176" spans="3:16">
      <c r="C176" s="200"/>
      <c r="D176" s="201"/>
      <c r="E176" s="202"/>
      <c r="F176" s="200"/>
      <c r="H176" s="203"/>
      <c r="I176" s="186" t="str">
        <f t="shared" si="13"/>
        <v/>
      </c>
      <c r="J176" s="204" t="str">
        <f>IF($H176="USD",IF(OR($I176="",$I176="-"),"",VLOOKUP($G176,為替!$A:$AX,$I176,FALSE))+$J$3,IF(OR($I176="",$I176="-"),"",VLOOKUP($G176,為替!$A:$AX,$I176,FALSE)))</f>
        <v/>
      </c>
      <c r="K176" s="205" t="str">
        <f t="shared" si="14"/>
        <v/>
      </c>
      <c r="L176" s="189" t="str">
        <f t="shared" si="15"/>
        <v/>
      </c>
      <c r="M176" s="204" t="str">
        <f>IF($H176="USD",IF(OR($L176="",$L176="-"),"",VLOOKUP($G176,為替!$A:$AX,$L176,FALSE))+$K$3,IF(OR($L176="",$L176="-"),"",VLOOKUP($G176,為替!$A:$AX,$L176,FALSE)))</f>
        <v/>
      </c>
      <c r="N176" s="205" t="str">
        <f t="shared" si="16"/>
        <v/>
      </c>
      <c r="O176" s="206" t="str">
        <f t="shared" si="12"/>
        <v/>
      </c>
      <c r="P176" s="207" t="str">
        <f t="shared" si="17"/>
        <v/>
      </c>
    </row>
    <row r="177" spans="3:16">
      <c r="C177" s="200"/>
      <c r="D177" s="201"/>
      <c r="E177" s="202"/>
      <c r="F177" s="200"/>
      <c r="H177" s="203"/>
      <c r="I177" s="186" t="str">
        <f t="shared" si="13"/>
        <v/>
      </c>
      <c r="J177" s="204" t="str">
        <f>IF($H177="USD",IF(OR($I177="",$I177="-"),"",VLOOKUP($G177,為替!$A:$AX,$I177,FALSE))+$J$3,IF(OR($I177="",$I177="-"),"",VLOOKUP($G177,為替!$A:$AX,$I177,FALSE)))</f>
        <v/>
      </c>
      <c r="K177" s="205" t="str">
        <f t="shared" si="14"/>
        <v/>
      </c>
      <c r="L177" s="189" t="str">
        <f t="shared" si="15"/>
        <v/>
      </c>
      <c r="M177" s="204" t="str">
        <f>IF($H177="USD",IF(OR($L177="",$L177="-"),"",VLOOKUP($G177,為替!$A:$AX,$L177,FALSE))+$K$3,IF(OR($L177="",$L177="-"),"",VLOOKUP($G177,為替!$A:$AX,$L177,FALSE)))</f>
        <v/>
      </c>
      <c r="N177" s="205" t="str">
        <f t="shared" si="16"/>
        <v/>
      </c>
      <c r="O177" s="206" t="str">
        <f t="shared" si="12"/>
        <v/>
      </c>
      <c r="P177" s="207" t="str">
        <f t="shared" si="17"/>
        <v/>
      </c>
    </row>
    <row r="178" spans="3:16">
      <c r="C178" s="200"/>
      <c r="D178" s="201"/>
      <c r="E178" s="202"/>
      <c r="F178" s="200"/>
      <c r="H178" s="203"/>
      <c r="I178" s="186" t="str">
        <f t="shared" si="13"/>
        <v/>
      </c>
      <c r="J178" s="204" t="str">
        <f>IF($H178="USD",IF(OR($I178="",$I178="-"),"",VLOOKUP($G178,為替!$A:$AX,$I178,FALSE))+$J$3,IF(OR($I178="",$I178="-"),"",VLOOKUP($G178,為替!$A:$AX,$I178,FALSE)))</f>
        <v/>
      </c>
      <c r="K178" s="205" t="str">
        <f t="shared" si="14"/>
        <v/>
      </c>
      <c r="L178" s="189" t="str">
        <f t="shared" si="15"/>
        <v/>
      </c>
      <c r="M178" s="204" t="str">
        <f>IF($H178="USD",IF(OR($L178="",$L178="-"),"",VLOOKUP($G178,為替!$A:$AX,$L178,FALSE))+$K$3,IF(OR($L178="",$L178="-"),"",VLOOKUP($G178,為替!$A:$AX,$L178,FALSE)))</f>
        <v/>
      </c>
      <c r="N178" s="205" t="str">
        <f t="shared" si="16"/>
        <v/>
      </c>
      <c r="O178" s="206" t="str">
        <f t="shared" si="12"/>
        <v/>
      </c>
      <c r="P178" s="207" t="str">
        <f t="shared" si="17"/>
        <v/>
      </c>
    </row>
    <row r="179" spans="3:16">
      <c r="C179" s="200"/>
      <c r="D179" s="201"/>
      <c r="E179" s="202"/>
      <c r="F179" s="200"/>
      <c r="H179" s="203"/>
      <c r="I179" s="186" t="str">
        <f t="shared" si="13"/>
        <v/>
      </c>
      <c r="J179" s="204" t="str">
        <f>IF($H179="USD",IF(OR($I179="",$I179="-"),"",VLOOKUP($G179,為替!$A:$AX,$I179,FALSE))+$J$3,IF(OR($I179="",$I179="-"),"",VLOOKUP($G179,為替!$A:$AX,$I179,FALSE)))</f>
        <v/>
      </c>
      <c r="K179" s="205" t="str">
        <f t="shared" si="14"/>
        <v/>
      </c>
      <c r="L179" s="189" t="str">
        <f t="shared" si="15"/>
        <v/>
      </c>
      <c r="M179" s="204" t="str">
        <f>IF($H179="USD",IF(OR($L179="",$L179="-"),"",VLOOKUP($G179,為替!$A:$AX,$L179,FALSE))+$K$3,IF(OR($L179="",$L179="-"),"",VLOOKUP($G179,為替!$A:$AX,$L179,FALSE)))</f>
        <v/>
      </c>
      <c r="N179" s="205" t="str">
        <f t="shared" si="16"/>
        <v/>
      </c>
      <c r="O179" s="206" t="str">
        <f t="shared" si="12"/>
        <v/>
      </c>
      <c r="P179" s="207" t="str">
        <f t="shared" si="17"/>
        <v/>
      </c>
    </row>
    <row r="180" spans="3:16">
      <c r="C180" s="200"/>
      <c r="D180" s="201"/>
      <c r="E180" s="202"/>
      <c r="F180" s="200"/>
      <c r="H180" s="203"/>
      <c r="I180" s="186" t="str">
        <f t="shared" si="13"/>
        <v/>
      </c>
      <c r="J180" s="204" t="str">
        <f>IF($H180="USD",IF(OR($I180="",$I180="-"),"",VLOOKUP($G180,為替!$A:$AX,$I180,FALSE))+$J$3,IF(OR($I180="",$I180="-"),"",VLOOKUP($G180,為替!$A:$AX,$I180,FALSE)))</f>
        <v/>
      </c>
      <c r="K180" s="205" t="str">
        <f t="shared" si="14"/>
        <v/>
      </c>
      <c r="L180" s="189" t="str">
        <f t="shared" si="15"/>
        <v/>
      </c>
      <c r="M180" s="204" t="str">
        <f>IF($H180="USD",IF(OR($L180="",$L180="-"),"",VLOOKUP($G180,為替!$A:$AX,$L180,FALSE))+$K$3,IF(OR($L180="",$L180="-"),"",VLOOKUP($G180,為替!$A:$AX,$L180,FALSE)))</f>
        <v/>
      </c>
      <c r="N180" s="205" t="str">
        <f t="shared" si="16"/>
        <v/>
      </c>
      <c r="O180" s="206" t="str">
        <f t="shared" si="12"/>
        <v/>
      </c>
      <c r="P180" s="207" t="str">
        <f t="shared" si="17"/>
        <v/>
      </c>
    </row>
    <row r="181" spans="3:16">
      <c r="C181" s="200"/>
      <c r="D181" s="201"/>
      <c r="E181" s="202"/>
      <c r="F181" s="200"/>
      <c r="H181" s="203"/>
      <c r="I181" s="186" t="str">
        <f t="shared" si="13"/>
        <v/>
      </c>
      <c r="J181" s="204" t="str">
        <f>IF($H181="USD",IF(OR($I181="",$I181="-"),"",VLOOKUP($G181,為替!$A:$AX,$I181,FALSE))+$J$3,IF(OR($I181="",$I181="-"),"",VLOOKUP($G181,為替!$A:$AX,$I181,FALSE)))</f>
        <v/>
      </c>
      <c r="K181" s="205" t="str">
        <f t="shared" si="14"/>
        <v/>
      </c>
      <c r="L181" s="189" t="str">
        <f t="shared" si="15"/>
        <v/>
      </c>
      <c r="M181" s="204" t="str">
        <f>IF($H181="USD",IF(OR($L181="",$L181="-"),"",VLOOKUP($G181,為替!$A:$AX,$L181,FALSE))+$K$3,IF(OR($L181="",$L181="-"),"",VLOOKUP($G181,為替!$A:$AX,$L181,FALSE)))</f>
        <v/>
      </c>
      <c r="N181" s="205" t="str">
        <f t="shared" si="16"/>
        <v/>
      </c>
      <c r="O181" s="206" t="str">
        <f t="shared" si="12"/>
        <v/>
      </c>
      <c r="P181" s="207" t="str">
        <f t="shared" si="17"/>
        <v/>
      </c>
    </row>
    <row r="182" spans="3:16">
      <c r="C182" s="200"/>
      <c r="D182" s="201"/>
      <c r="E182" s="202"/>
      <c r="F182" s="200"/>
      <c r="H182" s="203"/>
      <c r="I182" s="186" t="str">
        <f t="shared" si="13"/>
        <v/>
      </c>
      <c r="J182" s="204" t="str">
        <f>IF($H182="USD",IF(OR($I182="",$I182="-"),"",VLOOKUP($G182,為替!$A:$AX,$I182,FALSE))+$J$3,IF(OR($I182="",$I182="-"),"",VLOOKUP($G182,為替!$A:$AX,$I182,FALSE)))</f>
        <v/>
      </c>
      <c r="K182" s="205" t="str">
        <f t="shared" si="14"/>
        <v/>
      </c>
      <c r="L182" s="189" t="str">
        <f t="shared" si="15"/>
        <v/>
      </c>
      <c r="M182" s="204" t="str">
        <f>IF($H182="USD",IF(OR($L182="",$L182="-"),"",VLOOKUP($G182,為替!$A:$AX,$L182,FALSE))+$K$3,IF(OR($L182="",$L182="-"),"",VLOOKUP($G182,為替!$A:$AX,$L182,FALSE)))</f>
        <v/>
      </c>
      <c r="N182" s="205" t="str">
        <f t="shared" si="16"/>
        <v/>
      </c>
      <c r="O182" s="206" t="str">
        <f t="shared" si="12"/>
        <v/>
      </c>
      <c r="P182" s="207" t="str">
        <f t="shared" si="17"/>
        <v/>
      </c>
    </row>
    <row r="183" spans="3:16">
      <c r="C183" s="200"/>
      <c r="D183" s="201"/>
      <c r="E183" s="202"/>
      <c r="F183" s="200"/>
      <c r="H183" s="203"/>
      <c r="I183" s="186" t="str">
        <f t="shared" si="13"/>
        <v/>
      </c>
      <c r="J183" s="204" t="str">
        <f>IF($H183="USD",IF(OR($I183="",$I183="-"),"",VLOOKUP($G183,為替!$A:$AX,$I183,FALSE))+$J$3,IF(OR($I183="",$I183="-"),"",VLOOKUP($G183,為替!$A:$AX,$I183,FALSE)))</f>
        <v/>
      </c>
      <c r="K183" s="205" t="str">
        <f t="shared" si="14"/>
        <v/>
      </c>
      <c r="L183" s="189" t="str">
        <f t="shared" si="15"/>
        <v/>
      </c>
      <c r="M183" s="204" t="str">
        <f>IF($H183="USD",IF(OR($L183="",$L183="-"),"",VLOOKUP($G183,為替!$A:$AX,$L183,FALSE))+$K$3,IF(OR($L183="",$L183="-"),"",VLOOKUP($G183,為替!$A:$AX,$L183,FALSE)))</f>
        <v/>
      </c>
      <c r="N183" s="205" t="str">
        <f t="shared" si="16"/>
        <v/>
      </c>
      <c r="O183" s="206" t="str">
        <f t="shared" si="12"/>
        <v/>
      </c>
      <c r="P183" s="207" t="str">
        <f t="shared" si="17"/>
        <v/>
      </c>
    </row>
    <row r="184" spans="3:16">
      <c r="C184" s="200"/>
      <c r="D184" s="201"/>
      <c r="E184" s="202"/>
      <c r="F184" s="200"/>
      <c r="H184" s="203"/>
      <c r="I184" s="186" t="str">
        <f t="shared" si="13"/>
        <v/>
      </c>
      <c r="J184" s="204" t="str">
        <f>IF($H184="USD",IF(OR($I184="",$I184="-"),"",VLOOKUP($G184,為替!$A:$AX,$I184,FALSE))+$J$3,IF(OR($I184="",$I184="-"),"",VLOOKUP($G184,為替!$A:$AX,$I184,FALSE)))</f>
        <v/>
      </c>
      <c r="K184" s="205" t="str">
        <f t="shared" si="14"/>
        <v/>
      </c>
      <c r="L184" s="189" t="str">
        <f t="shared" si="15"/>
        <v/>
      </c>
      <c r="M184" s="204" t="str">
        <f>IF($H184="USD",IF(OR($L184="",$L184="-"),"",VLOOKUP($G184,為替!$A:$AX,$L184,FALSE))+$K$3,IF(OR($L184="",$L184="-"),"",VLOOKUP($G184,為替!$A:$AX,$L184,FALSE)))</f>
        <v/>
      </c>
      <c r="N184" s="205" t="str">
        <f t="shared" si="16"/>
        <v/>
      </c>
      <c r="O184" s="206" t="str">
        <f t="shared" si="12"/>
        <v/>
      </c>
      <c r="P184" s="207" t="str">
        <f t="shared" si="17"/>
        <v/>
      </c>
    </row>
    <row r="185" spans="3:16">
      <c r="C185" s="200"/>
      <c r="D185" s="201"/>
      <c r="E185" s="202"/>
      <c r="F185" s="200"/>
      <c r="H185" s="203"/>
      <c r="I185" s="186" t="str">
        <f t="shared" si="13"/>
        <v/>
      </c>
      <c r="J185" s="204" t="str">
        <f>IF($H185="USD",IF(OR($I185="",$I185="-"),"",VLOOKUP($G185,為替!$A:$AX,$I185,FALSE))+$J$3,IF(OR($I185="",$I185="-"),"",VLOOKUP($G185,為替!$A:$AX,$I185,FALSE)))</f>
        <v/>
      </c>
      <c r="K185" s="205" t="str">
        <f t="shared" si="14"/>
        <v/>
      </c>
      <c r="L185" s="189" t="str">
        <f t="shared" si="15"/>
        <v/>
      </c>
      <c r="M185" s="204" t="str">
        <f>IF($H185="USD",IF(OR($L185="",$L185="-"),"",VLOOKUP($G185,為替!$A:$AX,$L185,FALSE))+$K$3,IF(OR($L185="",$L185="-"),"",VLOOKUP($G185,為替!$A:$AX,$L185,FALSE)))</f>
        <v/>
      </c>
      <c r="N185" s="205" t="str">
        <f t="shared" si="16"/>
        <v/>
      </c>
      <c r="O185" s="206" t="str">
        <f t="shared" si="12"/>
        <v/>
      </c>
      <c r="P185" s="207" t="str">
        <f t="shared" si="17"/>
        <v/>
      </c>
    </row>
    <row r="186" spans="3:16">
      <c r="C186" s="200"/>
      <c r="D186" s="201"/>
      <c r="E186" s="202"/>
      <c r="F186" s="200"/>
      <c r="H186" s="203"/>
      <c r="I186" s="186" t="str">
        <f t="shared" si="13"/>
        <v/>
      </c>
      <c r="J186" s="204" t="str">
        <f>IF($H186="USD",IF(OR($I186="",$I186="-"),"",VLOOKUP($G186,為替!$A:$AX,$I186,FALSE))+$J$3,IF(OR($I186="",$I186="-"),"",VLOOKUP($G186,為替!$A:$AX,$I186,FALSE)))</f>
        <v/>
      </c>
      <c r="K186" s="205" t="str">
        <f t="shared" si="14"/>
        <v/>
      </c>
      <c r="L186" s="189" t="str">
        <f t="shared" si="15"/>
        <v/>
      </c>
      <c r="M186" s="204" t="str">
        <f>IF($H186="USD",IF(OR($L186="",$L186="-"),"",VLOOKUP($G186,為替!$A:$AX,$L186,FALSE))+$K$3,IF(OR($L186="",$L186="-"),"",VLOOKUP($G186,為替!$A:$AX,$L186,FALSE)))</f>
        <v/>
      </c>
      <c r="N186" s="205" t="str">
        <f t="shared" si="16"/>
        <v/>
      </c>
      <c r="O186" s="206" t="str">
        <f t="shared" si="12"/>
        <v/>
      </c>
      <c r="P186" s="207" t="str">
        <f t="shared" si="17"/>
        <v/>
      </c>
    </row>
    <row r="187" spans="3:16">
      <c r="C187" s="200"/>
      <c r="D187" s="201"/>
      <c r="E187" s="202"/>
      <c r="F187" s="200"/>
      <c r="H187" s="203"/>
      <c r="I187" s="186" t="str">
        <f t="shared" si="13"/>
        <v/>
      </c>
      <c r="J187" s="204" t="str">
        <f>IF($H187="USD",IF(OR($I187="",$I187="-"),"",VLOOKUP($G187,為替!$A:$AX,$I187,FALSE))+$J$3,IF(OR($I187="",$I187="-"),"",VLOOKUP($G187,為替!$A:$AX,$I187,FALSE)))</f>
        <v/>
      </c>
      <c r="K187" s="205" t="str">
        <f t="shared" si="14"/>
        <v/>
      </c>
      <c r="L187" s="189" t="str">
        <f t="shared" si="15"/>
        <v/>
      </c>
      <c r="M187" s="204" t="str">
        <f>IF($H187="USD",IF(OR($L187="",$L187="-"),"",VLOOKUP($G187,為替!$A:$AX,$L187,FALSE))+$K$3,IF(OR($L187="",$L187="-"),"",VLOOKUP($G187,為替!$A:$AX,$L187,FALSE)))</f>
        <v/>
      </c>
      <c r="N187" s="205" t="str">
        <f t="shared" si="16"/>
        <v/>
      </c>
      <c r="O187" s="206" t="str">
        <f t="shared" si="12"/>
        <v/>
      </c>
      <c r="P187" s="207" t="str">
        <f t="shared" si="17"/>
        <v/>
      </c>
    </row>
    <row r="188" spans="3:16">
      <c r="C188" s="200"/>
      <c r="D188" s="201"/>
      <c r="E188" s="202"/>
      <c r="F188" s="200"/>
      <c r="H188" s="203"/>
      <c r="I188" s="186" t="str">
        <f t="shared" si="13"/>
        <v/>
      </c>
      <c r="J188" s="204" t="str">
        <f>IF($H188="USD",IF(OR($I188="",$I188="-"),"",VLOOKUP($G188,為替!$A:$AX,$I188,FALSE))+$J$3,IF(OR($I188="",$I188="-"),"",VLOOKUP($G188,為替!$A:$AX,$I188,FALSE)))</f>
        <v/>
      </c>
      <c r="K188" s="205" t="str">
        <f t="shared" si="14"/>
        <v/>
      </c>
      <c r="L188" s="189" t="str">
        <f t="shared" si="15"/>
        <v/>
      </c>
      <c r="M188" s="204" t="str">
        <f>IF($H188="USD",IF(OR($L188="",$L188="-"),"",VLOOKUP($G188,為替!$A:$AX,$L188,FALSE))+$K$3,IF(OR($L188="",$L188="-"),"",VLOOKUP($G188,為替!$A:$AX,$L188,FALSE)))</f>
        <v/>
      </c>
      <c r="N188" s="205" t="str">
        <f t="shared" si="16"/>
        <v/>
      </c>
      <c r="O188" s="206" t="str">
        <f t="shared" si="12"/>
        <v/>
      </c>
      <c r="P188" s="207" t="str">
        <f t="shared" si="17"/>
        <v/>
      </c>
    </row>
    <row r="189" spans="3:16">
      <c r="C189" s="200"/>
      <c r="D189" s="201"/>
      <c r="E189" s="202"/>
      <c r="F189" s="200"/>
      <c r="H189" s="203"/>
      <c r="I189" s="186" t="str">
        <f t="shared" si="13"/>
        <v/>
      </c>
      <c r="J189" s="204" t="str">
        <f>IF($H189="USD",IF(OR($I189="",$I189="-"),"",VLOOKUP($G189,為替!$A:$AX,$I189,FALSE))+$J$3,IF(OR($I189="",$I189="-"),"",VLOOKUP($G189,為替!$A:$AX,$I189,FALSE)))</f>
        <v/>
      </c>
      <c r="K189" s="205" t="str">
        <f t="shared" si="14"/>
        <v/>
      </c>
      <c r="L189" s="189" t="str">
        <f t="shared" si="15"/>
        <v/>
      </c>
      <c r="M189" s="204" t="str">
        <f>IF($H189="USD",IF(OR($L189="",$L189="-"),"",VLOOKUP($G189,為替!$A:$AX,$L189,FALSE))+$K$3,IF(OR($L189="",$L189="-"),"",VLOOKUP($G189,為替!$A:$AX,$L189,FALSE)))</f>
        <v/>
      </c>
      <c r="N189" s="205" t="str">
        <f t="shared" si="16"/>
        <v/>
      </c>
      <c r="O189" s="206" t="str">
        <f t="shared" si="12"/>
        <v/>
      </c>
      <c r="P189" s="207" t="str">
        <f t="shared" si="17"/>
        <v/>
      </c>
    </row>
    <row r="190" spans="3:16">
      <c r="C190" s="200"/>
      <c r="D190" s="201"/>
      <c r="E190" s="202"/>
      <c r="F190" s="200"/>
      <c r="H190" s="203"/>
      <c r="I190" s="186" t="str">
        <f t="shared" si="13"/>
        <v/>
      </c>
      <c r="J190" s="204" t="str">
        <f>IF($H190="USD",IF(OR($I190="",$I190="-"),"",VLOOKUP($G190,為替!$A:$AX,$I190,FALSE))+$J$3,IF(OR($I190="",$I190="-"),"",VLOOKUP($G190,為替!$A:$AX,$I190,FALSE)))</f>
        <v/>
      </c>
      <c r="K190" s="205" t="str">
        <f t="shared" si="14"/>
        <v/>
      </c>
      <c r="L190" s="189" t="str">
        <f t="shared" si="15"/>
        <v/>
      </c>
      <c r="M190" s="204" t="str">
        <f>IF($H190="USD",IF(OR($L190="",$L190="-"),"",VLOOKUP($G190,為替!$A:$AX,$L190,FALSE))+$K$3,IF(OR($L190="",$L190="-"),"",VLOOKUP($G190,為替!$A:$AX,$L190,FALSE)))</f>
        <v/>
      </c>
      <c r="N190" s="205" t="str">
        <f t="shared" si="16"/>
        <v/>
      </c>
      <c r="O190" s="206" t="str">
        <f t="shared" si="12"/>
        <v/>
      </c>
      <c r="P190" s="207" t="str">
        <f t="shared" si="17"/>
        <v/>
      </c>
    </row>
    <row r="191" spans="3:16">
      <c r="C191" s="200"/>
      <c r="D191" s="201"/>
      <c r="E191" s="202"/>
      <c r="F191" s="200"/>
      <c r="H191" s="203"/>
      <c r="I191" s="186" t="str">
        <f t="shared" si="13"/>
        <v/>
      </c>
      <c r="J191" s="204" t="str">
        <f>IF($H191="USD",IF(OR($I191="",$I191="-"),"",VLOOKUP($G191,為替!$A:$AX,$I191,FALSE))+$J$3,IF(OR($I191="",$I191="-"),"",VLOOKUP($G191,為替!$A:$AX,$I191,FALSE)))</f>
        <v/>
      </c>
      <c r="K191" s="205" t="str">
        <f t="shared" si="14"/>
        <v/>
      </c>
      <c r="L191" s="189" t="str">
        <f t="shared" si="15"/>
        <v/>
      </c>
      <c r="M191" s="204" t="str">
        <f>IF($H191="USD",IF(OR($L191="",$L191="-"),"",VLOOKUP($G191,為替!$A:$AX,$L191,FALSE))+$K$3,IF(OR($L191="",$L191="-"),"",VLOOKUP($G191,為替!$A:$AX,$L191,FALSE)))</f>
        <v/>
      </c>
      <c r="N191" s="205" t="str">
        <f t="shared" si="16"/>
        <v/>
      </c>
      <c r="O191" s="206" t="str">
        <f t="shared" si="12"/>
        <v/>
      </c>
      <c r="P191" s="207" t="str">
        <f t="shared" si="17"/>
        <v/>
      </c>
    </row>
    <row r="192" spans="3:16">
      <c r="C192" s="200"/>
      <c r="D192" s="201"/>
      <c r="E192" s="202"/>
      <c r="F192" s="200"/>
      <c r="H192" s="203"/>
      <c r="I192" s="186" t="str">
        <f t="shared" si="13"/>
        <v/>
      </c>
      <c r="J192" s="204" t="str">
        <f>IF($H192="USD",IF(OR($I192="",$I192="-"),"",VLOOKUP($G192,為替!$A:$AX,$I192,FALSE))+$J$3,IF(OR($I192="",$I192="-"),"",VLOOKUP($G192,為替!$A:$AX,$I192,FALSE)))</f>
        <v/>
      </c>
      <c r="K192" s="205" t="str">
        <f t="shared" si="14"/>
        <v/>
      </c>
      <c r="L192" s="189" t="str">
        <f t="shared" si="15"/>
        <v/>
      </c>
      <c r="M192" s="204" t="str">
        <f>IF($H192="USD",IF(OR($L192="",$L192="-"),"",VLOOKUP($G192,為替!$A:$AX,$L192,FALSE))+$K$3,IF(OR($L192="",$L192="-"),"",VLOOKUP($G192,為替!$A:$AX,$L192,FALSE)))</f>
        <v/>
      </c>
      <c r="N192" s="205" t="str">
        <f t="shared" si="16"/>
        <v/>
      </c>
      <c r="O192" s="206" t="str">
        <f t="shared" si="12"/>
        <v/>
      </c>
      <c r="P192" s="207" t="str">
        <f t="shared" si="17"/>
        <v/>
      </c>
    </row>
    <row r="193" spans="3:16">
      <c r="C193" s="200"/>
      <c r="D193" s="201"/>
      <c r="E193" s="202"/>
      <c r="F193" s="200"/>
      <c r="H193" s="203"/>
      <c r="I193" s="186" t="str">
        <f t="shared" si="13"/>
        <v/>
      </c>
      <c r="J193" s="204" t="str">
        <f>IF($H193="USD",IF(OR($I193="",$I193="-"),"",VLOOKUP($G193,為替!$A:$AX,$I193,FALSE))+$J$3,IF(OR($I193="",$I193="-"),"",VLOOKUP($G193,為替!$A:$AX,$I193,FALSE)))</f>
        <v/>
      </c>
      <c r="K193" s="205" t="str">
        <f t="shared" si="14"/>
        <v/>
      </c>
      <c r="L193" s="189" t="str">
        <f t="shared" si="15"/>
        <v/>
      </c>
      <c r="M193" s="204" t="str">
        <f>IF($H193="USD",IF(OR($L193="",$L193="-"),"",VLOOKUP($G193,為替!$A:$AX,$L193,FALSE))+$K$3,IF(OR($L193="",$L193="-"),"",VLOOKUP($G193,為替!$A:$AX,$L193,FALSE)))</f>
        <v/>
      </c>
      <c r="N193" s="205" t="str">
        <f t="shared" si="16"/>
        <v/>
      </c>
      <c r="O193" s="206" t="str">
        <f t="shared" si="12"/>
        <v/>
      </c>
      <c r="P193" s="207" t="str">
        <f t="shared" si="17"/>
        <v/>
      </c>
    </row>
    <row r="194" spans="3:16">
      <c r="C194" s="200"/>
      <c r="D194" s="201"/>
      <c r="E194" s="202"/>
      <c r="F194" s="200"/>
      <c r="H194" s="203"/>
      <c r="I194" s="186" t="str">
        <f t="shared" si="13"/>
        <v/>
      </c>
      <c r="J194" s="204" t="str">
        <f>IF($H194="USD",IF(OR($I194="",$I194="-"),"",VLOOKUP($G194,為替!$A:$AX,$I194,FALSE))+$J$3,IF(OR($I194="",$I194="-"),"",VLOOKUP($G194,為替!$A:$AX,$I194,FALSE)))</f>
        <v/>
      </c>
      <c r="K194" s="205" t="str">
        <f t="shared" si="14"/>
        <v/>
      </c>
      <c r="L194" s="189" t="str">
        <f t="shared" si="15"/>
        <v/>
      </c>
      <c r="M194" s="204" t="str">
        <f>IF($H194="USD",IF(OR($L194="",$L194="-"),"",VLOOKUP($G194,為替!$A:$AX,$L194,FALSE))+$K$3,IF(OR($L194="",$L194="-"),"",VLOOKUP($G194,為替!$A:$AX,$L194,FALSE)))</f>
        <v/>
      </c>
      <c r="N194" s="205" t="str">
        <f t="shared" si="16"/>
        <v/>
      </c>
      <c r="O194" s="206" t="str">
        <f t="shared" si="12"/>
        <v/>
      </c>
      <c r="P194" s="207" t="str">
        <f t="shared" si="17"/>
        <v/>
      </c>
    </row>
    <row r="195" spans="3:16">
      <c r="C195" s="200"/>
      <c r="D195" s="201"/>
      <c r="E195" s="202"/>
      <c r="F195" s="200"/>
      <c r="H195" s="203"/>
      <c r="I195" s="186" t="str">
        <f t="shared" si="13"/>
        <v/>
      </c>
      <c r="J195" s="204" t="str">
        <f>IF($H195="USD",IF(OR($I195="",$I195="-"),"",VLOOKUP($G195,為替!$A:$AX,$I195,FALSE))+$J$3,IF(OR($I195="",$I195="-"),"",VLOOKUP($G195,為替!$A:$AX,$I195,FALSE)))</f>
        <v/>
      </c>
      <c r="K195" s="205" t="str">
        <f t="shared" si="14"/>
        <v/>
      </c>
      <c r="L195" s="189" t="str">
        <f t="shared" si="15"/>
        <v/>
      </c>
      <c r="M195" s="204" t="str">
        <f>IF($H195="USD",IF(OR($L195="",$L195="-"),"",VLOOKUP($G195,為替!$A:$AX,$L195,FALSE))+$K$3,IF(OR($L195="",$L195="-"),"",VLOOKUP($G195,為替!$A:$AX,$L195,FALSE)))</f>
        <v/>
      </c>
      <c r="N195" s="205" t="str">
        <f t="shared" si="16"/>
        <v/>
      </c>
      <c r="O195" s="206" t="str">
        <f t="shared" si="12"/>
        <v/>
      </c>
      <c r="P195" s="207" t="str">
        <f t="shared" si="17"/>
        <v/>
      </c>
    </row>
    <row r="196" spans="3:16">
      <c r="C196" s="200"/>
      <c r="D196" s="201"/>
      <c r="E196" s="202"/>
      <c r="F196" s="200"/>
      <c r="H196" s="203"/>
      <c r="I196" s="186" t="str">
        <f t="shared" si="13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 t="str">
        <f t="shared" si="14"/>
        <v/>
      </c>
      <c r="L196" s="189" t="str">
        <f t="shared" si="15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 t="str">
        <f t="shared" si="16"/>
        <v/>
      </c>
      <c r="O196" s="206" t="str">
        <f t="shared" si="12"/>
        <v/>
      </c>
      <c r="P196" s="207" t="str">
        <f t="shared" si="17"/>
        <v/>
      </c>
    </row>
    <row r="197" spans="3:16">
      <c r="C197" s="200"/>
      <c r="D197" s="201"/>
      <c r="E197" s="202"/>
      <c r="F197" s="200"/>
      <c r="H197" s="203"/>
      <c r="I197" s="186" t="str">
        <f t="shared" si="13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 t="str">
        <f t="shared" si="14"/>
        <v/>
      </c>
      <c r="L197" s="189" t="str">
        <f t="shared" si="15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 t="str">
        <f t="shared" si="16"/>
        <v/>
      </c>
      <c r="O197" s="206" t="str">
        <f t="shared" si="12"/>
        <v/>
      </c>
      <c r="P197" s="207" t="str">
        <f t="shared" si="17"/>
        <v/>
      </c>
    </row>
    <row r="198" spans="3:16">
      <c r="C198" s="200"/>
      <c r="D198" s="201"/>
      <c r="E198" s="202"/>
      <c r="F198" s="200"/>
      <c r="H198" s="203"/>
      <c r="I198" s="186" t="str">
        <f t="shared" si="13"/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 t="str">
        <f t="shared" si="14"/>
        <v/>
      </c>
      <c r="L198" s="189" t="str">
        <f t="shared" si="15"/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 t="str">
        <f t="shared" si="16"/>
        <v/>
      </c>
      <c r="O198" s="206" t="str">
        <f t="shared" ref="O198:O261" si="18">IF(OR(K198="",N198=""),"",K198-N198)</f>
        <v/>
      </c>
      <c r="P198" s="207" t="str">
        <f t="shared" si="17"/>
        <v/>
      </c>
    </row>
    <row r="199" spans="3:16">
      <c r="C199" s="200"/>
      <c r="D199" s="201"/>
      <c r="E199" s="202"/>
      <c r="F199" s="200"/>
      <c r="H199" s="203"/>
      <c r="I199" s="186" t="str">
        <f t="shared" ref="I199:I262" si="19">IF(H199="","",IF(H199="JPY","",IF($H199="USD",4, IF(H199="EUR",7,IF(H199="CNY",47,IF(H199="HKD",34))))))</f>
        <v/>
      </c>
      <c r="J199" s="204" t="str">
        <f>IF($H199="USD",IF(OR($I199="",$I199="-"),"",VLOOKUP($G199,為替!$A:$AX,$I199,FALSE))+$J$3,IF(OR($I199="",$I199="-"),"",VLOOKUP($G199,為替!$A:$AX,$I199,FALSE)))</f>
        <v/>
      </c>
      <c r="K199" s="205" t="str">
        <f t="shared" ref="K199:K262" si="20">IF($H199="JPY",$F199,IF($H199="","",$F199*$J199))</f>
        <v/>
      </c>
      <c r="L199" s="189" t="str">
        <f t="shared" ref="L199:L262" si="21">IF(H199="","",IF(H199="JPY","",IF($H199="USD",3, IF(H199="EUR",6,IF(H199="CNY",46,IF(H199="HKD",33))))))</f>
        <v/>
      </c>
      <c r="M199" s="204" t="str">
        <f>IF($H199="USD",IF(OR($L199="",$L199="-"),"",VLOOKUP($G199,為替!$A:$AX,$L199,FALSE))+$K$3,IF(OR($L199="",$L199="-"),"",VLOOKUP($G199,為替!$A:$AX,$L199,FALSE)))</f>
        <v/>
      </c>
      <c r="N199" s="205" t="str">
        <f t="shared" ref="N199:N262" si="22">IF($E199="JPY",($C199+$D199),IF($E199="","",($C199+$D199)*$M199))</f>
        <v/>
      </c>
      <c r="O199" s="206" t="str">
        <f t="shared" si="18"/>
        <v/>
      </c>
      <c r="P199" s="207" t="str">
        <f t="shared" ref="P199:P262" si="23">IF(OR(K199="",O199=""),"",O199/K199)</f>
        <v/>
      </c>
    </row>
    <row r="200" spans="3:16">
      <c r="C200" s="200"/>
      <c r="D200" s="201"/>
      <c r="E200" s="202"/>
      <c r="F200" s="200"/>
      <c r="H200" s="203"/>
      <c r="I200" s="186" t="str">
        <f t="shared" si="19"/>
        <v/>
      </c>
      <c r="J200" s="204" t="str">
        <f>IF($H200="USD",IF(OR($I200="",$I200="-"),"",VLOOKUP($G200,為替!$A:$AX,$I200,FALSE))+$J$3,IF(OR($I200="",$I200="-"),"",VLOOKUP($G200,為替!$A:$AX,$I200,FALSE)))</f>
        <v/>
      </c>
      <c r="K200" s="205" t="str">
        <f t="shared" si="20"/>
        <v/>
      </c>
      <c r="L200" s="189" t="str">
        <f t="shared" si="21"/>
        <v/>
      </c>
      <c r="M200" s="204" t="str">
        <f>IF($H200="USD",IF(OR($L200="",$L200="-"),"",VLOOKUP($G200,為替!$A:$AX,$L200,FALSE))+$K$3,IF(OR($L200="",$L200="-"),"",VLOOKUP($G200,為替!$A:$AX,$L200,FALSE)))</f>
        <v/>
      </c>
      <c r="N200" s="205" t="str">
        <f t="shared" si="22"/>
        <v/>
      </c>
      <c r="O200" s="206" t="str">
        <f t="shared" si="18"/>
        <v/>
      </c>
      <c r="P200" s="207" t="str">
        <f t="shared" si="23"/>
        <v/>
      </c>
    </row>
    <row r="201" spans="3:16">
      <c r="C201" s="200"/>
      <c r="D201" s="201"/>
      <c r="E201" s="202"/>
      <c r="F201" s="200"/>
      <c r="H201" s="203"/>
      <c r="I201" s="186" t="str">
        <f t="shared" si="19"/>
        <v/>
      </c>
      <c r="J201" s="204" t="str">
        <f>IF($H201="USD",IF(OR($I201="",$I201="-"),"",VLOOKUP($G201,為替!$A:$AX,$I201,FALSE))+$J$3,IF(OR($I201="",$I201="-"),"",VLOOKUP($G201,為替!$A:$AX,$I201,FALSE)))</f>
        <v/>
      </c>
      <c r="K201" s="205" t="str">
        <f t="shared" si="20"/>
        <v/>
      </c>
      <c r="L201" s="189" t="str">
        <f t="shared" si="21"/>
        <v/>
      </c>
      <c r="M201" s="204" t="str">
        <f>IF($H201="USD",IF(OR($L201="",$L201="-"),"",VLOOKUP($G201,為替!$A:$AX,$L201,FALSE))+$K$3,IF(OR($L201="",$L201="-"),"",VLOOKUP($G201,為替!$A:$AX,$L201,FALSE)))</f>
        <v/>
      </c>
      <c r="N201" s="205" t="str">
        <f t="shared" si="22"/>
        <v/>
      </c>
      <c r="O201" s="206" t="str">
        <f t="shared" si="18"/>
        <v/>
      </c>
      <c r="P201" s="207" t="str">
        <f t="shared" si="23"/>
        <v/>
      </c>
    </row>
    <row r="202" spans="3:16">
      <c r="C202" s="200"/>
      <c r="D202" s="201"/>
      <c r="E202" s="202"/>
      <c r="F202" s="200"/>
      <c r="H202" s="203"/>
      <c r="I202" s="186" t="str">
        <f t="shared" si="19"/>
        <v/>
      </c>
      <c r="J202" s="204" t="str">
        <f>IF($H202="USD",IF(OR($I202="",$I202="-"),"",VLOOKUP($G202,為替!$A:$AX,$I202,FALSE))+$J$3,IF(OR($I202="",$I202="-"),"",VLOOKUP($G202,為替!$A:$AX,$I202,FALSE)))</f>
        <v/>
      </c>
      <c r="K202" s="205" t="str">
        <f t="shared" si="20"/>
        <v/>
      </c>
      <c r="L202" s="189" t="str">
        <f t="shared" si="21"/>
        <v/>
      </c>
      <c r="M202" s="204" t="str">
        <f>IF($H202="USD",IF(OR($L202="",$L202="-"),"",VLOOKUP($G202,為替!$A:$AX,$L202,FALSE))+$K$3,IF(OR($L202="",$L202="-"),"",VLOOKUP($G202,為替!$A:$AX,$L202,FALSE)))</f>
        <v/>
      </c>
      <c r="N202" s="205" t="str">
        <f t="shared" si="22"/>
        <v/>
      </c>
      <c r="O202" s="206" t="str">
        <f t="shared" si="18"/>
        <v/>
      </c>
      <c r="P202" s="207" t="str">
        <f t="shared" si="23"/>
        <v/>
      </c>
    </row>
    <row r="203" spans="3:16">
      <c r="C203" s="200"/>
      <c r="D203" s="201"/>
      <c r="E203" s="202"/>
      <c r="F203" s="200"/>
      <c r="H203" s="203"/>
      <c r="I203" s="186" t="str">
        <f t="shared" si="19"/>
        <v/>
      </c>
      <c r="J203" s="204" t="str">
        <f>IF($H203="USD",IF(OR($I203="",$I203="-"),"",VLOOKUP($G203,為替!$A:$AX,$I203,FALSE))+$J$3,IF(OR($I203="",$I203="-"),"",VLOOKUP($G203,為替!$A:$AX,$I203,FALSE)))</f>
        <v/>
      </c>
      <c r="K203" s="205" t="str">
        <f t="shared" si="20"/>
        <v/>
      </c>
      <c r="L203" s="189" t="str">
        <f t="shared" si="21"/>
        <v/>
      </c>
      <c r="M203" s="204" t="str">
        <f>IF($H203="USD",IF(OR($L203="",$L203="-"),"",VLOOKUP($G203,為替!$A:$AX,$L203,FALSE))+$K$3,IF(OR($L203="",$L203="-"),"",VLOOKUP($G203,為替!$A:$AX,$L203,FALSE)))</f>
        <v/>
      </c>
      <c r="N203" s="205" t="str">
        <f t="shared" si="22"/>
        <v/>
      </c>
      <c r="O203" s="206" t="str">
        <f t="shared" si="18"/>
        <v/>
      </c>
      <c r="P203" s="207" t="str">
        <f t="shared" si="23"/>
        <v/>
      </c>
    </row>
    <row r="204" spans="3:16">
      <c r="C204" s="200"/>
      <c r="D204" s="201"/>
      <c r="E204" s="202"/>
      <c r="F204" s="200"/>
      <c r="H204" s="203"/>
      <c r="I204" s="186" t="str">
        <f t="shared" si="19"/>
        <v/>
      </c>
      <c r="J204" s="204" t="str">
        <f>IF($H204="USD",IF(OR($I204="",$I204="-"),"",VLOOKUP($G204,為替!$A:$AX,$I204,FALSE))+$J$3,IF(OR($I204="",$I204="-"),"",VLOOKUP($G204,為替!$A:$AX,$I204,FALSE)))</f>
        <v/>
      </c>
      <c r="K204" s="205" t="str">
        <f t="shared" si="20"/>
        <v/>
      </c>
      <c r="L204" s="189" t="str">
        <f t="shared" si="21"/>
        <v/>
      </c>
      <c r="M204" s="204" t="str">
        <f>IF($H204="USD",IF(OR($L204="",$L204="-"),"",VLOOKUP($G204,為替!$A:$AX,$L204,FALSE))+$K$3,IF(OR($L204="",$L204="-"),"",VLOOKUP($G204,為替!$A:$AX,$L204,FALSE)))</f>
        <v/>
      </c>
      <c r="N204" s="205" t="str">
        <f t="shared" si="22"/>
        <v/>
      </c>
      <c r="O204" s="206" t="str">
        <f t="shared" si="18"/>
        <v/>
      </c>
      <c r="P204" s="207" t="str">
        <f t="shared" si="23"/>
        <v/>
      </c>
    </row>
    <row r="205" spans="3:16">
      <c r="C205" s="200"/>
      <c r="D205" s="201"/>
      <c r="E205" s="202"/>
      <c r="F205" s="200"/>
      <c r="H205" s="203"/>
      <c r="I205" s="186" t="str">
        <f t="shared" si="19"/>
        <v/>
      </c>
      <c r="J205" s="204" t="str">
        <f>IF($H205="USD",IF(OR($I205="",$I205="-"),"",VLOOKUP($G205,為替!$A:$AX,$I205,FALSE))+$J$3,IF(OR($I205="",$I205="-"),"",VLOOKUP($G205,為替!$A:$AX,$I205,FALSE)))</f>
        <v/>
      </c>
      <c r="K205" s="205" t="str">
        <f t="shared" si="20"/>
        <v/>
      </c>
      <c r="L205" s="189" t="str">
        <f t="shared" si="21"/>
        <v/>
      </c>
      <c r="M205" s="204" t="str">
        <f>IF($H205="USD",IF(OR($L205="",$L205="-"),"",VLOOKUP($G205,為替!$A:$AX,$L205,FALSE))+$K$3,IF(OR($L205="",$L205="-"),"",VLOOKUP($G205,為替!$A:$AX,$L205,FALSE)))</f>
        <v/>
      </c>
      <c r="N205" s="205" t="str">
        <f t="shared" si="22"/>
        <v/>
      </c>
      <c r="O205" s="206" t="str">
        <f t="shared" si="18"/>
        <v/>
      </c>
      <c r="P205" s="207" t="str">
        <f t="shared" si="23"/>
        <v/>
      </c>
    </row>
    <row r="206" spans="3:16">
      <c r="C206" s="200"/>
      <c r="D206" s="201"/>
      <c r="E206" s="202"/>
      <c r="F206" s="200"/>
      <c r="H206" s="203"/>
      <c r="I206" s="186" t="str">
        <f t="shared" si="19"/>
        <v/>
      </c>
      <c r="J206" s="204" t="str">
        <f>IF($H206="USD",IF(OR($I206="",$I206="-"),"",VLOOKUP($G206,為替!$A:$AX,$I206,FALSE))+$J$3,IF(OR($I206="",$I206="-"),"",VLOOKUP($G206,為替!$A:$AX,$I206,FALSE)))</f>
        <v/>
      </c>
      <c r="K206" s="205" t="str">
        <f t="shared" si="20"/>
        <v/>
      </c>
      <c r="L206" s="189" t="str">
        <f t="shared" si="21"/>
        <v/>
      </c>
      <c r="M206" s="204" t="str">
        <f>IF($H206="USD",IF(OR($L206="",$L206="-"),"",VLOOKUP($G206,為替!$A:$AX,$L206,FALSE))+$K$3,IF(OR($L206="",$L206="-"),"",VLOOKUP($G206,為替!$A:$AX,$L206,FALSE)))</f>
        <v/>
      </c>
      <c r="N206" s="205" t="str">
        <f t="shared" si="22"/>
        <v/>
      </c>
      <c r="O206" s="206" t="str">
        <f t="shared" si="18"/>
        <v/>
      </c>
      <c r="P206" s="207" t="str">
        <f t="shared" si="23"/>
        <v/>
      </c>
    </row>
    <row r="207" spans="3:16">
      <c r="C207" s="200"/>
      <c r="D207" s="201"/>
      <c r="E207" s="202"/>
      <c r="F207" s="200"/>
      <c r="H207" s="203"/>
      <c r="I207" s="186" t="str">
        <f t="shared" si="19"/>
        <v/>
      </c>
      <c r="J207" s="204" t="str">
        <f>IF($H207="USD",IF(OR($I207="",$I207="-"),"",VLOOKUP($G207,為替!$A:$AX,$I207,FALSE))+$J$3,IF(OR($I207="",$I207="-"),"",VLOOKUP($G207,為替!$A:$AX,$I207,FALSE)))</f>
        <v/>
      </c>
      <c r="K207" s="205" t="str">
        <f t="shared" si="20"/>
        <v/>
      </c>
      <c r="L207" s="189" t="str">
        <f t="shared" si="21"/>
        <v/>
      </c>
      <c r="M207" s="204" t="str">
        <f>IF($H207="USD",IF(OR($L207="",$L207="-"),"",VLOOKUP($G207,為替!$A:$AX,$L207,FALSE))+$K$3,IF(OR($L207="",$L207="-"),"",VLOOKUP($G207,為替!$A:$AX,$L207,FALSE)))</f>
        <v/>
      </c>
      <c r="N207" s="205" t="str">
        <f t="shared" si="22"/>
        <v/>
      </c>
      <c r="O207" s="206" t="str">
        <f t="shared" si="18"/>
        <v/>
      </c>
      <c r="P207" s="207" t="str">
        <f t="shared" si="23"/>
        <v/>
      </c>
    </row>
    <row r="208" spans="3:16">
      <c r="C208" s="200"/>
      <c r="D208" s="201"/>
      <c r="E208" s="202"/>
      <c r="F208" s="200"/>
      <c r="H208" s="203"/>
      <c r="I208" s="186" t="str">
        <f t="shared" si="19"/>
        <v/>
      </c>
      <c r="J208" s="204" t="str">
        <f>IF($H208="USD",IF(OR($I208="",$I208="-"),"",VLOOKUP($G208,為替!$A:$AX,$I208,FALSE))+$J$3,IF(OR($I208="",$I208="-"),"",VLOOKUP($G208,為替!$A:$AX,$I208,FALSE)))</f>
        <v/>
      </c>
      <c r="K208" s="205" t="str">
        <f t="shared" si="20"/>
        <v/>
      </c>
      <c r="L208" s="189" t="str">
        <f t="shared" si="21"/>
        <v/>
      </c>
      <c r="M208" s="204" t="str">
        <f>IF($H208="USD",IF(OR($L208="",$L208="-"),"",VLOOKUP($G208,為替!$A:$AX,$L208,FALSE))+$K$3,IF(OR($L208="",$L208="-"),"",VLOOKUP($G208,為替!$A:$AX,$L208,FALSE)))</f>
        <v/>
      </c>
      <c r="N208" s="205" t="str">
        <f t="shared" si="22"/>
        <v/>
      </c>
      <c r="O208" s="206" t="str">
        <f t="shared" si="18"/>
        <v/>
      </c>
      <c r="P208" s="207" t="str">
        <f t="shared" si="23"/>
        <v/>
      </c>
    </row>
    <row r="209" spans="3:16">
      <c r="C209" s="200"/>
      <c r="D209" s="201"/>
      <c r="E209" s="202"/>
      <c r="F209" s="200"/>
      <c r="H209" s="203"/>
      <c r="I209" s="186" t="str">
        <f t="shared" si="19"/>
        <v/>
      </c>
      <c r="J209" s="204" t="str">
        <f>IF($H209="USD",IF(OR($I209="",$I209="-"),"",VLOOKUP($G209,為替!$A:$AX,$I209,FALSE))+$J$3,IF(OR($I209="",$I209="-"),"",VLOOKUP($G209,為替!$A:$AX,$I209,FALSE)))</f>
        <v/>
      </c>
      <c r="K209" s="205" t="str">
        <f t="shared" si="20"/>
        <v/>
      </c>
      <c r="L209" s="189" t="str">
        <f t="shared" si="21"/>
        <v/>
      </c>
      <c r="M209" s="204" t="str">
        <f>IF($H209="USD",IF(OR($L209="",$L209="-"),"",VLOOKUP($G209,為替!$A:$AX,$L209,FALSE))+$K$3,IF(OR($L209="",$L209="-"),"",VLOOKUP($G209,為替!$A:$AX,$L209,FALSE)))</f>
        <v/>
      </c>
      <c r="N209" s="205" t="str">
        <f t="shared" si="22"/>
        <v/>
      </c>
      <c r="O209" s="206" t="str">
        <f t="shared" si="18"/>
        <v/>
      </c>
      <c r="P209" s="207" t="str">
        <f t="shared" si="23"/>
        <v/>
      </c>
    </row>
    <row r="210" spans="3:16">
      <c r="C210" s="200"/>
      <c r="D210" s="201"/>
      <c r="E210" s="202"/>
      <c r="F210" s="200"/>
      <c r="H210" s="203"/>
      <c r="I210" s="186" t="str">
        <f t="shared" si="19"/>
        <v/>
      </c>
      <c r="J210" s="204" t="str">
        <f>IF($H210="USD",IF(OR($I210="",$I210="-"),"",VLOOKUP($G210,為替!$A:$AX,$I210,FALSE))+$J$3,IF(OR($I210="",$I210="-"),"",VLOOKUP($G210,為替!$A:$AX,$I210,FALSE)))</f>
        <v/>
      </c>
      <c r="K210" s="205" t="str">
        <f t="shared" si="20"/>
        <v/>
      </c>
      <c r="L210" s="189" t="str">
        <f t="shared" si="21"/>
        <v/>
      </c>
      <c r="M210" s="204" t="str">
        <f>IF($H210="USD",IF(OR($L210="",$L210="-"),"",VLOOKUP($G210,為替!$A:$AX,$L210,FALSE))+$K$3,IF(OR($L210="",$L210="-"),"",VLOOKUP($G210,為替!$A:$AX,$L210,FALSE)))</f>
        <v/>
      </c>
      <c r="N210" s="205" t="str">
        <f t="shared" si="22"/>
        <v/>
      </c>
      <c r="O210" s="206" t="str">
        <f t="shared" si="18"/>
        <v/>
      </c>
      <c r="P210" s="207" t="str">
        <f t="shared" si="23"/>
        <v/>
      </c>
    </row>
    <row r="211" spans="3:16">
      <c r="C211" s="200"/>
      <c r="D211" s="201"/>
      <c r="E211" s="202"/>
      <c r="F211" s="200"/>
      <c r="H211" s="203"/>
      <c r="I211" s="186" t="str">
        <f t="shared" si="19"/>
        <v/>
      </c>
      <c r="J211" s="204" t="str">
        <f>IF($H211="USD",IF(OR($I211="",$I211="-"),"",VLOOKUP($G211,為替!$A:$AX,$I211,FALSE))+$J$3,IF(OR($I211="",$I211="-"),"",VLOOKUP($G211,為替!$A:$AX,$I211,FALSE)))</f>
        <v/>
      </c>
      <c r="K211" s="205" t="str">
        <f t="shared" si="20"/>
        <v/>
      </c>
      <c r="L211" s="189" t="str">
        <f t="shared" si="21"/>
        <v/>
      </c>
      <c r="M211" s="204" t="str">
        <f>IF($H211="USD",IF(OR($L211="",$L211="-"),"",VLOOKUP($G211,為替!$A:$AX,$L211,FALSE))+$K$3,IF(OR($L211="",$L211="-"),"",VLOOKUP($G211,為替!$A:$AX,$L211,FALSE)))</f>
        <v/>
      </c>
      <c r="N211" s="205" t="str">
        <f t="shared" si="22"/>
        <v/>
      </c>
      <c r="O211" s="206" t="str">
        <f t="shared" si="18"/>
        <v/>
      </c>
      <c r="P211" s="207" t="str">
        <f t="shared" si="23"/>
        <v/>
      </c>
    </row>
    <row r="212" spans="3:16">
      <c r="C212" s="200"/>
      <c r="D212" s="201"/>
      <c r="E212" s="202"/>
      <c r="F212" s="200"/>
      <c r="H212" s="203"/>
      <c r="I212" s="186" t="str">
        <f t="shared" si="19"/>
        <v/>
      </c>
      <c r="J212" s="204" t="str">
        <f>IF($H212="USD",IF(OR($I212="",$I212="-"),"",VLOOKUP($G212,為替!$A:$AX,$I212,FALSE))+$J$3,IF(OR($I212="",$I212="-"),"",VLOOKUP($G212,為替!$A:$AX,$I212,FALSE)))</f>
        <v/>
      </c>
      <c r="K212" s="205" t="str">
        <f t="shared" si="20"/>
        <v/>
      </c>
      <c r="L212" s="189" t="str">
        <f t="shared" si="21"/>
        <v/>
      </c>
      <c r="M212" s="204" t="str">
        <f>IF($H212="USD",IF(OR($L212="",$L212="-"),"",VLOOKUP($G212,為替!$A:$AX,$L212,FALSE))+$K$3,IF(OR($L212="",$L212="-"),"",VLOOKUP($G212,為替!$A:$AX,$L212,FALSE)))</f>
        <v/>
      </c>
      <c r="N212" s="205" t="str">
        <f t="shared" si="22"/>
        <v/>
      </c>
      <c r="O212" s="206" t="str">
        <f t="shared" si="18"/>
        <v/>
      </c>
      <c r="P212" s="207" t="str">
        <f t="shared" si="23"/>
        <v/>
      </c>
    </row>
    <row r="213" spans="3:16">
      <c r="C213" s="200"/>
      <c r="D213" s="201"/>
      <c r="E213" s="202"/>
      <c r="F213" s="200"/>
      <c r="H213" s="203"/>
      <c r="I213" s="186" t="str">
        <f t="shared" si="19"/>
        <v/>
      </c>
      <c r="J213" s="204" t="str">
        <f>IF($H213="USD",IF(OR($I213="",$I213="-"),"",VLOOKUP($G213,為替!$A:$AX,$I213,FALSE))+$J$3,IF(OR($I213="",$I213="-"),"",VLOOKUP($G213,為替!$A:$AX,$I213,FALSE)))</f>
        <v/>
      </c>
      <c r="K213" s="205" t="str">
        <f t="shared" si="20"/>
        <v/>
      </c>
      <c r="L213" s="189" t="str">
        <f t="shared" si="21"/>
        <v/>
      </c>
      <c r="M213" s="204" t="str">
        <f>IF($H213="USD",IF(OR($L213="",$L213="-"),"",VLOOKUP($G213,為替!$A:$AX,$L213,FALSE))+$K$3,IF(OR($L213="",$L213="-"),"",VLOOKUP($G213,為替!$A:$AX,$L213,FALSE)))</f>
        <v/>
      </c>
      <c r="N213" s="205" t="str">
        <f t="shared" si="22"/>
        <v/>
      </c>
      <c r="O213" s="206" t="str">
        <f t="shared" si="18"/>
        <v/>
      </c>
      <c r="P213" s="207" t="str">
        <f t="shared" si="23"/>
        <v/>
      </c>
    </row>
    <row r="214" spans="3:16">
      <c r="C214" s="200"/>
      <c r="D214" s="201"/>
      <c r="E214" s="202"/>
      <c r="F214" s="200"/>
      <c r="H214" s="203"/>
      <c r="I214" s="186" t="str">
        <f t="shared" si="19"/>
        <v/>
      </c>
      <c r="J214" s="204" t="str">
        <f>IF($H214="USD",IF(OR($I214="",$I214="-"),"",VLOOKUP($G214,為替!$A:$AX,$I214,FALSE))+$J$3,IF(OR($I214="",$I214="-"),"",VLOOKUP($G214,為替!$A:$AX,$I214,FALSE)))</f>
        <v/>
      </c>
      <c r="K214" s="205" t="str">
        <f t="shared" si="20"/>
        <v/>
      </c>
      <c r="L214" s="189" t="str">
        <f t="shared" si="21"/>
        <v/>
      </c>
      <c r="M214" s="204" t="str">
        <f>IF($H214="USD",IF(OR($L214="",$L214="-"),"",VLOOKUP($G214,為替!$A:$AX,$L214,FALSE))+$K$3,IF(OR($L214="",$L214="-"),"",VLOOKUP($G214,為替!$A:$AX,$L214,FALSE)))</f>
        <v/>
      </c>
      <c r="N214" s="205" t="str">
        <f t="shared" si="22"/>
        <v/>
      </c>
      <c r="O214" s="206" t="str">
        <f t="shared" si="18"/>
        <v/>
      </c>
      <c r="P214" s="207" t="str">
        <f t="shared" si="23"/>
        <v/>
      </c>
    </row>
    <row r="215" spans="3:16">
      <c r="C215" s="200"/>
      <c r="D215" s="201"/>
      <c r="E215" s="202"/>
      <c r="F215" s="200"/>
      <c r="H215" s="203"/>
      <c r="I215" s="186" t="str">
        <f t="shared" si="19"/>
        <v/>
      </c>
      <c r="J215" s="204" t="str">
        <f>IF($H215="USD",IF(OR($I215="",$I215="-"),"",VLOOKUP($G215,為替!$A:$AX,$I215,FALSE))+$J$3,IF(OR($I215="",$I215="-"),"",VLOOKUP($G215,為替!$A:$AX,$I215,FALSE)))</f>
        <v/>
      </c>
      <c r="K215" s="205" t="str">
        <f t="shared" si="20"/>
        <v/>
      </c>
      <c r="L215" s="189" t="str">
        <f t="shared" si="21"/>
        <v/>
      </c>
      <c r="M215" s="204" t="str">
        <f>IF($H215="USD",IF(OR($L215="",$L215="-"),"",VLOOKUP($G215,為替!$A:$AX,$L215,FALSE))+$K$3,IF(OR($L215="",$L215="-"),"",VLOOKUP($G215,為替!$A:$AX,$L215,FALSE)))</f>
        <v/>
      </c>
      <c r="N215" s="205" t="str">
        <f t="shared" si="22"/>
        <v/>
      </c>
      <c r="O215" s="206" t="str">
        <f t="shared" si="18"/>
        <v/>
      </c>
      <c r="P215" s="207" t="str">
        <f t="shared" si="23"/>
        <v/>
      </c>
    </row>
    <row r="216" spans="3:16">
      <c r="C216" s="200"/>
      <c r="D216" s="201"/>
      <c r="E216" s="202"/>
      <c r="F216" s="200"/>
      <c r="H216" s="203"/>
      <c r="I216" s="186" t="str">
        <f t="shared" si="19"/>
        <v/>
      </c>
      <c r="J216" s="204" t="str">
        <f>IF($H216="USD",IF(OR($I216="",$I216="-"),"",VLOOKUP($G216,為替!$A:$AX,$I216,FALSE))+$J$3,IF(OR($I216="",$I216="-"),"",VLOOKUP($G216,為替!$A:$AX,$I216,FALSE)))</f>
        <v/>
      </c>
      <c r="K216" s="205" t="str">
        <f t="shared" si="20"/>
        <v/>
      </c>
      <c r="L216" s="189" t="str">
        <f t="shared" si="21"/>
        <v/>
      </c>
      <c r="M216" s="204" t="str">
        <f>IF($H216="USD",IF(OR($L216="",$L216="-"),"",VLOOKUP($G216,為替!$A:$AX,$L216,FALSE))+$K$3,IF(OR($L216="",$L216="-"),"",VLOOKUP($G216,為替!$A:$AX,$L216,FALSE)))</f>
        <v/>
      </c>
      <c r="N216" s="205" t="str">
        <f t="shared" si="22"/>
        <v/>
      </c>
      <c r="O216" s="206" t="str">
        <f t="shared" si="18"/>
        <v/>
      </c>
      <c r="P216" s="207" t="str">
        <f t="shared" si="23"/>
        <v/>
      </c>
    </row>
    <row r="217" spans="3:16">
      <c r="C217" s="200"/>
      <c r="D217" s="201"/>
      <c r="E217" s="202"/>
      <c r="F217" s="200"/>
      <c r="H217" s="203"/>
      <c r="I217" s="186" t="str">
        <f t="shared" si="19"/>
        <v/>
      </c>
      <c r="J217" s="204" t="str">
        <f>IF($H217="USD",IF(OR($I217="",$I217="-"),"",VLOOKUP($G217,為替!$A:$AX,$I217,FALSE))+$J$3,IF(OR($I217="",$I217="-"),"",VLOOKUP($G217,為替!$A:$AX,$I217,FALSE)))</f>
        <v/>
      </c>
      <c r="K217" s="205" t="str">
        <f t="shared" si="20"/>
        <v/>
      </c>
      <c r="L217" s="189" t="str">
        <f t="shared" si="21"/>
        <v/>
      </c>
      <c r="M217" s="204" t="str">
        <f>IF($H217="USD",IF(OR($L217="",$L217="-"),"",VLOOKUP($G217,為替!$A:$AX,$L217,FALSE))+$K$3,IF(OR($L217="",$L217="-"),"",VLOOKUP($G217,為替!$A:$AX,$L217,FALSE)))</f>
        <v/>
      </c>
      <c r="N217" s="205" t="str">
        <f t="shared" si="22"/>
        <v/>
      </c>
      <c r="O217" s="206" t="str">
        <f t="shared" si="18"/>
        <v/>
      </c>
      <c r="P217" s="207" t="str">
        <f t="shared" si="23"/>
        <v/>
      </c>
    </row>
    <row r="218" spans="3:16">
      <c r="C218" s="200"/>
      <c r="D218" s="201"/>
      <c r="E218" s="202"/>
      <c r="F218" s="200"/>
      <c r="H218" s="203"/>
      <c r="I218" s="186" t="str">
        <f t="shared" si="19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 t="str">
        <f t="shared" si="20"/>
        <v/>
      </c>
      <c r="L218" s="189" t="str">
        <f t="shared" si="21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 t="str">
        <f t="shared" si="22"/>
        <v/>
      </c>
      <c r="O218" s="206" t="str">
        <f t="shared" si="18"/>
        <v/>
      </c>
      <c r="P218" s="207" t="str">
        <f t="shared" si="23"/>
        <v/>
      </c>
    </row>
    <row r="219" spans="3:16">
      <c r="C219" s="200"/>
      <c r="D219" s="201"/>
      <c r="E219" s="202"/>
      <c r="F219" s="200"/>
      <c r="H219" s="203"/>
      <c r="I219" s="186" t="str">
        <f t="shared" si="19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 t="str">
        <f t="shared" si="20"/>
        <v/>
      </c>
      <c r="L219" s="189" t="str">
        <f t="shared" si="21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 t="str">
        <f t="shared" si="22"/>
        <v/>
      </c>
      <c r="O219" s="206" t="str">
        <f t="shared" si="18"/>
        <v/>
      </c>
      <c r="P219" s="207" t="str">
        <f t="shared" si="23"/>
        <v/>
      </c>
    </row>
    <row r="220" spans="3:16">
      <c r="C220" s="200"/>
      <c r="D220" s="201"/>
      <c r="E220" s="202"/>
      <c r="F220" s="200"/>
      <c r="H220" s="203"/>
      <c r="I220" s="186" t="str">
        <f t="shared" si="19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 t="str">
        <f t="shared" si="20"/>
        <v/>
      </c>
      <c r="L220" s="189" t="str">
        <f t="shared" si="21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 t="str">
        <f t="shared" si="22"/>
        <v/>
      </c>
      <c r="O220" s="206" t="str">
        <f t="shared" si="18"/>
        <v/>
      </c>
      <c r="P220" s="207" t="str">
        <f t="shared" si="23"/>
        <v/>
      </c>
    </row>
    <row r="221" spans="3:16">
      <c r="C221" s="200"/>
      <c r="D221" s="201"/>
      <c r="E221" s="202"/>
      <c r="F221" s="200"/>
      <c r="H221" s="203"/>
      <c r="I221" s="186" t="str">
        <f t="shared" si="19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0"/>
        <v/>
      </c>
      <c r="L221" s="189" t="str">
        <f t="shared" si="21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2"/>
        <v/>
      </c>
      <c r="O221" s="206" t="str">
        <f t="shared" si="18"/>
        <v/>
      </c>
      <c r="P221" s="207" t="str">
        <f t="shared" si="23"/>
        <v/>
      </c>
    </row>
    <row r="222" spans="3:16">
      <c r="C222" s="200"/>
      <c r="D222" s="201"/>
      <c r="E222" s="202"/>
      <c r="F222" s="200"/>
      <c r="H222" s="203"/>
      <c r="I222" s="186" t="str">
        <f t="shared" si="19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0"/>
        <v/>
      </c>
      <c r="L222" s="189" t="str">
        <f t="shared" si="21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2"/>
        <v/>
      </c>
      <c r="O222" s="206" t="str">
        <f t="shared" si="18"/>
        <v/>
      </c>
      <c r="P222" s="207" t="str">
        <f t="shared" si="23"/>
        <v/>
      </c>
    </row>
    <row r="223" spans="3:16">
      <c r="C223" s="200"/>
      <c r="D223" s="201"/>
      <c r="E223" s="202"/>
      <c r="F223" s="200"/>
      <c r="H223" s="203"/>
      <c r="I223" s="186" t="str">
        <f t="shared" si="19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0"/>
        <v/>
      </c>
      <c r="L223" s="189" t="str">
        <f t="shared" si="21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2"/>
        <v/>
      </c>
      <c r="O223" s="206" t="str">
        <f t="shared" si="18"/>
        <v/>
      </c>
      <c r="P223" s="207" t="str">
        <f t="shared" si="23"/>
        <v/>
      </c>
    </row>
    <row r="224" spans="3:16">
      <c r="C224" s="200"/>
      <c r="D224" s="201"/>
      <c r="E224" s="202"/>
      <c r="F224" s="200"/>
      <c r="H224" s="203"/>
      <c r="I224" s="186" t="str">
        <f t="shared" si="19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0"/>
        <v/>
      </c>
      <c r="L224" s="189" t="str">
        <f t="shared" si="21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2"/>
        <v/>
      </c>
      <c r="O224" s="206" t="str">
        <f t="shared" si="18"/>
        <v/>
      </c>
      <c r="P224" s="207" t="str">
        <f t="shared" si="23"/>
        <v/>
      </c>
    </row>
    <row r="225" spans="3:16">
      <c r="C225" s="200"/>
      <c r="D225" s="201"/>
      <c r="E225" s="202"/>
      <c r="F225" s="200"/>
      <c r="H225" s="203"/>
      <c r="I225" s="186" t="str">
        <f t="shared" si="19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0"/>
        <v/>
      </c>
      <c r="L225" s="189" t="str">
        <f t="shared" si="21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2"/>
        <v/>
      </c>
      <c r="O225" s="206" t="str">
        <f t="shared" si="18"/>
        <v/>
      </c>
      <c r="P225" s="207" t="str">
        <f t="shared" si="23"/>
        <v/>
      </c>
    </row>
    <row r="226" spans="3:16">
      <c r="C226" s="200"/>
      <c r="D226" s="201"/>
      <c r="E226" s="202"/>
      <c r="F226" s="200"/>
      <c r="H226" s="203"/>
      <c r="I226" s="186" t="str">
        <f t="shared" si="19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0"/>
        <v/>
      </c>
      <c r="L226" s="189" t="str">
        <f t="shared" si="21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2"/>
        <v/>
      </c>
      <c r="O226" s="206" t="str">
        <f t="shared" si="18"/>
        <v/>
      </c>
      <c r="P226" s="207" t="str">
        <f t="shared" si="23"/>
        <v/>
      </c>
    </row>
    <row r="227" spans="3:16">
      <c r="C227" s="200"/>
      <c r="D227" s="201"/>
      <c r="E227" s="202"/>
      <c r="F227" s="200"/>
      <c r="H227" s="203"/>
      <c r="I227" s="186" t="str">
        <f t="shared" si="19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0"/>
        <v/>
      </c>
      <c r="L227" s="189" t="str">
        <f t="shared" si="21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2"/>
        <v/>
      </c>
      <c r="O227" s="206" t="str">
        <f t="shared" si="18"/>
        <v/>
      </c>
      <c r="P227" s="207" t="str">
        <f t="shared" si="23"/>
        <v/>
      </c>
    </row>
    <row r="228" spans="3:16">
      <c r="C228" s="200"/>
      <c r="D228" s="201"/>
      <c r="E228" s="202"/>
      <c r="F228" s="200"/>
      <c r="H228" s="203"/>
      <c r="I228" s="186" t="str">
        <f t="shared" si="19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0"/>
        <v/>
      </c>
      <c r="L228" s="189" t="str">
        <f t="shared" si="21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2"/>
        <v/>
      </c>
      <c r="O228" s="206" t="str">
        <f t="shared" si="18"/>
        <v/>
      </c>
      <c r="P228" s="207" t="str">
        <f t="shared" si="23"/>
        <v/>
      </c>
    </row>
    <row r="229" spans="3:16">
      <c r="C229" s="200"/>
      <c r="D229" s="201"/>
      <c r="E229" s="202"/>
      <c r="F229" s="200"/>
      <c r="H229" s="203"/>
      <c r="I229" s="186" t="str">
        <f t="shared" si="19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0"/>
        <v/>
      </c>
      <c r="L229" s="189" t="str">
        <f t="shared" si="21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2"/>
        <v/>
      </c>
      <c r="O229" s="206" t="str">
        <f t="shared" si="18"/>
        <v/>
      </c>
      <c r="P229" s="207" t="str">
        <f t="shared" si="23"/>
        <v/>
      </c>
    </row>
    <row r="230" spans="3:16">
      <c r="C230" s="200"/>
      <c r="D230" s="201"/>
      <c r="E230" s="202"/>
      <c r="F230" s="200"/>
      <c r="H230" s="203"/>
      <c r="I230" s="186" t="str">
        <f t="shared" si="19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0"/>
        <v/>
      </c>
      <c r="L230" s="189" t="str">
        <f t="shared" si="21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2"/>
        <v/>
      </c>
      <c r="O230" s="206" t="str">
        <f t="shared" si="18"/>
        <v/>
      </c>
      <c r="P230" s="207" t="str">
        <f t="shared" si="23"/>
        <v/>
      </c>
    </row>
    <row r="231" spans="3:16">
      <c r="C231" s="200"/>
      <c r="D231" s="201"/>
      <c r="E231" s="202"/>
      <c r="F231" s="200"/>
      <c r="H231" s="203"/>
      <c r="I231" s="186" t="str">
        <f t="shared" si="19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0"/>
        <v/>
      </c>
      <c r="L231" s="189" t="str">
        <f t="shared" si="21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2"/>
        <v/>
      </c>
      <c r="O231" s="206" t="str">
        <f t="shared" si="18"/>
        <v/>
      </c>
      <c r="P231" s="207" t="str">
        <f t="shared" si="23"/>
        <v/>
      </c>
    </row>
    <row r="232" spans="3:16">
      <c r="C232" s="200"/>
      <c r="D232" s="201"/>
      <c r="E232" s="202"/>
      <c r="F232" s="200"/>
      <c r="H232" s="203"/>
      <c r="I232" s="186" t="str">
        <f t="shared" si="19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0"/>
        <v/>
      </c>
      <c r="L232" s="189" t="str">
        <f t="shared" si="21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2"/>
        <v/>
      </c>
      <c r="O232" s="206" t="str">
        <f t="shared" si="18"/>
        <v/>
      </c>
      <c r="P232" s="207" t="str">
        <f t="shared" si="23"/>
        <v/>
      </c>
    </row>
    <row r="233" spans="3:16">
      <c r="C233" s="200"/>
      <c r="D233" s="201"/>
      <c r="E233" s="202"/>
      <c r="F233" s="200"/>
      <c r="H233" s="203"/>
      <c r="I233" s="186" t="str">
        <f t="shared" si="19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0"/>
        <v/>
      </c>
      <c r="L233" s="189" t="str">
        <f t="shared" si="21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2"/>
        <v/>
      </c>
      <c r="O233" s="206" t="str">
        <f t="shared" si="18"/>
        <v/>
      </c>
      <c r="P233" s="207" t="str">
        <f t="shared" si="23"/>
        <v/>
      </c>
    </row>
    <row r="234" spans="3:16">
      <c r="C234" s="200"/>
      <c r="D234" s="201"/>
      <c r="E234" s="202"/>
      <c r="F234" s="200"/>
      <c r="H234" s="203"/>
      <c r="I234" s="186" t="str">
        <f t="shared" si="19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0"/>
        <v/>
      </c>
      <c r="L234" s="189" t="str">
        <f t="shared" si="21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2"/>
        <v/>
      </c>
      <c r="O234" s="206" t="str">
        <f t="shared" si="18"/>
        <v/>
      </c>
      <c r="P234" s="207" t="str">
        <f t="shared" si="23"/>
        <v/>
      </c>
    </row>
    <row r="235" spans="3:16">
      <c r="C235" s="200"/>
      <c r="D235" s="201"/>
      <c r="E235" s="202"/>
      <c r="F235" s="200"/>
      <c r="H235" s="203"/>
      <c r="I235" s="186" t="str">
        <f t="shared" si="19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0"/>
        <v/>
      </c>
      <c r="L235" s="189" t="str">
        <f t="shared" si="21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2"/>
        <v/>
      </c>
      <c r="O235" s="206" t="str">
        <f t="shared" si="18"/>
        <v/>
      </c>
      <c r="P235" s="207" t="str">
        <f t="shared" si="23"/>
        <v/>
      </c>
    </row>
    <row r="236" spans="3:16">
      <c r="C236" s="200"/>
      <c r="D236" s="201"/>
      <c r="E236" s="202"/>
      <c r="F236" s="200"/>
      <c r="H236" s="203"/>
      <c r="I236" s="186" t="str">
        <f t="shared" si="19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0"/>
        <v/>
      </c>
      <c r="L236" s="189" t="str">
        <f t="shared" si="21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2"/>
        <v/>
      </c>
      <c r="O236" s="206" t="str">
        <f t="shared" si="18"/>
        <v/>
      </c>
      <c r="P236" s="207" t="str">
        <f t="shared" si="23"/>
        <v/>
      </c>
    </row>
    <row r="237" spans="3:16">
      <c r="C237" s="200"/>
      <c r="D237" s="201"/>
      <c r="E237" s="202"/>
      <c r="F237" s="200"/>
      <c r="H237" s="203"/>
      <c r="I237" s="186" t="str">
        <f t="shared" si="19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0"/>
        <v/>
      </c>
      <c r="L237" s="189" t="str">
        <f t="shared" si="21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2"/>
        <v/>
      </c>
      <c r="O237" s="206" t="str">
        <f t="shared" si="18"/>
        <v/>
      </c>
      <c r="P237" s="207" t="str">
        <f t="shared" si="23"/>
        <v/>
      </c>
    </row>
    <row r="238" spans="3:16">
      <c r="C238" s="200"/>
      <c r="D238" s="201"/>
      <c r="E238" s="202"/>
      <c r="F238" s="200"/>
      <c r="H238" s="203"/>
      <c r="I238" s="186" t="str">
        <f t="shared" si="19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0"/>
        <v/>
      </c>
      <c r="L238" s="189" t="str">
        <f t="shared" si="21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2"/>
        <v/>
      </c>
      <c r="O238" s="206" t="str">
        <f t="shared" si="18"/>
        <v/>
      </c>
      <c r="P238" s="207" t="str">
        <f t="shared" si="23"/>
        <v/>
      </c>
    </row>
    <row r="239" spans="3:16">
      <c r="C239" s="200"/>
      <c r="D239" s="201"/>
      <c r="E239" s="202"/>
      <c r="F239" s="200"/>
      <c r="H239" s="203"/>
      <c r="I239" s="186" t="str">
        <f t="shared" si="19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0"/>
        <v/>
      </c>
      <c r="L239" s="189" t="str">
        <f t="shared" si="21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2"/>
        <v/>
      </c>
      <c r="O239" s="206" t="str">
        <f t="shared" si="18"/>
        <v/>
      </c>
      <c r="P239" s="207" t="str">
        <f t="shared" si="23"/>
        <v/>
      </c>
    </row>
    <row r="240" spans="3:16">
      <c r="C240" s="200"/>
      <c r="D240" s="201"/>
      <c r="E240" s="202"/>
      <c r="F240" s="200"/>
      <c r="H240" s="203"/>
      <c r="I240" s="186" t="str">
        <f t="shared" si="19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0"/>
        <v/>
      </c>
      <c r="L240" s="189" t="str">
        <f t="shared" si="21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2"/>
        <v/>
      </c>
      <c r="O240" s="206" t="str">
        <f t="shared" si="18"/>
        <v/>
      </c>
      <c r="P240" s="207" t="str">
        <f t="shared" si="23"/>
        <v/>
      </c>
    </row>
    <row r="241" spans="3:16">
      <c r="C241" s="200"/>
      <c r="D241" s="201"/>
      <c r="E241" s="202"/>
      <c r="F241" s="200"/>
      <c r="H241" s="203"/>
      <c r="I241" s="186" t="str">
        <f t="shared" si="19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0"/>
        <v/>
      </c>
      <c r="L241" s="189" t="str">
        <f t="shared" si="21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2"/>
        <v/>
      </c>
      <c r="O241" s="206" t="str">
        <f t="shared" si="18"/>
        <v/>
      </c>
      <c r="P241" s="207" t="str">
        <f t="shared" si="23"/>
        <v/>
      </c>
    </row>
    <row r="242" spans="3:16">
      <c r="C242" s="200"/>
      <c r="D242" s="201"/>
      <c r="E242" s="202"/>
      <c r="F242" s="200"/>
      <c r="H242" s="203"/>
      <c r="I242" s="186" t="str">
        <f t="shared" si="19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0"/>
        <v/>
      </c>
      <c r="L242" s="189" t="str">
        <f t="shared" si="21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2"/>
        <v/>
      </c>
      <c r="O242" s="206" t="str">
        <f t="shared" si="18"/>
        <v/>
      </c>
      <c r="P242" s="207" t="str">
        <f t="shared" si="23"/>
        <v/>
      </c>
    </row>
    <row r="243" spans="3:16">
      <c r="C243" s="200"/>
      <c r="D243" s="201"/>
      <c r="E243" s="202"/>
      <c r="F243" s="200"/>
      <c r="H243" s="203"/>
      <c r="I243" s="186" t="str">
        <f t="shared" si="19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0"/>
        <v/>
      </c>
      <c r="L243" s="189" t="str">
        <f t="shared" si="21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2"/>
        <v/>
      </c>
      <c r="O243" s="206" t="str">
        <f t="shared" si="18"/>
        <v/>
      </c>
      <c r="P243" s="207" t="str">
        <f t="shared" si="23"/>
        <v/>
      </c>
    </row>
    <row r="244" spans="3:16">
      <c r="C244" s="200"/>
      <c r="D244" s="201"/>
      <c r="E244" s="202"/>
      <c r="F244" s="200"/>
      <c r="H244" s="203"/>
      <c r="I244" s="186" t="str">
        <f t="shared" si="19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0"/>
        <v/>
      </c>
      <c r="L244" s="189" t="str">
        <f t="shared" si="21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2"/>
        <v/>
      </c>
      <c r="O244" s="206" t="str">
        <f t="shared" si="18"/>
        <v/>
      </c>
      <c r="P244" s="207" t="str">
        <f t="shared" si="23"/>
        <v/>
      </c>
    </row>
    <row r="245" spans="3:16">
      <c r="C245" s="200"/>
      <c r="D245" s="201"/>
      <c r="E245" s="202"/>
      <c r="F245" s="200"/>
      <c r="H245" s="203"/>
      <c r="I245" s="186" t="str">
        <f t="shared" si="19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0"/>
        <v/>
      </c>
      <c r="L245" s="189" t="str">
        <f t="shared" si="21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2"/>
        <v/>
      </c>
      <c r="O245" s="206" t="str">
        <f t="shared" si="18"/>
        <v/>
      </c>
      <c r="P245" s="207" t="str">
        <f t="shared" si="23"/>
        <v/>
      </c>
    </row>
    <row r="246" spans="3:16">
      <c r="C246" s="200"/>
      <c r="D246" s="201"/>
      <c r="E246" s="202"/>
      <c r="F246" s="200"/>
      <c r="H246" s="203"/>
      <c r="I246" s="186" t="str">
        <f t="shared" si="19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0"/>
        <v/>
      </c>
      <c r="L246" s="189" t="str">
        <f t="shared" si="21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2"/>
        <v/>
      </c>
      <c r="O246" s="206" t="str">
        <f t="shared" si="18"/>
        <v/>
      </c>
      <c r="P246" s="207" t="str">
        <f t="shared" si="23"/>
        <v/>
      </c>
    </row>
    <row r="247" spans="3:16">
      <c r="C247" s="200"/>
      <c r="D247" s="201"/>
      <c r="E247" s="202"/>
      <c r="F247" s="200"/>
      <c r="H247" s="203"/>
      <c r="I247" s="186" t="str">
        <f t="shared" si="19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0"/>
        <v/>
      </c>
      <c r="L247" s="189" t="str">
        <f t="shared" si="21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2"/>
        <v/>
      </c>
      <c r="O247" s="206" t="str">
        <f t="shared" si="18"/>
        <v/>
      </c>
      <c r="P247" s="207" t="str">
        <f t="shared" si="23"/>
        <v/>
      </c>
    </row>
    <row r="248" spans="3:16">
      <c r="C248" s="200"/>
      <c r="D248" s="201"/>
      <c r="E248" s="202"/>
      <c r="F248" s="200"/>
      <c r="H248" s="203"/>
      <c r="I248" s="186" t="str">
        <f t="shared" si="19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0"/>
        <v/>
      </c>
      <c r="L248" s="189" t="str">
        <f t="shared" si="21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2"/>
        <v/>
      </c>
      <c r="O248" s="206" t="str">
        <f t="shared" si="18"/>
        <v/>
      </c>
      <c r="P248" s="207" t="str">
        <f t="shared" si="23"/>
        <v/>
      </c>
    </row>
    <row r="249" spans="3:16">
      <c r="C249" s="200"/>
      <c r="D249" s="201"/>
      <c r="E249" s="202"/>
      <c r="F249" s="200"/>
      <c r="H249" s="203"/>
      <c r="I249" s="186" t="str">
        <f t="shared" si="19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0"/>
        <v/>
      </c>
      <c r="L249" s="189" t="str">
        <f t="shared" si="21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2"/>
        <v/>
      </c>
      <c r="O249" s="206" t="str">
        <f t="shared" si="18"/>
        <v/>
      </c>
      <c r="P249" s="207" t="str">
        <f t="shared" si="23"/>
        <v/>
      </c>
    </row>
    <row r="250" spans="3:16">
      <c r="C250" s="200"/>
      <c r="D250" s="201"/>
      <c r="E250" s="202"/>
      <c r="F250" s="200"/>
      <c r="H250" s="203"/>
      <c r="I250" s="186" t="str">
        <f t="shared" si="19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0"/>
        <v/>
      </c>
      <c r="L250" s="189" t="str">
        <f t="shared" si="21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2"/>
        <v/>
      </c>
      <c r="O250" s="206" t="str">
        <f t="shared" si="18"/>
        <v/>
      </c>
      <c r="P250" s="207" t="str">
        <f t="shared" si="23"/>
        <v/>
      </c>
    </row>
    <row r="251" spans="3:16">
      <c r="C251" s="200"/>
      <c r="D251" s="201"/>
      <c r="E251" s="202"/>
      <c r="F251" s="200"/>
      <c r="H251" s="203"/>
      <c r="I251" s="186" t="str">
        <f t="shared" si="19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0"/>
        <v/>
      </c>
      <c r="L251" s="189" t="str">
        <f t="shared" si="21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2"/>
        <v/>
      </c>
      <c r="O251" s="206" t="str">
        <f t="shared" si="18"/>
        <v/>
      </c>
      <c r="P251" s="207" t="str">
        <f t="shared" si="23"/>
        <v/>
      </c>
    </row>
    <row r="252" spans="3:16">
      <c r="C252" s="200"/>
      <c r="D252" s="201"/>
      <c r="E252" s="202"/>
      <c r="F252" s="200"/>
      <c r="H252" s="203"/>
      <c r="I252" s="186" t="str">
        <f t="shared" si="19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0"/>
        <v/>
      </c>
      <c r="L252" s="189" t="str">
        <f t="shared" si="21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2"/>
        <v/>
      </c>
      <c r="O252" s="206" t="str">
        <f t="shared" si="18"/>
        <v/>
      </c>
      <c r="P252" s="207" t="str">
        <f t="shared" si="23"/>
        <v/>
      </c>
    </row>
    <row r="253" spans="3:16">
      <c r="C253" s="200"/>
      <c r="D253" s="201"/>
      <c r="E253" s="202"/>
      <c r="F253" s="200"/>
      <c r="H253" s="203"/>
      <c r="I253" s="186" t="str">
        <f t="shared" si="19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0"/>
        <v/>
      </c>
      <c r="L253" s="189" t="str">
        <f t="shared" si="21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2"/>
        <v/>
      </c>
      <c r="O253" s="206" t="str">
        <f t="shared" si="18"/>
        <v/>
      </c>
      <c r="P253" s="207" t="str">
        <f t="shared" si="23"/>
        <v/>
      </c>
    </row>
    <row r="254" spans="3:16">
      <c r="C254" s="200"/>
      <c r="D254" s="201"/>
      <c r="E254" s="202"/>
      <c r="F254" s="200"/>
      <c r="H254" s="203"/>
      <c r="I254" s="186" t="str">
        <f t="shared" si="19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0"/>
        <v/>
      </c>
      <c r="L254" s="189" t="str">
        <f t="shared" si="21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2"/>
        <v/>
      </c>
      <c r="O254" s="206" t="str">
        <f t="shared" si="18"/>
        <v/>
      </c>
      <c r="P254" s="207" t="str">
        <f t="shared" si="23"/>
        <v/>
      </c>
    </row>
    <row r="255" spans="3:16">
      <c r="C255" s="200"/>
      <c r="D255" s="201"/>
      <c r="E255" s="202"/>
      <c r="F255" s="200"/>
      <c r="H255" s="203"/>
      <c r="I255" s="186" t="str">
        <f t="shared" si="19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0"/>
        <v/>
      </c>
      <c r="L255" s="189" t="str">
        <f t="shared" si="21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2"/>
        <v/>
      </c>
      <c r="O255" s="206" t="str">
        <f t="shared" si="18"/>
        <v/>
      </c>
      <c r="P255" s="207" t="str">
        <f t="shared" si="23"/>
        <v/>
      </c>
    </row>
    <row r="256" spans="3:16">
      <c r="C256" s="200"/>
      <c r="D256" s="201"/>
      <c r="E256" s="202"/>
      <c r="F256" s="200"/>
      <c r="H256" s="203"/>
      <c r="I256" s="186" t="str">
        <f t="shared" si="19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0"/>
        <v/>
      </c>
      <c r="L256" s="189" t="str">
        <f t="shared" si="21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2"/>
        <v/>
      </c>
      <c r="O256" s="206" t="str">
        <f t="shared" si="18"/>
        <v/>
      </c>
      <c r="P256" s="207" t="str">
        <f t="shared" si="23"/>
        <v/>
      </c>
    </row>
    <row r="257" spans="3:16">
      <c r="C257" s="200"/>
      <c r="D257" s="201"/>
      <c r="E257" s="202"/>
      <c r="F257" s="200"/>
      <c r="H257" s="203"/>
      <c r="I257" s="186" t="str">
        <f t="shared" si="19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0"/>
        <v/>
      </c>
      <c r="L257" s="189" t="str">
        <f t="shared" si="21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2"/>
        <v/>
      </c>
      <c r="O257" s="206" t="str">
        <f t="shared" si="18"/>
        <v/>
      </c>
      <c r="P257" s="207" t="str">
        <f t="shared" si="23"/>
        <v/>
      </c>
    </row>
    <row r="258" spans="3:16">
      <c r="C258" s="200"/>
      <c r="D258" s="201"/>
      <c r="E258" s="202"/>
      <c r="F258" s="200"/>
      <c r="H258" s="203"/>
      <c r="I258" s="186" t="str">
        <f t="shared" si="19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0"/>
        <v/>
      </c>
      <c r="L258" s="189" t="str">
        <f t="shared" si="21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2"/>
        <v/>
      </c>
      <c r="O258" s="206" t="str">
        <f t="shared" si="18"/>
        <v/>
      </c>
      <c r="P258" s="207" t="str">
        <f t="shared" si="23"/>
        <v/>
      </c>
    </row>
    <row r="259" spans="3:16">
      <c r="C259" s="200"/>
      <c r="D259" s="201"/>
      <c r="E259" s="202"/>
      <c r="F259" s="200"/>
      <c r="H259" s="203"/>
      <c r="I259" s="186" t="str">
        <f t="shared" si="19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0"/>
        <v/>
      </c>
      <c r="L259" s="189" t="str">
        <f t="shared" si="21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2"/>
        <v/>
      </c>
      <c r="O259" s="206" t="str">
        <f t="shared" si="18"/>
        <v/>
      </c>
      <c r="P259" s="207" t="str">
        <f t="shared" si="23"/>
        <v/>
      </c>
    </row>
    <row r="260" spans="3:16">
      <c r="C260" s="200"/>
      <c r="D260" s="201"/>
      <c r="E260" s="202"/>
      <c r="F260" s="200"/>
      <c r="H260" s="203"/>
      <c r="I260" s="186" t="str">
        <f t="shared" si="19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0"/>
        <v/>
      </c>
      <c r="L260" s="189" t="str">
        <f t="shared" si="21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2"/>
        <v/>
      </c>
      <c r="O260" s="206" t="str">
        <f t="shared" si="18"/>
        <v/>
      </c>
      <c r="P260" s="207" t="str">
        <f t="shared" si="23"/>
        <v/>
      </c>
    </row>
    <row r="261" spans="3:16">
      <c r="C261" s="200"/>
      <c r="D261" s="201"/>
      <c r="E261" s="202"/>
      <c r="F261" s="200"/>
      <c r="H261" s="203"/>
      <c r="I261" s="186" t="str">
        <f t="shared" si="19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0"/>
        <v/>
      </c>
      <c r="L261" s="189" t="str">
        <f t="shared" si="21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2"/>
        <v/>
      </c>
      <c r="O261" s="206" t="str">
        <f t="shared" si="18"/>
        <v/>
      </c>
      <c r="P261" s="207" t="str">
        <f t="shared" si="23"/>
        <v/>
      </c>
    </row>
    <row r="262" spans="3:16">
      <c r="C262" s="200"/>
      <c r="D262" s="201"/>
      <c r="E262" s="202"/>
      <c r="F262" s="200"/>
      <c r="H262" s="203"/>
      <c r="I262" s="186" t="str">
        <f t="shared" si="19"/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si="20"/>
        <v/>
      </c>
      <c r="L262" s="189" t="str">
        <f t="shared" si="21"/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si="22"/>
        <v/>
      </c>
      <c r="O262" s="206" t="str">
        <f t="shared" ref="O262:O325" si="24">IF(OR(K262="",N262=""),"",K262-N262)</f>
        <v/>
      </c>
      <c r="P262" s="207" t="str">
        <f t="shared" si="23"/>
        <v/>
      </c>
    </row>
    <row r="263" spans="3:16">
      <c r="C263" s="200"/>
      <c r="D263" s="201"/>
      <c r="E263" s="202"/>
      <c r="F263" s="200"/>
      <c r="H263" s="203"/>
      <c r="I263" s="186" t="str">
        <f t="shared" ref="I263:I326" si="25">IF(H263="","",IF(H263="JPY","",IF($H263="USD",4, IF(H263="EUR",7,IF(H263="CNY",47,IF(H263="HKD",34))))))</f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ref="K263:K326" si="26">IF($H263="JPY",$F263,IF($H263="","",$F263*$J263))</f>
        <v/>
      </c>
      <c r="L263" s="189" t="str">
        <f t="shared" ref="L263:L326" si="27">IF(H263="","",IF(H263="JPY","",IF($H263="USD",3, IF(H263="EUR",6,IF(H263="CNY",46,IF(H263="HKD",33))))))</f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ref="N263:N326" si="28">IF($E263="JPY",($C263+$D263),IF($E263="","",($C263+$D263)*$M263))</f>
        <v/>
      </c>
      <c r="O263" s="206" t="str">
        <f t="shared" si="24"/>
        <v/>
      </c>
      <c r="P263" s="207" t="str">
        <f t="shared" ref="P263:P326" si="29">IF(OR(K263="",O263=""),"",O263/K263)</f>
        <v/>
      </c>
    </row>
    <row r="264" spans="3:16">
      <c r="C264" s="200"/>
      <c r="D264" s="201"/>
      <c r="E264" s="202"/>
      <c r="F264" s="200"/>
      <c r="H264" s="203"/>
      <c r="I264" s="186" t="str">
        <f t="shared" si="25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6"/>
        <v/>
      </c>
      <c r="L264" s="189" t="str">
        <f t="shared" si="27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28"/>
        <v/>
      </c>
      <c r="O264" s="206" t="str">
        <f t="shared" si="24"/>
        <v/>
      </c>
      <c r="P264" s="207" t="str">
        <f t="shared" si="29"/>
        <v/>
      </c>
    </row>
    <row r="265" spans="3:16">
      <c r="C265" s="200"/>
      <c r="D265" s="201"/>
      <c r="E265" s="202"/>
      <c r="F265" s="200"/>
      <c r="H265" s="203"/>
      <c r="I265" s="186" t="str">
        <f t="shared" si="25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6"/>
        <v/>
      </c>
      <c r="L265" s="189" t="str">
        <f t="shared" si="27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28"/>
        <v/>
      </c>
      <c r="O265" s="206" t="str">
        <f t="shared" si="24"/>
        <v/>
      </c>
      <c r="P265" s="207" t="str">
        <f t="shared" si="29"/>
        <v/>
      </c>
    </row>
    <row r="266" spans="3:16">
      <c r="C266" s="200"/>
      <c r="D266" s="201"/>
      <c r="E266" s="202"/>
      <c r="F266" s="200"/>
      <c r="H266" s="203"/>
      <c r="I266" s="186" t="str">
        <f t="shared" si="25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6"/>
        <v/>
      </c>
      <c r="L266" s="189" t="str">
        <f t="shared" si="27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28"/>
        <v/>
      </c>
      <c r="O266" s="206" t="str">
        <f t="shared" si="24"/>
        <v/>
      </c>
      <c r="P266" s="207" t="str">
        <f t="shared" si="29"/>
        <v/>
      </c>
    </row>
    <row r="267" spans="3:16">
      <c r="C267" s="200"/>
      <c r="D267" s="201"/>
      <c r="E267" s="202"/>
      <c r="F267" s="200"/>
      <c r="H267" s="203"/>
      <c r="I267" s="186" t="str">
        <f t="shared" si="25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6"/>
        <v/>
      </c>
      <c r="L267" s="189" t="str">
        <f t="shared" si="27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28"/>
        <v/>
      </c>
      <c r="O267" s="206" t="str">
        <f t="shared" si="24"/>
        <v/>
      </c>
      <c r="P267" s="207" t="str">
        <f t="shared" si="29"/>
        <v/>
      </c>
    </row>
    <row r="268" spans="3:16">
      <c r="C268" s="200"/>
      <c r="D268" s="201"/>
      <c r="E268" s="202"/>
      <c r="F268" s="200"/>
      <c r="H268" s="203"/>
      <c r="I268" s="186" t="str">
        <f t="shared" si="25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6"/>
        <v/>
      </c>
      <c r="L268" s="189" t="str">
        <f t="shared" si="27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28"/>
        <v/>
      </c>
      <c r="O268" s="206" t="str">
        <f t="shared" si="24"/>
        <v/>
      </c>
      <c r="P268" s="207" t="str">
        <f t="shared" si="29"/>
        <v/>
      </c>
    </row>
    <row r="269" spans="3:16">
      <c r="C269" s="200"/>
      <c r="D269" s="201"/>
      <c r="E269" s="202"/>
      <c r="F269" s="200"/>
      <c r="H269" s="203"/>
      <c r="I269" s="186" t="str">
        <f t="shared" si="25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6"/>
        <v/>
      </c>
      <c r="L269" s="189" t="str">
        <f t="shared" si="27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28"/>
        <v/>
      </c>
      <c r="O269" s="206" t="str">
        <f t="shared" si="24"/>
        <v/>
      </c>
      <c r="P269" s="207" t="str">
        <f t="shared" si="29"/>
        <v/>
      </c>
    </row>
    <row r="270" spans="3:16">
      <c r="C270" s="200"/>
      <c r="D270" s="201"/>
      <c r="E270" s="202"/>
      <c r="F270" s="200"/>
      <c r="H270" s="203"/>
      <c r="I270" s="186" t="str">
        <f t="shared" si="25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6"/>
        <v/>
      </c>
      <c r="L270" s="189" t="str">
        <f t="shared" si="27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28"/>
        <v/>
      </c>
      <c r="O270" s="206" t="str">
        <f t="shared" si="24"/>
        <v/>
      </c>
      <c r="P270" s="207" t="str">
        <f t="shared" si="29"/>
        <v/>
      </c>
    </row>
    <row r="271" spans="3:16">
      <c r="C271" s="200"/>
      <c r="D271" s="201"/>
      <c r="E271" s="202"/>
      <c r="F271" s="200"/>
      <c r="H271" s="203"/>
      <c r="I271" s="186" t="str">
        <f t="shared" si="25"/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si="26"/>
        <v/>
      </c>
      <c r="L271" s="189" t="str">
        <f t="shared" si="27"/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si="28"/>
        <v/>
      </c>
      <c r="O271" s="206" t="str">
        <f t="shared" si="24"/>
        <v/>
      </c>
      <c r="P271" s="207" t="str">
        <f t="shared" si="29"/>
        <v/>
      </c>
    </row>
    <row r="272" spans="3:16">
      <c r="C272" s="200"/>
      <c r="D272" s="201"/>
      <c r="E272" s="202"/>
      <c r="F272" s="200"/>
      <c r="H272" s="203"/>
      <c r="I272" s="186" t="str">
        <f t="shared" si="25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26"/>
        <v/>
      </c>
      <c r="L272" s="189" t="str">
        <f t="shared" si="27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28"/>
        <v/>
      </c>
      <c r="O272" s="206" t="str">
        <f t="shared" si="24"/>
        <v/>
      </c>
      <c r="P272" s="207" t="str">
        <f t="shared" si="29"/>
        <v/>
      </c>
    </row>
    <row r="273" spans="3:16">
      <c r="C273" s="200"/>
      <c r="D273" s="201"/>
      <c r="E273" s="202"/>
      <c r="F273" s="200"/>
      <c r="H273" s="203"/>
      <c r="I273" s="186" t="str">
        <f t="shared" si="25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26"/>
        <v/>
      </c>
      <c r="L273" s="189" t="str">
        <f t="shared" si="27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28"/>
        <v/>
      </c>
      <c r="O273" s="206" t="str">
        <f t="shared" si="24"/>
        <v/>
      </c>
      <c r="P273" s="207" t="str">
        <f t="shared" si="29"/>
        <v/>
      </c>
    </row>
    <row r="274" spans="3:16">
      <c r="C274" s="200"/>
      <c r="D274" s="201"/>
      <c r="E274" s="202"/>
      <c r="F274" s="200"/>
      <c r="H274" s="203"/>
      <c r="I274" s="186" t="str">
        <f t="shared" si="25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26"/>
        <v/>
      </c>
      <c r="L274" s="189" t="str">
        <f t="shared" si="27"/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28"/>
        <v/>
      </c>
      <c r="O274" s="206" t="str">
        <f t="shared" si="24"/>
        <v/>
      </c>
      <c r="P274" s="207" t="str">
        <f t="shared" si="29"/>
        <v/>
      </c>
    </row>
    <row r="275" spans="3:16">
      <c r="C275" s="200"/>
      <c r="D275" s="201"/>
      <c r="E275" s="202"/>
      <c r="F275" s="200"/>
      <c r="H275" s="203"/>
      <c r="I275" s="186" t="str">
        <f t="shared" si="25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26"/>
        <v/>
      </c>
      <c r="L275" s="189" t="str">
        <f t="shared" si="27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28"/>
        <v/>
      </c>
      <c r="O275" s="206" t="str">
        <f t="shared" si="24"/>
        <v/>
      </c>
      <c r="P275" s="207" t="str">
        <f t="shared" si="29"/>
        <v/>
      </c>
    </row>
    <row r="276" spans="3:16">
      <c r="C276" s="200"/>
      <c r="D276" s="201"/>
      <c r="E276" s="202"/>
      <c r="F276" s="200"/>
      <c r="H276" s="203"/>
      <c r="I276" s="186" t="str">
        <f t="shared" si="25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26"/>
        <v/>
      </c>
      <c r="L276" s="189" t="str">
        <f t="shared" si="27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28"/>
        <v/>
      </c>
      <c r="O276" s="206" t="str">
        <f t="shared" si="24"/>
        <v/>
      </c>
      <c r="P276" s="207" t="str">
        <f t="shared" si="29"/>
        <v/>
      </c>
    </row>
    <row r="277" spans="3:16">
      <c r="C277" s="200"/>
      <c r="D277" s="201"/>
      <c r="E277" s="202"/>
      <c r="F277" s="200"/>
      <c r="H277" s="203"/>
      <c r="I277" s="186" t="str">
        <f t="shared" si="25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26"/>
        <v/>
      </c>
      <c r="L277" s="189" t="str">
        <f t="shared" si="27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28"/>
        <v/>
      </c>
      <c r="O277" s="206" t="str">
        <f t="shared" si="24"/>
        <v/>
      </c>
      <c r="P277" s="207" t="str">
        <f t="shared" si="29"/>
        <v/>
      </c>
    </row>
    <row r="278" spans="3:16">
      <c r="C278" s="200"/>
      <c r="D278" s="201"/>
      <c r="E278" s="202"/>
      <c r="F278" s="200"/>
      <c r="H278" s="203"/>
      <c r="I278" s="186" t="str">
        <f t="shared" si="25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26"/>
        <v/>
      </c>
      <c r="L278" s="189" t="str">
        <f t="shared" si="27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28"/>
        <v/>
      </c>
      <c r="O278" s="206" t="str">
        <f t="shared" si="24"/>
        <v/>
      </c>
      <c r="P278" s="207" t="str">
        <f t="shared" si="29"/>
        <v/>
      </c>
    </row>
    <row r="279" spans="3:16">
      <c r="C279" s="200"/>
      <c r="D279" s="201"/>
      <c r="E279" s="202"/>
      <c r="F279" s="200"/>
      <c r="H279" s="203"/>
      <c r="I279" s="186" t="str">
        <f t="shared" si="25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26"/>
        <v/>
      </c>
      <c r="L279" s="189" t="str">
        <f t="shared" si="27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28"/>
        <v/>
      </c>
      <c r="O279" s="206" t="str">
        <f t="shared" si="24"/>
        <v/>
      </c>
      <c r="P279" s="207" t="str">
        <f t="shared" si="29"/>
        <v/>
      </c>
    </row>
    <row r="280" spans="3:16">
      <c r="C280" s="200"/>
      <c r="D280" s="201"/>
      <c r="E280" s="202"/>
      <c r="F280" s="200"/>
      <c r="H280" s="203"/>
      <c r="I280" s="186" t="str">
        <f t="shared" si="25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26"/>
        <v/>
      </c>
      <c r="L280" s="189" t="str">
        <f t="shared" si="27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28"/>
        <v/>
      </c>
      <c r="O280" s="206" t="str">
        <f t="shared" si="24"/>
        <v/>
      </c>
      <c r="P280" s="207" t="str">
        <f t="shared" si="29"/>
        <v/>
      </c>
    </row>
    <row r="281" spans="3:16">
      <c r="C281" s="200"/>
      <c r="D281" s="201"/>
      <c r="E281" s="202"/>
      <c r="F281" s="200"/>
      <c r="H281" s="203"/>
      <c r="I281" s="186" t="str">
        <f t="shared" si="25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26"/>
        <v/>
      </c>
      <c r="L281" s="189" t="str">
        <f t="shared" si="27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28"/>
        <v/>
      </c>
      <c r="O281" s="206" t="str">
        <f t="shared" si="24"/>
        <v/>
      </c>
      <c r="P281" s="207" t="str">
        <f t="shared" si="29"/>
        <v/>
      </c>
    </row>
    <row r="282" spans="3:16">
      <c r="C282" s="200"/>
      <c r="D282" s="201"/>
      <c r="E282" s="202"/>
      <c r="F282" s="200"/>
      <c r="H282" s="203"/>
      <c r="I282" s="186" t="str">
        <f t="shared" si="25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26"/>
        <v/>
      </c>
      <c r="L282" s="189" t="str">
        <f t="shared" si="27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28"/>
        <v/>
      </c>
      <c r="O282" s="206" t="str">
        <f t="shared" si="24"/>
        <v/>
      </c>
      <c r="P282" s="207" t="str">
        <f t="shared" si="29"/>
        <v/>
      </c>
    </row>
    <row r="283" spans="3:16">
      <c r="C283" s="200"/>
      <c r="D283" s="201"/>
      <c r="E283" s="202"/>
      <c r="F283" s="200"/>
      <c r="H283" s="203"/>
      <c r="I283" s="186" t="str">
        <f t="shared" si="25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26"/>
        <v/>
      </c>
      <c r="L283" s="189" t="str">
        <f t="shared" si="27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28"/>
        <v/>
      </c>
      <c r="O283" s="206" t="str">
        <f t="shared" si="24"/>
        <v/>
      </c>
      <c r="P283" s="207" t="str">
        <f t="shared" si="29"/>
        <v/>
      </c>
    </row>
    <row r="284" spans="3:16">
      <c r="C284" s="200"/>
      <c r="D284" s="201"/>
      <c r="E284" s="202"/>
      <c r="F284" s="200"/>
      <c r="H284" s="203"/>
      <c r="I284" s="186" t="str">
        <f t="shared" si="25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26"/>
        <v/>
      </c>
      <c r="L284" s="189" t="str">
        <f t="shared" si="27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28"/>
        <v/>
      </c>
      <c r="O284" s="206" t="str">
        <f t="shared" si="24"/>
        <v/>
      </c>
      <c r="P284" s="207" t="str">
        <f t="shared" si="29"/>
        <v/>
      </c>
    </row>
    <row r="285" spans="3:16">
      <c r="C285" s="200"/>
      <c r="D285" s="201"/>
      <c r="E285" s="202"/>
      <c r="F285" s="200"/>
      <c r="H285" s="203"/>
      <c r="I285" s="186" t="str">
        <f t="shared" si="25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26"/>
        <v/>
      </c>
      <c r="L285" s="189" t="str">
        <f t="shared" si="27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28"/>
        <v/>
      </c>
      <c r="O285" s="206" t="str">
        <f t="shared" si="24"/>
        <v/>
      </c>
      <c r="P285" s="207" t="str">
        <f t="shared" si="29"/>
        <v/>
      </c>
    </row>
    <row r="286" spans="3:16">
      <c r="C286" s="200"/>
      <c r="D286" s="201"/>
      <c r="E286" s="202"/>
      <c r="F286" s="200"/>
      <c r="H286" s="203"/>
      <c r="I286" s="186" t="str">
        <f t="shared" si="25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26"/>
        <v/>
      </c>
      <c r="L286" s="189" t="str">
        <f t="shared" si="27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28"/>
        <v/>
      </c>
      <c r="O286" s="206" t="str">
        <f t="shared" si="24"/>
        <v/>
      </c>
      <c r="P286" s="207" t="str">
        <f t="shared" si="29"/>
        <v/>
      </c>
    </row>
    <row r="287" spans="3:16">
      <c r="C287" s="200"/>
      <c r="D287" s="201"/>
      <c r="E287" s="202"/>
      <c r="F287" s="200"/>
      <c r="H287" s="203"/>
      <c r="I287" s="186" t="str">
        <f t="shared" si="25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26"/>
        <v/>
      </c>
      <c r="L287" s="189" t="str">
        <f t="shared" si="27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28"/>
        <v/>
      </c>
      <c r="O287" s="206" t="str">
        <f t="shared" si="24"/>
        <v/>
      </c>
      <c r="P287" s="207" t="str">
        <f t="shared" si="29"/>
        <v/>
      </c>
    </row>
    <row r="288" spans="3:16">
      <c r="C288" s="200"/>
      <c r="D288" s="201"/>
      <c r="E288" s="202"/>
      <c r="F288" s="200"/>
      <c r="H288" s="203"/>
      <c r="I288" s="186" t="str">
        <f t="shared" si="25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26"/>
        <v/>
      </c>
      <c r="L288" s="189" t="str">
        <f t="shared" si="27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28"/>
        <v/>
      </c>
      <c r="O288" s="206" t="str">
        <f t="shared" si="24"/>
        <v/>
      </c>
      <c r="P288" s="207" t="str">
        <f t="shared" si="29"/>
        <v/>
      </c>
    </row>
    <row r="289" spans="3:16">
      <c r="C289" s="200"/>
      <c r="D289" s="201"/>
      <c r="E289" s="202"/>
      <c r="F289" s="200"/>
      <c r="H289" s="203"/>
      <c r="I289" s="186" t="str">
        <f t="shared" si="25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26"/>
        <v/>
      </c>
      <c r="L289" s="189" t="str">
        <f t="shared" si="27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28"/>
        <v/>
      </c>
      <c r="O289" s="206" t="str">
        <f t="shared" si="24"/>
        <v/>
      </c>
      <c r="P289" s="207" t="str">
        <f t="shared" si="29"/>
        <v/>
      </c>
    </row>
    <row r="290" spans="3:16">
      <c r="C290" s="200"/>
      <c r="D290" s="201"/>
      <c r="E290" s="202"/>
      <c r="F290" s="200"/>
      <c r="H290" s="203"/>
      <c r="I290" s="186" t="str">
        <f t="shared" si="25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26"/>
        <v/>
      </c>
      <c r="L290" s="189" t="str">
        <f t="shared" si="27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28"/>
        <v/>
      </c>
      <c r="O290" s="206" t="str">
        <f t="shared" si="24"/>
        <v/>
      </c>
      <c r="P290" s="207" t="str">
        <f t="shared" si="29"/>
        <v/>
      </c>
    </row>
    <row r="291" spans="3:16">
      <c r="C291" s="200"/>
      <c r="D291" s="201"/>
      <c r="E291" s="202"/>
      <c r="F291" s="200"/>
      <c r="H291" s="203"/>
      <c r="I291" s="186" t="str">
        <f t="shared" si="25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26"/>
        <v/>
      </c>
      <c r="L291" s="189" t="str">
        <f t="shared" si="27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28"/>
        <v/>
      </c>
      <c r="O291" s="206" t="str">
        <f t="shared" si="24"/>
        <v/>
      </c>
      <c r="P291" s="207" t="str">
        <f t="shared" si="29"/>
        <v/>
      </c>
    </row>
    <row r="292" spans="3:16">
      <c r="C292" s="200"/>
      <c r="D292" s="201"/>
      <c r="E292" s="202"/>
      <c r="F292" s="200"/>
      <c r="H292" s="203"/>
      <c r="I292" s="186" t="str">
        <f t="shared" si="25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26"/>
        <v/>
      </c>
      <c r="L292" s="189" t="str">
        <f t="shared" si="27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28"/>
        <v/>
      </c>
      <c r="O292" s="206" t="str">
        <f t="shared" si="24"/>
        <v/>
      </c>
      <c r="P292" s="207" t="str">
        <f t="shared" si="29"/>
        <v/>
      </c>
    </row>
    <row r="293" spans="3:16">
      <c r="C293" s="200"/>
      <c r="D293" s="201"/>
      <c r="E293" s="202"/>
      <c r="F293" s="200"/>
      <c r="H293" s="203"/>
      <c r="I293" s="186" t="str">
        <f t="shared" si="25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26"/>
        <v/>
      </c>
      <c r="L293" s="189" t="str">
        <f t="shared" si="27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28"/>
        <v/>
      </c>
      <c r="O293" s="206" t="str">
        <f t="shared" si="24"/>
        <v/>
      </c>
      <c r="P293" s="207" t="str">
        <f t="shared" si="29"/>
        <v/>
      </c>
    </row>
    <row r="294" spans="3:16">
      <c r="C294" s="200"/>
      <c r="D294" s="201"/>
      <c r="E294" s="202"/>
      <c r="F294" s="200"/>
      <c r="H294" s="203"/>
      <c r="I294" s="186" t="str">
        <f t="shared" si="25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26"/>
        <v/>
      </c>
      <c r="L294" s="189" t="str">
        <f t="shared" si="27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28"/>
        <v/>
      </c>
      <c r="O294" s="206" t="str">
        <f t="shared" si="24"/>
        <v/>
      </c>
      <c r="P294" s="207" t="str">
        <f t="shared" si="29"/>
        <v/>
      </c>
    </row>
    <row r="295" spans="3:16">
      <c r="C295" s="200"/>
      <c r="D295" s="201"/>
      <c r="E295" s="202"/>
      <c r="F295" s="200"/>
      <c r="H295" s="203"/>
      <c r="I295" s="186" t="str">
        <f t="shared" si="25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26"/>
        <v/>
      </c>
      <c r="L295" s="189" t="str">
        <f t="shared" si="27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28"/>
        <v/>
      </c>
      <c r="O295" s="206" t="str">
        <f t="shared" si="24"/>
        <v/>
      </c>
      <c r="P295" s="207" t="str">
        <f t="shared" si="29"/>
        <v/>
      </c>
    </row>
    <row r="296" spans="3:16">
      <c r="C296" s="200"/>
      <c r="D296" s="201"/>
      <c r="E296" s="202"/>
      <c r="F296" s="200"/>
      <c r="H296" s="203"/>
      <c r="I296" s="186" t="str">
        <f t="shared" si="25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26"/>
        <v/>
      </c>
      <c r="L296" s="189" t="str">
        <f t="shared" si="27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28"/>
        <v/>
      </c>
      <c r="O296" s="206" t="str">
        <f t="shared" si="24"/>
        <v/>
      </c>
      <c r="P296" s="207" t="str">
        <f t="shared" si="29"/>
        <v/>
      </c>
    </row>
    <row r="297" spans="3:16">
      <c r="C297" s="200"/>
      <c r="D297" s="201"/>
      <c r="E297" s="202"/>
      <c r="F297" s="200"/>
      <c r="H297" s="203"/>
      <c r="I297" s="186" t="str">
        <f t="shared" si="25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26"/>
        <v/>
      </c>
      <c r="L297" s="189" t="str">
        <f t="shared" si="27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28"/>
        <v/>
      </c>
      <c r="O297" s="206" t="str">
        <f t="shared" si="24"/>
        <v/>
      </c>
      <c r="P297" s="207" t="str">
        <f t="shared" si="29"/>
        <v/>
      </c>
    </row>
    <row r="298" spans="3:16">
      <c r="C298" s="200"/>
      <c r="D298" s="201"/>
      <c r="E298" s="202"/>
      <c r="F298" s="200"/>
      <c r="H298" s="203"/>
      <c r="I298" s="186" t="str">
        <f t="shared" si="25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26"/>
        <v/>
      </c>
      <c r="L298" s="189" t="str">
        <f t="shared" si="27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28"/>
        <v/>
      </c>
      <c r="O298" s="206" t="str">
        <f t="shared" si="24"/>
        <v/>
      </c>
      <c r="P298" s="207" t="str">
        <f t="shared" si="29"/>
        <v/>
      </c>
    </row>
    <row r="299" spans="3:16">
      <c r="C299" s="200"/>
      <c r="D299" s="201"/>
      <c r="E299" s="202"/>
      <c r="F299" s="200"/>
      <c r="H299" s="203"/>
      <c r="I299" s="186" t="str">
        <f t="shared" si="25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26"/>
        <v/>
      </c>
      <c r="L299" s="189" t="str">
        <f t="shared" si="27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28"/>
        <v/>
      </c>
      <c r="O299" s="206" t="str">
        <f t="shared" si="24"/>
        <v/>
      </c>
      <c r="P299" s="207" t="str">
        <f t="shared" si="29"/>
        <v/>
      </c>
    </row>
    <row r="300" spans="3:16">
      <c r="C300" s="200"/>
      <c r="D300" s="201"/>
      <c r="E300" s="202"/>
      <c r="F300" s="200"/>
      <c r="H300" s="203"/>
      <c r="I300" s="186" t="str">
        <f t="shared" si="25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26"/>
        <v/>
      </c>
      <c r="L300" s="189" t="str">
        <f t="shared" si="27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28"/>
        <v/>
      </c>
      <c r="O300" s="206" t="str">
        <f t="shared" si="24"/>
        <v/>
      </c>
      <c r="P300" s="207" t="str">
        <f t="shared" si="29"/>
        <v/>
      </c>
    </row>
    <row r="301" spans="3:16">
      <c r="C301" s="200"/>
      <c r="D301" s="201"/>
      <c r="E301" s="202"/>
      <c r="F301" s="200"/>
      <c r="H301" s="203"/>
      <c r="I301" s="186" t="str">
        <f t="shared" si="25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26"/>
        <v/>
      </c>
      <c r="L301" s="189" t="str">
        <f t="shared" si="27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28"/>
        <v/>
      </c>
      <c r="O301" s="206" t="str">
        <f t="shared" si="24"/>
        <v/>
      </c>
      <c r="P301" s="207" t="str">
        <f t="shared" si="29"/>
        <v/>
      </c>
    </row>
    <row r="302" spans="3:16">
      <c r="C302" s="200"/>
      <c r="D302" s="201"/>
      <c r="E302" s="202"/>
      <c r="F302" s="200"/>
      <c r="H302" s="203"/>
      <c r="I302" s="186" t="str">
        <f t="shared" si="25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26"/>
        <v/>
      </c>
      <c r="L302" s="189" t="str">
        <f t="shared" si="27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28"/>
        <v/>
      </c>
      <c r="O302" s="206" t="str">
        <f t="shared" si="24"/>
        <v/>
      </c>
      <c r="P302" s="207" t="str">
        <f t="shared" si="29"/>
        <v/>
      </c>
    </row>
    <row r="303" spans="3:16">
      <c r="C303" s="200"/>
      <c r="D303" s="201"/>
      <c r="E303" s="202"/>
      <c r="F303" s="200"/>
      <c r="H303" s="203"/>
      <c r="I303" s="186" t="str">
        <f t="shared" si="25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26"/>
        <v/>
      </c>
      <c r="L303" s="189" t="str">
        <f t="shared" si="27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28"/>
        <v/>
      </c>
      <c r="O303" s="206" t="str">
        <f t="shared" si="24"/>
        <v/>
      </c>
      <c r="P303" s="207" t="str">
        <f t="shared" si="29"/>
        <v/>
      </c>
    </row>
    <row r="304" spans="3:16">
      <c r="C304" s="200"/>
      <c r="D304" s="201"/>
      <c r="E304" s="202"/>
      <c r="F304" s="200"/>
      <c r="H304" s="203"/>
      <c r="I304" s="186" t="str">
        <f t="shared" si="25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26"/>
        <v/>
      </c>
      <c r="L304" s="189" t="str">
        <f t="shared" si="27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28"/>
        <v/>
      </c>
      <c r="O304" s="206" t="str">
        <f t="shared" si="24"/>
        <v/>
      </c>
      <c r="P304" s="207" t="str">
        <f t="shared" si="29"/>
        <v/>
      </c>
    </row>
    <row r="305" spans="3:16">
      <c r="C305" s="200"/>
      <c r="D305" s="201"/>
      <c r="E305" s="202"/>
      <c r="F305" s="200"/>
      <c r="H305" s="203"/>
      <c r="I305" s="186" t="str">
        <f t="shared" si="25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26"/>
        <v/>
      </c>
      <c r="L305" s="189" t="str">
        <f t="shared" si="27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28"/>
        <v/>
      </c>
      <c r="O305" s="206" t="str">
        <f t="shared" si="24"/>
        <v/>
      </c>
      <c r="P305" s="207" t="str">
        <f t="shared" si="29"/>
        <v/>
      </c>
    </row>
    <row r="306" spans="3:16">
      <c r="C306" s="200"/>
      <c r="D306" s="201"/>
      <c r="E306" s="202"/>
      <c r="F306" s="200"/>
      <c r="H306" s="203"/>
      <c r="I306" s="186" t="str">
        <f t="shared" si="25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26"/>
        <v/>
      </c>
      <c r="L306" s="189" t="str">
        <f t="shared" si="27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28"/>
        <v/>
      </c>
      <c r="O306" s="206" t="str">
        <f t="shared" si="24"/>
        <v/>
      </c>
      <c r="P306" s="207" t="str">
        <f t="shared" si="29"/>
        <v/>
      </c>
    </row>
    <row r="307" spans="3:16">
      <c r="C307" s="200"/>
      <c r="D307" s="201"/>
      <c r="E307" s="202"/>
      <c r="F307" s="200"/>
      <c r="H307" s="203"/>
      <c r="I307" s="186" t="str">
        <f t="shared" si="25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26"/>
        <v/>
      </c>
      <c r="L307" s="189" t="str">
        <f t="shared" si="27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28"/>
        <v/>
      </c>
      <c r="O307" s="206" t="str">
        <f t="shared" si="24"/>
        <v/>
      </c>
      <c r="P307" s="207" t="str">
        <f t="shared" si="29"/>
        <v/>
      </c>
    </row>
    <row r="308" spans="3:16">
      <c r="C308" s="200"/>
      <c r="D308" s="201"/>
      <c r="E308" s="202"/>
      <c r="F308" s="200"/>
      <c r="H308" s="203"/>
      <c r="I308" s="186" t="str">
        <f t="shared" si="25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26"/>
        <v/>
      </c>
      <c r="L308" s="189" t="str">
        <f t="shared" si="27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28"/>
        <v/>
      </c>
      <c r="O308" s="206" t="str">
        <f t="shared" si="24"/>
        <v/>
      </c>
      <c r="P308" s="207" t="str">
        <f t="shared" si="29"/>
        <v/>
      </c>
    </row>
    <row r="309" spans="3:16">
      <c r="C309" s="200"/>
      <c r="D309" s="201"/>
      <c r="E309" s="202"/>
      <c r="F309" s="200"/>
      <c r="H309" s="203"/>
      <c r="I309" s="186" t="str">
        <f t="shared" si="25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26"/>
        <v/>
      </c>
      <c r="L309" s="189" t="str">
        <f t="shared" si="27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28"/>
        <v/>
      </c>
      <c r="O309" s="206" t="str">
        <f t="shared" si="24"/>
        <v/>
      </c>
      <c r="P309" s="207" t="str">
        <f t="shared" si="29"/>
        <v/>
      </c>
    </row>
    <row r="310" spans="3:16">
      <c r="C310" s="200"/>
      <c r="D310" s="201"/>
      <c r="E310" s="202"/>
      <c r="F310" s="200"/>
      <c r="H310" s="203"/>
      <c r="I310" s="186" t="str">
        <f t="shared" si="25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26"/>
        <v/>
      </c>
      <c r="L310" s="189" t="str">
        <f t="shared" si="27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28"/>
        <v/>
      </c>
      <c r="O310" s="206" t="str">
        <f t="shared" si="24"/>
        <v/>
      </c>
      <c r="P310" s="207" t="str">
        <f t="shared" si="29"/>
        <v/>
      </c>
    </row>
    <row r="311" spans="3:16">
      <c r="C311" s="200"/>
      <c r="D311" s="201"/>
      <c r="E311" s="202"/>
      <c r="F311" s="200"/>
      <c r="H311" s="203"/>
      <c r="I311" s="186" t="str">
        <f t="shared" si="25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26"/>
        <v/>
      </c>
      <c r="L311" s="189" t="str">
        <f t="shared" si="27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28"/>
        <v/>
      </c>
      <c r="O311" s="206" t="str">
        <f t="shared" si="24"/>
        <v/>
      </c>
      <c r="P311" s="207" t="str">
        <f t="shared" si="29"/>
        <v/>
      </c>
    </row>
    <row r="312" spans="3:16">
      <c r="C312" s="200"/>
      <c r="D312" s="201"/>
      <c r="E312" s="202"/>
      <c r="F312" s="200"/>
      <c r="H312" s="203"/>
      <c r="I312" s="186" t="str">
        <f t="shared" si="25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26"/>
        <v/>
      </c>
      <c r="L312" s="189" t="str">
        <f t="shared" si="27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28"/>
        <v/>
      </c>
      <c r="O312" s="206" t="str">
        <f t="shared" si="24"/>
        <v/>
      </c>
      <c r="P312" s="207" t="str">
        <f t="shared" si="29"/>
        <v/>
      </c>
    </row>
    <row r="313" spans="3:16">
      <c r="C313" s="200"/>
      <c r="D313" s="201"/>
      <c r="E313" s="202"/>
      <c r="F313" s="200"/>
      <c r="H313" s="203"/>
      <c r="I313" s="186" t="str">
        <f t="shared" si="25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26"/>
        <v/>
      </c>
      <c r="L313" s="189" t="str">
        <f t="shared" si="27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28"/>
        <v/>
      </c>
      <c r="O313" s="206" t="str">
        <f t="shared" si="24"/>
        <v/>
      </c>
      <c r="P313" s="207" t="str">
        <f t="shared" si="29"/>
        <v/>
      </c>
    </row>
    <row r="314" spans="3:16">
      <c r="C314" s="200"/>
      <c r="D314" s="201"/>
      <c r="E314" s="202"/>
      <c r="F314" s="200"/>
      <c r="H314" s="203"/>
      <c r="I314" s="186" t="str">
        <f t="shared" si="25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26"/>
        <v/>
      </c>
      <c r="L314" s="189" t="str">
        <f t="shared" si="27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28"/>
        <v/>
      </c>
      <c r="O314" s="206" t="str">
        <f t="shared" si="24"/>
        <v/>
      </c>
      <c r="P314" s="207" t="str">
        <f t="shared" si="29"/>
        <v/>
      </c>
    </row>
    <row r="315" spans="3:16">
      <c r="C315" s="200"/>
      <c r="D315" s="201"/>
      <c r="E315" s="202"/>
      <c r="F315" s="200"/>
      <c r="H315" s="203"/>
      <c r="I315" s="186" t="str">
        <f t="shared" si="25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26"/>
        <v/>
      </c>
      <c r="L315" s="189" t="str">
        <f t="shared" si="27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28"/>
        <v/>
      </c>
      <c r="O315" s="206" t="str">
        <f t="shared" si="24"/>
        <v/>
      </c>
      <c r="P315" s="207" t="str">
        <f t="shared" si="29"/>
        <v/>
      </c>
    </row>
    <row r="316" spans="3:16">
      <c r="C316" s="200"/>
      <c r="D316" s="201"/>
      <c r="E316" s="202"/>
      <c r="F316" s="200"/>
      <c r="H316" s="203"/>
      <c r="I316" s="186" t="str">
        <f t="shared" si="25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26"/>
        <v/>
      </c>
      <c r="L316" s="189" t="str">
        <f t="shared" si="27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28"/>
        <v/>
      </c>
      <c r="O316" s="206" t="str">
        <f t="shared" si="24"/>
        <v/>
      </c>
      <c r="P316" s="207" t="str">
        <f t="shared" si="29"/>
        <v/>
      </c>
    </row>
    <row r="317" spans="3:16">
      <c r="C317" s="200"/>
      <c r="D317" s="201"/>
      <c r="E317" s="202"/>
      <c r="F317" s="200"/>
      <c r="H317" s="203"/>
      <c r="I317" s="186" t="str">
        <f t="shared" si="25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26"/>
        <v/>
      </c>
      <c r="L317" s="189" t="str">
        <f t="shared" si="27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28"/>
        <v/>
      </c>
      <c r="O317" s="206" t="str">
        <f t="shared" si="24"/>
        <v/>
      </c>
      <c r="P317" s="207" t="str">
        <f t="shared" si="29"/>
        <v/>
      </c>
    </row>
    <row r="318" spans="3:16">
      <c r="C318" s="200"/>
      <c r="D318" s="201"/>
      <c r="E318" s="202"/>
      <c r="F318" s="200"/>
      <c r="H318" s="203"/>
      <c r="I318" s="186" t="str">
        <f t="shared" si="25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26"/>
        <v/>
      </c>
      <c r="L318" s="189" t="str">
        <f t="shared" si="27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28"/>
        <v/>
      </c>
      <c r="O318" s="206" t="str">
        <f t="shared" si="24"/>
        <v/>
      </c>
      <c r="P318" s="207" t="str">
        <f t="shared" si="29"/>
        <v/>
      </c>
    </row>
    <row r="319" spans="3:16">
      <c r="C319" s="200"/>
      <c r="D319" s="201"/>
      <c r="E319" s="202"/>
      <c r="F319" s="200"/>
      <c r="H319" s="203"/>
      <c r="I319" s="186" t="str">
        <f t="shared" si="25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26"/>
        <v/>
      </c>
      <c r="L319" s="189" t="str">
        <f t="shared" si="27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28"/>
        <v/>
      </c>
      <c r="O319" s="206" t="str">
        <f t="shared" si="24"/>
        <v/>
      </c>
      <c r="P319" s="207" t="str">
        <f t="shared" si="29"/>
        <v/>
      </c>
    </row>
    <row r="320" spans="3:16">
      <c r="C320" s="200"/>
      <c r="D320" s="201"/>
      <c r="E320" s="202"/>
      <c r="F320" s="200"/>
      <c r="H320" s="203"/>
      <c r="I320" s="186" t="str">
        <f t="shared" si="25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26"/>
        <v/>
      </c>
      <c r="L320" s="189" t="str">
        <f t="shared" si="27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28"/>
        <v/>
      </c>
      <c r="O320" s="206" t="str">
        <f t="shared" si="24"/>
        <v/>
      </c>
      <c r="P320" s="207" t="str">
        <f t="shared" si="29"/>
        <v/>
      </c>
    </row>
    <row r="321" spans="3:16">
      <c r="C321" s="200"/>
      <c r="D321" s="201"/>
      <c r="E321" s="202"/>
      <c r="F321" s="200"/>
      <c r="H321" s="203"/>
      <c r="I321" s="186" t="str">
        <f t="shared" si="25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26"/>
        <v/>
      </c>
      <c r="L321" s="189" t="str">
        <f t="shared" si="27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28"/>
        <v/>
      </c>
      <c r="O321" s="206" t="str">
        <f t="shared" si="24"/>
        <v/>
      </c>
      <c r="P321" s="207" t="str">
        <f t="shared" si="29"/>
        <v/>
      </c>
    </row>
    <row r="322" spans="3:16">
      <c r="C322" s="200"/>
      <c r="D322" s="201"/>
      <c r="E322" s="202"/>
      <c r="F322" s="200"/>
      <c r="H322" s="203"/>
      <c r="I322" s="186" t="str">
        <f t="shared" si="25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26"/>
        <v/>
      </c>
      <c r="L322" s="189" t="str">
        <f t="shared" si="27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28"/>
        <v/>
      </c>
      <c r="O322" s="206" t="str">
        <f t="shared" si="24"/>
        <v/>
      </c>
      <c r="P322" s="207" t="str">
        <f t="shared" si="29"/>
        <v/>
      </c>
    </row>
    <row r="323" spans="3:16">
      <c r="C323" s="200"/>
      <c r="D323" s="201"/>
      <c r="E323" s="202"/>
      <c r="F323" s="200"/>
      <c r="H323" s="203"/>
      <c r="I323" s="186" t="str">
        <f t="shared" si="25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26"/>
        <v/>
      </c>
      <c r="L323" s="189" t="str">
        <f t="shared" si="27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28"/>
        <v/>
      </c>
      <c r="O323" s="206" t="str">
        <f t="shared" si="24"/>
        <v/>
      </c>
      <c r="P323" s="207" t="str">
        <f t="shared" si="29"/>
        <v/>
      </c>
    </row>
    <row r="324" spans="3:16">
      <c r="C324" s="200"/>
      <c r="D324" s="201"/>
      <c r="E324" s="202"/>
      <c r="F324" s="200"/>
      <c r="H324" s="203"/>
      <c r="I324" s="186" t="str">
        <f t="shared" si="25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26"/>
        <v/>
      </c>
      <c r="L324" s="189" t="str">
        <f t="shared" si="27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28"/>
        <v/>
      </c>
      <c r="O324" s="206" t="str">
        <f t="shared" si="24"/>
        <v/>
      </c>
      <c r="P324" s="207" t="str">
        <f t="shared" si="29"/>
        <v/>
      </c>
    </row>
    <row r="325" spans="3:16">
      <c r="C325" s="200"/>
      <c r="D325" s="201"/>
      <c r="E325" s="202"/>
      <c r="F325" s="200"/>
      <c r="H325" s="203"/>
      <c r="I325" s="186" t="str">
        <f t="shared" si="25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26"/>
        <v/>
      </c>
      <c r="L325" s="189" t="str">
        <f t="shared" si="27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28"/>
        <v/>
      </c>
      <c r="O325" s="206" t="str">
        <f t="shared" si="24"/>
        <v/>
      </c>
      <c r="P325" s="207" t="str">
        <f t="shared" si="29"/>
        <v/>
      </c>
    </row>
    <row r="326" spans="3:16">
      <c r="C326" s="200"/>
      <c r="D326" s="201"/>
      <c r="E326" s="202"/>
      <c r="F326" s="200"/>
      <c r="H326" s="203"/>
      <c r="I326" s="186" t="str">
        <f t="shared" si="25"/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si="26"/>
        <v/>
      </c>
      <c r="L326" s="189" t="str">
        <f t="shared" si="27"/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si="28"/>
        <v/>
      </c>
      <c r="O326" s="206" t="str">
        <f t="shared" ref="O326:O389" si="30">IF(OR(K326="",N326=""),"",K326-N326)</f>
        <v/>
      </c>
      <c r="P326" s="207" t="str">
        <f t="shared" si="29"/>
        <v/>
      </c>
    </row>
    <row r="327" spans="3:16">
      <c r="C327" s="200"/>
      <c r="D327" s="201"/>
      <c r="E327" s="202"/>
      <c r="F327" s="200"/>
      <c r="H327" s="203"/>
      <c r="I327" s="186" t="str">
        <f t="shared" ref="I327:I390" si="31">IF(H327="","",IF(H327="JPY","",IF($H327="USD",4, IF(H327="EUR",7,IF(H327="CNY",47,IF(H327="HKD",34))))))</f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ref="K327:K390" si="32">IF($H327="JPY",$F327,IF($H327="","",$F327*$J327))</f>
        <v/>
      </c>
      <c r="L327" s="189" t="str">
        <f t="shared" ref="L327:L390" si="33">IF(H327="","",IF(H327="JPY","",IF($H327="USD",3, IF(H327="EUR",6,IF(H327="CNY",46,IF(H327="HKD",33))))))</f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ref="N327:N390" si="34">IF($E327="JPY",($C327+$D327),IF($E327="","",($C327+$D327)*$M327))</f>
        <v/>
      </c>
      <c r="O327" s="206" t="str">
        <f t="shared" si="30"/>
        <v/>
      </c>
      <c r="P327" s="207" t="str">
        <f t="shared" ref="P327:P390" si="35">IF(OR(K327="",O327=""),"",O327/K327)</f>
        <v/>
      </c>
    </row>
    <row r="328" spans="3:16">
      <c r="C328" s="200"/>
      <c r="D328" s="201"/>
      <c r="E328" s="202"/>
      <c r="F328" s="200"/>
      <c r="H328" s="203"/>
      <c r="I328" s="186" t="str">
        <f t="shared" si="31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2"/>
        <v/>
      </c>
      <c r="L328" s="189" t="str">
        <f t="shared" si="33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4"/>
        <v/>
      </c>
      <c r="O328" s="206" t="str">
        <f t="shared" si="30"/>
        <v/>
      </c>
      <c r="P328" s="207" t="str">
        <f t="shared" si="35"/>
        <v/>
      </c>
    </row>
    <row r="329" spans="3:16">
      <c r="C329" s="200"/>
      <c r="D329" s="201"/>
      <c r="E329" s="202"/>
      <c r="F329" s="200"/>
      <c r="H329" s="203"/>
      <c r="I329" s="186" t="str">
        <f t="shared" si="31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2"/>
        <v/>
      </c>
      <c r="L329" s="189" t="str">
        <f t="shared" si="33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4"/>
        <v/>
      </c>
      <c r="O329" s="206" t="str">
        <f t="shared" si="30"/>
        <v/>
      </c>
      <c r="P329" s="207" t="str">
        <f t="shared" si="35"/>
        <v/>
      </c>
    </row>
    <row r="330" spans="3:16">
      <c r="C330" s="200"/>
      <c r="D330" s="201"/>
      <c r="E330" s="202"/>
      <c r="F330" s="200"/>
      <c r="H330" s="203"/>
      <c r="I330" s="186" t="str">
        <f t="shared" si="31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2"/>
        <v/>
      </c>
      <c r="L330" s="189" t="str">
        <f t="shared" si="33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4"/>
        <v/>
      </c>
      <c r="O330" s="206" t="str">
        <f t="shared" si="30"/>
        <v/>
      </c>
      <c r="P330" s="207" t="str">
        <f t="shared" si="35"/>
        <v/>
      </c>
    </row>
    <row r="331" spans="3:16">
      <c r="C331" s="200"/>
      <c r="D331" s="201"/>
      <c r="E331" s="202"/>
      <c r="F331" s="200"/>
      <c r="H331" s="203"/>
      <c r="I331" s="186" t="str">
        <f t="shared" si="31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2"/>
        <v/>
      </c>
      <c r="L331" s="189" t="str">
        <f t="shared" si="33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4"/>
        <v/>
      </c>
      <c r="O331" s="206" t="str">
        <f t="shared" si="30"/>
        <v/>
      </c>
      <c r="P331" s="207" t="str">
        <f t="shared" si="35"/>
        <v/>
      </c>
    </row>
    <row r="332" spans="3:16">
      <c r="C332" s="200"/>
      <c r="D332" s="201"/>
      <c r="E332" s="202"/>
      <c r="F332" s="200"/>
      <c r="H332" s="203"/>
      <c r="I332" s="186" t="str">
        <f t="shared" si="31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2"/>
        <v/>
      </c>
      <c r="L332" s="189" t="str">
        <f t="shared" si="33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4"/>
        <v/>
      </c>
      <c r="O332" s="206" t="str">
        <f t="shared" si="30"/>
        <v/>
      </c>
      <c r="P332" s="207" t="str">
        <f t="shared" si="35"/>
        <v/>
      </c>
    </row>
    <row r="333" spans="3:16">
      <c r="C333" s="200"/>
      <c r="D333" s="201"/>
      <c r="E333" s="202"/>
      <c r="F333" s="200"/>
      <c r="H333" s="203"/>
      <c r="I333" s="186" t="str">
        <f t="shared" si="31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2"/>
        <v/>
      </c>
      <c r="L333" s="189" t="str">
        <f t="shared" si="33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4"/>
        <v/>
      </c>
      <c r="O333" s="206" t="str">
        <f t="shared" si="30"/>
        <v/>
      </c>
      <c r="P333" s="207" t="str">
        <f t="shared" si="35"/>
        <v/>
      </c>
    </row>
    <row r="334" spans="3:16">
      <c r="C334" s="200"/>
      <c r="D334" s="201"/>
      <c r="E334" s="202"/>
      <c r="F334" s="200"/>
      <c r="H334" s="203"/>
      <c r="I334" s="186" t="str">
        <f t="shared" si="31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2"/>
        <v/>
      </c>
      <c r="L334" s="189" t="str">
        <f t="shared" si="33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4"/>
        <v/>
      </c>
      <c r="O334" s="206" t="str">
        <f t="shared" si="30"/>
        <v/>
      </c>
      <c r="P334" s="207" t="str">
        <f t="shared" si="35"/>
        <v/>
      </c>
    </row>
    <row r="335" spans="3:16">
      <c r="C335" s="200"/>
      <c r="D335" s="201"/>
      <c r="E335" s="202"/>
      <c r="F335" s="200"/>
      <c r="H335" s="203"/>
      <c r="I335" s="186" t="str">
        <f t="shared" si="31"/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si="32"/>
        <v/>
      </c>
      <c r="L335" s="189" t="str">
        <f t="shared" si="33"/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si="34"/>
        <v/>
      </c>
      <c r="O335" s="206" t="str">
        <f t="shared" si="30"/>
        <v/>
      </c>
      <c r="P335" s="207" t="str">
        <f t="shared" si="35"/>
        <v/>
      </c>
    </row>
    <row r="336" spans="3:16">
      <c r="C336" s="200"/>
      <c r="D336" s="201"/>
      <c r="E336" s="202"/>
      <c r="F336" s="200"/>
      <c r="H336" s="203"/>
      <c r="I336" s="186" t="str">
        <f t="shared" si="31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2"/>
        <v/>
      </c>
      <c r="L336" s="189" t="str">
        <f t="shared" si="33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4"/>
        <v/>
      </c>
      <c r="O336" s="206" t="str">
        <f t="shared" si="30"/>
        <v/>
      </c>
      <c r="P336" s="207" t="str">
        <f t="shared" si="35"/>
        <v/>
      </c>
    </row>
    <row r="337" spans="3:16">
      <c r="C337" s="200"/>
      <c r="D337" s="201"/>
      <c r="E337" s="202"/>
      <c r="F337" s="200"/>
      <c r="H337" s="203"/>
      <c r="I337" s="186" t="str">
        <f t="shared" si="31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2"/>
        <v/>
      </c>
      <c r="L337" s="189" t="str">
        <f t="shared" si="33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4"/>
        <v/>
      </c>
      <c r="O337" s="206" t="str">
        <f t="shared" si="30"/>
        <v/>
      </c>
      <c r="P337" s="207" t="str">
        <f t="shared" si="35"/>
        <v/>
      </c>
    </row>
    <row r="338" spans="3:16">
      <c r="C338" s="200"/>
      <c r="D338" s="201"/>
      <c r="E338" s="202"/>
      <c r="F338" s="200"/>
      <c r="H338" s="203"/>
      <c r="I338" s="186" t="str">
        <f t="shared" si="31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2"/>
        <v/>
      </c>
      <c r="L338" s="189" t="str">
        <f t="shared" si="33"/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4"/>
        <v/>
      </c>
      <c r="O338" s="206" t="str">
        <f t="shared" si="30"/>
        <v/>
      </c>
      <c r="P338" s="207" t="str">
        <f t="shared" si="35"/>
        <v/>
      </c>
    </row>
    <row r="339" spans="3:16">
      <c r="C339" s="200"/>
      <c r="D339" s="201"/>
      <c r="E339" s="202"/>
      <c r="F339" s="200"/>
      <c r="H339" s="203"/>
      <c r="I339" s="186" t="str">
        <f t="shared" si="31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2"/>
        <v/>
      </c>
      <c r="L339" s="189" t="str">
        <f t="shared" si="33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4"/>
        <v/>
      </c>
      <c r="O339" s="206" t="str">
        <f t="shared" si="30"/>
        <v/>
      </c>
      <c r="P339" s="207" t="str">
        <f t="shared" si="35"/>
        <v/>
      </c>
    </row>
    <row r="340" spans="3:16">
      <c r="C340" s="200"/>
      <c r="D340" s="201"/>
      <c r="E340" s="202"/>
      <c r="F340" s="200"/>
      <c r="H340" s="203"/>
      <c r="I340" s="186" t="str">
        <f t="shared" si="31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2"/>
        <v/>
      </c>
      <c r="L340" s="189" t="str">
        <f t="shared" si="33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4"/>
        <v/>
      </c>
      <c r="O340" s="206" t="str">
        <f t="shared" si="30"/>
        <v/>
      </c>
      <c r="P340" s="207" t="str">
        <f t="shared" si="35"/>
        <v/>
      </c>
    </row>
    <row r="341" spans="3:16">
      <c r="C341" s="200"/>
      <c r="D341" s="201"/>
      <c r="E341" s="202"/>
      <c r="F341" s="200"/>
      <c r="H341" s="203"/>
      <c r="I341" s="186" t="str">
        <f t="shared" si="31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2"/>
        <v/>
      </c>
      <c r="L341" s="189" t="str">
        <f t="shared" si="33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4"/>
        <v/>
      </c>
      <c r="O341" s="206" t="str">
        <f t="shared" si="30"/>
        <v/>
      </c>
      <c r="P341" s="207" t="str">
        <f t="shared" si="35"/>
        <v/>
      </c>
    </row>
    <row r="342" spans="3:16">
      <c r="C342" s="200"/>
      <c r="D342" s="201"/>
      <c r="E342" s="202"/>
      <c r="F342" s="200"/>
      <c r="H342" s="203"/>
      <c r="I342" s="186" t="str">
        <f t="shared" si="31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2"/>
        <v/>
      </c>
      <c r="L342" s="189" t="str">
        <f t="shared" si="33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4"/>
        <v/>
      </c>
      <c r="O342" s="206" t="str">
        <f t="shared" si="30"/>
        <v/>
      </c>
      <c r="P342" s="207" t="str">
        <f t="shared" si="35"/>
        <v/>
      </c>
    </row>
    <row r="343" spans="3:16">
      <c r="C343" s="200"/>
      <c r="D343" s="201"/>
      <c r="E343" s="202"/>
      <c r="F343" s="200"/>
      <c r="H343" s="203"/>
      <c r="I343" s="186" t="str">
        <f t="shared" si="31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2"/>
        <v/>
      </c>
      <c r="L343" s="189" t="str">
        <f t="shared" si="33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4"/>
        <v/>
      </c>
      <c r="O343" s="206" t="str">
        <f t="shared" si="30"/>
        <v/>
      </c>
      <c r="P343" s="207" t="str">
        <f t="shared" si="35"/>
        <v/>
      </c>
    </row>
    <row r="344" spans="3:16">
      <c r="C344" s="200"/>
      <c r="D344" s="201"/>
      <c r="E344" s="202"/>
      <c r="F344" s="200"/>
      <c r="H344" s="203"/>
      <c r="I344" s="186" t="str">
        <f t="shared" si="31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2"/>
        <v/>
      </c>
      <c r="L344" s="189" t="str">
        <f t="shared" si="33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4"/>
        <v/>
      </c>
      <c r="O344" s="206" t="str">
        <f t="shared" si="30"/>
        <v/>
      </c>
      <c r="P344" s="207" t="str">
        <f t="shared" si="35"/>
        <v/>
      </c>
    </row>
    <row r="345" spans="3:16">
      <c r="C345" s="200"/>
      <c r="D345" s="201"/>
      <c r="E345" s="202"/>
      <c r="F345" s="200"/>
      <c r="H345" s="203"/>
      <c r="I345" s="186" t="str">
        <f t="shared" si="31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2"/>
        <v/>
      </c>
      <c r="L345" s="189" t="str">
        <f t="shared" si="33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4"/>
        <v/>
      </c>
      <c r="O345" s="206" t="str">
        <f t="shared" si="30"/>
        <v/>
      </c>
      <c r="P345" s="207" t="str">
        <f t="shared" si="35"/>
        <v/>
      </c>
    </row>
    <row r="346" spans="3:16">
      <c r="C346" s="200"/>
      <c r="D346" s="201"/>
      <c r="E346" s="202"/>
      <c r="F346" s="200"/>
      <c r="H346" s="203"/>
      <c r="I346" s="186" t="str">
        <f t="shared" si="31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2"/>
        <v/>
      </c>
      <c r="L346" s="189" t="str">
        <f t="shared" si="33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4"/>
        <v/>
      </c>
      <c r="O346" s="206" t="str">
        <f t="shared" si="30"/>
        <v/>
      </c>
      <c r="P346" s="207" t="str">
        <f t="shared" si="35"/>
        <v/>
      </c>
    </row>
    <row r="347" spans="3:16">
      <c r="C347" s="200"/>
      <c r="D347" s="201"/>
      <c r="E347" s="202"/>
      <c r="F347" s="200"/>
      <c r="H347" s="203"/>
      <c r="I347" s="186" t="str">
        <f t="shared" si="31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2"/>
        <v/>
      </c>
      <c r="L347" s="189" t="str">
        <f t="shared" si="33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4"/>
        <v/>
      </c>
      <c r="O347" s="206" t="str">
        <f t="shared" si="30"/>
        <v/>
      </c>
      <c r="P347" s="207" t="str">
        <f t="shared" si="35"/>
        <v/>
      </c>
    </row>
    <row r="348" spans="3:16">
      <c r="C348" s="200"/>
      <c r="D348" s="201"/>
      <c r="E348" s="202"/>
      <c r="F348" s="200"/>
      <c r="H348" s="203"/>
      <c r="I348" s="186" t="str">
        <f t="shared" si="31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2"/>
        <v/>
      </c>
      <c r="L348" s="189" t="str">
        <f t="shared" si="33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4"/>
        <v/>
      </c>
      <c r="O348" s="206" t="str">
        <f t="shared" si="30"/>
        <v/>
      </c>
      <c r="P348" s="207" t="str">
        <f t="shared" si="35"/>
        <v/>
      </c>
    </row>
    <row r="349" spans="3:16">
      <c r="C349" s="200"/>
      <c r="D349" s="201"/>
      <c r="E349" s="202"/>
      <c r="F349" s="200"/>
      <c r="H349" s="203"/>
      <c r="I349" s="186" t="str">
        <f t="shared" si="31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2"/>
        <v/>
      </c>
      <c r="L349" s="189" t="str">
        <f t="shared" si="33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4"/>
        <v/>
      </c>
      <c r="O349" s="206" t="str">
        <f t="shared" si="30"/>
        <v/>
      </c>
      <c r="P349" s="207" t="str">
        <f t="shared" si="35"/>
        <v/>
      </c>
    </row>
    <row r="350" spans="3:16">
      <c r="C350" s="200"/>
      <c r="D350" s="201"/>
      <c r="E350" s="202"/>
      <c r="F350" s="200"/>
      <c r="H350" s="203"/>
      <c r="I350" s="186" t="str">
        <f t="shared" si="31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2"/>
        <v/>
      </c>
      <c r="L350" s="189" t="str">
        <f t="shared" si="33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4"/>
        <v/>
      </c>
      <c r="O350" s="206" t="str">
        <f t="shared" si="30"/>
        <v/>
      </c>
      <c r="P350" s="207" t="str">
        <f t="shared" si="35"/>
        <v/>
      </c>
    </row>
    <row r="351" spans="3:16">
      <c r="C351" s="200"/>
      <c r="D351" s="201"/>
      <c r="E351" s="202"/>
      <c r="F351" s="200"/>
      <c r="H351" s="203"/>
      <c r="I351" s="186" t="str">
        <f t="shared" si="31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2"/>
        <v/>
      </c>
      <c r="L351" s="189" t="str">
        <f t="shared" si="33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4"/>
        <v/>
      </c>
      <c r="O351" s="206" t="str">
        <f t="shared" si="30"/>
        <v/>
      </c>
      <c r="P351" s="207" t="str">
        <f t="shared" si="35"/>
        <v/>
      </c>
    </row>
    <row r="352" spans="3:16">
      <c r="C352" s="200"/>
      <c r="D352" s="201"/>
      <c r="E352" s="202"/>
      <c r="F352" s="200"/>
      <c r="H352" s="203"/>
      <c r="I352" s="186" t="str">
        <f t="shared" si="31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2"/>
        <v/>
      </c>
      <c r="L352" s="189" t="str">
        <f t="shared" si="33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4"/>
        <v/>
      </c>
      <c r="O352" s="206" t="str">
        <f t="shared" si="30"/>
        <v/>
      </c>
      <c r="P352" s="207" t="str">
        <f t="shared" si="35"/>
        <v/>
      </c>
    </row>
    <row r="353" spans="3:16">
      <c r="C353" s="200"/>
      <c r="D353" s="201"/>
      <c r="E353" s="202"/>
      <c r="F353" s="200"/>
      <c r="H353" s="203"/>
      <c r="I353" s="186" t="str">
        <f t="shared" si="31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2"/>
        <v/>
      </c>
      <c r="L353" s="189" t="str">
        <f t="shared" si="33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4"/>
        <v/>
      </c>
      <c r="O353" s="206" t="str">
        <f t="shared" si="30"/>
        <v/>
      </c>
      <c r="P353" s="207" t="str">
        <f t="shared" si="35"/>
        <v/>
      </c>
    </row>
    <row r="354" spans="3:16">
      <c r="C354" s="200"/>
      <c r="D354" s="201"/>
      <c r="E354" s="202"/>
      <c r="F354" s="200"/>
      <c r="H354" s="203"/>
      <c r="I354" s="186" t="str">
        <f t="shared" si="31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2"/>
        <v/>
      </c>
      <c r="L354" s="189" t="str">
        <f t="shared" si="33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4"/>
        <v/>
      </c>
      <c r="O354" s="206" t="str">
        <f t="shared" si="30"/>
        <v/>
      </c>
      <c r="P354" s="207" t="str">
        <f t="shared" si="35"/>
        <v/>
      </c>
    </row>
    <row r="355" spans="3:16">
      <c r="C355" s="200"/>
      <c r="D355" s="201"/>
      <c r="E355" s="202"/>
      <c r="F355" s="200"/>
      <c r="H355" s="203"/>
      <c r="I355" s="186" t="str">
        <f t="shared" si="31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2"/>
        <v/>
      </c>
      <c r="L355" s="189" t="str">
        <f t="shared" si="33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4"/>
        <v/>
      </c>
      <c r="O355" s="206" t="str">
        <f t="shared" si="30"/>
        <v/>
      </c>
      <c r="P355" s="207" t="str">
        <f t="shared" si="35"/>
        <v/>
      </c>
    </row>
    <row r="356" spans="3:16">
      <c r="C356" s="200"/>
      <c r="D356" s="201"/>
      <c r="E356" s="202"/>
      <c r="F356" s="200"/>
      <c r="H356" s="203"/>
      <c r="I356" s="186" t="str">
        <f t="shared" si="31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2"/>
        <v/>
      </c>
      <c r="L356" s="189" t="str">
        <f t="shared" si="33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4"/>
        <v/>
      </c>
      <c r="O356" s="206" t="str">
        <f t="shared" si="30"/>
        <v/>
      </c>
      <c r="P356" s="207" t="str">
        <f t="shared" si="35"/>
        <v/>
      </c>
    </row>
    <row r="357" spans="3:16">
      <c r="C357" s="200"/>
      <c r="D357" s="201"/>
      <c r="E357" s="202"/>
      <c r="F357" s="200"/>
      <c r="H357" s="203"/>
      <c r="I357" s="186" t="str">
        <f t="shared" si="31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2"/>
        <v/>
      </c>
      <c r="L357" s="189" t="str">
        <f t="shared" si="33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4"/>
        <v/>
      </c>
      <c r="O357" s="206" t="str">
        <f t="shared" si="30"/>
        <v/>
      </c>
      <c r="P357" s="207" t="str">
        <f t="shared" si="35"/>
        <v/>
      </c>
    </row>
    <row r="358" spans="3:16">
      <c r="C358" s="200"/>
      <c r="D358" s="201"/>
      <c r="E358" s="202"/>
      <c r="F358" s="200"/>
      <c r="H358" s="203"/>
      <c r="I358" s="186" t="str">
        <f t="shared" si="31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2"/>
        <v/>
      </c>
      <c r="L358" s="189" t="str">
        <f t="shared" si="33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4"/>
        <v/>
      </c>
      <c r="O358" s="206" t="str">
        <f t="shared" si="30"/>
        <v/>
      </c>
      <c r="P358" s="207" t="str">
        <f t="shared" si="35"/>
        <v/>
      </c>
    </row>
    <row r="359" spans="3:16">
      <c r="C359" s="200"/>
      <c r="D359" s="201"/>
      <c r="E359" s="202"/>
      <c r="F359" s="200"/>
      <c r="H359" s="203"/>
      <c r="I359" s="186" t="str">
        <f t="shared" si="31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2"/>
        <v/>
      </c>
      <c r="L359" s="189" t="str">
        <f t="shared" si="33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4"/>
        <v/>
      </c>
      <c r="O359" s="206" t="str">
        <f t="shared" si="30"/>
        <v/>
      </c>
      <c r="P359" s="207" t="str">
        <f t="shared" si="35"/>
        <v/>
      </c>
    </row>
    <row r="360" spans="3:16">
      <c r="C360" s="200"/>
      <c r="D360" s="201"/>
      <c r="E360" s="202"/>
      <c r="F360" s="200"/>
      <c r="H360" s="203"/>
      <c r="I360" s="186" t="str">
        <f t="shared" si="31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2"/>
        <v/>
      </c>
      <c r="L360" s="189" t="str">
        <f t="shared" si="33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4"/>
        <v/>
      </c>
      <c r="O360" s="206" t="str">
        <f t="shared" si="30"/>
        <v/>
      </c>
      <c r="P360" s="207" t="str">
        <f t="shared" si="35"/>
        <v/>
      </c>
    </row>
    <row r="361" spans="3:16">
      <c r="C361" s="200"/>
      <c r="D361" s="201"/>
      <c r="E361" s="202"/>
      <c r="F361" s="200"/>
      <c r="H361" s="203"/>
      <c r="I361" s="186" t="str">
        <f t="shared" si="31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2"/>
        <v/>
      </c>
      <c r="L361" s="189" t="str">
        <f t="shared" si="33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4"/>
        <v/>
      </c>
      <c r="O361" s="206" t="str">
        <f t="shared" si="30"/>
        <v/>
      </c>
      <c r="P361" s="207" t="str">
        <f t="shared" si="35"/>
        <v/>
      </c>
    </row>
    <row r="362" spans="3:16">
      <c r="C362" s="200"/>
      <c r="D362" s="201"/>
      <c r="E362" s="202"/>
      <c r="F362" s="200"/>
      <c r="H362" s="203"/>
      <c r="I362" s="186" t="str">
        <f t="shared" si="31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2"/>
        <v/>
      </c>
      <c r="L362" s="189" t="str">
        <f t="shared" si="33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4"/>
        <v/>
      </c>
      <c r="O362" s="206" t="str">
        <f t="shared" si="30"/>
        <v/>
      </c>
      <c r="P362" s="207" t="str">
        <f t="shared" si="35"/>
        <v/>
      </c>
    </row>
    <row r="363" spans="3:16">
      <c r="C363" s="200"/>
      <c r="D363" s="201"/>
      <c r="E363" s="202"/>
      <c r="F363" s="200"/>
      <c r="H363" s="203"/>
      <c r="I363" s="186" t="str">
        <f t="shared" si="31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2"/>
        <v/>
      </c>
      <c r="L363" s="189" t="str">
        <f t="shared" si="33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4"/>
        <v/>
      </c>
      <c r="O363" s="206" t="str">
        <f t="shared" si="30"/>
        <v/>
      </c>
      <c r="P363" s="207" t="str">
        <f t="shared" si="35"/>
        <v/>
      </c>
    </row>
    <row r="364" spans="3:16">
      <c r="C364" s="200"/>
      <c r="D364" s="201"/>
      <c r="E364" s="202"/>
      <c r="F364" s="200"/>
      <c r="H364" s="203"/>
      <c r="I364" s="186" t="str">
        <f t="shared" si="31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2"/>
        <v/>
      </c>
      <c r="L364" s="189" t="str">
        <f t="shared" si="33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4"/>
        <v/>
      </c>
      <c r="O364" s="206" t="str">
        <f t="shared" si="30"/>
        <v/>
      </c>
      <c r="P364" s="207" t="str">
        <f t="shared" si="35"/>
        <v/>
      </c>
    </row>
    <row r="365" spans="3:16">
      <c r="C365" s="200"/>
      <c r="D365" s="201"/>
      <c r="E365" s="202"/>
      <c r="F365" s="200"/>
      <c r="H365" s="203"/>
      <c r="I365" s="186" t="str">
        <f t="shared" si="31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2"/>
        <v/>
      </c>
      <c r="L365" s="189" t="str">
        <f t="shared" si="33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4"/>
        <v/>
      </c>
      <c r="O365" s="206" t="str">
        <f t="shared" si="30"/>
        <v/>
      </c>
      <c r="P365" s="207" t="str">
        <f t="shared" si="35"/>
        <v/>
      </c>
    </row>
    <row r="366" spans="3:16">
      <c r="C366" s="200"/>
      <c r="D366" s="201"/>
      <c r="E366" s="202"/>
      <c r="F366" s="200"/>
      <c r="H366" s="203"/>
      <c r="I366" s="186" t="str">
        <f t="shared" si="31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2"/>
        <v/>
      </c>
      <c r="L366" s="189" t="str">
        <f t="shared" si="33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4"/>
        <v/>
      </c>
      <c r="O366" s="206" t="str">
        <f t="shared" si="30"/>
        <v/>
      </c>
      <c r="P366" s="207" t="str">
        <f t="shared" si="35"/>
        <v/>
      </c>
    </row>
    <row r="367" spans="3:16">
      <c r="C367" s="200"/>
      <c r="D367" s="201"/>
      <c r="E367" s="202"/>
      <c r="F367" s="200"/>
      <c r="H367" s="203"/>
      <c r="I367" s="186" t="str">
        <f t="shared" si="31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2"/>
        <v/>
      </c>
      <c r="L367" s="189" t="str">
        <f t="shared" si="33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4"/>
        <v/>
      </c>
      <c r="O367" s="206" t="str">
        <f t="shared" si="30"/>
        <v/>
      </c>
      <c r="P367" s="207" t="str">
        <f t="shared" si="35"/>
        <v/>
      </c>
    </row>
    <row r="368" spans="3:16">
      <c r="C368" s="200"/>
      <c r="D368" s="201"/>
      <c r="E368" s="202"/>
      <c r="F368" s="200"/>
      <c r="H368" s="203"/>
      <c r="I368" s="186" t="str">
        <f t="shared" si="31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2"/>
        <v/>
      </c>
      <c r="L368" s="189" t="str">
        <f t="shared" si="33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4"/>
        <v/>
      </c>
      <c r="O368" s="206" t="str">
        <f t="shared" si="30"/>
        <v/>
      </c>
      <c r="P368" s="207" t="str">
        <f t="shared" si="35"/>
        <v/>
      </c>
    </row>
    <row r="369" spans="3:16">
      <c r="C369" s="200"/>
      <c r="D369" s="201"/>
      <c r="E369" s="202"/>
      <c r="F369" s="200"/>
      <c r="H369" s="203"/>
      <c r="I369" s="186" t="str">
        <f t="shared" si="31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2"/>
        <v/>
      </c>
      <c r="L369" s="189" t="str">
        <f t="shared" si="33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4"/>
        <v/>
      </c>
      <c r="O369" s="206" t="str">
        <f t="shared" si="30"/>
        <v/>
      </c>
      <c r="P369" s="207" t="str">
        <f t="shared" si="35"/>
        <v/>
      </c>
    </row>
    <row r="370" spans="3:16">
      <c r="C370" s="200"/>
      <c r="D370" s="201"/>
      <c r="E370" s="202"/>
      <c r="F370" s="200"/>
      <c r="H370" s="203"/>
      <c r="I370" s="186" t="str">
        <f t="shared" si="31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2"/>
        <v/>
      </c>
      <c r="L370" s="189" t="str">
        <f t="shared" si="33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4"/>
        <v/>
      </c>
      <c r="O370" s="206" t="str">
        <f t="shared" si="30"/>
        <v/>
      </c>
      <c r="P370" s="207" t="str">
        <f t="shared" si="35"/>
        <v/>
      </c>
    </row>
    <row r="371" spans="3:16">
      <c r="C371" s="200"/>
      <c r="D371" s="201"/>
      <c r="E371" s="202"/>
      <c r="F371" s="200"/>
      <c r="H371" s="203"/>
      <c r="I371" s="186" t="str">
        <f t="shared" si="31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2"/>
        <v/>
      </c>
      <c r="L371" s="189" t="str">
        <f t="shared" si="33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4"/>
        <v/>
      </c>
      <c r="O371" s="206" t="str">
        <f t="shared" si="30"/>
        <v/>
      </c>
      <c r="P371" s="207" t="str">
        <f t="shared" si="35"/>
        <v/>
      </c>
    </row>
    <row r="372" spans="3:16">
      <c r="C372" s="200"/>
      <c r="D372" s="201"/>
      <c r="E372" s="202"/>
      <c r="F372" s="200"/>
      <c r="H372" s="203"/>
      <c r="I372" s="186" t="str">
        <f t="shared" si="31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2"/>
        <v/>
      </c>
      <c r="L372" s="189" t="str">
        <f t="shared" si="33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4"/>
        <v/>
      </c>
      <c r="O372" s="206" t="str">
        <f t="shared" si="30"/>
        <v/>
      </c>
      <c r="P372" s="207" t="str">
        <f t="shared" si="35"/>
        <v/>
      </c>
    </row>
    <row r="373" spans="3:16">
      <c r="C373" s="200"/>
      <c r="D373" s="201"/>
      <c r="E373" s="202"/>
      <c r="F373" s="200"/>
      <c r="H373" s="203"/>
      <c r="I373" s="186" t="str">
        <f t="shared" si="31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2"/>
        <v/>
      </c>
      <c r="L373" s="189" t="str">
        <f t="shared" si="33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4"/>
        <v/>
      </c>
      <c r="O373" s="206" t="str">
        <f t="shared" si="30"/>
        <v/>
      </c>
      <c r="P373" s="207" t="str">
        <f t="shared" si="35"/>
        <v/>
      </c>
    </row>
    <row r="374" spans="3:16">
      <c r="C374" s="200"/>
      <c r="D374" s="201"/>
      <c r="E374" s="202"/>
      <c r="F374" s="200"/>
      <c r="H374" s="203"/>
      <c r="I374" s="186" t="str">
        <f t="shared" si="31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2"/>
        <v/>
      </c>
      <c r="L374" s="189" t="str">
        <f t="shared" si="33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4"/>
        <v/>
      </c>
      <c r="O374" s="206" t="str">
        <f t="shared" si="30"/>
        <v/>
      </c>
      <c r="P374" s="207" t="str">
        <f t="shared" si="35"/>
        <v/>
      </c>
    </row>
    <row r="375" spans="3:16">
      <c r="C375" s="200"/>
      <c r="D375" s="201"/>
      <c r="E375" s="202"/>
      <c r="F375" s="200"/>
      <c r="H375" s="203"/>
      <c r="I375" s="186" t="str">
        <f t="shared" si="31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2"/>
        <v/>
      </c>
      <c r="L375" s="189" t="str">
        <f t="shared" si="33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4"/>
        <v/>
      </c>
      <c r="O375" s="206" t="str">
        <f t="shared" si="30"/>
        <v/>
      </c>
      <c r="P375" s="207" t="str">
        <f t="shared" si="35"/>
        <v/>
      </c>
    </row>
    <row r="376" spans="3:16">
      <c r="C376" s="200"/>
      <c r="D376" s="201"/>
      <c r="E376" s="202"/>
      <c r="F376" s="200"/>
      <c r="H376" s="203"/>
      <c r="I376" s="186" t="str">
        <f t="shared" si="31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2"/>
        <v/>
      </c>
      <c r="L376" s="189" t="str">
        <f t="shared" si="33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4"/>
        <v/>
      </c>
      <c r="O376" s="206" t="str">
        <f t="shared" si="30"/>
        <v/>
      </c>
      <c r="P376" s="207" t="str">
        <f t="shared" si="35"/>
        <v/>
      </c>
    </row>
    <row r="377" spans="3:16">
      <c r="C377" s="200"/>
      <c r="D377" s="201"/>
      <c r="E377" s="202"/>
      <c r="F377" s="200"/>
      <c r="H377" s="203"/>
      <c r="I377" s="186" t="str">
        <f t="shared" si="31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2"/>
        <v/>
      </c>
      <c r="L377" s="189" t="str">
        <f t="shared" si="33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4"/>
        <v/>
      </c>
      <c r="O377" s="206" t="str">
        <f t="shared" si="30"/>
        <v/>
      </c>
      <c r="P377" s="207" t="str">
        <f t="shared" si="35"/>
        <v/>
      </c>
    </row>
    <row r="378" spans="3:16">
      <c r="C378" s="200"/>
      <c r="D378" s="201"/>
      <c r="E378" s="202"/>
      <c r="F378" s="200"/>
      <c r="H378" s="203"/>
      <c r="I378" s="186" t="str">
        <f t="shared" si="31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2"/>
        <v/>
      </c>
      <c r="L378" s="189" t="str">
        <f t="shared" si="33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4"/>
        <v/>
      </c>
      <c r="O378" s="206" t="str">
        <f t="shared" si="30"/>
        <v/>
      </c>
      <c r="P378" s="207" t="str">
        <f t="shared" si="35"/>
        <v/>
      </c>
    </row>
    <row r="379" spans="3:16">
      <c r="C379" s="200"/>
      <c r="D379" s="201"/>
      <c r="E379" s="202"/>
      <c r="F379" s="200"/>
      <c r="H379" s="203"/>
      <c r="I379" s="186" t="str">
        <f t="shared" si="31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2"/>
        <v/>
      </c>
      <c r="L379" s="189" t="str">
        <f t="shared" si="33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4"/>
        <v/>
      </c>
      <c r="O379" s="206" t="str">
        <f t="shared" si="30"/>
        <v/>
      </c>
      <c r="P379" s="207" t="str">
        <f t="shared" si="35"/>
        <v/>
      </c>
    </row>
    <row r="380" spans="3:16">
      <c r="C380" s="200"/>
      <c r="D380" s="201"/>
      <c r="E380" s="202"/>
      <c r="F380" s="200"/>
      <c r="H380" s="203"/>
      <c r="I380" s="186" t="str">
        <f t="shared" si="31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2"/>
        <v/>
      </c>
      <c r="L380" s="189" t="str">
        <f t="shared" si="33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4"/>
        <v/>
      </c>
      <c r="O380" s="206" t="str">
        <f t="shared" si="30"/>
        <v/>
      </c>
      <c r="P380" s="207" t="str">
        <f t="shared" si="35"/>
        <v/>
      </c>
    </row>
    <row r="381" spans="3:16">
      <c r="C381" s="200"/>
      <c r="D381" s="201"/>
      <c r="E381" s="202"/>
      <c r="F381" s="200"/>
      <c r="H381" s="203"/>
      <c r="I381" s="186" t="str">
        <f t="shared" si="31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2"/>
        <v/>
      </c>
      <c r="L381" s="189" t="str">
        <f t="shared" si="33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4"/>
        <v/>
      </c>
      <c r="O381" s="206" t="str">
        <f t="shared" si="30"/>
        <v/>
      </c>
      <c r="P381" s="207" t="str">
        <f t="shared" si="35"/>
        <v/>
      </c>
    </row>
    <row r="382" spans="3:16">
      <c r="C382" s="200"/>
      <c r="D382" s="201"/>
      <c r="E382" s="202"/>
      <c r="F382" s="200"/>
      <c r="H382" s="203"/>
      <c r="I382" s="186" t="str">
        <f t="shared" si="31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2"/>
        <v/>
      </c>
      <c r="L382" s="189" t="str">
        <f t="shared" si="33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4"/>
        <v/>
      </c>
      <c r="O382" s="206" t="str">
        <f t="shared" si="30"/>
        <v/>
      </c>
      <c r="P382" s="207" t="str">
        <f t="shared" si="35"/>
        <v/>
      </c>
    </row>
    <row r="383" spans="3:16">
      <c r="C383" s="200"/>
      <c r="D383" s="201"/>
      <c r="E383" s="202"/>
      <c r="F383" s="200"/>
      <c r="H383" s="203"/>
      <c r="I383" s="186" t="str">
        <f t="shared" si="31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2"/>
        <v/>
      </c>
      <c r="L383" s="189" t="str">
        <f t="shared" si="33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4"/>
        <v/>
      </c>
      <c r="O383" s="206" t="str">
        <f t="shared" si="30"/>
        <v/>
      </c>
      <c r="P383" s="207" t="str">
        <f t="shared" si="35"/>
        <v/>
      </c>
    </row>
    <row r="384" spans="3:16">
      <c r="C384" s="200"/>
      <c r="D384" s="201"/>
      <c r="E384" s="202"/>
      <c r="F384" s="200"/>
      <c r="H384" s="203"/>
      <c r="I384" s="186" t="str">
        <f t="shared" si="31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2"/>
        <v/>
      </c>
      <c r="L384" s="189" t="str">
        <f t="shared" si="33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4"/>
        <v/>
      </c>
      <c r="O384" s="206" t="str">
        <f t="shared" si="30"/>
        <v/>
      </c>
      <c r="P384" s="207" t="str">
        <f t="shared" si="35"/>
        <v/>
      </c>
    </row>
    <row r="385" spans="3:16">
      <c r="C385" s="200"/>
      <c r="D385" s="201"/>
      <c r="E385" s="202"/>
      <c r="F385" s="200"/>
      <c r="H385" s="203"/>
      <c r="I385" s="186" t="str">
        <f t="shared" si="31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2"/>
        <v/>
      </c>
      <c r="L385" s="189" t="str">
        <f t="shared" si="33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4"/>
        <v/>
      </c>
      <c r="O385" s="206" t="str">
        <f t="shared" si="30"/>
        <v/>
      </c>
      <c r="P385" s="207" t="str">
        <f t="shared" si="35"/>
        <v/>
      </c>
    </row>
    <row r="386" spans="3:16">
      <c r="C386" s="200"/>
      <c r="D386" s="201"/>
      <c r="E386" s="202"/>
      <c r="F386" s="200"/>
      <c r="H386" s="203"/>
      <c r="I386" s="186" t="str">
        <f t="shared" si="31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2"/>
        <v/>
      </c>
      <c r="L386" s="189" t="str">
        <f t="shared" si="33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4"/>
        <v/>
      </c>
      <c r="O386" s="206" t="str">
        <f t="shared" si="30"/>
        <v/>
      </c>
      <c r="P386" s="207" t="str">
        <f t="shared" si="35"/>
        <v/>
      </c>
    </row>
    <row r="387" spans="3:16">
      <c r="C387" s="200"/>
      <c r="D387" s="201"/>
      <c r="E387" s="202"/>
      <c r="F387" s="200"/>
      <c r="H387" s="203"/>
      <c r="I387" s="186" t="str">
        <f t="shared" si="31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2"/>
        <v/>
      </c>
      <c r="L387" s="189" t="str">
        <f t="shared" si="33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4"/>
        <v/>
      </c>
      <c r="O387" s="206" t="str">
        <f t="shared" si="30"/>
        <v/>
      </c>
      <c r="P387" s="207" t="str">
        <f t="shared" si="35"/>
        <v/>
      </c>
    </row>
    <row r="388" spans="3:16">
      <c r="C388" s="200"/>
      <c r="D388" s="201"/>
      <c r="E388" s="202"/>
      <c r="F388" s="200"/>
      <c r="H388" s="203"/>
      <c r="I388" s="186" t="str">
        <f t="shared" si="31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2"/>
        <v/>
      </c>
      <c r="L388" s="189" t="str">
        <f t="shared" si="33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4"/>
        <v/>
      </c>
      <c r="O388" s="206" t="str">
        <f t="shared" si="30"/>
        <v/>
      </c>
      <c r="P388" s="207" t="str">
        <f t="shared" si="35"/>
        <v/>
      </c>
    </row>
    <row r="389" spans="3:16">
      <c r="C389" s="200"/>
      <c r="D389" s="201"/>
      <c r="E389" s="202"/>
      <c r="F389" s="200"/>
      <c r="H389" s="203"/>
      <c r="I389" s="186" t="str">
        <f t="shared" si="31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2"/>
        <v/>
      </c>
      <c r="L389" s="189" t="str">
        <f t="shared" si="33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4"/>
        <v/>
      </c>
      <c r="O389" s="206" t="str">
        <f t="shared" si="30"/>
        <v/>
      </c>
      <c r="P389" s="207" t="str">
        <f t="shared" si="35"/>
        <v/>
      </c>
    </row>
    <row r="390" spans="3:16">
      <c r="C390" s="200"/>
      <c r="D390" s="201"/>
      <c r="E390" s="202"/>
      <c r="F390" s="200"/>
      <c r="H390" s="203"/>
      <c r="I390" s="186" t="str">
        <f t="shared" si="31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32"/>
        <v/>
      </c>
      <c r="L390" s="189" t="str">
        <f t="shared" si="33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34"/>
        <v/>
      </c>
      <c r="O390" s="206" t="str">
        <f t="shared" ref="O390:O400" si="36">IF(OR(K390="",N390=""),"",K390-N390)</f>
        <v/>
      </c>
      <c r="P390" s="207" t="str">
        <f t="shared" si="35"/>
        <v/>
      </c>
    </row>
    <row r="391" spans="3:16">
      <c r="C391" s="200"/>
      <c r="D391" s="201"/>
      <c r="E391" s="202"/>
      <c r="F391" s="200"/>
      <c r="H391" s="203"/>
      <c r="I391" s="186" t="str">
        <f t="shared" ref="I391:I400" si="37">IF(H391="","",IF(H391="JPY","",IF($H391="USD",4, IF(H391="EUR",7,IF(H391="CNY",47,IF(H391="HKD",34))))))</f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ref="K391:K400" si="38">IF($H391="JPY",$F391,IF($H391="","",$F391*$J391))</f>
        <v/>
      </c>
      <c r="L391" s="189" t="str">
        <f t="shared" ref="L391:L400" si="39">IF(H391="","",IF(H391="JPY","",IF($H391="USD",3, IF(H391="EUR",6,IF(H391="CNY",46,IF(H391="HKD",33))))))</f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ref="N391:N400" si="40">IF($E391="JPY",($C391+$D391),IF($E391="","",($C391+$D391)*$M391))</f>
        <v/>
      </c>
      <c r="O391" s="206" t="str">
        <f t="shared" si="36"/>
        <v/>
      </c>
      <c r="P391" s="207" t="str">
        <f t="shared" ref="P391:P400" si="41">IF(OR(K391="",O391=""),"",O391/K391)</f>
        <v/>
      </c>
    </row>
    <row r="392" spans="3:16">
      <c r="C392" s="200"/>
      <c r="D392" s="201"/>
      <c r="E392" s="202"/>
      <c r="F392" s="200"/>
      <c r="H392" s="203"/>
      <c r="I392" s="186" t="str">
        <f t="shared" si="37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38"/>
        <v/>
      </c>
      <c r="L392" s="189" t="str">
        <f t="shared" si="39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40"/>
        <v/>
      </c>
      <c r="O392" s="206" t="str">
        <f t="shared" si="36"/>
        <v/>
      </c>
      <c r="P392" s="207" t="str">
        <f t="shared" si="41"/>
        <v/>
      </c>
    </row>
    <row r="393" spans="3:16">
      <c r="C393" s="200"/>
      <c r="D393" s="201"/>
      <c r="E393" s="202"/>
      <c r="F393" s="200"/>
      <c r="H393" s="203"/>
      <c r="I393" s="186" t="str">
        <f t="shared" si="37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38"/>
        <v/>
      </c>
      <c r="L393" s="189" t="str">
        <f t="shared" si="39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40"/>
        <v/>
      </c>
      <c r="O393" s="206" t="str">
        <f t="shared" si="36"/>
        <v/>
      </c>
      <c r="P393" s="207" t="str">
        <f t="shared" si="41"/>
        <v/>
      </c>
    </row>
    <row r="394" spans="3:16">
      <c r="C394" s="200"/>
      <c r="D394" s="201"/>
      <c r="E394" s="202"/>
      <c r="F394" s="200"/>
      <c r="H394" s="203"/>
      <c r="I394" s="186" t="str">
        <f t="shared" si="37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38"/>
        <v/>
      </c>
      <c r="L394" s="189" t="str">
        <f t="shared" si="39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40"/>
        <v/>
      </c>
      <c r="O394" s="206" t="str">
        <f t="shared" si="36"/>
        <v/>
      </c>
      <c r="P394" s="207" t="str">
        <f t="shared" si="41"/>
        <v/>
      </c>
    </row>
    <row r="395" spans="3:16">
      <c r="C395" s="200"/>
      <c r="D395" s="201"/>
      <c r="E395" s="202"/>
      <c r="F395" s="200"/>
      <c r="H395" s="203"/>
      <c r="I395" s="186" t="str">
        <f t="shared" si="37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38"/>
        <v/>
      </c>
      <c r="L395" s="189" t="str">
        <f t="shared" si="39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40"/>
        <v/>
      </c>
      <c r="O395" s="206" t="str">
        <f t="shared" si="36"/>
        <v/>
      </c>
      <c r="P395" s="207" t="str">
        <f t="shared" si="41"/>
        <v/>
      </c>
    </row>
    <row r="396" spans="3:16">
      <c r="C396" s="200"/>
      <c r="D396" s="201"/>
      <c r="E396" s="202"/>
      <c r="F396" s="200"/>
      <c r="H396" s="203"/>
      <c r="I396" s="186" t="str">
        <f t="shared" si="37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38"/>
        <v/>
      </c>
      <c r="L396" s="189" t="str">
        <f t="shared" si="39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40"/>
        <v/>
      </c>
      <c r="O396" s="206" t="str">
        <f t="shared" si="36"/>
        <v/>
      </c>
      <c r="P396" s="207" t="str">
        <f t="shared" si="41"/>
        <v/>
      </c>
    </row>
    <row r="397" spans="3:16">
      <c r="C397" s="200"/>
      <c r="D397" s="201"/>
      <c r="E397" s="202"/>
      <c r="F397" s="200"/>
      <c r="H397" s="203"/>
      <c r="I397" s="186" t="str">
        <f t="shared" si="37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38"/>
        <v/>
      </c>
      <c r="L397" s="189" t="str">
        <f t="shared" si="39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40"/>
        <v/>
      </c>
      <c r="O397" s="206" t="str">
        <f t="shared" si="36"/>
        <v/>
      </c>
      <c r="P397" s="207" t="str">
        <f t="shared" si="41"/>
        <v/>
      </c>
    </row>
    <row r="398" spans="3:16">
      <c r="C398" s="200"/>
      <c r="D398" s="201"/>
      <c r="E398" s="202"/>
      <c r="F398" s="200"/>
      <c r="H398" s="203"/>
      <c r="I398" s="186" t="str">
        <f t="shared" si="37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38"/>
        <v/>
      </c>
      <c r="L398" s="189" t="str">
        <f t="shared" si="39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40"/>
        <v/>
      </c>
      <c r="O398" s="206" t="str">
        <f t="shared" si="36"/>
        <v/>
      </c>
      <c r="P398" s="207" t="str">
        <f t="shared" si="41"/>
        <v/>
      </c>
    </row>
    <row r="399" spans="3:16">
      <c r="C399" s="200"/>
      <c r="D399" s="201"/>
      <c r="E399" s="202"/>
      <c r="F399" s="200"/>
      <c r="H399" s="203"/>
      <c r="I399" s="186" t="str">
        <f t="shared" si="37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38"/>
        <v/>
      </c>
      <c r="L399" s="189" t="str">
        <f t="shared" si="39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40"/>
        <v/>
      </c>
      <c r="O399" s="206" t="str">
        <f t="shared" si="36"/>
        <v/>
      </c>
      <c r="P399" s="207" t="str">
        <f t="shared" si="41"/>
        <v/>
      </c>
    </row>
    <row r="400" spans="3:16">
      <c r="C400" s="200"/>
      <c r="D400" s="201"/>
      <c r="E400" s="202"/>
      <c r="F400" s="200"/>
      <c r="H400" s="203"/>
      <c r="I400" s="186" t="str">
        <f t="shared" si="37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38"/>
        <v/>
      </c>
      <c r="L400" s="189" t="str">
        <f t="shared" si="39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40"/>
        <v/>
      </c>
      <c r="O400" s="206" t="str">
        <f t="shared" si="36"/>
        <v/>
      </c>
      <c r="P400" s="207" t="str">
        <f t="shared" si="41"/>
        <v/>
      </c>
    </row>
  </sheetData>
  <mergeCells count="1">
    <mergeCell ref="A1:E2"/>
  </mergeCells>
  <phoneticPr fontId="2"/>
  <conditionalFormatting sqref="P6:P400">
    <cfRule type="cellIs" dxfId="1" priority="1" operator="greaterThan">
      <formula>$P$3</formula>
    </cfRule>
  </conditionalFormatting>
  <dataValidations count="2">
    <dataValidation type="list" allowBlank="1" showInputMessage="1" showErrorMessage="1" sqref="H6:H400 E6:E400" xr:uid="{408610D7-75B0-4E3B-9239-2B39FE3A92D8}">
      <formula1>"JPY,USD,EUR,CNY,HKD"</formula1>
    </dataValidation>
    <dataValidation type="list" allowBlank="1" showInputMessage="1" showErrorMessage="1" sqref="A6:A400" xr:uid="{6C513AF7-31D4-4151-9BB2-34582F452B21}">
      <formula1>$M$3:$O$3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BFC6B-9D0B-4B1E-8B39-EEE46A96AB57}">
  <sheetPr codeName="Sheet18">
    <tabColor theme="7" tint="0.79998168889431442"/>
  </sheetPr>
  <dimension ref="A1:S59"/>
  <sheetViews>
    <sheetView showGridLines="0" topLeftCell="A6" zoomScale="70" zoomScaleNormal="70" workbookViewId="0">
      <selection activeCell="H23" sqref="H23"/>
    </sheetView>
  </sheetViews>
  <sheetFormatPr defaultRowHeight="18.75"/>
  <cols>
    <col min="1" max="2" width="16.75" style="1" customWidth="1"/>
    <col min="3" max="3" width="12.25" style="1" customWidth="1"/>
    <col min="4" max="4" width="12.25" style="20" customWidth="1"/>
    <col min="5" max="16" width="18.75" style="2" customWidth="1"/>
    <col min="17" max="17" width="12.5" style="1" customWidth="1"/>
    <col min="18" max="18" width="20.25" style="2" customWidth="1"/>
    <col min="19" max="19" width="20.25" style="65" customWidth="1"/>
  </cols>
  <sheetData>
    <row r="1" spans="1:19" ht="24.75" customHeight="1" thickBot="1">
      <c r="A1" s="473" t="s">
        <v>12</v>
      </c>
      <c r="B1" s="476" t="s">
        <v>141</v>
      </c>
      <c r="C1" s="479" t="s">
        <v>38</v>
      </c>
      <c r="D1" s="480"/>
      <c r="E1" s="481"/>
    </row>
    <row r="2" spans="1:19" ht="18.75" customHeight="1">
      <c r="A2" s="474"/>
      <c r="B2" s="477"/>
      <c r="C2" s="40" t="s">
        <v>25</v>
      </c>
      <c r="D2" s="41">
        <v>140</v>
      </c>
      <c r="E2" s="42" t="s">
        <v>36</v>
      </c>
    </row>
    <row r="3" spans="1:19" ht="19.5" customHeight="1" thickBot="1">
      <c r="A3" s="475"/>
      <c r="B3" s="478"/>
      <c r="C3" s="37" t="s">
        <v>26</v>
      </c>
      <c r="D3" s="38">
        <v>140</v>
      </c>
      <c r="E3" s="39" t="s">
        <v>37</v>
      </c>
      <c r="Q3" s="3"/>
    </row>
    <row r="4" spans="1:19" ht="19.5" thickBot="1"/>
    <row r="5" spans="1:19" ht="19.5" customHeight="1" thickBot="1">
      <c r="A5" s="484" t="s">
        <v>30</v>
      </c>
      <c r="B5" s="485"/>
      <c r="C5" s="459" t="s">
        <v>303</v>
      </c>
      <c r="D5" s="460"/>
      <c r="E5" s="438" t="s">
        <v>19</v>
      </c>
      <c r="F5" s="439"/>
      <c r="G5" s="439"/>
      <c r="H5" s="439"/>
      <c r="I5" s="439"/>
      <c r="J5" s="440"/>
      <c r="K5" s="438" t="s">
        <v>20</v>
      </c>
      <c r="L5" s="439"/>
      <c r="M5" s="439"/>
      <c r="N5" s="439"/>
      <c r="O5" s="439"/>
      <c r="P5" s="440"/>
      <c r="Q5" s="471" t="s">
        <v>21</v>
      </c>
    </row>
    <row r="6" spans="1:19" ht="19.5" customHeight="1" thickBot="1">
      <c r="A6" s="416" t="s">
        <v>115</v>
      </c>
      <c r="B6" s="417" t="s">
        <v>148</v>
      </c>
      <c r="C6" s="461"/>
      <c r="D6" s="462"/>
      <c r="E6" s="418">
        <v>45809</v>
      </c>
      <c r="F6" s="419">
        <v>45839</v>
      </c>
      <c r="G6" s="419">
        <v>45870</v>
      </c>
      <c r="H6" s="419">
        <v>45901</v>
      </c>
      <c r="I6" s="419">
        <v>45931</v>
      </c>
      <c r="J6" s="420">
        <v>45962</v>
      </c>
      <c r="K6" s="418">
        <v>45992</v>
      </c>
      <c r="L6" s="419">
        <v>46023</v>
      </c>
      <c r="M6" s="419">
        <v>46054</v>
      </c>
      <c r="N6" s="419">
        <v>46082</v>
      </c>
      <c r="O6" s="419">
        <v>46113</v>
      </c>
      <c r="P6" s="421">
        <v>46143</v>
      </c>
      <c r="Q6" s="472"/>
      <c r="R6" s="422" t="s">
        <v>304</v>
      </c>
      <c r="S6" s="423" t="s">
        <v>146</v>
      </c>
    </row>
    <row r="7" spans="1:19" ht="18.75" customHeight="1">
      <c r="A7" s="464" t="s">
        <v>159</v>
      </c>
      <c r="B7" s="466" t="s">
        <v>378</v>
      </c>
      <c r="C7" s="450" t="s">
        <v>15</v>
      </c>
      <c r="D7" s="112" t="s">
        <v>13</v>
      </c>
      <c r="E7" s="113"/>
      <c r="F7" s="114"/>
      <c r="G7" s="114"/>
      <c r="H7" s="114"/>
      <c r="I7" s="114"/>
      <c r="J7" s="115"/>
      <c r="K7" s="116"/>
      <c r="L7" s="114"/>
      <c r="M7" s="114"/>
      <c r="N7" s="114"/>
      <c r="O7" s="114"/>
      <c r="P7" s="117">
        <v>21700</v>
      </c>
      <c r="Q7" s="118">
        <f>SUM(E7:P7)</f>
        <v>21700</v>
      </c>
      <c r="R7" s="482"/>
      <c r="S7" s="68" t="str">
        <f>IFERROR(Q7/R7,"")</f>
        <v/>
      </c>
    </row>
    <row r="8" spans="1:19" ht="19.5" thickBot="1">
      <c r="A8" s="464"/>
      <c r="B8" s="467"/>
      <c r="C8" s="450"/>
      <c r="D8" s="134" t="s">
        <v>14</v>
      </c>
      <c r="E8" s="135">
        <f ca="1">SUMIFS(INDIRECT($B$1&amp;"INV!$K:$K"),INDIRECT($B$1&amp;"INV!$A:$A"),$A7,INDIRECT($B$1&amp;"INV!$G:$G"),"&gt;="&amp;E$6,INDIRECT($B$1&amp;"INV!$G:$G"),"&lt;"&amp;EOMONTH(E$6,0)+1)/1000</f>
        <v>0</v>
      </c>
      <c r="F8" s="136">
        <f ca="1">SUMIFS(INDIRECT($B$1&amp;"INV!$K:$K"),INDIRECT($B$1&amp;"INV!$A:$A"),$A7,INDIRECT($B$1&amp;"INV!$G:$G"),"&gt;="&amp;F$6,INDIRECT($B$1&amp;"INV!$G:$G"),"&lt;"&amp;EOMONTH(F$6,0)+1)/1000</f>
        <v>0</v>
      </c>
      <c r="G8" s="136">
        <f ca="1">SUMIFS(INDIRECT($B$1&amp;"INV!$K:$K"),INDIRECT($B$1&amp;"INV!$A:$A"),$A7,INDIRECT($B$1&amp;"INV!$G:$G"),"&gt;="&amp;G$6,INDIRECT($B$1&amp;"INV!$G:$G"),"&lt;"&amp;EOMONTH(G$6,0)+1)/1000</f>
        <v>0</v>
      </c>
      <c r="H8" s="136">
        <f t="shared" ref="H8:P8" ca="1" si="0">SUMIFS(INDIRECT($B$1&amp;"INV!$K:$K"),INDIRECT($B$1&amp;"INV!$A:$A"),$A7,INDIRECT($B$1&amp;"INV!$G:$G"),"&gt;="&amp;H$6,INDIRECT($B$1&amp;"INV!$G:$G"),"&lt;"&amp;EOMONTH(H$6,0)+1)/1000</f>
        <v>0</v>
      </c>
      <c r="I8" s="136">
        <f t="shared" ca="1" si="0"/>
        <v>0</v>
      </c>
      <c r="J8" s="139">
        <f t="shared" ca="1" si="0"/>
        <v>0</v>
      </c>
      <c r="K8" s="135">
        <f t="shared" ca="1" si="0"/>
        <v>0</v>
      </c>
      <c r="L8" s="136">
        <f t="shared" ca="1" si="0"/>
        <v>0</v>
      </c>
      <c r="M8" s="136">
        <f t="shared" ca="1" si="0"/>
        <v>0</v>
      </c>
      <c r="N8" s="136">
        <f t="shared" ca="1" si="0"/>
        <v>0</v>
      </c>
      <c r="O8" s="136">
        <f t="shared" ca="1" si="0"/>
        <v>0</v>
      </c>
      <c r="P8" s="137">
        <f t="shared" ca="1" si="0"/>
        <v>0</v>
      </c>
      <c r="Q8" s="140">
        <f ca="1">SUM(E8:P8)</f>
        <v>0</v>
      </c>
      <c r="R8" s="483"/>
      <c r="S8" s="69" t="str">
        <f ca="1">IFERROR(Q8/R7,"")</f>
        <v/>
      </c>
    </row>
    <row r="9" spans="1:19">
      <c r="A9" s="464"/>
      <c r="B9" s="467"/>
      <c r="C9" s="450"/>
      <c r="D9" s="21" t="s">
        <v>17</v>
      </c>
      <c r="E9" s="11" t="e">
        <f ca="1">E8/E7</f>
        <v>#DIV/0!</v>
      </c>
      <c r="F9" s="4" t="e">
        <f t="shared" ref="F9:Q9" ca="1" si="1">F8/F7</f>
        <v>#DIV/0!</v>
      </c>
      <c r="G9" s="4" t="e">
        <f t="shared" ca="1" si="1"/>
        <v>#DIV/0!</v>
      </c>
      <c r="H9" s="4" t="e">
        <f t="shared" ca="1" si="1"/>
        <v>#DIV/0!</v>
      </c>
      <c r="I9" s="4" t="e">
        <f t="shared" ca="1" si="1"/>
        <v>#DIV/0!</v>
      </c>
      <c r="J9" s="6" t="e">
        <f t="shared" ca="1" si="1"/>
        <v>#DIV/0!</v>
      </c>
      <c r="K9" s="8" t="e">
        <f t="shared" ca="1" si="1"/>
        <v>#DIV/0!</v>
      </c>
      <c r="L9" s="4" t="e">
        <f t="shared" ca="1" si="1"/>
        <v>#DIV/0!</v>
      </c>
      <c r="M9" s="4" t="e">
        <f t="shared" ca="1" si="1"/>
        <v>#DIV/0!</v>
      </c>
      <c r="N9" s="4" t="e">
        <f t="shared" ca="1" si="1"/>
        <v>#DIV/0!</v>
      </c>
      <c r="O9" s="4" t="e">
        <f t="shared" ca="1" si="1"/>
        <v>#DIV/0!</v>
      </c>
      <c r="P9" s="16">
        <f t="shared" ca="1" si="1"/>
        <v>0</v>
      </c>
      <c r="Q9" s="26">
        <f t="shared" ca="1" si="1"/>
        <v>0</v>
      </c>
    </row>
    <row r="10" spans="1:19">
      <c r="A10" s="464"/>
      <c r="B10" s="467"/>
      <c r="C10" s="451"/>
      <c r="D10" s="22" t="s">
        <v>18</v>
      </c>
      <c r="E10" s="12" t="e">
        <f ca="1">SUM($E8:E8)/SUM($E7:E7)</f>
        <v>#DIV/0!</v>
      </c>
      <c r="F10" s="5" t="e">
        <f ca="1">SUM($E8:F8)/SUM($E7:F7)</f>
        <v>#DIV/0!</v>
      </c>
      <c r="G10" s="5" t="e">
        <f ca="1">SUM($E8:G8)/SUM($E7:G7)</f>
        <v>#DIV/0!</v>
      </c>
      <c r="H10" s="5" t="e">
        <f ca="1">SUM($E8:H8)/SUM($E7:H7)</f>
        <v>#DIV/0!</v>
      </c>
      <c r="I10" s="5" t="e">
        <f ca="1">SUM($E8:I8)/SUM($E7:I7)</f>
        <v>#DIV/0!</v>
      </c>
      <c r="J10" s="13" t="e">
        <f ca="1">SUM($E8:J8)/SUM($E7:J7)</f>
        <v>#DIV/0!</v>
      </c>
      <c r="K10" s="9" t="e">
        <f ca="1">SUM($E8:K8)/SUM($E7:K7)</f>
        <v>#DIV/0!</v>
      </c>
      <c r="L10" s="5" t="e">
        <f ca="1">SUM($E8:L8)/SUM($E7:L7)</f>
        <v>#DIV/0!</v>
      </c>
      <c r="M10" s="5" t="e">
        <f ca="1">SUM($E8:M8)/SUM($E7:M7)</f>
        <v>#DIV/0!</v>
      </c>
      <c r="N10" s="5" t="e">
        <f ca="1">SUM($E8:N8)/SUM($E7:N7)</f>
        <v>#DIV/0!</v>
      </c>
      <c r="O10" s="5" t="e">
        <f ca="1">SUM($E8:O8)/SUM($E7:O7)</f>
        <v>#DIV/0!</v>
      </c>
      <c r="P10" s="17">
        <f ca="1">SUM($E8:P8)/SUM($E7:P7)</f>
        <v>0</v>
      </c>
      <c r="Q10" s="27" t="s">
        <v>22</v>
      </c>
      <c r="R10" s="59"/>
      <c r="S10"/>
    </row>
    <row r="11" spans="1:19">
      <c r="A11" s="464"/>
      <c r="B11" s="467"/>
      <c r="C11" s="469" t="s">
        <v>147</v>
      </c>
      <c r="D11" s="119" t="s">
        <v>13</v>
      </c>
      <c r="E11" s="120"/>
      <c r="F11" s="121"/>
      <c r="G11" s="121"/>
      <c r="H11" s="121"/>
      <c r="I11" s="121"/>
      <c r="J11" s="122"/>
      <c r="K11" s="123"/>
      <c r="L11" s="121"/>
      <c r="M11" s="121"/>
      <c r="N11" s="121"/>
      <c r="O11" s="121"/>
      <c r="P11" s="124">
        <v>15500</v>
      </c>
      <c r="Q11" s="125">
        <f>SUM(E11:P11)</f>
        <v>15500</v>
      </c>
      <c r="R11" s="482"/>
      <c r="S11" s="68" t="str">
        <f>IFERROR(Q11/R11,"")</f>
        <v/>
      </c>
    </row>
    <row r="12" spans="1:19">
      <c r="A12" s="464"/>
      <c r="B12" s="467"/>
      <c r="C12" s="470"/>
      <c r="D12" s="141" t="s">
        <v>14</v>
      </c>
      <c r="E12" s="147">
        <f ca="1">SUMIFS(INDIRECT($B$1&amp;"INV!$N:$N"),INDIRECT($B$1&amp;"INV!$A:$A"),$A7,INDIRECT($B$1&amp;"INV!$G:$G"),"&gt;="&amp;E$6,INDIRECT($B$1&amp;"INV!$G:$G"),"&lt;"&amp;EOMONTH(E$6,0)+1)/1000</f>
        <v>0</v>
      </c>
      <c r="F12" s="142">
        <f t="shared" ref="F12:P12" ca="1" si="2">SUMIFS(INDIRECT($B$1&amp;"INV!$N:$N"),INDIRECT($B$1&amp;"INV!$A:$A"),$A7,INDIRECT($B$1&amp;"INV!$G:$G"),"&gt;="&amp;F$6,INDIRECT($B$1&amp;"INV!$G:$G"),"&lt;"&amp;EOMONTH(F$6,0)+1)/1000</f>
        <v>0</v>
      </c>
      <c r="G12" s="142">
        <f t="shared" ca="1" si="2"/>
        <v>0</v>
      </c>
      <c r="H12" s="142">
        <f t="shared" ca="1" si="2"/>
        <v>0</v>
      </c>
      <c r="I12" s="142">
        <f t="shared" ca="1" si="2"/>
        <v>0</v>
      </c>
      <c r="J12" s="145">
        <f t="shared" ca="1" si="2"/>
        <v>0</v>
      </c>
      <c r="K12" s="147">
        <f t="shared" ca="1" si="2"/>
        <v>0</v>
      </c>
      <c r="L12" s="142">
        <f t="shared" ca="1" si="2"/>
        <v>0</v>
      </c>
      <c r="M12" s="142">
        <f t="shared" ca="1" si="2"/>
        <v>0</v>
      </c>
      <c r="N12" s="142">
        <f t="shared" ca="1" si="2"/>
        <v>0</v>
      </c>
      <c r="O12" s="142">
        <f t="shared" ca="1" si="2"/>
        <v>0</v>
      </c>
      <c r="P12" s="143">
        <f t="shared" ca="1" si="2"/>
        <v>0</v>
      </c>
      <c r="Q12" s="146">
        <f ca="1">SUM(E12:P12)</f>
        <v>0</v>
      </c>
      <c r="R12" s="488"/>
      <c r="S12" s="70" t="str">
        <f ca="1">IFERROR(Q12/R11,"")</f>
        <v/>
      </c>
    </row>
    <row r="13" spans="1:19">
      <c r="A13" s="464"/>
      <c r="B13" s="467"/>
      <c r="C13" s="452" t="s">
        <v>16</v>
      </c>
      <c r="D13" s="119" t="s">
        <v>13</v>
      </c>
      <c r="E13" s="120">
        <f>E7-E11</f>
        <v>0</v>
      </c>
      <c r="F13" s="121">
        <f t="shared" ref="F13:P14" si="3">F7-F11</f>
        <v>0</v>
      </c>
      <c r="G13" s="121">
        <f t="shared" si="3"/>
        <v>0</v>
      </c>
      <c r="H13" s="121">
        <f t="shared" si="3"/>
        <v>0</v>
      </c>
      <c r="I13" s="121">
        <f t="shared" si="3"/>
        <v>0</v>
      </c>
      <c r="J13" s="122">
        <f t="shared" si="3"/>
        <v>0</v>
      </c>
      <c r="K13" s="123">
        <f t="shared" si="3"/>
        <v>0</v>
      </c>
      <c r="L13" s="121">
        <f t="shared" si="3"/>
        <v>0</v>
      </c>
      <c r="M13" s="121">
        <f t="shared" si="3"/>
        <v>0</v>
      </c>
      <c r="N13" s="121">
        <f t="shared" si="3"/>
        <v>0</v>
      </c>
      <c r="O13" s="121">
        <f t="shared" si="3"/>
        <v>0</v>
      </c>
      <c r="P13" s="124">
        <f t="shared" si="3"/>
        <v>6200</v>
      </c>
      <c r="Q13" s="125">
        <f>SUM(E13:P13)</f>
        <v>6200</v>
      </c>
      <c r="R13" s="482">
        <f>R7-R11</f>
        <v>0</v>
      </c>
      <c r="S13" s="150" t="str">
        <f>IFERROR(Q13/R13,"")</f>
        <v/>
      </c>
    </row>
    <row r="14" spans="1:19" ht="19.5" thickBot="1">
      <c r="A14" s="464"/>
      <c r="B14" s="467"/>
      <c r="C14" s="453"/>
      <c r="D14" s="134" t="s">
        <v>14</v>
      </c>
      <c r="E14" s="135">
        <f ca="1">E8-E12</f>
        <v>0</v>
      </c>
      <c r="F14" s="136">
        <f t="shared" ca="1" si="3"/>
        <v>0</v>
      </c>
      <c r="G14" s="136">
        <f t="shared" ca="1" si="3"/>
        <v>0</v>
      </c>
      <c r="H14" s="136">
        <f t="shared" ca="1" si="3"/>
        <v>0</v>
      </c>
      <c r="I14" s="136">
        <f t="shared" ca="1" si="3"/>
        <v>0</v>
      </c>
      <c r="J14" s="139">
        <f t="shared" ca="1" si="3"/>
        <v>0</v>
      </c>
      <c r="K14" s="135">
        <f t="shared" ca="1" si="3"/>
        <v>0</v>
      </c>
      <c r="L14" s="136">
        <f t="shared" ca="1" si="3"/>
        <v>0</v>
      </c>
      <c r="M14" s="136">
        <f t="shared" ca="1" si="3"/>
        <v>0</v>
      </c>
      <c r="N14" s="136">
        <f t="shared" ca="1" si="3"/>
        <v>0</v>
      </c>
      <c r="O14" s="136">
        <f t="shared" ca="1" si="3"/>
        <v>0</v>
      </c>
      <c r="P14" s="137">
        <f t="shared" ca="1" si="3"/>
        <v>0</v>
      </c>
      <c r="Q14" s="140">
        <f ca="1">SUM(E14:P14)</f>
        <v>0</v>
      </c>
      <c r="R14" s="483"/>
      <c r="S14" s="69" t="str">
        <f ca="1">IFERROR(Q14/R13,"")</f>
        <v/>
      </c>
    </row>
    <row r="15" spans="1:19">
      <c r="A15" s="464"/>
      <c r="B15" s="467"/>
      <c r="C15" s="453"/>
      <c r="D15" s="21" t="s">
        <v>17</v>
      </c>
      <c r="E15" s="11" t="e">
        <f ca="1">E14/E13</f>
        <v>#DIV/0!</v>
      </c>
      <c r="F15" s="4" t="e">
        <f t="shared" ref="F15" ca="1" si="4">F14/F13</f>
        <v>#DIV/0!</v>
      </c>
      <c r="G15" s="4" t="e">
        <f t="shared" ref="G15" ca="1" si="5">G14/G13</f>
        <v>#DIV/0!</v>
      </c>
      <c r="H15" s="4" t="e">
        <f t="shared" ref="H15" ca="1" si="6">H14/H13</f>
        <v>#DIV/0!</v>
      </c>
      <c r="I15" s="4" t="e">
        <f t="shared" ref="I15" ca="1" si="7">I14/I13</f>
        <v>#DIV/0!</v>
      </c>
      <c r="J15" s="6" t="e">
        <f t="shared" ref="J15" ca="1" si="8">J14/J13</f>
        <v>#DIV/0!</v>
      </c>
      <c r="K15" s="8" t="e">
        <f t="shared" ref="K15" ca="1" si="9">K14/K13</f>
        <v>#DIV/0!</v>
      </c>
      <c r="L15" s="4" t="e">
        <f t="shared" ref="L15" ca="1" si="10">L14/L13</f>
        <v>#DIV/0!</v>
      </c>
      <c r="M15" s="4" t="e">
        <f t="shared" ref="M15" ca="1" si="11">M14/M13</f>
        <v>#DIV/0!</v>
      </c>
      <c r="N15" s="4" t="e">
        <f t="shared" ref="N15" ca="1" si="12">N14/N13</f>
        <v>#DIV/0!</v>
      </c>
      <c r="O15" s="4" t="e">
        <f t="shared" ref="O15" ca="1" si="13">O14/O13</f>
        <v>#DIV/0!</v>
      </c>
      <c r="P15" s="16">
        <f t="shared" ref="P15:Q15" ca="1" si="14">P14/P13</f>
        <v>0</v>
      </c>
      <c r="Q15" s="26">
        <f t="shared" ca="1" si="14"/>
        <v>0</v>
      </c>
    </row>
    <row r="16" spans="1:19" ht="19.5" thickBot="1">
      <c r="A16" s="465"/>
      <c r="B16" s="468"/>
      <c r="C16" s="454"/>
      <c r="D16" s="23" t="s">
        <v>18</v>
      </c>
      <c r="E16" s="14" t="e">
        <f ca="1">SUM($E14:E14)/SUM($E13:E13)</f>
        <v>#DIV/0!</v>
      </c>
      <c r="F16" s="7" t="e">
        <f ca="1">SUM($E14:F14)/SUM($E13:F13)</f>
        <v>#DIV/0!</v>
      </c>
      <c r="G16" s="7" t="e">
        <f ca="1">SUM($E14:G14)/SUM($E13:G13)</f>
        <v>#DIV/0!</v>
      </c>
      <c r="H16" s="7" t="e">
        <f ca="1">SUM($E14:H14)/SUM($E13:H13)</f>
        <v>#DIV/0!</v>
      </c>
      <c r="I16" s="7" t="e">
        <f ca="1">SUM($E14:I14)/SUM($E13:I13)</f>
        <v>#DIV/0!</v>
      </c>
      <c r="J16" s="15" t="e">
        <f ca="1">SUM($E14:J14)/SUM($E13:J13)</f>
        <v>#DIV/0!</v>
      </c>
      <c r="K16" s="10" t="e">
        <f ca="1">SUM($E14:K14)/SUM($E13:K13)</f>
        <v>#DIV/0!</v>
      </c>
      <c r="L16" s="7" t="e">
        <f ca="1">SUM($E14:L14)/SUM($E13:L13)</f>
        <v>#DIV/0!</v>
      </c>
      <c r="M16" s="7" t="e">
        <f ca="1">SUM($E14:M14)/SUM($E13:M13)</f>
        <v>#DIV/0!</v>
      </c>
      <c r="N16" s="7" t="e">
        <f ca="1">SUM($E14:N14)/SUM($E13:N13)</f>
        <v>#DIV/0!</v>
      </c>
      <c r="O16" s="7" t="e">
        <f ca="1">SUM($E14:O14)/SUM($E13:O13)</f>
        <v>#DIV/0!</v>
      </c>
      <c r="P16" s="18">
        <f ca="1">SUM($E14:P14)/SUM($E13:P13)</f>
        <v>0</v>
      </c>
      <c r="Q16" s="28" t="s">
        <v>22</v>
      </c>
      <c r="R16" s="59"/>
      <c r="S16"/>
    </row>
    <row r="17" spans="1:19" ht="18.75" customHeight="1">
      <c r="A17" s="463" t="s">
        <v>161</v>
      </c>
      <c r="B17" s="466" t="s">
        <v>160</v>
      </c>
      <c r="C17" s="450" t="s">
        <v>15</v>
      </c>
      <c r="D17" s="112" t="s">
        <v>13</v>
      </c>
      <c r="E17" s="113"/>
      <c r="F17" s="114"/>
      <c r="G17" s="114"/>
      <c r="H17" s="114"/>
      <c r="I17" s="114">
        <v>200</v>
      </c>
      <c r="J17" s="115">
        <v>200</v>
      </c>
      <c r="K17" s="116">
        <v>200</v>
      </c>
      <c r="L17" s="114">
        <v>200</v>
      </c>
      <c r="M17" s="114">
        <v>200</v>
      </c>
      <c r="N17" s="114">
        <v>200</v>
      </c>
      <c r="O17" s="114">
        <v>200</v>
      </c>
      <c r="P17" s="117">
        <v>200</v>
      </c>
      <c r="Q17" s="118">
        <f>SUM(E17:P17)</f>
        <v>1600</v>
      </c>
      <c r="R17" s="482"/>
      <c r="S17" s="68" t="str">
        <f>IFERROR(Q17/R17,"")</f>
        <v/>
      </c>
    </row>
    <row r="18" spans="1:19" ht="19.5" thickBot="1">
      <c r="A18" s="464"/>
      <c r="B18" s="467"/>
      <c r="C18" s="450"/>
      <c r="D18" s="134" t="s">
        <v>14</v>
      </c>
      <c r="E18" s="135">
        <f ca="1">SUMIFS(INDIRECT($B$1&amp;"INV!$K:$K"),INDIRECT($B$1&amp;"INV!$A:$A"),$A17,INDIRECT($B$1&amp;"INV!$G:$G"),"&gt;="&amp;E$6,INDIRECT($B$1&amp;"INV!$G:$G"),"&lt;"&amp;EOMONTH(E$6,0)+1)/1000</f>
        <v>0</v>
      </c>
      <c r="F18" s="136">
        <f ca="1">SUMIFS(INDIRECT($B$1&amp;"INV!$K:$K"),INDIRECT($B$1&amp;"INV!$A:$A"),$A17,INDIRECT($B$1&amp;"INV!$G:$G"),"&gt;="&amp;F$6,INDIRECT($B$1&amp;"INV!$G:$G"),"&lt;"&amp;EOMONTH(F$6,0)+1)/1000</f>
        <v>0</v>
      </c>
      <c r="G18" s="136">
        <f ca="1">SUMIFS(INDIRECT($B$1&amp;"INV!$K:$K"),INDIRECT($B$1&amp;"INV!$A:$A"),$A17,INDIRECT($B$1&amp;"INV!$G:$G"),"&gt;="&amp;G$6,INDIRECT($B$1&amp;"INV!$G:$G"),"&lt;"&amp;EOMONTH(G$6,0)+1)/1000</f>
        <v>0</v>
      </c>
      <c r="H18" s="136">
        <f t="shared" ref="H18:P18" ca="1" si="15">SUMIFS(INDIRECT($B$1&amp;"INV!$K:$K"),INDIRECT($B$1&amp;"INV!$A:$A"),$A17,INDIRECT($B$1&amp;"INV!$G:$G"),"&gt;="&amp;H$6,INDIRECT($B$1&amp;"INV!$G:$G"),"&lt;"&amp;EOMONTH(H$6,0)+1)/1000</f>
        <v>0</v>
      </c>
      <c r="I18" s="136">
        <f t="shared" ca="1" si="15"/>
        <v>0</v>
      </c>
      <c r="J18" s="139">
        <f t="shared" ca="1" si="15"/>
        <v>0</v>
      </c>
      <c r="K18" s="135">
        <f t="shared" ca="1" si="15"/>
        <v>0</v>
      </c>
      <c r="L18" s="136">
        <f t="shared" ca="1" si="15"/>
        <v>0</v>
      </c>
      <c r="M18" s="136">
        <f t="shared" ca="1" si="15"/>
        <v>0</v>
      </c>
      <c r="N18" s="136">
        <f t="shared" ca="1" si="15"/>
        <v>0</v>
      </c>
      <c r="O18" s="136">
        <f t="shared" ca="1" si="15"/>
        <v>0</v>
      </c>
      <c r="P18" s="137">
        <f t="shared" ca="1" si="15"/>
        <v>0</v>
      </c>
      <c r="Q18" s="140">
        <f ca="1">SUM(E18:P18)</f>
        <v>0</v>
      </c>
      <c r="R18" s="483"/>
      <c r="S18" s="69" t="str">
        <f ca="1">IFERROR(Q18/R17,"")</f>
        <v/>
      </c>
    </row>
    <row r="19" spans="1:19">
      <c r="A19" s="464"/>
      <c r="B19" s="467"/>
      <c r="C19" s="450"/>
      <c r="D19" s="21" t="s">
        <v>17</v>
      </c>
      <c r="E19" s="11" t="e">
        <f ca="1">E18/E17</f>
        <v>#DIV/0!</v>
      </c>
      <c r="F19" s="4" t="e">
        <f t="shared" ref="F19" ca="1" si="16">F18/F17</f>
        <v>#DIV/0!</v>
      </c>
      <c r="G19" s="4" t="e">
        <f t="shared" ref="G19" ca="1" si="17">G18/G17</f>
        <v>#DIV/0!</v>
      </c>
      <c r="H19" s="4" t="e">
        <f t="shared" ref="H19" ca="1" si="18">H18/H17</f>
        <v>#DIV/0!</v>
      </c>
      <c r="I19" s="4">
        <f t="shared" ref="I19" ca="1" si="19">I18/I17</f>
        <v>0</v>
      </c>
      <c r="J19" s="6">
        <f t="shared" ref="J19" ca="1" si="20">J18/J17</f>
        <v>0</v>
      </c>
      <c r="K19" s="8">
        <f t="shared" ref="K19" ca="1" si="21">K18/K17</f>
        <v>0</v>
      </c>
      <c r="L19" s="4">
        <f t="shared" ref="L19" ca="1" si="22">L18/L17</f>
        <v>0</v>
      </c>
      <c r="M19" s="4">
        <f t="shared" ref="M19" ca="1" si="23">M18/M17</f>
        <v>0</v>
      </c>
      <c r="N19" s="4">
        <f t="shared" ref="N19" ca="1" si="24">N18/N17</f>
        <v>0</v>
      </c>
      <c r="O19" s="4">
        <f t="shared" ref="O19" ca="1" si="25">O18/O17</f>
        <v>0</v>
      </c>
      <c r="P19" s="16">
        <f t="shared" ref="P19" ca="1" si="26">P18/P17</f>
        <v>0</v>
      </c>
      <c r="Q19" s="26">
        <f t="shared" ref="Q19" ca="1" si="27">Q18/Q17</f>
        <v>0</v>
      </c>
      <c r="R19" s="59"/>
      <c r="S19"/>
    </row>
    <row r="20" spans="1:19">
      <c r="A20" s="464"/>
      <c r="B20" s="467"/>
      <c r="C20" s="451"/>
      <c r="D20" s="22" t="s">
        <v>18</v>
      </c>
      <c r="E20" s="12" t="e">
        <f ca="1">SUM($E18:E18)/SUM($E17:E17)</f>
        <v>#DIV/0!</v>
      </c>
      <c r="F20" s="5" t="e">
        <f ca="1">SUM($E18:F18)/SUM($E17:F17)</f>
        <v>#DIV/0!</v>
      </c>
      <c r="G20" s="5" t="e">
        <f ca="1">SUM($E18:G18)/SUM($E17:G17)</f>
        <v>#DIV/0!</v>
      </c>
      <c r="H20" s="5" t="e">
        <f ca="1">SUM($E18:H18)/SUM($E17:H17)</f>
        <v>#DIV/0!</v>
      </c>
      <c r="I20" s="5">
        <f ca="1">SUM($E18:I18)/SUM($E17:I17)</f>
        <v>0</v>
      </c>
      <c r="J20" s="13">
        <f ca="1">SUM($E18:J18)/SUM($E17:J17)</f>
        <v>0</v>
      </c>
      <c r="K20" s="9">
        <f ca="1">SUM($E18:K18)/SUM($E17:K17)</f>
        <v>0</v>
      </c>
      <c r="L20" s="5">
        <f ca="1">SUM($E18:L18)/SUM($E17:L17)</f>
        <v>0</v>
      </c>
      <c r="M20" s="5">
        <f ca="1">SUM($E18:M18)/SUM($E17:M17)</f>
        <v>0</v>
      </c>
      <c r="N20" s="5">
        <f ca="1">SUM($E18:N18)/SUM($E17:N17)</f>
        <v>0</v>
      </c>
      <c r="O20" s="5">
        <f ca="1">SUM($E18:O18)/SUM($E17:O17)</f>
        <v>0</v>
      </c>
      <c r="P20" s="17">
        <f ca="1">SUM($E18:P18)/SUM($E17:P17)</f>
        <v>0</v>
      </c>
      <c r="Q20" s="27" t="s">
        <v>22</v>
      </c>
      <c r="R20" s="59"/>
      <c r="S20"/>
    </row>
    <row r="21" spans="1:19">
      <c r="A21" s="464"/>
      <c r="B21" s="467"/>
      <c r="C21" s="469" t="s">
        <v>147</v>
      </c>
      <c r="D21" s="119" t="s">
        <v>13</v>
      </c>
      <c r="E21" s="120"/>
      <c r="F21" s="121"/>
      <c r="G21" s="121"/>
      <c r="H21" s="121"/>
      <c r="I21" s="121">
        <v>0</v>
      </c>
      <c r="J21" s="122">
        <v>0</v>
      </c>
      <c r="K21" s="123">
        <v>0</v>
      </c>
      <c r="L21" s="121">
        <v>0</v>
      </c>
      <c r="M21" s="121">
        <v>0</v>
      </c>
      <c r="N21" s="121">
        <v>0</v>
      </c>
      <c r="O21" s="121">
        <v>0</v>
      </c>
      <c r="P21" s="124">
        <v>0</v>
      </c>
      <c r="Q21" s="125">
        <f>SUM(E21:P21)</f>
        <v>0</v>
      </c>
      <c r="R21" s="482"/>
      <c r="S21" s="68" t="str">
        <f>IFERROR(Q21/R21,"")</f>
        <v/>
      </c>
    </row>
    <row r="22" spans="1:19">
      <c r="A22" s="464"/>
      <c r="B22" s="467"/>
      <c r="C22" s="470"/>
      <c r="D22" s="141" t="s">
        <v>14</v>
      </c>
      <c r="E22" s="147">
        <f ca="1">SUMIFS(INDIRECT($B$1&amp;"INV!$N:$N"),INDIRECT($B$1&amp;"INV!$A:$A"),$A17,INDIRECT($B$1&amp;"INV!$G:$G"),"&gt;="&amp;E$6,INDIRECT($B$1&amp;"INV!$G:$G"),"&lt;"&amp;EOMONTH(E$6,0)+1)/1000</f>
        <v>0</v>
      </c>
      <c r="F22" s="142">
        <f t="shared" ref="F22:P22" ca="1" si="28">SUMIFS(INDIRECT($B$1&amp;"INV!$N:$N"),INDIRECT($B$1&amp;"INV!$A:$A"),$A17,INDIRECT($B$1&amp;"INV!$G:$G"),"&gt;="&amp;F$6,INDIRECT($B$1&amp;"INV!$G:$G"),"&lt;"&amp;EOMONTH(F$6,0)+1)/1000</f>
        <v>0</v>
      </c>
      <c r="G22" s="142">
        <f t="shared" ca="1" si="28"/>
        <v>0</v>
      </c>
      <c r="H22" s="142">
        <f t="shared" ca="1" si="28"/>
        <v>0</v>
      </c>
      <c r="I22" s="142">
        <f t="shared" ca="1" si="28"/>
        <v>0</v>
      </c>
      <c r="J22" s="145">
        <f t="shared" ca="1" si="28"/>
        <v>0</v>
      </c>
      <c r="K22" s="147">
        <f t="shared" ca="1" si="28"/>
        <v>0</v>
      </c>
      <c r="L22" s="142">
        <f t="shared" ca="1" si="28"/>
        <v>0</v>
      </c>
      <c r="M22" s="142">
        <f t="shared" ca="1" si="28"/>
        <v>0</v>
      </c>
      <c r="N22" s="142">
        <f t="shared" ca="1" si="28"/>
        <v>0</v>
      </c>
      <c r="O22" s="142">
        <f t="shared" ca="1" si="28"/>
        <v>0</v>
      </c>
      <c r="P22" s="143">
        <f t="shared" ca="1" si="28"/>
        <v>0</v>
      </c>
      <c r="Q22" s="146">
        <f ca="1">SUM(E22:P22)</f>
        <v>0</v>
      </c>
      <c r="R22" s="488"/>
      <c r="S22" s="70" t="str">
        <f ca="1">IFERROR(Q22/R21,"")</f>
        <v/>
      </c>
    </row>
    <row r="23" spans="1:19">
      <c r="A23" s="464"/>
      <c r="B23" s="467"/>
      <c r="C23" s="452" t="s">
        <v>16</v>
      </c>
      <c r="D23" s="119" t="s">
        <v>13</v>
      </c>
      <c r="E23" s="120">
        <f>E17-E21</f>
        <v>0</v>
      </c>
      <c r="F23" s="121">
        <f t="shared" ref="F23:P24" si="29">F17-F21</f>
        <v>0</v>
      </c>
      <c r="G23" s="121">
        <f t="shared" si="29"/>
        <v>0</v>
      </c>
      <c r="H23" s="121">
        <f t="shared" si="29"/>
        <v>0</v>
      </c>
      <c r="I23" s="121">
        <f t="shared" si="29"/>
        <v>200</v>
      </c>
      <c r="J23" s="122">
        <f t="shared" si="29"/>
        <v>200</v>
      </c>
      <c r="K23" s="123">
        <f t="shared" si="29"/>
        <v>200</v>
      </c>
      <c r="L23" s="121">
        <f t="shared" si="29"/>
        <v>200</v>
      </c>
      <c r="M23" s="121">
        <f t="shared" si="29"/>
        <v>200</v>
      </c>
      <c r="N23" s="121">
        <f t="shared" si="29"/>
        <v>200</v>
      </c>
      <c r="O23" s="121">
        <f t="shared" si="29"/>
        <v>200</v>
      </c>
      <c r="P23" s="124">
        <f t="shared" si="29"/>
        <v>200</v>
      </c>
      <c r="Q23" s="125">
        <f>SUM(E23:P23)</f>
        <v>1600</v>
      </c>
      <c r="R23" s="482">
        <f>R17-R21</f>
        <v>0</v>
      </c>
      <c r="S23" s="150" t="str">
        <f>IFERROR(Q23/R23,"")</f>
        <v/>
      </c>
    </row>
    <row r="24" spans="1:19" ht="19.5" thickBot="1">
      <c r="A24" s="464"/>
      <c r="B24" s="467"/>
      <c r="C24" s="453"/>
      <c r="D24" s="134" t="s">
        <v>14</v>
      </c>
      <c r="E24" s="135">
        <f ca="1">E18-E22</f>
        <v>0</v>
      </c>
      <c r="F24" s="136">
        <f t="shared" ca="1" si="29"/>
        <v>0</v>
      </c>
      <c r="G24" s="136">
        <f t="shared" ca="1" si="29"/>
        <v>0</v>
      </c>
      <c r="H24" s="136">
        <f t="shared" ca="1" si="29"/>
        <v>0</v>
      </c>
      <c r="I24" s="136">
        <f t="shared" ca="1" si="29"/>
        <v>0</v>
      </c>
      <c r="J24" s="139">
        <f t="shared" ca="1" si="29"/>
        <v>0</v>
      </c>
      <c r="K24" s="135">
        <f t="shared" ca="1" si="29"/>
        <v>0</v>
      </c>
      <c r="L24" s="136">
        <f t="shared" ca="1" si="29"/>
        <v>0</v>
      </c>
      <c r="M24" s="136">
        <f t="shared" ca="1" si="29"/>
        <v>0</v>
      </c>
      <c r="N24" s="136">
        <f t="shared" ca="1" si="29"/>
        <v>0</v>
      </c>
      <c r="O24" s="136">
        <f t="shared" ca="1" si="29"/>
        <v>0</v>
      </c>
      <c r="P24" s="137">
        <f t="shared" ca="1" si="29"/>
        <v>0</v>
      </c>
      <c r="Q24" s="140">
        <f ca="1">SUM(E24:P24)</f>
        <v>0</v>
      </c>
      <c r="R24" s="483"/>
      <c r="S24" s="69" t="str">
        <f ca="1">IFERROR(Q24/R23,"")</f>
        <v/>
      </c>
    </row>
    <row r="25" spans="1:19">
      <c r="A25" s="464"/>
      <c r="B25" s="467"/>
      <c r="C25" s="453"/>
      <c r="D25" s="21" t="s">
        <v>17</v>
      </c>
      <c r="E25" s="11" t="e">
        <f ca="1">E24/E23</f>
        <v>#DIV/0!</v>
      </c>
      <c r="F25" s="4" t="e">
        <f t="shared" ref="F25" ca="1" si="30">F24/F23</f>
        <v>#DIV/0!</v>
      </c>
      <c r="G25" s="4" t="e">
        <f t="shared" ref="G25" ca="1" si="31">G24/G23</f>
        <v>#DIV/0!</v>
      </c>
      <c r="H25" s="4" t="e">
        <f t="shared" ref="H25" ca="1" si="32">H24/H23</f>
        <v>#DIV/0!</v>
      </c>
      <c r="I25" s="4">
        <f t="shared" ref="I25" ca="1" si="33">I24/I23</f>
        <v>0</v>
      </c>
      <c r="J25" s="6">
        <f t="shared" ref="J25" ca="1" si="34">J24/J23</f>
        <v>0</v>
      </c>
      <c r="K25" s="8">
        <f t="shared" ref="K25" ca="1" si="35">K24/K23</f>
        <v>0</v>
      </c>
      <c r="L25" s="4">
        <f t="shared" ref="L25" ca="1" si="36">L24/L23</f>
        <v>0</v>
      </c>
      <c r="M25" s="4">
        <f t="shared" ref="M25" ca="1" si="37">M24/M23</f>
        <v>0</v>
      </c>
      <c r="N25" s="4">
        <f t="shared" ref="N25" ca="1" si="38">N24/N23</f>
        <v>0</v>
      </c>
      <c r="O25" s="4">
        <f t="shared" ref="O25" ca="1" si="39">O24/O23</f>
        <v>0</v>
      </c>
      <c r="P25" s="16">
        <f t="shared" ref="P25" ca="1" si="40">P24/P23</f>
        <v>0</v>
      </c>
      <c r="Q25" s="26">
        <f t="shared" ref="Q25" ca="1" si="41">Q24/Q23</f>
        <v>0</v>
      </c>
    </row>
    <row r="26" spans="1:19" ht="19.5" thickBot="1">
      <c r="A26" s="465"/>
      <c r="B26" s="468"/>
      <c r="C26" s="454"/>
      <c r="D26" s="23" t="s">
        <v>18</v>
      </c>
      <c r="E26" s="14" t="e">
        <f ca="1">SUM($E24:E24)/SUM($E23:E23)</f>
        <v>#DIV/0!</v>
      </c>
      <c r="F26" s="7" t="e">
        <f ca="1">SUM($E24:F24)/SUM($E23:F23)</f>
        <v>#DIV/0!</v>
      </c>
      <c r="G26" s="7" t="e">
        <f ca="1">SUM($E24:G24)/SUM($E23:G23)</f>
        <v>#DIV/0!</v>
      </c>
      <c r="H26" s="7" t="e">
        <f ca="1">SUM($E24:H24)/SUM($E23:H23)</f>
        <v>#DIV/0!</v>
      </c>
      <c r="I26" s="7">
        <f ca="1">SUM($E24:I24)/SUM($E23:I23)</f>
        <v>0</v>
      </c>
      <c r="J26" s="15">
        <f ca="1">SUM($E24:J24)/SUM($E23:J23)</f>
        <v>0</v>
      </c>
      <c r="K26" s="10">
        <f ca="1">SUM($E24:K24)/SUM($E23:K23)</f>
        <v>0</v>
      </c>
      <c r="L26" s="7">
        <f ca="1">SUM($E24:L24)/SUM($E23:L23)</f>
        <v>0</v>
      </c>
      <c r="M26" s="7">
        <f ca="1">SUM($E24:M24)/SUM($E23:M23)</f>
        <v>0</v>
      </c>
      <c r="N26" s="7">
        <f ca="1">SUM($E24:N24)/SUM($E23:N23)</f>
        <v>0</v>
      </c>
      <c r="O26" s="7">
        <f ca="1">SUM($E24:O24)/SUM($E23:O23)</f>
        <v>0</v>
      </c>
      <c r="P26" s="18">
        <f ca="1">SUM($E24:P24)/SUM($E23:P23)</f>
        <v>0</v>
      </c>
      <c r="Q26" s="28" t="s">
        <v>22</v>
      </c>
      <c r="R26" s="59"/>
      <c r="S26"/>
    </row>
    <row r="27" spans="1:19">
      <c r="A27" s="464" t="s">
        <v>379</v>
      </c>
      <c r="B27" s="467" t="s">
        <v>380</v>
      </c>
      <c r="C27" s="450" t="s">
        <v>15</v>
      </c>
      <c r="D27" s="112" t="s">
        <v>13</v>
      </c>
      <c r="E27" s="113"/>
      <c r="F27" s="114"/>
      <c r="G27" s="114"/>
      <c r="H27" s="114"/>
      <c r="I27" s="114"/>
      <c r="J27" s="115"/>
      <c r="K27" s="116"/>
      <c r="L27" s="114"/>
      <c r="M27" s="114"/>
      <c r="N27" s="114"/>
      <c r="O27" s="114"/>
      <c r="P27" s="117"/>
      <c r="Q27" s="118">
        <f>SUM(E27:P27)</f>
        <v>0</v>
      </c>
      <c r="R27" s="482"/>
      <c r="S27" s="68" t="str">
        <f>IFERROR(Q27/R27,"")</f>
        <v/>
      </c>
    </row>
    <row r="28" spans="1:19" ht="19.5" thickBot="1">
      <c r="A28" s="464"/>
      <c r="B28" s="467"/>
      <c r="C28" s="450"/>
      <c r="D28" s="134" t="s">
        <v>14</v>
      </c>
      <c r="E28" s="135"/>
      <c r="F28" s="136"/>
      <c r="G28" s="136"/>
      <c r="H28" s="136"/>
      <c r="I28" s="136"/>
      <c r="J28" s="137"/>
      <c r="K28" s="138"/>
      <c r="L28" s="136"/>
      <c r="M28" s="136"/>
      <c r="N28" s="136"/>
      <c r="O28" s="136"/>
      <c r="P28" s="139"/>
      <c r="Q28" s="140">
        <f>SUM(E28:P28)</f>
        <v>0</v>
      </c>
      <c r="R28" s="483"/>
      <c r="S28" s="69" t="str">
        <f>IFERROR(Q28/R27,"")</f>
        <v/>
      </c>
    </row>
    <row r="29" spans="1:19">
      <c r="A29" s="464"/>
      <c r="B29" s="467"/>
      <c r="C29" s="450"/>
      <c r="D29" s="21" t="s">
        <v>17</v>
      </c>
      <c r="E29" s="11" t="e">
        <f>E28/E27</f>
        <v>#DIV/0!</v>
      </c>
      <c r="F29" s="4" t="e">
        <f t="shared" ref="F29" si="42">F28/F27</f>
        <v>#DIV/0!</v>
      </c>
      <c r="G29" s="4" t="e">
        <f t="shared" ref="G29" si="43">G28/G27</f>
        <v>#DIV/0!</v>
      </c>
      <c r="H29" s="4" t="e">
        <f t="shared" ref="H29" si="44">H28/H27</f>
        <v>#DIV/0!</v>
      </c>
      <c r="I29" s="4" t="e">
        <f t="shared" ref="I29" si="45">I28/I27</f>
        <v>#DIV/0!</v>
      </c>
      <c r="J29" s="6" t="e">
        <f t="shared" ref="J29" si="46">J28/J27</f>
        <v>#DIV/0!</v>
      </c>
      <c r="K29" s="8" t="e">
        <f t="shared" ref="K29" si="47">K28/K27</f>
        <v>#DIV/0!</v>
      </c>
      <c r="L29" s="4" t="e">
        <f t="shared" ref="L29" si="48">L28/L27</f>
        <v>#DIV/0!</v>
      </c>
      <c r="M29" s="4" t="e">
        <f t="shared" ref="M29" si="49">M28/M27</f>
        <v>#DIV/0!</v>
      </c>
      <c r="N29" s="4" t="e">
        <f t="shared" ref="N29" si="50">N28/N27</f>
        <v>#DIV/0!</v>
      </c>
      <c r="O29" s="4" t="e">
        <f t="shared" ref="O29" si="51">O28/O27</f>
        <v>#DIV/0!</v>
      </c>
      <c r="P29" s="16" t="e">
        <f t="shared" ref="P29" si="52">P28/P27</f>
        <v>#DIV/0!</v>
      </c>
      <c r="Q29" s="26" t="e">
        <f t="shared" ref="Q29" si="53">Q28/Q27</f>
        <v>#DIV/0!</v>
      </c>
      <c r="R29" s="59"/>
      <c r="S29"/>
    </row>
    <row r="30" spans="1:19">
      <c r="A30" s="464"/>
      <c r="B30" s="467"/>
      <c r="C30" s="451"/>
      <c r="D30" s="22" t="s">
        <v>18</v>
      </c>
      <c r="E30" s="12" t="e">
        <f>SUM($E28:E28)/SUM($E27:E27)</f>
        <v>#DIV/0!</v>
      </c>
      <c r="F30" s="5" t="e">
        <f>SUM($E28:F28)/SUM($E27:F27)</f>
        <v>#DIV/0!</v>
      </c>
      <c r="G30" s="5" t="e">
        <f>SUM($E28:G28)/SUM($E27:G27)</f>
        <v>#DIV/0!</v>
      </c>
      <c r="H30" s="5" t="e">
        <f>SUM($E28:H28)/SUM($E27:H27)</f>
        <v>#DIV/0!</v>
      </c>
      <c r="I30" s="5" t="e">
        <f>SUM($E28:I28)/SUM($E27:I27)</f>
        <v>#DIV/0!</v>
      </c>
      <c r="J30" s="13" t="e">
        <f>SUM($E28:J28)/SUM($E27:J27)</f>
        <v>#DIV/0!</v>
      </c>
      <c r="K30" s="9" t="e">
        <f>SUM($E28:K28)/SUM($E27:K27)</f>
        <v>#DIV/0!</v>
      </c>
      <c r="L30" s="5" t="e">
        <f>SUM($E28:L28)/SUM($E27:L27)</f>
        <v>#DIV/0!</v>
      </c>
      <c r="M30" s="5" t="e">
        <f>SUM($E28:M28)/SUM($E27:M27)</f>
        <v>#DIV/0!</v>
      </c>
      <c r="N30" s="5" t="e">
        <f>SUM($E28:N28)/SUM($E27:N27)</f>
        <v>#DIV/0!</v>
      </c>
      <c r="O30" s="5" t="e">
        <f>SUM($E28:O28)/SUM($E27:O27)</f>
        <v>#DIV/0!</v>
      </c>
      <c r="P30" s="17" t="e">
        <f>SUM($E28:P28)/SUM($E27:P27)</f>
        <v>#DIV/0!</v>
      </c>
      <c r="Q30" s="27" t="s">
        <v>22</v>
      </c>
      <c r="R30" s="59"/>
      <c r="S30"/>
    </row>
    <row r="31" spans="1:19">
      <c r="A31" s="464"/>
      <c r="B31" s="467"/>
      <c r="C31" s="469" t="s">
        <v>147</v>
      </c>
      <c r="D31" s="119" t="s">
        <v>13</v>
      </c>
      <c r="E31" s="120"/>
      <c r="F31" s="121"/>
      <c r="G31" s="121"/>
      <c r="H31" s="121"/>
      <c r="I31" s="121"/>
      <c r="J31" s="122"/>
      <c r="K31" s="123"/>
      <c r="L31" s="121"/>
      <c r="M31" s="121"/>
      <c r="N31" s="121"/>
      <c r="O31" s="121"/>
      <c r="P31" s="124"/>
      <c r="Q31" s="125">
        <f>SUM(E31:P31)</f>
        <v>0</v>
      </c>
      <c r="R31" s="482"/>
      <c r="S31" s="68" t="str">
        <f>IFERROR(Q31/R31,"")</f>
        <v/>
      </c>
    </row>
    <row r="32" spans="1:19">
      <c r="A32" s="464"/>
      <c r="B32" s="467"/>
      <c r="C32" s="470"/>
      <c r="D32" s="141" t="s">
        <v>14</v>
      </c>
      <c r="E32" s="147"/>
      <c r="F32" s="142"/>
      <c r="G32" s="142"/>
      <c r="H32" s="142"/>
      <c r="I32" s="142"/>
      <c r="J32" s="143"/>
      <c r="K32" s="144"/>
      <c r="L32" s="142"/>
      <c r="M32" s="142"/>
      <c r="N32" s="142"/>
      <c r="O32" s="142"/>
      <c r="P32" s="145"/>
      <c r="Q32" s="146">
        <f>SUM(E32:P32)</f>
        <v>0</v>
      </c>
      <c r="R32" s="488"/>
      <c r="S32" s="70" t="str">
        <f>IFERROR(Q32/R31,"")</f>
        <v/>
      </c>
    </row>
    <row r="33" spans="1:19">
      <c r="A33" s="464"/>
      <c r="B33" s="467"/>
      <c r="C33" s="452" t="s">
        <v>16</v>
      </c>
      <c r="D33" s="119" t="s">
        <v>13</v>
      </c>
      <c r="E33" s="120">
        <f>E27-E31</f>
        <v>0</v>
      </c>
      <c r="F33" s="121">
        <f t="shared" ref="F33:P33" si="54">F27-F31</f>
        <v>0</v>
      </c>
      <c r="G33" s="121">
        <f t="shared" si="54"/>
        <v>0</v>
      </c>
      <c r="H33" s="121">
        <f t="shared" si="54"/>
        <v>0</v>
      </c>
      <c r="I33" s="121">
        <f t="shared" si="54"/>
        <v>0</v>
      </c>
      <c r="J33" s="122">
        <f t="shared" si="54"/>
        <v>0</v>
      </c>
      <c r="K33" s="123">
        <f t="shared" si="54"/>
        <v>0</v>
      </c>
      <c r="L33" s="121">
        <f t="shared" si="54"/>
        <v>0</v>
      </c>
      <c r="M33" s="121">
        <f t="shared" si="54"/>
        <v>0</v>
      </c>
      <c r="N33" s="121">
        <f t="shared" si="54"/>
        <v>0</v>
      </c>
      <c r="O33" s="121">
        <f t="shared" si="54"/>
        <v>0</v>
      </c>
      <c r="P33" s="124">
        <f t="shared" si="54"/>
        <v>0</v>
      </c>
      <c r="Q33" s="125">
        <f>SUM(E33:P33)</f>
        <v>0</v>
      </c>
      <c r="R33" s="482">
        <f>R27-R31</f>
        <v>0</v>
      </c>
      <c r="S33" s="150" t="str">
        <f>IFERROR(Q33/R33,"")</f>
        <v/>
      </c>
    </row>
    <row r="34" spans="1:19" ht="19.5" thickBot="1">
      <c r="A34" s="464"/>
      <c r="B34" s="467"/>
      <c r="C34" s="453"/>
      <c r="D34" s="134" t="s">
        <v>14</v>
      </c>
      <c r="E34" s="135"/>
      <c r="F34" s="136"/>
      <c r="G34" s="136"/>
      <c r="H34" s="136"/>
      <c r="I34" s="136"/>
      <c r="J34" s="137"/>
      <c r="K34" s="138"/>
      <c r="L34" s="136"/>
      <c r="M34" s="136"/>
      <c r="N34" s="136"/>
      <c r="O34" s="136"/>
      <c r="P34" s="139"/>
      <c r="Q34" s="140">
        <f>SUM(E34:P34)</f>
        <v>0</v>
      </c>
      <c r="R34" s="483"/>
      <c r="S34" s="69" t="str">
        <f>IFERROR(Q34/R33,"")</f>
        <v/>
      </c>
    </row>
    <row r="35" spans="1:19">
      <c r="A35" s="464"/>
      <c r="B35" s="467"/>
      <c r="C35" s="453"/>
      <c r="D35" s="21" t="s">
        <v>17</v>
      </c>
      <c r="E35" s="11" t="e">
        <f>E34/E33</f>
        <v>#DIV/0!</v>
      </c>
      <c r="F35" s="4" t="e">
        <f t="shared" ref="F35" si="55">F34/F33</f>
        <v>#DIV/0!</v>
      </c>
      <c r="G35" s="4" t="e">
        <f t="shared" ref="G35" si="56">G34/G33</f>
        <v>#DIV/0!</v>
      </c>
      <c r="H35" s="4" t="e">
        <f t="shared" ref="H35" si="57">H34/H33</f>
        <v>#DIV/0!</v>
      </c>
      <c r="I35" s="4" t="e">
        <f t="shared" ref="I35" si="58">I34/I33</f>
        <v>#DIV/0!</v>
      </c>
      <c r="J35" s="6" t="e">
        <f t="shared" ref="J35" si="59">J34/J33</f>
        <v>#DIV/0!</v>
      </c>
      <c r="K35" s="8" t="e">
        <f t="shared" ref="K35" si="60">K34/K33</f>
        <v>#DIV/0!</v>
      </c>
      <c r="L35" s="4" t="e">
        <f t="shared" ref="L35" si="61">L34/L33</f>
        <v>#DIV/0!</v>
      </c>
      <c r="M35" s="4" t="e">
        <f t="shared" ref="M35" si="62">M34/M33</f>
        <v>#DIV/0!</v>
      </c>
      <c r="N35" s="4" t="e">
        <f t="shared" ref="N35" si="63">N34/N33</f>
        <v>#DIV/0!</v>
      </c>
      <c r="O35" s="4" t="e">
        <f t="shared" ref="O35" si="64">O34/O33</f>
        <v>#DIV/0!</v>
      </c>
      <c r="P35" s="16" t="e">
        <f t="shared" ref="P35" si="65">P34/P33</f>
        <v>#DIV/0!</v>
      </c>
      <c r="Q35" s="26" t="e">
        <f t="shared" ref="Q35" si="66">Q34/Q33</f>
        <v>#DIV/0!</v>
      </c>
    </row>
    <row r="36" spans="1:19" ht="19.5" thickBot="1">
      <c r="A36" s="465"/>
      <c r="B36" s="468"/>
      <c r="C36" s="454"/>
      <c r="D36" s="23" t="s">
        <v>18</v>
      </c>
      <c r="E36" s="14" t="e">
        <f>SUM($E34:E34)/SUM($E33:E33)</f>
        <v>#DIV/0!</v>
      </c>
      <c r="F36" s="7" t="e">
        <f>SUM($E34:F34)/SUM($E33:F33)</f>
        <v>#DIV/0!</v>
      </c>
      <c r="G36" s="7" t="e">
        <f>SUM($E34:G34)/SUM($E33:G33)</f>
        <v>#DIV/0!</v>
      </c>
      <c r="H36" s="7" t="e">
        <f>SUM($E34:H34)/SUM($E33:H33)</f>
        <v>#DIV/0!</v>
      </c>
      <c r="I36" s="7" t="e">
        <f>SUM($E34:I34)/SUM($E33:I33)</f>
        <v>#DIV/0!</v>
      </c>
      <c r="J36" s="15" t="e">
        <f>SUM($E34:J34)/SUM($E33:J33)</f>
        <v>#DIV/0!</v>
      </c>
      <c r="K36" s="10" t="e">
        <f>SUM($E34:K34)/SUM($E33:K33)</f>
        <v>#DIV/0!</v>
      </c>
      <c r="L36" s="7" t="e">
        <f>SUM($E34:L34)/SUM($E33:L33)</f>
        <v>#DIV/0!</v>
      </c>
      <c r="M36" s="7" t="e">
        <f>SUM($E34:M34)/SUM($E33:M33)</f>
        <v>#DIV/0!</v>
      </c>
      <c r="N36" s="7" t="e">
        <f>SUM($E34:N34)/SUM($E33:N33)</f>
        <v>#DIV/0!</v>
      </c>
      <c r="O36" s="7" t="e">
        <f>SUM($E34:O34)/SUM($E33:O33)</f>
        <v>#DIV/0!</v>
      </c>
      <c r="P36" s="18" t="e">
        <f>SUM($E34:P34)/SUM($E33:P33)</f>
        <v>#DIV/0!</v>
      </c>
      <c r="Q36" s="28" t="s">
        <v>22</v>
      </c>
      <c r="R36" s="59"/>
      <c r="S36"/>
    </row>
    <row r="37" spans="1:19">
      <c r="A37" s="19"/>
      <c r="B37" s="446" t="s">
        <v>21</v>
      </c>
      <c r="C37" s="449" t="s">
        <v>15</v>
      </c>
      <c r="D37" s="126" t="s">
        <v>13</v>
      </c>
      <c r="E37" s="127">
        <f>SUM(E7,E17,E27)</f>
        <v>0</v>
      </c>
      <c r="F37" s="128">
        <f t="shared" ref="F37:Q37" si="67">SUM(F7,F17,F27)</f>
        <v>0</v>
      </c>
      <c r="G37" s="129">
        <f t="shared" si="67"/>
        <v>0</v>
      </c>
      <c r="H37" s="128">
        <f t="shared" si="67"/>
        <v>0</v>
      </c>
      <c r="I37" s="128">
        <f t="shared" si="67"/>
        <v>200</v>
      </c>
      <c r="J37" s="130">
        <f t="shared" si="67"/>
        <v>200</v>
      </c>
      <c r="K37" s="127">
        <f t="shared" si="67"/>
        <v>200</v>
      </c>
      <c r="L37" s="128">
        <f t="shared" si="67"/>
        <v>200</v>
      </c>
      <c r="M37" s="129">
        <f t="shared" si="67"/>
        <v>200</v>
      </c>
      <c r="N37" s="128">
        <f t="shared" si="67"/>
        <v>200</v>
      </c>
      <c r="O37" s="128">
        <f t="shared" si="67"/>
        <v>200</v>
      </c>
      <c r="P37" s="130">
        <f t="shared" si="67"/>
        <v>21900</v>
      </c>
      <c r="Q37" s="131">
        <f t="shared" si="67"/>
        <v>23300</v>
      </c>
      <c r="R37" s="482">
        <f>SUM(R7,R17,R27)</f>
        <v>0</v>
      </c>
      <c r="S37" s="68" t="str">
        <f>IFERROR(Q37/R37,"")</f>
        <v/>
      </c>
    </row>
    <row r="38" spans="1:19" ht="19.5" thickBot="1">
      <c r="A38" s="19"/>
      <c r="B38" s="447"/>
      <c r="C38" s="450"/>
      <c r="D38" s="148" t="s">
        <v>14</v>
      </c>
      <c r="E38" s="135">
        <f ca="1">SUM(E8,E18,E28)</f>
        <v>0</v>
      </c>
      <c r="F38" s="136">
        <f t="shared" ref="F38:Q38" ca="1" si="68">SUM(F8,F18,F28)</f>
        <v>0</v>
      </c>
      <c r="G38" s="139">
        <f t="shared" ca="1" si="68"/>
        <v>0</v>
      </c>
      <c r="H38" s="136">
        <f t="shared" ca="1" si="68"/>
        <v>0</v>
      </c>
      <c r="I38" s="136">
        <f t="shared" ca="1" si="68"/>
        <v>0</v>
      </c>
      <c r="J38" s="137">
        <f t="shared" ca="1" si="68"/>
        <v>0</v>
      </c>
      <c r="K38" s="135">
        <f t="shared" ca="1" si="68"/>
        <v>0</v>
      </c>
      <c r="L38" s="136">
        <f t="shared" ca="1" si="68"/>
        <v>0</v>
      </c>
      <c r="M38" s="139">
        <f t="shared" ca="1" si="68"/>
        <v>0</v>
      </c>
      <c r="N38" s="136">
        <f t="shared" ca="1" si="68"/>
        <v>0</v>
      </c>
      <c r="O38" s="136">
        <f t="shared" ca="1" si="68"/>
        <v>0</v>
      </c>
      <c r="P38" s="137">
        <f t="shared" ca="1" si="68"/>
        <v>0</v>
      </c>
      <c r="Q38" s="149">
        <f t="shared" ca="1" si="68"/>
        <v>0</v>
      </c>
      <c r="R38" s="483"/>
      <c r="S38" s="69" t="str">
        <f ca="1">IFERROR(Q38/R37,"")</f>
        <v/>
      </c>
    </row>
    <row r="39" spans="1:19">
      <c r="A39" s="19"/>
      <c r="B39" s="447"/>
      <c r="C39" s="450"/>
      <c r="D39" s="24" t="s">
        <v>17</v>
      </c>
      <c r="E39" s="11" t="e">
        <f ca="1">E38/E37</f>
        <v>#DIV/0!</v>
      </c>
      <c r="F39" s="4" t="e">
        <f t="shared" ref="F39" ca="1" si="69">F38/F37</f>
        <v>#DIV/0!</v>
      </c>
      <c r="G39" s="16" t="e">
        <f t="shared" ref="G39" ca="1" si="70">G38/G37</f>
        <v>#DIV/0!</v>
      </c>
      <c r="H39" s="4" t="e">
        <f t="shared" ref="H39" ca="1" si="71">H38/H37</f>
        <v>#DIV/0!</v>
      </c>
      <c r="I39" s="4">
        <f t="shared" ref="I39" ca="1" si="72">I38/I37</f>
        <v>0</v>
      </c>
      <c r="J39" s="6">
        <f t="shared" ref="J39" ca="1" si="73">J38/J37</f>
        <v>0</v>
      </c>
      <c r="K39" s="11">
        <f t="shared" ref="K39" ca="1" si="74">K38/K37</f>
        <v>0</v>
      </c>
      <c r="L39" s="4">
        <f t="shared" ref="L39" ca="1" si="75">L38/L37</f>
        <v>0</v>
      </c>
      <c r="M39" s="16">
        <f t="shared" ref="M39" ca="1" si="76">M38/M37</f>
        <v>0</v>
      </c>
      <c r="N39" s="4">
        <f t="shared" ref="N39" ca="1" si="77">N38/N37</f>
        <v>0</v>
      </c>
      <c r="O39" s="4">
        <f t="shared" ref="O39" ca="1" si="78">O38/O37</f>
        <v>0</v>
      </c>
      <c r="P39" s="6">
        <f t="shared" ref="P39:Q39" ca="1" si="79">P38/P37</f>
        <v>0</v>
      </c>
      <c r="Q39" s="26">
        <f t="shared" ca="1" si="79"/>
        <v>0</v>
      </c>
    </row>
    <row r="40" spans="1:19">
      <c r="A40" s="19"/>
      <c r="B40" s="447"/>
      <c r="C40" s="451"/>
      <c r="D40" s="25" t="s">
        <v>18</v>
      </c>
      <c r="E40" s="12" t="e">
        <f ca="1">SUM($E38:E38)/SUM($E37:E37)</f>
        <v>#DIV/0!</v>
      </c>
      <c r="F40" s="5" t="e">
        <f ca="1">SUM($E38:F38)/SUM($E37:F37)</f>
        <v>#DIV/0!</v>
      </c>
      <c r="G40" s="17" t="e">
        <f ca="1">SUM($E38:G38)/SUM($E37:G37)</f>
        <v>#DIV/0!</v>
      </c>
      <c r="H40" s="5" t="e">
        <f ca="1">SUM($E38:H38)/SUM($E37:H37)</f>
        <v>#DIV/0!</v>
      </c>
      <c r="I40" s="5">
        <f ca="1">SUM($E38:I38)/SUM($E37:I37)</f>
        <v>0</v>
      </c>
      <c r="J40" s="13">
        <f ca="1">SUM($E38:J38)/SUM($E37:J37)</f>
        <v>0</v>
      </c>
      <c r="K40" s="12">
        <f ca="1">SUM($E38:K38)/SUM($E37:K37)</f>
        <v>0</v>
      </c>
      <c r="L40" s="5">
        <f ca="1">SUM($E38:L38)/SUM($E37:L37)</f>
        <v>0</v>
      </c>
      <c r="M40" s="17">
        <f ca="1">SUM($E38:M38)/SUM($E37:M37)</f>
        <v>0</v>
      </c>
      <c r="N40" s="5">
        <f ca="1">SUM($E38:N38)/SUM($E37:N37)</f>
        <v>0</v>
      </c>
      <c r="O40" s="5">
        <f ca="1">SUM($E38:O38)/SUM($E37:O37)</f>
        <v>0</v>
      </c>
      <c r="P40" s="13">
        <f ca="1">SUM($E38:P38)/SUM($E37:P37)</f>
        <v>0</v>
      </c>
      <c r="Q40" s="27" t="s">
        <v>22</v>
      </c>
      <c r="R40" s="59"/>
      <c r="S40"/>
    </row>
    <row r="41" spans="1:19">
      <c r="A41" s="19"/>
      <c r="B41" s="447"/>
      <c r="C41" s="452" t="s">
        <v>16</v>
      </c>
      <c r="D41" s="132" t="s">
        <v>13</v>
      </c>
      <c r="E41" s="113">
        <f>SUM(E13,E23,E33)</f>
        <v>0</v>
      </c>
      <c r="F41" s="114">
        <f t="shared" ref="F41:Q41" si="80">SUM(F13,F23,F33)</f>
        <v>0</v>
      </c>
      <c r="G41" s="117">
        <f t="shared" si="80"/>
        <v>0</v>
      </c>
      <c r="H41" s="114">
        <f t="shared" si="80"/>
        <v>0</v>
      </c>
      <c r="I41" s="114">
        <f t="shared" si="80"/>
        <v>200</v>
      </c>
      <c r="J41" s="115">
        <f t="shared" si="80"/>
        <v>200</v>
      </c>
      <c r="K41" s="113">
        <f t="shared" si="80"/>
        <v>200</v>
      </c>
      <c r="L41" s="114">
        <f t="shared" si="80"/>
        <v>200</v>
      </c>
      <c r="M41" s="117">
        <f t="shared" si="80"/>
        <v>200</v>
      </c>
      <c r="N41" s="114">
        <f t="shared" si="80"/>
        <v>200</v>
      </c>
      <c r="O41" s="114">
        <f t="shared" si="80"/>
        <v>200</v>
      </c>
      <c r="P41" s="115">
        <f t="shared" si="80"/>
        <v>6400</v>
      </c>
      <c r="Q41" s="133">
        <f t="shared" si="80"/>
        <v>7800</v>
      </c>
      <c r="R41" s="482">
        <f>SUM(R13,R23,R33)</f>
        <v>0</v>
      </c>
      <c r="S41" s="68" t="str">
        <f>IFERROR(Q41/R41,"")</f>
        <v/>
      </c>
    </row>
    <row r="42" spans="1:19" ht="19.5" thickBot="1">
      <c r="A42" s="19"/>
      <c r="B42" s="447"/>
      <c r="C42" s="453"/>
      <c r="D42" s="148" t="s">
        <v>14</v>
      </c>
      <c r="E42" s="135">
        <f ca="1">SUM(E14,E24,E34)</f>
        <v>0</v>
      </c>
      <c r="F42" s="136">
        <f t="shared" ref="F42:Q42" ca="1" si="81">SUM(F14,F24,F34)</f>
        <v>0</v>
      </c>
      <c r="G42" s="139">
        <f t="shared" ca="1" si="81"/>
        <v>0</v>
      </c>
      <c r="H42" s="136">
        <f t="shared" ca="1" si="81"/>
        <v>0</v>
      </c>
      <c r="I42" s="136">
        <f t="shared" ca="1" si="81"/>
        <v>0</v>
      </c>
      <c r="J42" s="137">
        <f t="shared" ca="1" si="81"/>
        <v>0</v>
      </c>
      <c r="K42" s="135">
        <f t="shared" ca="1" si="81"/>
        <v>0</v>
      </c>
      <c r="L42" s="136">
        <f t="shared" ca="1" si="81"/>
        <v>0</v>
      </c>
      <c r="M42" s="139">
        <f t="shared" ca="1" si="81"/>
        <v>0</v>
      </c>
      <c r="N42" s="136">
        <f t="shared" ca="1" si="81"/>
        <v>0</v>
      </c>
      <c r="O42" s="136">
        <f t="shared" ca="1" si="81"/>
        <v>0</v>
      </c>
      <c r="P42" s="137">
        <f t="shared" ca="1" si="81"/>
        <v>0</v>
      </c>
      <c r="Q42" s="149">
        <f t="shared" ca="1" si="81"/>
        <v>0</v>
      </c>
      <c r="R42" s="483"/>
      <c r="S42" s="69" t="str">
        <f ca="1">IFERROR(Q42/R41,"")</f>
        <v/>
      </c>
    </row>
    <row r="43" spans="1:19">
      <c r="A43" s="19"/>
      <c r="B43" s="447"/>
      <c r="C43" s="453"/>
      <c r="D43" s="24" t="s">
        <v>17</v>
      </c>
      <c r="E43" s="11" t="e">
        <f ca="1">E42/E41</f>
        <v>#DIV/0!</v>
      </c>
      <c r="F43" s="4" t="e">
        <f t="shared" ref="F43" ca="1" si="82">F42/F41</f>
        <v>#DIV/0!</v>
      </c>
      <c r="G43" s="16" t="e">
        <f t="shared" ref="G43" ca="1" si="83">G42/G41</f>
        <v>#DIV/0!</v>
      </c>
      <c r="H43" s="4" t="e">
        <f t="shared" ref="H43" ca="1" si="84">H42/H41</f>
        <v>#DIV/0!</v>
      </c>
      <c r="I43" s="4">
        <f t="shared" ref="I43" ca="1" si="85">I42/I41</f>
        <v>0</v>
      </c>
      <c r="J43" s="6">
        <f t="shared" ref="J43" ca="1" si="86">J42/J41</f>
        <v>0</v>
      </c>
      <c r="K43" s="11">
        <f t="shared" ref="K43" ca="1" si="87">K42/K41</f>
        <v>0</v>
      </c>
      <c r="L43" s="4">
        <f t="shared" ref="L43" ca="1" si="88">L42/L41</f>
        <v>0</v>
      </c>
      <c r="M43" s="16">
        <f t="shared" ref="M43" ca="1" si="89">M42/M41</f>
        <v>0</v>
      </c>
      <c r="N43" s="4">
        <f t="shared" ref="N43" ca="1" si="90">N42/N41</f>
        <v>0</v>
      </c>
      <c r="O43" s="4">
        <f t="shared" ref="O43" ca="1" si="91">O42/O41</f>
        <v>0</v>
      </c>
      <c r="P43" s="6">
        <f t="shared" ref="P43:Q43" ca="1" si="92">P42/P41</f>
        <v>0</v>
      </c>
      <c r="Q43" s="26">
        <f t="shared" ca="1" si="92"/>
        <v>0</v>
      </c>
    </row>
    <row r="44" spans="1:19" ht="19.5" thickBot="1">
      <c r="A44" s="19"/>
      <c r="B44" s="448"/>
      <c r="C44" s="454"/>
      <c r="D44" s="30" t="s">
        <v>18</v>
      </c>
      <c r="E44" s="14" t="e">
        <f ca="1">SUM($E42:E42)/SUM($E41:E41)</f>
        <v>#DIV/0!</v>
      </c>
      <c r="F44" s="7" t="e">
        <f ca="1">SUM($E42:F42)/SUM($E41:F41)</f>
        <v>#DIV/0!</v>
      </c>
      <c r="G44" s="18" t="e">
        <f ca="1">SUM($E42:G42)/SUM($E41:G41)</f>
        <v>#DIV/0!</v>
      </c>
      <c r="H44" s="7" t="e">
        <f ca="1">SUM($E42:H42)/SUM($E41:H41)</f>
        <v>#DIV/0!</v>
      </c>
      <c r="I44" s="7">
        <f ca="1">SUM($E42:I42)/SUM($E41:I41)</f>
        <v>0</v>
      </c>
      <c r="J44" s="15">
        <f ca="1">SUM($E42:J42)/SUM($E41:J41)</f>
        <v>0</v>
      </c>
      <c r="K44" s="14">
        <f ca="1">SUM($E42:K42)/SUM($E41:K41)</f>
        <v>0</v>
      </c>
      <c r="L44" s="7">
        <f ca="1">SUM($E42:L42)/SUM($E41:L41)</f>
        <v>0</v>
      </c>
      <c r="M44" s="18">
        <f ca="1">SUM($E42:M42)/SUM($E41:M41)</f>
        <v>0</v>
      </c>
      <c r="N44" s="7">
        <f ca="1">SUM($E42:N42)/SUM($E41:N41)</f>
        <v>0</v>
      </c>
      <c r="O44" s="7">
        <f ca="1">SUM($E42:O42)/SUM($E41:O41)</f>
        <v>0</v>
      </c>
      <c r="P44" s="15">
        <f ca="1">SUM($E42:P42)/SUM($E41:P41)</f>
        <v>0</v>
      </c>
      <c r="Q44" s="28" t="s">
        <v>22</v>
      </c>
    </row>
    <row r="45" spans="1:19" ht="24.75" thickBot="1">
      <c r="B45" s="31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29"/>
    </row>
    <row r="46" spans="1:19" ht="19.5" customHeight="1" thickBot="1">
      <c r="A46" s="455" t="s">
        <v>31</v>
      </c>
      <c r="B46" s="456"/>
      <c r="C46" s="459" t="s">
        <v>303</v>
      </c>
      <c r="D46" s="460"/>
      <c r="E46" s="445" t="s">
        <v>19</v>
      </c>
      <c r="F46" s="439"/>
      <c r="G46" s="439"/>
      <c r="H46" s="439"/>
      <c r="I46" s="439"/>
      <c r="J46" s="440"/>
      <c r="K46" s="438" t="s">
        <v>20</v>
      </c>
      <c r="L46" s="439"/>
      <c r="M46" s="439"/>
      <c r="N46" s="439"/>
      <c r="O46" s="439"/>
      <c r="P46" s="440"/>
      <c r="Q46" s="29"/>
    </row>
    <row r="47" spans="1:19" ht="19.5" customHeight="1" thickBot="1">
      <c r="A47" s="457"/>
      <c r="B47" s="458"/>
      <c r="C47" s="461"/>
      <c r="D47" s="462"/>
      <c r="E47" s="414" t="s">
        <v>0</v>
      </c>
      <c r="F47" s="413" t="s">
        <v>1</v>
      </c>
      <c r="G47" s="413" t="s">
        <v>2</v>
      </c>
      <c r="H47" s="413" t="s">
        <v>3</v>
      </c>
      <c r="I47" s="413" t="s">
        <v>4</v>
      </c>
      <c r="J47" s="415" t="s">
        <v>5</v>
      </c>
      <c r="K47" s="412" t="s">
        <v>6</v>
      </c>
      <c r="L47" s="413" t="s">
        <v>7</v>
      </c>
      <c r="M47" s="413" t="s">
        <v>8</v>
      </c>
      <c r="N47" s="413" t="s">
        <v>9</v>
      </c>
      <c r="O47" s="413" t="s">
        <v>10</v>
      </c>
      <c r="P47" s="415" t="s">
        <v>11</v>
      </c>
      <c r="Q47" s="29"/>
    </row>
    <row r="48" spans="1:19" ht="39" customHeight="1">
      <c r="A48" s="441" t="s">
        <v>35</v>
      </c>
      <c r="B48" s="442"/>
      <c r="C48" s="71" t="s">
        <v>27</v>
      </c>
      <c r="D48" s="72" t="s">
        <v>24</v>
      </c>
      <c r="E48" s="93"/>
      <c r="F48" s="74"/>
      <c r="G48" s="74"/>
      <c r="H48" s="74"/>
      <c r="I48" s="74"/>
      <c r="J48" s="80"/>
      <c r="K48" s="93"/>
      <c r="L48" s="74"/>
      <c r="M48" s="95"/>
      <c r="N48" s="74"/>
      <c r="O48" s="74"/>
      <c r="P48" s="80"/>
    </row>
    <row r="49" spans="1:16" ht="39" customHeight="1">
      <c r="A49" s="441"/>
      <c r="B49" s="442"/>
      <c r="C49" s="486" t="str">
        <f>A7</f>
        <v>インド</v>
      </c>
      <c r="D49" s="81" t="s">
        <v>34</v>
      </c>
      <c r="E49" s="82"/>
      <c r="F49" s="83"/>
      <c r="G49" s="83"/>
      <c r="H49" s="83"/>
      <c r="I49" s="83"/>
      <c r="J49" s="84"/>
      <c r="K49" s="82"/>
      <c r="L49" s="83"/>
      <c r="M49" s="83"/>
      <c r="N49" s="83"/>
      <c r="O49" s="83"/>
      <c r="P49" s="84"/>
    </row>
    <row r="50" spans="1:16" ht="39" customHeight="1">
      <c r="A50" s="441"/>
      <c r="B50" s="442"/>
      <c r="C50" s="487"/>
      <c r="D50" s="85" t="s">
        <v>32</v>
      </c>
      <c r="E50" s="86"/>
      <c r="F50" s="87"/>
      <c r="G50" s="87"/>
      <c r="H50" s="87"/>
      <c r="I50" s="87"/>
      <c r="J50" s="88"/>
      <c r="K50" s="86"/>
      <c r="L50" s="87"/>
      <c r="M50" s="87"/>
      <c r="N50" s="87"/>
      <c r="O50" s="87"/>
      <c r="P50" s="88"/>
    </row>
    <row r="51" spans="1:16" ht="39" customHeight="1" thickBot="1">
      <c r="A51" s="441"/>
      <c r="B51" s="442"/>
      <c r="C51" s="152" t="str">
        <f>B7</f>
        <v>MOBILON
スパンデックス
原料</v>
      </c>
      <c r="D51" s="89" t="s">
        <v>33</v>
      </c>
      <c r="E51" s="90"/>
      <c r="F51" s="91"/>
      <c r="G51" s="91"/>
      <c r="H51" s="91"/>
      <c r="I51" s="91"/>
      <c r="J51" s="92"/>
      <c r="K51" s="90"/>
      <c r="L51" s="91"/>
      <c r="M51" s="91"/>
      <c r="N51" s="91"/>
      <c r="O51" s="91"/>
      <c r="P51" s="92"/>
    </row>
    <row r="52" spans="1:16" ht="39" customHeight="1">
      <c r="A52" s="441"/>
      <c r="B52" s="442"/>
      <c r="C52" s="71" t="s">
        <v>28</v>
      </c>
      <c r="D52" s="72" t="s">
        <v>24</v>
      </c>
      <c r="E52" s="93"/>
      <c r="F52" s="74"/>
      <c r="G52" s="74"/>
      <c r="H52" s="74"/>
      <c r="I52" s="74"/>
      <c r="J52" s="80"/>
      <c r="K52" s="93"/>
      <c r="L52" s="74"/>
      <c r="M52" s="74"/>
      <c r="N52" s="74"/>
      <c r="O52" s="74"/>
      <c r="P52" s="80"/>
    </row>
    <row r="53" spans="1:16" ht="39" customHeight="1">
      <c r="A53" s="441"/>
      <c r="B53" s="442"/>
      <c r="C53" s="486" t="str">
        <f>A17</f>
        <v>国内外
産業資材</v>
      </c>
      <c r="D53" s="81" t="s">
        <v>34</v>
      </c>
      <c r="E53" s="82"/>
      <c r="F53" s="83"/>
      <c r="G53" s="83"/>
      <c r="H53" s="83"/>
      <c r="I53" s="83"/>
      <c r="J53" s="84"/>
      <c r="K53" s="82"/>
      <c r="L53" s="83"/>
      <c r="M53" s="83"/>
      <c r="N53" s="83"/>
      <c r="O53" s="83"/>
      <c r="P53" s="84"/>
    </row>
    <row r="54" spans="1:16" ht="39" customHeight="1">
      <c r="A54" s="441"/>
      <c r="B54" s="442"/>
      <c r="C54" s="487"/>
      <c r="D54" s="85" t="s">
        <v>32</v>
      </c>
      <c r="E54" s="86"/>
      <c r="F54" s="87"/>
      <c r="G54" s="87"/>
      <c r="H54" s="87"/>
      <c r="I54" s="87"/>
      <c r="J54" s="88"/>
      <c r="K54" s="86"/>
      <c r="L54" s="87"/>
      <c r="M54" s="87"/>
      <c r="N54" s="87"/>
      <c r="O54" s="87"/>
      <c r="P54" s="88"/>
    </row>
    <row r="55" spans="1:16" ht="39" customHeight="1" thickBot="1">
      <c r="A55" s="441"/>
      <c r="B55" s="442"/>
      <c r="C55" s="152" t="str">
        <f>B17</f>
        <v>複合材
(CFRP)</v>
      </c>
      <c r="D55" s="89" t="s">
        <v>33</v>
      </c>
      <c r="E55" s="90"/>
      <c r="F55" s="91"/>
      <c r="G55" s="91"/>
      <c r="H55" s="91"/>
      <c r="I55" s="91"/>
      <c r="J55" s="92"/>
      <c r="K55" s="90"/>
      <c r="L55" s="91"/>
      <c r="M55" s="91"/>
      <c r="N55" s="91"/>
      <c r="O55" s="91"/>
      <c r="P55" s="92"/>
    </row>
    <row r="56" spans="1:16" ht="39" customHeight="1">
      <c r="A56" s="441"/>
      <c r="B56" s="442"/>
      <c r="C56" s="71" t="s">
        <v>29</v>
      </c>
      <c r="D56" s="72" t="s">
        <v>24</v>
      </c>
      <c r="E56" s="93"/>
      <c r="F56" s="74"/>
      <c r="G56" s="74"/>
      <c r="H56" s="74"/>
      <c r="I56" s="74"/>
      <c r="J56" s="80"/>
      <c r="K56" s="93"/>
      <c r="L56" s="74"/>
      <c r="M56" s="74"/>
      <c r="N56" s="74"/>
      <c r="O56" s="74"/>
      <c r="P56" s="80"/>
    </row>
    <row r="57" spans="1:16" ht="39" customHeight="1">
      <c r="A57" s="441"/>
      <c r="B57" s="442"/>
      <c r="C57" s="486"/>
      <c r="D57" s="81" t="s">
        <v>34</v>
      </c>
      <c r="E57" s="82"/>
      <c r="F57" s="83"/>
      <c r="G57" s="83"/>
      <c r="H57" s="83"/>
      <c r="I57" s="83"/>
      <c r="J57" s="84"/>
      <c r="K57" s="82"/>
      <c r="L57" s="83"/>
      <c r="M57" s="83"/>
      <c r="N57" s="83"/>
      <c r="O57" s="83"/>
      <c r="P57" s="84"/>
    </row>
    <row r="58" spans="1:16" ht="39" customHeight="1">
      <c r="A58" s="441"/>
      <c r="B58" s="442"/>
      <c r="C58" s="487"/>
      <c r="D58" s="85" t="s">
        <v>32</v>
      </c>
      <c r="E58" s="86"/>
      <c r="F58" s="87"/>
      <c r="G58" s="87"/>
      <c r="H58" s="87"/>
      <c r="I58" s="87"/>
      <c r="J58" s="88"/>
      <c r="K58" s="86"/>
      <c r="L58" s="87"/>
      <c r="M58" s="87"/>
      <c r="N58" s="87"/>
      <c r="O58" s="87"/>
      <c r="P58" s="88"/>
    </row>
    <row r="59" spans="1:16" ht="39" customHeight="1" thickBot="1">
      <c r="A59" s="443"/>
      <c r="B59" s="444"/>
      <c r="C59" s="152"/>
      <c r="D59" s="89" t="s">
        <v>33</v>
      </c>
      <c r="E59" s="90"/>
      <c r="F59" s="91"/>
      <c r="G59" s="91"/>
      <c r="H59" s="91"/>
      <c r="I59" s="91"/>
      <c r="J59" s="92"/>
      <c r="K59" s="90"/>
      <c r="L59" s="91"/>
      <c r="M59" s="91"/>
      <c r="N59" s="91"/>
      <c r="O59" s="91"/>
      <c r="P59" s="92"/>
    </row>
  </sheetData>
  <mergeCells count="45">
    <mergeCell ref="R7:R8"/>
    <mergeCell ref="A5:B5"/>
    <mergeCell ref="C57:C58"/>
    <mergeCell ref="C53:C54"/>
    <mergeCell ref="C49:C50"/>
    <mergeCell ref="R23:R24"/>
    <mergeCell ref="R21:R22"/>
    <mergeCell ref="R17:R18"/>
    <mergeCell ref="R13:R14"/>
    <mergeCell ref="R11:R12"/>
    <mergeCell ref="R41:R42"/>
    <mergeCell ref="R37:R38"/>
    <mergeCell ref="R33:R34"/>
    <mergeCell ref="R31:R32"/>
    <mergeCell ref="R27:R28"/>
    <mergeCell ref="C21:C22"/>
    <mergeCell ref="C23:C26"/>
    <mergeCell ref="A48:B59"/>
    <mergeCell ref="B37:B44"/>
    <mergeCell ref="C41:C44"/>
    <mergeCell ref="C37:C40"/>
    <mergeCell ref="Q5:Q6"/>
    <mergeCell ref="C13:C16"/>
    <mergeCell ref="C5:D6"/>
    <mergeCell ref="B7:B16"/>
    <mergeCell ref="A7:A16"/>
    <mergeCell ref="C7:C10"/>
    <mergeCell ref="C11:C12"/>
    <mergeCell ref="E5:J5"/>
    <mergeCell ref="C1:E1"/>
    <mergeCell ref="B1:B3"/>
    <mergeCell ref="A1:A3"/>
    <mergeCell ref="E46:J46"/>
    <mergeCell ref="K46:P46"/>
    <mergeCell ref="C46:D47"/>
    <mergeCell ref="A46:B47"/>
    <mergeCell ref="K5:P5"/>
    <mergeCell ref="A27:A36"/>
    <mergeCell ref="B27:B36"/>
    <mergeCell ref="C27:C30"/>
    <mergeCell ref="C31:C32"/>
    <mergeCell ref="C33:C36"/>
    <mergeCell ref="A17:A26"/>
    <mergeCell ref="B17:B26"/>
    <mergeCell ref="C17:C20"/>
  </mergeCells>
  <phoneticPr fontId="2"/>
  <pageMargins left="0.7" right="0.7" top="0.75" bottom="0.75" header="0.3" footer="0.3"/>
  <ignoredErrors>
    <ignoredError sqref="F10:O10 F16:O16" formulaRange="1"/>
  </ignoredError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4314D-E023-4020-9D80-60BFA2B14C13}">
  <sheetPr>
    <tabColor theme="7" tint="0.79998168889431442"/>
  </sheetPr>
  <dimension ref="A1:R400"/>
  <sheetViews>
    <sheetView workbookViewId="0">
      <selection activeCell="A6" sqref="A6"/>
    </sheetView>
  </sheetViews>
  <sheetFormatPr defaultColWidth="9" defaultRowHeight="18.75"/>
  <cols>
    <col min="1" max="2" width="15.875" style="163" customWidth="1"/>
    <col min="3" max="4" width="15.875" style="161" customWidth="1"/>
    <col min="5" max="5" width="9" style="209"/>
    <col min="6" max="6" width="15.625" style="161" customWidth="1"/>
    <col min="7" max="7" width="15.625" style="162" customWidth="1"/>
    <col min="8" max="8" width="9" style="163"/>
    <col min="9" max="9" width="5.25" style="169" bestFit="1" customWidth="1"/>
    <col min="10" max="10" width="14.5" style="165" customWidth="1"/>
    <col min="11" max="11" width="14.5" style="166" customWidth="1"/>
    <col min="12" max="12" width="5.25" style="166" bestFit="1" customWidth="1"/>
    <col min="13" max="15" width="14.5" style="166" customWidth="1"/>
    <col min="16" max="16" width="7.125" style="168" bestFit="1" customWidth="1"/>
    <col min="17" max="19" width="15.625" style="163" customWidth="1"/>
    <col min="20" max="16384" width="9" style="163"/>
  </cols>
  <sheetData>
    <row r="1" spans="1:18" ht="18.75" customHeight="1">
      <c r="A1" s="531" t="s">
        <v>171</v>
      </c>
      <c r="B1" s="531"/>
      <c r="C1" s="531"/>
      <c r="D1" s="531"/>
      <c r="E1" s="531"/>
      <c r="I1" s="164" t="s">
        <v>172</v>
      </c>
      <c r="M1" s="164"/>
      <c r="N1" s="167"/>
      <c r="O1" s="167"/>
    </row>
    <row r="2" spans="1:18" ht="18.75" customHeight="1">
      <c r="A2" s="531"/>
      <c r="B2" s="531"/>
      <c r="C2" s="531"/>
      <c r="D2" s="531"/>
      <c r="E2" s="531"/>
      <c r="J2" s="170" t="s">
        <v>173</v>
      </c>
      <c r="K2" s="170" t="s">
        <v>174</v>
      </c>
      <c r="L2" s="167"/>
      <c r="M2" s="171" t="s">
        <v>175</v>
      </c>
      <c r="N2" s="171" t="s">
        <v>176</v>
      </c>
      <c r="O2" s="171" t="s">
        <v>177</v>
      </c>
      <c r="P2" s="172" t="s">
        <v>178</v>
      </c>
    </row>
    <row r="3" spans="1:18" ht="18.75" customHeight="1">
      <c r="A3" s="173" t="s">
        <v>179</v>
      </c>
      <c r="B3" s="174"/>
      <c r="C3" s="174"/>
      <c r="D3" s="174"/>
      <c r="E3" s="174"/>
      <c r="F3" s="175"/>
      <c r="G3" s="176"/>
      <c r="H3" s="176"/>
      <c r="I3" s="177"/>
      <c r="J3" s="170">
        <v>0.5</v>
      </c>
      <c r="K3" s="170">
        <v>-0.5</v>
      </c>
      <c r="L3" s="178"/>
      <c r="M3" s="179" t="str">
        <f>新規2!A7</f>
        <v>インド</v>
      </c>
      <c r="N3" s="180" t="str">
        <f>新規2!A17</f>
        <v>国内外
産業資材</v>
      </c>
      <c r="O3" s="180"/>
      <c r="P3" s="172">
        <v>0.6</v>
      </c>
    </row>
    <row r="4" spans="1:18">
      <c r="A4" s="181" t="s">
        <v>180</v>
      </c>
      <c r="B4" s="163" t="s">
        <v>181</v>
      </c>
      <c r="C4" s="182" t="s">
        <v>180</v>
      </c>
      <c r="D4" s="183" t="s">
        <v>180</v>
      </c>
      <c r="E4" s="184" t="s">
        <v>180</v>
      </c>
      <c r="F4" s="182" t="s">
        <v>180</v>
      </c>
      <c r="G4" s="185" t="s">
        <v>180</v>
      </c>
      <c r="H4" s="184" t="s">
        <v>180</v>
      </c>
      <c r="I4" s="186"/>
      <c r="J4" s="187" t="s">
        <v>183</v>
      </c>
      <c r="K4" s="188"/>
      <c r="L4" s="189"/>
      <c r="M4" s="187" t="s">
        <v>182</v>
      </c>
      <c r="N4" s="188"/>
      <c r="O4" s="186"/>
      <c r="P4" s="188"/>
    </row>
    <row r="5" spans="1:18">
      <c r="A5" s="176" t="s">
        <v>184</v>
      </c>
      <c r="B5" s="176" t="s">
        <v>185</v>
      </c>
      <c r="C5" s="190" t="s">
        <v>186</v>
      </c>
      <c r="D5" s="175" t="s">
        <v>187</v>
      </c>
      <c r="E5" s="191" t="s">
        <v>188</v>
      </c>
      <c r="F5" s="190" t="s">
        <v>189</v>
      </c>
      <c r="G5" s="192" t="s">
        <v>190</v>
      </c>
      <c r="H5" s="193" t="s">
        <v>191</v>
      </c>
      <c r="I5" s="194" t="s">
        <v>192</v>
      </c>
      <c r="J5" s="195" t="s">
        <v>193</v>
      </c>
      <c r="K5" s="196" t="s">
        <v>194</v>
      </c>
      <c r="L5" s="197" t="s">
        <v>192</v>
      </c>
      <c r="M5" s="198" t="s">
        <v>195</v>
      </c>
      <c r="N5" s="196" t="s">
        <v>196</v>
      </c>
      <c r="O5" s="197" t="s">
        <v>197</v>
      </c>
      <c r="P5" s="199" t="s">
        <v>198</v>
      </c>
    </row>
    <row r="6" spans="1:18">
      <c r="C6" s="200"/>
      <c r="D6" s="201"/>
      <c r="E6" s="202"/>
      <c r="F6" s="200"/>
      <c r="H6" s="203"/>
      <c r="I6" s="186" t="str">
        <f>IF(H6="","",IF(H6="JPY","",IF($H6="USD",4, IF(H6="EUR",7,IF(H6="CNY",47,IF(H6="HKD",34))))))</f>
        <v/>
      </c>
      <c r="J6" s="204" t="str">
        <f>IF($H6="USD",IF(OR($I6="",$I6="-"),"",VLOOKUP($G6,為替!$A:$AX,$I6,FALSE))+$J$3,IF(OR($I6="",$I6="-"),"",VLOOKUP($G6,為替!$A:$AX,$I6,FALSE)))</f>
        <v/>
      </c>
      <c r="K6" s="205" t="str">
        <f>IF($H6="JPY",$F6,IF($H6="","",$F6*$J6))</f>
        <v/>
      </c>
      <c r="L6" s="189" t="str">
        <f>IF(H6="","",IF(H6="JPY","",IF($H6="USD",3, IF(H6="EUR",6,IF(H6="CNY",46,IF(H6="HKD",33))))))</f>
        <v/>
      </c>
      <c r="M6" s="204" t="str">
        <f>IF($H6="USD",IF(OR($L6="",$L6="-"),"",VLOOKUP($G6,為替!$A:$AX,$L6,FALSE))+$K$3,IF(OR($L6="",$L6="-"),"",VLOOKUP($G6,為替!$A:$AX,$L6,FALSE)))</f>
        <v/>
      </c>
      <c r="N6" s="205" t="str">
        <f>IF($E6="JPY",($C6+$D6),IF($E6="","",($C6+$D6)*$M6))</f>
        <v/>
      </c>
      <c r="O6" s="206" t="str">
        <f t="shared" ref="O6:O69" si="0">IF(OR(K6="",N6=""),"",K6-N6)</f>
        <v/>
      </c>
      <c r="P6" s="207" t="str">
        <f>IF(OR(K6="",O6=""),"",O6/K6)</f>
        <v/>
      </c>
    </row>
    <row r="7" spans="1:18">
      <c r="C7" s="200"/>
      <c r="D7" s="201"/>
      <c r="E7" s="202"/>
      <c r="F7" s="200"/>
      <c r="H7" s="203"/>
      <c r="I7" s="186" t="str">
        <f t="shared" ref="I7:I70" si="1">IF(H7="","",IF(H7="JPY","",IF($H7="USD",4, IF(H7="EUR",7,IF(H7="CNY",47,IF(H7="HKD",34))))))</f>
        <v/>
      </c>
      <c r="J7" s="204" t="str">
        <f>IF($H7="USD",IF(OR($I7="",$I7="-"),"",VLOOKUP($G7,為替!$A:$AX,$I7,FALSE))+$J$3,IF(OR($I7="",$I7="-"),"",VLOOKUP($G7,為替!$A:$AX,$I7,FALSE)))</f>
        <v/>
      </c>
      <c r="K7" s="205" t="str">
        <f t="shared" ref="K7:K70" si="2">IF($H7="JPY",$F7,IF($H7="","",$F7*$J7))</f>
        <v/>
      </c>
      <c r="L7" s="189" t="str">
        <f t="shared" ref="L7:L70" si="3">IF(H7="","",IF(H7="JPY","",IF($H7="USD",3, IF(H7="EUR",6,IF(H7="CNY",46,IF(H7="HKD",33))))))</f>
        <v/>
      </c>
      <c r="M7" s="204" t="str">
        <f>IF($H7="USD",IF(OR($L7="",$L7="-"),"",VLOOKUP($G7,為替!$A:$AX,$L7,FALSE))+$K$3,IF(OR($L7="",$L7="-"),"",VLOOKUP($G7,為替!$A:$AX,$L7,FALSE)))</f>
        <v/>
      </c>
      <c r="N7" s="205" t="str">
        <f t="shared" ref="N7:N70" si="4">IF($E7="JPY",($C7+$D7),IF($E7="","",($C7+$D7)*$M7))</f>
        <v/>
      </c>
      <c r="O7" s="206" t="str">
        <f t="shared" si="0"/>
        <v/>
      </c>
      <c r="P7" s="207" t="str">
        <f t="shared" ref="P7:P70" si="5">IF(OR(K7="",O7=""),"",O7/K7)</f>
        <v/>
      </c>
      <c r="R7" s="208"/>
    </row>
    <row r="8" spans="1:18">
      <c r="C8" s="200"/>
      <c r="D8" s="201"/>
      <c r="E8" s="202"/>
      <c r="F8" s="200"/>
      <c r="H8" s="203"/>
      <c r="I8" s="186" t="str">
        <f t="shared" si="1"/>
        <v/>
      </c>
      <c r="J8" s="204" t="str">
        <f>IF($H8="USD",IF(OR($I8="",$I8="-"),"",VLOOKUP($G8,為替!$A:$AX,$I8,FALSE))+$J$3,IF(OR($I8="",$I8="-"),"",VLOOKUP($G8,為替!$A:$AX,$I8,FALSE)))</f>
        <v/>
      </c>
      <c r="K8" s="205" t="str">
        <f t="shared" si="2"/>
        <v/>
      </c>
      <c r="L8" s="189" t="str">
        <f t="shared" si="3"/>
        <v/>
      </c>
      <c r="M8" s="204" t="str">
        <f>IF($H8="USD",IF(OR($L8="",$L8="-"),"",VLOOKUP($G8,為替!$A:$AX,$L8,FALSE))+$K$3,IF(OR($L8="",$L8="-"),"",VLOOKUP($G8,為替!$A:$AX,$L8,FALSE)))</f>
        <v/>
      </c>
      <c r="N8" s="205" t="str">
        <f t="shared" si="4"/>
        <v/>
      </c>
      <c r="O8" s="206" t="str">
        <f t="shared" si="0"/>
        <v/>
      </c>
      <c r="P8" s="207" t="str">
        <f t="shared" si="5"/>
        <v/>
      </c>
    </row>
    <row r="9" spans="1:18">
      <c r="C9" s="200"/>
      <c r="D9" s="201"/>
      <c r="E9" s="202"/>
      <c r="F9" s="200"/>
      <c r="H9" s="203"/>
      <c r="I9" s="186" t="str">
        <f t="shared" si="1"/>
        <v/>
      </c>
      <c r="J9" s="204" t="str">
        <f>IF($H9="USD",IF(OR($I9="",$I9="-"),"",VLOOKUP($G9,為替!$A:$AX,$I9,FALSE))+$J$3,IF(OR($I9="",$I9="-"),"",VLOOKUP($G9,為替!$A:$AX,$I9,FALSE)))</f>
        <v/>
      </c>
      <c r="K9" s="205" t="str">
        <f t="shared" si="2"/>
        <v/>
      </c>
      <c r="L9" s="189" t="str">
        <f t="shared" si="3"/>
        <v/>
      </c>
      <c r="M9" s="204" t="str">
        <f>IF($H9="USD",IF(OR($L9="",$L9="-"),"",VLOOKUP($G9,為替!$A:$AX,$L9,FALSE))+$K$3,IF(OR($L9="",$L9="-"),"",VLOOKUP($G9,為替!$A:$AX,$L9,FALSE)))</f>
        <v/>
      </c>
      <c r="N9" s="205" t="str">
        <f t="shared" si="4"/>
        <v/>
      </c>
      <c r="O9" s="206" t="str">
        <f t="shared" si="0"/>
        <v/>
      </c>
      <c r="P9" s="207" t="str">
        <f t="shared" si="5"/>
        <v/>
      </c>
    </row>
    <row r="10" spans="1:18">
      <c r="C10" s="200"/>
      <c r="D10" s="201"/>
      <c r="E10" s="202"/>
      <c r="F10" s="200"/>
      <c r="H10" s="203"/>
      <c r="I10" s="186" t="str">
        <f t="shared" si="1"/>
        <v/>
      </c>
      <c r="J10" s="204" t="str">
        <f>IF($H10="USD",IF(OR($I10="",$I10="-"),"",VLOOKUP($G10,為替!$A:$AX,$I10,FALSE))+$J$3,IF(OR($I10="",$I10="-"),"",VLOOKUP($G10,為替!$A:$AX,$I10,FALSE)))</f>
        <v/>
      </c>
      <c r="K10" s="205" t="str">
        <f t="shared" si="2"/>
        <v/>
      </c>
      <c r="L10" s="189" t="str">
        <f t="shared" si="3"/>
        <v/>
      </c>
      <c r="M10" s="204" t="str">
        <f>IF($H10="USD",IF(OR($L10="",$L10="-"),"",VLOOKUP($G10,為替!$A:$AX,$L10,FALSE))+$K$3,IF(OR($L10="",$L10="-"),"",VLOOKUP($G10,為替!$A:$AX,$L10,FALSE)))</f>
        <v/>
      </c>
      <c r="N10" s="205" t="str">
        <f t="shared" si="4"/>
        <v/>
      </c>
      <c r="O10" s="206" t="str">
        <f t="shared" si="0"/>
        <v/>
      </c>
      <c r="P10" s="207" t="str">
        <f t="shared" si="5"/>
        <v/>
      </c>
    </row>
    <row r="11" spans="1:18">
      <c r="C11" s="200"/>
      <c r="D11" s="201"/>
      <c r="E11" s="202"/>
      <c r="F11" s="200"/>
      <c r="H11" s="203"/>
      <c r="I11" s="186" t="str">
        <f t="shared" si="1"/>
        <v/>
      </c>
      <c r="J11" s="204" t="str">
        <f>IF($H11="USD",IF(OR($I11="",$I11="-"),"",VLOOKUP($G11,為替!$A:$AX,$I11,FALSE))+$J$3,IF(OR($I11="",$I11="-"),"",VLOOKUP($G11,為替!$A:$AX,$I11,FALSE)))</f>
        <v/>
      </c>
      <c r="K11" s="205" t="str">
        <f t="shared" si="2"/>
        <v/>
      </c>
      <c r="L11" s="189" t="str">
        <f t="shared" si="3"/>
        <v/>
      </c>
      <c r="M11" s="204" t="str">
        <f>IF($H11="USD",IF(OR($L11="",$L11="-"),"",VLOOKUP($G11,為替!$A:$AX,$L11,FALSE))+$K$3,IF(OR($L11="",$L11="-"),"",VLOOKUP($G11,為替!$A:$AX,$L11,FALSE)))</f>
        <v/>
      </c>
      <c r="N11" s="205" t="str">
        <f t="shared" si="4"/>
        <v/>
      </c>
      <c r="O11" s="206" t="str">
        <f t="shared" si="0"/>
        <v/>
      </c>
      <c r="P11" s="207" t="str">
        <f t="shared" si="5"/>
        <v/>
      </c>
    </row>
    <row r="12" spans="1:18">
      <c r="C12" s="200"/>
      <c r="D12" s="201"/>
      <c r="E12" s="202"/>
      <c r="F12" s="200"/>
      <c r="H12" s="203"/>
      <c r="I12" s="186" t="str">
        <f t="shared" si="1"/>
        <v/>
      </c>
      <c r="J12" s="204" t="str">
        <f>IF($H12="USD",IF(OR($I12="",$I12="-"),"",VLOOKUP($G12,為替!$A:$AX,$I12,FALSE))+$J$3,IF(OR($I12="",$I12="-"),"",VLOOKUP($G12,為替!$A:$AX,$I12,FALSE)))</f>
        <v/>
      </c>
      <c r="K12" s="205" t="str">
        <f t="shared" si="2"/>
        <v/>
      </c>
      <c r="L12" s="189" t="str">
        <f t="shared" si="3"/>
        <v/>
      </c>
      <c r="M12" s="204" t="str">
        <f>IF($H12="USD",IF(OR($L12="",$L12="-"),"",VLOOKUP($G12,為替!$A:$AX,$L12,FALSE))+$K$3,IF(OR($L12="",$L12="-"),"",VLOOKUP($G12,為替!$A:$AX,$L12,FALSE)))</f>
        <v/>
      </c>
      <c r="N12" s="205" t="str">
        <f t="shared" si="4"/>
        <v/>
      </c>
      <c r="O12" s="206" t="str">
        <f t="shared" si="0"/>
        <v/>
      </c>
      <c r="P12" s="207" t="str">
        <f t="shared" si="5"/>
        <v/>
      </c>
    </row>
    <row r="13" spans="1:18">
      <c r="C13" s="200"/>
      <c r="D13" s="201"/>
      <c r="E13" s="202"/>
      <c r="F13" s="200"/>
      <c r="H13" s="203"/>
      <c r="I13" s="186" t="str">
        <f t="shared" si="1"/>
        <v/>
      </c>
      <c r="J13" s="204" t="str">
        <f>IF($H13="USD",IF(OR($I13="",$I13="-"),"",VLOOKUP($G13,為替!$A:$AX,$I13,FALSE))+$J$3,IF(OR($I13="",$I13="-"),"",VLOOKUP($G13,為替!$A:$AX,$I13,FALSE)))</f>
        <v/>
      </c>
      <c r="K13" s="205" t="str">
        <f t="shared" si="2"/>
        <v/>
      </c>
      <c r="L13" s="189" t="str">
        <f t="shared" si="3"/>
        <v/>
      </c>
      <c r="M13" s="204" t="str">
        <f>IF($H13="USD",IF(OR($L13="",$L13="-"),"",VLOOKUP($G13,為替!$A:$AX,$L13,FALSE))+$K$3,IF(OR($L13="",$L13="-"),"",VLOOKUP($G13,為替!$A:$AX,$L13,FALSE)))</f>
        <v/>
      </c>
      <c r="N13" s="205" t="str">
        <f t="shared" si="4"/>
        <v/>
      </c>
      <c r="O13" s="206" t="str">
        <f t="shared" si="0"/>
        <v/>
      </c>
      <c r="P13" s="207" t="str">
        <f t="shared" si="5"/>
        <v/>
      </c>
    </row>
    <row r="14" spans="1:18">
      <c r="C14" s="200"/>
      <c r="D14" s="201"/>
      <c r="E14" s="202"/>
      <c r="F14" s="200"/>
      <c r="H14" s="203"/>
      <c r="I14" s="186" t="str">
        <f t="shared" si="1"/>
        <v/>
      </c>
      <c r="J14" s="204" t="str">
        <f>IF($H14="USD",IF(OR($I14="",$I14="-"),"",VLOOKUP($G14,為替!$A:$AX,$I14,FALSE))+$J$3,IF(OR($I14="",$I14="-"),"",VLOOKUP($G14,為替!$A:$AX,$I14,FALSE)))</f>
        <v/>
      </c>
      <c r="K14" s="205" t="str">
        <f t="shared" si="2"/>
        <v/>
      </c>
      <c r="L14" s="189" t="str">
        <f t="shared" si="3"/>
        <v/>
      </c>
      <c r="M14" s="204" t="str">
        <f>IF($H14="USD",IF(OR($L14="",$L14="-"),"",VLOOKUP($G14,為替!$A:$AX,$L14,FALSE))+$K$3,IF(OR($L14="",$L14="-"),"",VLOOKUP($G14,為替!$A:$AX,$L14,FALSE)))</f>
        <v/>
      </c>
      <c r="N14" s="205" t="str">
        <f t="shared" si="4"/>
        <v/>
      </c>
      <c r="O14" s="206" t="str">
        <f t="shared" si="0"/>
        <v/>
      </c>
      <c r="P14" s="207" t="str">
        <f t="shared" si="5"/>
        <v/>
      </c>
    </row>
    <row r="15" spans="1:18">
      <c r="C15" s="200"/>
      <c r="D15" s="201"/>
      <c r="E15" s="202"/>
      <c r="F15" s="200"/>
      <c r="H15" s="203"/>
      <c r="I15" s="186" t="str">
        <f t="shared" si="1"/>
        <v/>
      </c>
      <c r="J15" s="204" t="str">
        <f>IF($H15="USD",IF(OR($I15="",$I15="-"),"",VLOOKUP($G15,為替!$A:$AX,$I15,FALSE))+$J$3,IF(OR($I15="",$I15="-"),"",VLOOKUP($G15,為替!$A:$AX,$I15,FALSE)))</f>
        <v/>
      </c>
      <c r="K15" s="205" t="str">
        <f t="shared" si="2"/>
        <v/>
      </c>
      <c r="L15" s="189" t="str">
        <f t="shared" si="3"/>
        <v/>
      </c>
      <c r="M15" s="204" t="str">
        <f>IF($H15="USD",IF(OR($L15="",$L15="-"),"",VLOOKUP($G15,為替!$A:$AX,$L15,FALSE))+$K$3,IF(OR($L15="",$L15="-"),"",VLOOKUP($G15,為替!$A:$AX,$L15,FALSE)))</f>
        <v/>
      </c>
      <c r="N15" s="205" t="str">
        <f t="shared" si="4"/>
        <v/>
      </c>
      <c r="O15" s="206" t="str">
        <f t="shared" si="0"/>
        <v/>
      </c>
      <c r="P15" s="207" t="str">
        <f t="shared" si="5"/>
        <v/>
      </c>
    </row>
    <row r="16" spans="1:18">
      <c r="C16" s="200"/>
      <c r="D16" s="201"/>
      <c r="E16" s="202"/>
      <c r="F16" s="200"/>
      <c r="H16" s="203"/>
      <c r="I16" s="186" t="str">
        <f t="shared" si="1"/>
        <v/>
      </c>
      <c r="J16" s="204" t="str">
        <f>IF($H16="USD",IF(OR($I16="",$I16="-"),"",VLOOKUP($G16,為替!$A:$AX,$I16,FALSE))+$J$3,IF(OR($I16="",$I16="-"),"",VLOOKUP($G16,為替!$A:$AX,$I16,FALSE)))</f>
        <v/>
      </c>
      <c r="K16" s="205" t="str">
        <f t="shared" si="2"/>
        <v/>
      </c>
      <c r="L16" s="189" t="str">
        <f t="shared" si="3"/>
        <v/>
      </c>
      <c r="M16" s="204" t="str">
        <f>IF($H16="USD",IF(OR($L16="",$L16="-"),"",VLOOKUP($G16,為替!$A:$AX,$L16,FALSE))+$K$3,IF(OR($L16="",$L16="-"),"",VLOOKUP($G16,為替!$A:$AX,$L16,FALSE)))</f>
        <v/>
      </c>
      <c r="N16" s="205" t="str">
        <f t="shared" si="4"/>
        <v/>
      </c>
      <c r="O16" s="206" t="str">
        <f t="shared" si="0"/>
        <v/>
      </c>
      <c r="P16" s="207" t="str">
        <f t="shared" si="5"/>
        <v/>
      </c>
    </row>
    <row r="17" spans="3:16">
      <c r="C17" s="200"/>
      <c r="D17" s="201"/>
      <c r="E17" s="202"/>
      <c r="F17" s="200"/>
      <c r="H17" s="203"/>
      <c r="I17" s="186" t="str">
        <f t="shared" si="1"/>
        <v/>
      </c>
      <c r="J17" s="204" t="str">
        <f>IF($H17="USD",IF(OR($I17="",$I17="-"),"",VLOOKUP($G17,為替!$A:$AX,$I17,FALSE))+$J$3,IF(OR($I17="",$I17="-"),"",VLOOKUP($G17,為替!$A:$AX,$I17,FALSE)))</f>
        <v/>
      </c>
      <c r="K17" s="205" t="str">
        <f t="shared" si="2"/>
        <v/>
      </c>
      <c r="L17" s="189" t="str">
        <f t="shared" si="3"/>
        <v/>
      </c>
      <c r="M17" s="204" t="str">
        <f>IF($H17="USD",IF(OR($L17="",$L17="-"),"",VLOOKUP($G17,為替!$A:$AX,$L17,FALSE))+$K$3,IF(OR($L17="",$L17="-"),"",VLOOKUP($G17,為替!$A:$AX,$L17,FALSE)))</f>
        <v/>
      </c>
      <c r="N17" s="205" t="str">
        <f t="shared" si="4"/>
        <v/>
      </c>
      <c r="O17" s="206" t="str">
        <f t="shared" si="0"/>
        <v/>
      </c>
      <c r="P17" s="207" t="str">
        <f t="shared" si="5"/>
        <v/>
      </c>
    </row>
    <row r="18" spans="3:16">
      <c r="C18" s="200"/>
      <c r="D18" s="201"/>
      <c r="E18" s="202"/>
      <c r="F18" s="200"/>
      <c r="H18" s="203"/>
      <c r="I18" s="186" t="str">
        <f t="shared" si="1"/>
        <v/>
      </c>
      <c r="J18" s="204" t="str">
        <f>IF($H18="USD",IF(OR($I18="",$I18="-"),"",VLOOKUP($G18,為替!$A:$AX,$I18,FALSE))+$J$3,IF(OR($I18="",$I18="-"),"",VLOOKUP($G18,為替!$A:$AX,$I18,FALSE)))</f>
        <v/>
      </c>
      <c r="K18" s="205" t="str">
        <f t="shared" si="2"/>
        <v/>
      </c>
      <c r="L18" s="189" t="str">
        <f t="shared" si="3"/>
        <v/>
      </c>
      <c r="M18" s="204" t="str">
        <f>IF($H18="USD",IF(OR($L18="",$L18="-"),"",VLOOKUP($G18,為替!$A:$AX,$L18,FALSE))+$K$3,IF(OR($L18="",$L18="-"),"",VLOOKUP($G18,為替!$A:$AX,$L18,FALSE)))</f>
        <v/>
      </c>
      <c r="N18" s="205" t="str">
        <f t="shared" si="4"/>
        <v/>
      </c>
      <c r="O18" s="206" t="str">
        <f t="shared" si="0"/>
        <v/>
      </c>
      <c r="P18" s="207" t="str">
        <f t="shared" si="5"/>
        <v/>
      </c>
    </row>
    <row r="19" spans="3:16">
      <c r="C19" s="200"/>
      <c r="D19" s="201"/>
      <c r="E19" s="202"/>
      <c r="F19" s="200"/>
      <c r="H19" s="203"/>
      <c r="I19" s="186" t="str">
        <f t="shared" si="1"/>
        <v/>
      </c>
      <c r="J19" s="204" t="str">
        <f>IF($H19="USD",IF(OR($I19="",$I19="-"),"",VLOOKUP($G19,為替!$A:$AX,$I19,FALSE))+$J$3,IF(OR($I19="",$I19="-"),"",VLOOKUP($G19,為替!$A:$AX,$I19,FALSE)))</f>
        <v/>
      </c>
      <c r="K19" s="205" t="str">
        <f t="shared" si="2"/>
        <v/>
      </c>
      <c r="L19" s="189" t="str">
        <f t="shared" si="3"/>
        <v/>
      </c>
      <c r="M19" s="204" t="str">
        <f>IF($H19="USD",IF(OR($L19="",$L19="-"),"",VLOOKUP($G19,為替!$A:$AX,$L19,FALSE))+$K$3,IF(OR($L19="",$L19="-"),"",VLOOKUP($G19,為替!$A:$AX,$L19,FALSE)))</f>
        <v/>
      </c>
      <c r="N19" s="205" t="str">
        <f t="shared" si="4"/>
        <v/>
      </c>
      <c r="O19" s="206" t="str">
        <f t="shared" si="0"/>
        <v/>
      </c>
      <c r="P19" s="207" t="str">
        <f t="shared" si="5"/>
        <v/>
      </c>
    </row>
    <row r="20" spans="3:16">
      <c r="C20" s="200"/>
      <c r="D20" s="201"/>
      <c r="E20" s="202"/>
      <c r="F20" s="200"/>
      <c r="H20" s="203"/>
      <c r="I20" s="186" t="str">
        <f t="shared" si="1"/>
        <v/>
      </c>
      <c r="J20" s="204" t="str">
        <f>IF($H20="USD",IF(OR($I20="",$I20="-"),"",VLOOKUP($G20,為替!$A:$AX,$I20,FALSE))+$J$3,IF(OR($I20="",$I20="-"),"",VLOOKUP($G20,為替!$A:$AX,$I20,FALSE)))</f>
        <v/>
      </c>
      <c r="K20" s="205" t="str">
        <f t="shared" si="2"/>
        <v/>
      </c>
      <c r="L20" s="189" t="str">
        <f t="shared" si="3"/>
        <v/>
      </c>
      <c r="M20" s="204" t="str">
        <f>IF($H20="USD",IF(OR($L20="",$L20="-"),"",VLOOKUP($G20,為替!$A:$AX,$L20,FALSE))+$K$3,IF(OR($L20="",$L20="-"),"",VLOOKUP($G20,為替!$A:$AX,$L20,FALSE)))</f>
        <v/>
      </c>
      <c r="N20" s="205" t="str">
        <f t="shared" si="4"/>
        <v/>
      </c>
      <c r="O20" s="206" t="str">
        <f t="shared" si="0"/>
        <v/>
      </c>
      <c r="P20" s="207" t="str">
        <f t="shared" si="5"/>
        <v/>
      </c>
    </row>
    <row r="21" spans="3:16">
      <c r="C21" s="200"/>
      <c r="D21" s="201"/>
      <c r="E21" s="202"/>
      <c r="F21" s="200"/>
      <c r="H21" s="203"/>
      <c r="I21" s="186" t="str">
        <f t="shared" si="1"/>
        <v/>
      </c>
      <c r="J21" s="204" t="str">
        <f>IF($H21="USD",IF(OR($I21="",$I21="-"),"",VLOOKUP($G21,為替!$A:$AX,$I21,FALSE))+$J$3,IF(OR($I21="",$I21="-"),"",VLOOKUP($G21,為替!$A:$AX,$I21,FALSE)))</f>
        <v/>
      </c>
      <c r="K21" s="205" t="str">
        <f t="shared" si="2"/>
        <v/>
      </c>
      <c r="L21" s="189" t="str">
        <f t="shared" si="3"/>
        <v/>
      </c>
      <c r="M21" s="204" t="str">
        <f>IF($H21="USD",IF(OR($L21="",$L21="-"),"",VLOOKUP($G21,為替!$A:$AX,$L21,FALSE))+$K$3,IF(OR($L21="",$L21="-"),"",VLOOKUP($G21,為替!$A:$AX,$L21,FALSE)))</f>
        <v/>
      </c>
      <c r="N21" s="205" t="str">
        <f t="shared" si="4"/>
        <v/>
      </c>
      <c r="O21" s="206" t="str">
        <f t="shared" si="0"/>
        <v/>
      </c>
      <c r="P21" s="207" t="str">
        <f t="shared" si="5"/>
        <v/>
      </c>
    </row>
    <row r="22" spans="3:16">
      <c r="C22" s="200"/>
      <c r="D22" s="201"/>
      <c r="E22" s="202"/>
      <c r="F22" s="200"/>
      <c r="H22" s="203"/>
      <c r="I22" s="186" t="str">
        <f t="shared" si="1"/>
        <v/>
      </c>
      <c r="J22" s="204" t="str">
        <f>IF($H22="USD",IF(OR($I22="",$I22="-"),"",VLOOKUP($G22,為替!$A:$AX,$I22,FALSE))+$J$3,IF(OR($I22="",$I22="-"),"",VLOOKUP($G22,為替!$A:$AX,$I22,FALSE)))</f>
        <v/>
      </c>
      <c r="K22" s="205" t="str">
        <f t="shared" si="2"/>
        <v/>
      </c>
      <c r="L22" s="189" t="str">
        <f t="shared" si="3"/>
        <v/>
      </c>
      <c r="M22" s="204" t="str">
        <f>IF($H22="USD",IF(OR($L22="",$L22="-"),"",VLOOKUP($G22,為替!$A:$AX,$L22,FALSE))+$K$3,IF(OR($L22="",$L22="-"),"",VLOOKUP($G22,為替!$A:$AX,$L22,FALSE)))</f>
        <v/>
      </c>
      <c r="N22" s="205" t="str">
        <f t="shared" si="4"/>
        <v/>
      </c>
      <c r="O22" s="206" t="str">
        <f t="shared" si="0"/>
        <v/>
      </c>
      <c r="P22" s="207" t="str">
        <f t="shared" si="5"/>
        <v/>
      </c>
    </row>
    <row r="23" spans="3:16">
      <c r="C23" s="200"/>
      <c r="D23" s="201"/>
      <c r="E23" s="202"/>
      <c r="F23" s="200"/>
      <c r="H23" s="203"/>
      <c r="I23" s="186" t="str">
        <f t="shared" si="1"/>
        <v/>
      </c>
      <c r="J23" s="204" t="str">
        <f>IF($H23="USD",IF(OR($I23="",$I23="-"),"",VLOOKUP($G23,為替!$A:$AX,$I23,FALSE))+$J$3,IF(OR($I23="",$I23="-"),"",VLOOKUP($G23,為替!$A:$AX,$I23,FALSE)))</f>
        <v/>
      </c>
      <c r="K23" s="205" t="str">
        <f t="shared" si="2"/>
        <v/>
      </c>
      <c r="L23" s="189" t="str">
        <f t="shared" si="3"/>
        <v/>
      </c>
      <c r="M23" s="204" t="str">
        <f>IF($H23="USD",IF(OR($L23="",$L23="-"),"",VLOOKUP($G23,為替!$A:$AX,$L23,FALSE))+$K$3,IF(OR($L23="",$L23="-"),"",VLOOKUP($G23,為替!$A:$AX,$L23,FALSE)))</f>
        <v/>
      </c>
      <c r="N23" s="205" t="str">
        <f t="shared" si="4"/>
        <v/>
      </c>
      <c r="O23" s="206" t="str">
        <f t="shared" si="0"/>
        <v/>
      </c>
      <c r="P23" s="207" t="str">
        <f t="shared" si="5"/>
        <v/>
      </c>
    </row>
    <row r="24" spans="3:16">
      <c r="C24" s="200"/>
      <c r="D24" s="201"/>
      <c r="E24" s="202"/>
      <c r="F24" s="200"/>
      <c r="H24" s="203"/>
      <c r="I24" s="186" t="str">
        <f t="shared" si="1"/>
        <v/>
      </c>
      <c r="J24" s="204" t="str">
        <f>IF($H24="USD",IF(OR($I24="",$I24="-"),"",VLOOKUP($G24,為替!$A:$AX,$I24,FALSE))+$J$3,IF(OR($I24="",$I24="-"),"",VLOOKUP($G24,為替!$A:$AX,$I24,FALSE)))</f>
        <v/>
      </c>
      <c r="K24" s="205" t="str">
        <f t="shared" si="2"/>
        <v/>
      </c>
      <c r="L24" s="189" t="str">
        <f t="shared" si="3"/>
        <v/>
      </c>
      <c r="M24" s="204" t="str">
        <f>IF($H24="USD",IF(OR($L24="",$L24="-"),"",VLOOKUP($G24,為替!$A:$AX,$L24,FALSE))+$K$3,IF(OR($L24="",$L24="-"),"",VLOOKUP($G24,為替!$A:$AX,$L24,FALSE)))</f>
        <v/>
      </c>
      <c r="N24" s="205" t="str">
        <f t="shared" si="4"/>
        <v/>
      </c>
      <c r="O24" s="206" t="str">
        <f t="shared" si="0"/>
        <v/>
      </c>
      <c r="P24" s="207" t="str">
        <f t="shared" si="5"/>
        <v/>
      </c>
    </row>
    <row r="25" spans="3:16">
      <c r="C25" s="200"/>
      <c r="D25" s="201"/>
      <c r="E25" s="202"/>
      <c r="F25" s="200"/>
      <c r="H25" s="203"/>
      <c r="I25" s="186" t="str">
        <f t="shared" si="1"/>
        <v/>
      </c>
      <c r="J25" s="204" t="str">
        <f>IF($H25="USD",IF(OR($I25="",$I25="-"),"",VLOOKUP($G25,為替!$A:$AX,$I25,FALSE))+$J$3,IF(OR($I25="",$I25="-"),"",VLOOKUP($G25,為替!$A:$AX,$I25,FALSE)))</f>
        <v/>
      </c>
      <c r="K25" s="205" t="str">
        <f t="shared" si="2"/>
        <v/>
      </c>
      <c r="L25" s="189" t="str">
        <f t="shared" si="3"/>
        <v/>
      </c>
      <c r="M25" s="204" t="str">
        <f>IF($H25="USD",IF(OR($L25="",$L25="-"),"",VLOOKUP($G25,為替!$A:$AX,$L25,FALSE))+$K$3,IF(OR($L25="",$L25="-"),"",VLOOKUP($G25,為替!$A:$AX,$L25,FALSE)))</f>
        <v/>
      </c>
      <c r="N25" s="205" t="str">
        <f t="shared" si="4"/>
        <v/>
      </c>
      <c r="O25" s="206" t="str">
        <f t="shared" si="0"/>
        <v/>
      </c>
      <c r="P25" s="207" t="str">
        <f t="shared" si="5"/>
        <v/>
      </c>
    </row>
    <row r="26" spans="3:16">
      <c r="C26" s="200"/>
      <c r="D26" s="201"/>
      <c r="E26" s="202"/>
      <c r="F26" s="200"/>
      <c r="H26" s="203"/>
      <c r="I26" s="186" t="str">
        <f t="shared" si="1"/>
        <v/>
      </c>
      <c r="J26" s="204" t="str">
        <f>IF($H26="USD",IF(OR($I26="",$I26="-"),"",VLOOKUP($G26,為替!$A:$AX,$I26,FALSE))+$J$3,IF(OR($I26="",$I26="-"),"",VLOOKUP($G26,為替!$A:$AX,$I26,FALSE)))</f>
        <v/>
      </c>
      <c r="K26" s="205" t="str">
        <f t="shared" si="2"/>
        <v/>
      </c>
      <c r="L26" s="189" t="str">
        <f t="shared" si="3"/>
        <v/>
      </c>
      <c r="M26" s="204" t="str">
        <f>IF($H26="USD",IF(OR($L26="",$L26="-"),"",VLOOKUP($G26,為替!$A:$AX,$L26,FALSE))+$K$3,IF(OR($L26="",$L26="-"),"",VLOOKUP($G26,為替!$A:$AX,$L26,FALSE)))</f>
        <v/>
      </c>
      <c r="N26" s="205" t="str">
        <f t="shared" si="4"/>
        <v/>
      </c>
      <c r="O26" s="206" t="str">
        <f t="shared" si="0"/>
        <v/>
      </c>
      <c r="P26" s="207" t="str">
        <f t="shared" si="5"/>
        <v/>
      </c>
    </row>
    <row r="27" spans="3:16">
      <c r="C27" s="200"/>
      <c r="D27" s="201"/>
      <c r="E27" s="202"/>
      <c r="F27" s="200"/>
      <c r="H27" s="203"/>
      <c r="I27" s="186" t="str">
        <f t="shared" si="1"/>
        <v/>
      </c>
      <c r="J27" s="204" t="str">
        <f>IF($H27="USD",IF(OR($I27="",$I27="-"),"",VLOOKUP($G27,為替!$A:$AX,$I27,FALSE))+$J$3,IF(OR($I27="",$I27="-"),"",VLOOKUP($G27,為替!$A:$AX,$I27,FALSE)))</f>
        <v/>
      </c>
      <c r="K27" s="205" t="str">
        <f t="shared" si="2"/>
        <v/>
      </c>
      <c r="L27" s="189" t="str">
        <f t="shared" si="3"/>
        <v/>
      </c>
      <c r="M27" s="204" t="str">
        <f>IF($H27="USD",IF(OR($L27="",$L27="-"),"",VLOOKUP($G27,為替!$A:$AX,$L27,FALSE))+$K$3,IF(OR($L27="",$L27="-"),"",VLOOKUP($G27,為替!$A:$AX,$L27,FALSE)))</f>
        <v/>
      </c>
      <c r="N27" s="205" t="str">
        <f t="shared" si="4"/>
        <v/>
      </c>
      <c r="O27" s="206" t="str">
        <f t="shared" si="0"/>
        <v/>
      </c>
      <c r="P27" s="207" t="str">
        <f t="shared" si="5"/>
        <v/>
      </c>
    </row>
    <row r="28" spans="3:16">
      <c r="C28" s="200"/>
      <c r="D28" s="201"/>
      <c r="E28" s="202"/>
      <c r="F28" s="200"/>
      <c r="H28" s="203"/>
      <c r="I28" s="186" t="str">
        <f t="shared" si="1"/>
        <v/>
      </c>
      <c r="J28" s="204" t="str">
        <f>IF($H28="USD",IF(OR($I28="",$I28="-"),"",VLOOKUP($G28,為替!$A:$AX,$I28,FALSE))+$J$3,IF(OR($I28="",$I28="-"),"",VLOOKUP($G28,為替!$A:$AX,$I28,FALSE)))</f>
        <v/>
      </c>
      <c r="K28" s="205" t="str">
        <f t="shared" si="2"/>
        <v/>
      </c>
      <c r="L28" s="189" t="str">
        <f t="shared" si="3"/>
        <v/>
      </c>
      <c r="M28" s="204" t="str">
        <f>IF($H28="USD",IF(OR($L28="",$L28="-"),"",VLOOKUP($G28,為替!$A:$AX,$L28,FALSE))+$K$3,IF(OR($L28="",$L28="-"),"",VLOOKUP($G28,為替!$A:$AX,$L28,FALSE)))</f>
        <v/>
      </c>
      <c r="N28" s="205" t="str">
        <f t="shared" si="4"/>
        <v/>
      </c>
      <c r="O28" s="206" t="str">
        <f t="shared" si="0"/>
        <v/>
      </c>
      <c r="P28" s="207" t="str">
        <f t="shared" si="5"/>
        <v/>
      </c>
    </row>
    <row r="29" spans="3:16">
      <c r="C29" s="200"/>
      <c r="D29" s="201"/>
      <c r="E29" s="202"/>
      <c r="F29" s="200"/>
      <c r="H29" s="203"/>
      <c r="I29" s="186" t="str">
        <f t="shared" si="1"/>
        <v/>
      </c>
      <c r="J29" s="204" t="str">
        <f>IF($H29="USD",IF(OR($I29="",$I29="-"),"",VLOOKUP($G29,為替!$A:$AX,$I29,FALSE))+$J$3,IF(OR($I29="",$I29="-"),"",VLOOKUP($G29,為替!$A:$AX,$I29,FALSE)))</f>
        <v/>
      </c>
      <c r="K29" s="205" t="str">
        <f t="shared" si="2"/>
        <v/>
      </c>
      <c r="L29" s="189" t="str">
        <f t="shared" si="3"/>
        <v/>
      </c>
      <c r="M29" s="204" t="str">
        <f>IF($H29="USD",IF(OR($L29="",$L29="-"),"",VLOOKUP($G29,為替!$A:$AX,$L29,FALSE))+$K$3,IF(OR($L29="",$L29="-"),"",VLOOKUP($G29,為替!$A:$AX,$L29,FALSE)))</f>
        <v/>
      </c>
      <c r="N29" s="205" t="str">
        <f t="shared" si="4"/>
        <v/>
      </c>
      <c r="O29" s="206" t="str">
        <f t="shared" si="0"/>
        <v/>
      </c>
      <c r="P29" s="207" t="str">
        <f t="shared" si="5"/>
        <v/>
      </c>
    </row>
    <row r="30" spans="3:16">
      <c r="C30" s="200"/>
      <c r="D30" s="201"/>
      <c r="E30" s="202"/>
      <c r="F30" s="200"/>
      <c r="H30" s="203"/>
      <c r="I30" s="186" t="str">
        <f t="shared" si="1"/>
        <v/>
      </c>
      <c r="J30" s="204" t="str">
        <f>IF($H30="USD",IF(OR($I30="",$I30="-"),"",VLOOKUP($G30,為替!$A:$AX,$I30,FALSE))+$J$3,IF(OR($I30="",$I30="-"),"",VLOOKUP($G30,為替!$A:$AX,$I30,FALSE)))</f>
        <v/>
      </c>
      <c r="K30" s="205" t="str">
        <f t="shared" si="2"/>
        <v/>
      </c>
      <c r="L30" s="189" t="str">
        <f t="shared" si="3"/>
        <v/>
      </c>
      <c r="M30" s="204" t="str">
        <f>IF($H30="USD",IF(OR($L30="",$L30="-"),"",VLOOKUP($G30,為替!$A:$AX,$L30,FALSE))+$K$3,IF(OR($L30="",$L30="-"),"",VLOOKUP($G30,為替!$A:$AX,$L30,FALSE)))</f>
        <v/>
      </c>
      <c r="N30" s="205" t="str">
        <f t="shared" si="4"/>
        <v/>
      </c>
      <c r="O30" s="206" t="str">
        <f t="shared" si="0"/>
        <v/>
      </c>
      <c r="P30" s="207" t="str">
        <f t="shared" si="5"/>
        <v/>
      </c>
    </row>
    <row r="31" spans="3:16">
      <c r="C31" s="200"/>
      <c r="D31" s="201"/>
      <c r="E31" s="202"/>
      <c r="F31" s="200"/>
      <c r="H31" s="203"/>
      <c r="I31" s="186" t="str">
        <f t="shared" si="1"/>
        <v/>
      </c>
      <c r="J31" s="204" t="str">
        <f>IF($H31="USD",IF(OR($I31="",$I31="-"),"",VLOOKUP($G31,為替!$A:$AX,$I31,FALSE))+$J$3,IF(OR($I31="",$I31="-"),"",VLOOKUP($G31,為替!$A:$AX,$I31,FALSE)))</f>
        <v/>
      </c>
      <c r="K31" s="205" t="str">
        <f t="shared" si="2"/>
        <v/>
      </c>
      <c r="L31" s="189" t="str">
        <f t="shared" si="3"/>
        <v/>
      </c>
      <c r="M31" s="204" t="str">
        <f>IF($H31="USD",IF(OR($L31="",$L31="-"),"",VLOOKUP($G31,為替!$A:$AX,$L31,FALSE))+$K$3,IF(OR($L31="",$L31="-"),"",VLOOKUP($G31,為替!$A:$AX,$L31,FALSE)))</f>
        <v/>
      </c>
      <c r="N31" s="205" t="str">
        <f t="shared" si="4"/>
        <v/>
      </c>
      <c r="O31" s="206" t="str">
        <f t="shared" si="0"/>
        <v/>
      </c>
      <c r="P31" s="207" t="str">
        <f t="shared" si="5"/>
        <v/>
      </c>
    </row>
    <row r="32" spans="3:16">
      <c r="C32" s="200"/>
      <c r="D32" s="201"/>
      <c r="E32" s="202"/>
      <c r="F32" s="200"/>
      <c r="H32" s="203"/>
      <c r="I32" s="186" t="str">
        <f t="shared" si="1"/>
        <v/>
      </c>
      <c r="J32" s="204" t="str">
        <f>IF($H32="USD",IF(OR($I32="",$I32="-"),"",VLOOKUP($G32,為替!$A:$AX,$I32,FALSE))+$J$3,IF(OR($I32="",$I32="-"),"",VLOOKUP($G32,為替!$A:$AX,$I32,FALSE)))</f>
        <v/>
      </c>
      <c r="K32" s="205" t="str">
        <f t="shared" si="2"/>
        <v/>
      </c>
      <c r="L32" s="189" t="str">
        <f t="shared" si="3"/>
        <v/>
      </c>
      <c r="M32" s="204" t="str">
        <f>IF($H32="USD",IF(OR($L32="",$L32="-"),"",VLOOKUP($G32,為替!$A:$AX,$L32,FALSE))+$K$3,IF(OR($L32="",$L32="-"),"",VLOOKUP($G32,為替!$A:$AX,$L32,FALSE)))</f>
        <v/>
      </c>
      <c r="N32" s="205" t="str">
        <f t="shared" si="4"/>
        <v/>
      </c>
      <c r="O32" s="206" t="str">
        <f t="shared" si="0"/>
        <v/>
      </c>
      <c r="P32" s="207" t="str">
        <f t="shared" si="5"/>
        <v/>
      </c>
    </row>
    <row r="33" spans="3:16">
      <c r="C33" s="200"/>
      <c r="D33" s="201"/>
      <c r="E33" s="202"/>
      <c r="F33" s="200"/>
      <c r="H33" s="203"/>
      <c r="I33" s="186" t="str">
        <f t="shared" si="1"/>
        <v/>
      </c>
      <c r="J33" s="204" t="str">
        <f>IF($H33="USD",IF(OR($I33="",$I33="-"),"",VLOOKUP($G33,為替!$A:$AX,$I33,FALSE))+$J$3,IF(OR($I33="",$I33="-"),"",VLOOKUP($G33,為替!$A:$AX,$I33,FALSE)))</f>
        <v/>
      </c>
      <c r="K33" s="205" t="str">
        <f t="shared" si="2"/>
        <v/>
      </c>
      <c r="L33" s="189" t="str">
        <f t="shared" si="3"/>
        <v/>
      </c>
      <c r="M33" s="204" t="str">
        <f>IF($H33="USD",IF(OR($L33="",$L33="-"),"",VLOOKUP($G33,為替!$A:$AX,$L33,FALSE))+$K$3,IF(OR($L33="",$L33="-"),"",VLOOKUP($G33,為替!$A:$AX,$L33,FALSE)))</f>
        <v/>
      </c>
      <c r="N33" s="205" t="str">
        <f t="shared" si="4"/>
        <v/>
      </c>
      <c r="O33" s="206" t="str">
        <f t="shared" si="0"/>
        <v/>
      </c>
      <c r="P33" s="207" t="str">
        <f t="shared" si="5"/>
        <v/>
      </c>
    </row>
    <row r="34" spans="3:16">
      <c r="C34" s="200"/>
      <c r="D34" s="201"/>
      <c r="E34" s="202"/>
      <c r="F34" s="200"/>
      <c r="H34" s="203"/>
      <c r="I34" s="186" t="str">
        <f t="shared" si="1"/>
        <v/>
      </c>
      <c r="J34" s="204" t="str">
        <f>IF($H34="USD",IF(OR($I34="",$I34="-"),"",VLOOKUP($G34,為替!$A:$AX,$I34,FALSE))+$J$3,IF(OR($I34="",$I34="-"),"",VLOOKUP($G34,為替!$A:$AX,$I34,FALSE)))</f>
        <v/>
      </c>
      <c r="K34" s="205" t="str">
        <f t="shared" si="2"/>
        <v/>
      </c>
      <c r="L34" s="189" t="str">
        <f t="shared" si="3"/>
        <v/>
      </c>
      <c r="M34" s="204" t="str">
        <f>IF($H34="USD",IF(OR($L34="",$L34="-"),"",VLOOKUP($G34,為替!$A:$AX,$L34,FALSE))+$K$3,IF(OR($L34="",$L34="-"),"",VLOOKUP($G34,為替!$A:$AX,$L34,FALSE)))</f>
        <v/>
      </c>
      <c r="N34" s="205" t="str">
        <f t="shared" si="4"/>
        <v/>
      </c>
      <c r="O34" s="206" t="str">
        <f t="shared" si="0"/>
        <v/>
      </c>
      <c r="P34" s="207" t="str">
        <f t="shared" si="5"/>
        <v/>
      </c>
    </row>
    <row r="35" spans="3:16">
      <c r="C35" s="200"/>
      <c r="D35" s="201"/>
      <c r="E35" s="202"/>
      <c r="F35" s="200"/>
      <c r="H35" s="203"/>
      <c r="I35" s="186" t="str">
        <f t="shared" si="1"/>
        <v/>
      </c>
      <c r="J35" s="204" t="str">
        <f>IF($H35="USD",IF(OR($I35="",$I35="-"),"",VLOOKUP($G35,為替!$A:$AX,$I35,FALSE))+$J$3,IF(OR($I35="",$I35="-"),"",VLOOKUP($G35,為替!$A:$AX,$I35,FALSE)))</f>
        <v/>
      </c>
      <c r="K35" s="205" t="str">
        <f t="shared" si="2"/>
        <v/>
      </c>
      <c r="L35" s="189" t="str">
        <f t="shared" si="3"/>
        <v/>
      </c>
      <c r="M35" s="204" t="str">
        <f>IF($H35="USD",IF(OR($L35="",$L35="-"),"",VLOOKUP($G35,為替!$A:$AX,$L35,FALSE))+$K$3,IF(OR($L35="",$L35="-"),"",VLOOKUP($G35,為替!$A:$AX,$L35,FALSE)))</f>
        <v/>
      </c>
      <c r="N35" s="205" t="str">
        <f t="shared" si="4"/>
        <v/>
      </c>
      <c r="O35" s="206" t="str">
        <f t="shared" si="0"/>
        <v/>
      </c>
      <c r="P35" s="207" t="str">
        <f t="shared" si="5"/>
        <v/>
      </c>
    </row>
    <row r="36" spans="3:16">
      <c r="C36" s="200"/>
      <c r="D36" s="201"/>
      <c r="E36" s="202"/>
      <c r="F36" s="200"/>
      <c r="H36" s="203"/>
      <c r="I36" s="186" t="str">
        <f t="shared" si="1"/>
        <v/>
      </c>
      <c r="J36" s="204" t="str">
        <f>IF($H36="USD",IF(OR($I36="",$I36="-"),"",VLOOKUP($G36,為替!$A:$AX,$I36,FALSE))+$J$3,IF(OR($I36="",$I36="-"),"",VLOOKUP($G36,為替!$A:$AX,$I36,FALSE)))</f>
        <v/>
      </c>
      <c r="K36" s="205" t="str">
        <f t="shared" si="2"/>
        <v/>
      </c>
      <c r="L36" s="189" t="str">
        <f t="shared" si="3"/>
        <v/>
      </c>
      <c r="M36" s="204" t="str">
        <f>IF($H36="USD",IF(OR($L36="",$L36="-"),"",VLOOKUP($G36,為替!$A:$AX,$L36,FALSE))+$K$3,IF(OR($L36="",$L36="-"),"",VLOOKUP($G36,為替!$A:$AX,$L36,FALSE)))</f>
        <v/>
      </c>
      <c r="N36" s="205" t="str">
        <f t="shared" si="4"/>
        <v/>
      </c>
      <c r="O36" s="206" t="str">
        <f t="shared" si="0"/>
        <v/>
      </c>
      <c r="P36" s="207" t="str">
        <f t="shared" si="5"/>
        <v/>
      </c>
    </row>
    <row r="37" spans="3:16">
      <c r="C37" s="200"/>
      <c r="D37" s="201"/>
      <c r="E37" s="202"/>
      <c r="F37" s="200"/>
      <c r="H37" s="203"/>
      <c r="I37" s="186" t="str">
        <f t="shared" si="1"/>
        <v/>
      </c>
      <c r="J37" s="204" t="str">
        <f>IF($H37="USD",IF(OR($I37="",$I37="-"),"",VLOOKUP($G37,為替!$A:$AX,$I37,FALSE))+$J$3,IF(OR($I37="",$I37="-"),"",VLOOKUP($G37,為替!$A:$AX,$I37,FALSE)))</f>
        <v/>
      </c>
      <c r="K37" s="205" t="str">
        <f t="shared" si="2"/>
        <v/>
      </c>
      <c r="L37" s="189" t="str">
        <f t="shared" si="3"/>
        <v/>
      </c>
      <c r="M37" s="204" t="str">
        <f>IF($H37="USD",IF(OR($L37="",$L37="-"),"",VLOOKUP($G37,為替!$A:$AX,$L37,FALSE))+$K$3,IF(OR($L37="",$L37="-"),"",VLOOKUP($G37,為替!$A:$AX,$L37,FALSE)))</f>
        <v/>
      </c>
      <c r="N37" s="205" t="str">
        <f t="shared" si="4"/>
        <v/>
      </c>
      <c r="O37" s="206" t="str">
        <f t="shared" si="0"/>
        <v/>
      </c>
      <c r="P37" s="207" t="str">
        <f t="shared" si="5"/>
        <v/>
      </c>
    </row>
    <row r="38" spans="3:16">
      <c r="C38" s="200"/>
      <c r="D38" s="201"/>
      <c r="E38" s="202"/>
      <c r="F38" s="200"/>
      <c r="H38" s="203"/>
      <c r="I38" s="186" t="str">
        <f t="shared" si="1"/>
        <v/>
      </c>
      <c r="J38" s="204" t="str">
        <f>IF($H38="USD",IF(OR($I38="",$I38="-"),"",VLOOKUP($G38,為替!$A:$AX,$I38,FALSE))+$J$3,IF(OR($I38="",$I38="-"),"",VLOOKUP($G38,為替!$A:$AX,$I38,FALSE)))</f>
        <v/>
      </c>
      <c r="K38" s="205" t="str">
        <f t="shared" si="2"/>
        <v/>
      </c>
      <c r="L38" s="189" t="str">
        <f t="shared" si="3"/>
        <v/>
      </c>
      <c r="M38" s="204" t="str">
        <f>IF($H38="USD",IF(OR($L38="",$L38="-"),"",VLOOKUP($G38,為替!$A:$AX,$L38,FALSE))+$K$3,IF(OR($L38="",$L38="-"),"",VLOOKUP($G38,為替!$A:$AX,$L38,FALSE)))</f>
        <v/>
      </c>
      <c r="N38" s="205" t="str">
        <f t="shared" si="4"/>
        <v/>
      </c>
      <c r="O38" s="206" t="str">
        <f t="shared" si="0"/>
        <v/>
      </c>
      <c r="P38" s="207" t="str">
        <f t="shared" si="5"/>
        <v/>
      </c>
    </row>
    <row r="39" spans="3:16">
      <c r="C39" s="200"/>
      <c r="D39" s="201"/>
      <c r="E39" s="202"/>
      <c r="F39" s="200"/>
      <c r="H39" s="203"/>
      <c r="I39" s="186" t="str">
        <f t="shared" si="1"/>
        <v/>
      </c>
      <c r="J39" s="204" t="str">
        <f>IF($H39="USD",IF(OR($I39="",$I39="-"),"",VLOOKUP($G39,為替!$A:$AX,$I39,FALSE))+$J$3,IF(OR($I39="",$I39="-"),"",VLOOKUP($G39,為替!$A:$AX,$I39,FALSE)))</f>
        <v/>
      </c>
      <c r="K39" s="205" t="str">
        <f t="shared" si="2"/>
        <v/>
      </c>
      <c r="L39" s="189" t="str">
        <f t="shared" si="3"/>
        <v/>
      </c>
      <c r="M39" s="204" t="str">
        <f>IF($H39="USD",IF(OR($L39="",$L39="-"),"",VLOOKUP($G39,為替!$A:$AX,$L39,FALSE))+$K$3,IF(OR($L39="",$L39="-"),"",VLOOKUP($G39,為替!$A:$AX,$L39,FALSE)))</f>
        <v/>
      </c>
      <c r="N39" s="205" t="str">
        <f t="shared" si="4"/>
        <v/>
      </c>
      <c r="O39" s="206" t="str">
        <f t="shared" si="0"/>
        <v/>
      </c>
      <c r="P39" s="207" t="str">
        <f t="shared" si="5"/>
        <v/>
      </c>
    </row>
    <row r="40" spans="3:16">
      <c r="C40" s="200"/>
      <c r="D40" s="201"/>
      <c r="E40" s="202"/>
      <c r="F40" s="200"/>
      <c r="H40" s="203"/>
      <c r="I40" s="186" t="str">
        <f t="shared" si="1"/>
        <v/>
      </c>
      <c r="J40" s="204" t="str">
        <f>IF($H40="USD",IF(OR($I40="",$I40="-"),"",VLOOKUP($G40,為替!$A:$AX,$I40,FALSE))+$J$3,IF(OR($I40="",$I40="-"),"",VLOOKUP($G40,為替!$A:$AX,$I40,FALSE)))</f>
        <v/>
      </c>
      <c r="K40" s="205" t="str">
        <f t="shared" si="2"/>
        <v/>
      </c>
      <c r="L40" s="189" t="str">
        <f t="shared" si="3"/>
        <v/>
      </c>
      <c r="M40" s="204" t="str">
        <f>IF($H40="USD",IF(OR($L40="",$L40="-"),"",VLOOKUP($G40,為替!$A:$AX,$L40,FALSE))+$K$3,IF(OR($L40="",$L40="-"),"",VLOOKUP($G40,為替!$A:$AX,$L40,FALSE)))</f>
        <v/>
      </c>
      <c r="N40" s="205" t="str">
        <f t="shared" si="4"/>
        <v/>
      </c>
      <c r="O40" s="206" t="str">
        <f t="shared" si="0"/>
        <v/>
      </c>
      <c r="P40" s="207" t="str">
        <f t="shared" si="5"/>
        <v/>
      </c>
    </row>
    <row r="41" spans="3:16">
      <c r="C41" s="200"/>
      <c r="D41" s="201"/>
      <c r="E41" s="202"/>
      <c r="F41" s="200"/>
      <c r="H41" s="203"/>
      <c r="I41" s="186" t="str">
        <f t="shared" si="1"/>
        <v/>
      </c>
      <c r="J41" s="204" t="str">
        <f>IF($H41="USD",IF(OR($I41="",$I41="-"),"",VLOOKUP($G41,為替!$A:$AX,$I41,FALSE))+$J$3,IF(OR($I41="",$I41="-"),"",VLOOKUP($G41,為替!$A:$AX,$I41,FALSE)))</f>
        <v/>
      </c>
      <c r="K41" s="205" t="str">
        <f t="shared" si="2"/>
        <v/>
      </c>
      <c r="L41" s="189" t="str">
        <f t="shared" si="3"/>
        <v/>
      </c>
      <c r="M41" s="204" t="str">
        <f>IF($H41="USD",IF(OR($L41="",$L41="-"),"",VLOOKUP($G41,為替!$A:$AX,$L41,FALSE))+$K$3,IF(OR($L41="",$L41="-"),"",VLOOKUP($G41,為替!$A:$AX,$L41,FALSE)))</f>
        <v/>
      </c>
      <c r="N41" s="205" t="str">
        <f t="shared" si="4"/>
        <v/>
      </c>
      <c r="O41" s="206" t="str">
        <f t="shared" si="0"/>
        <v/>
      </c>
      <c r="P41" s="207" t="str">
        <f t="shared" si="5"/>
        <v/>
      </c>
    </row>
    <row r="42" spans="3:16">
      <c r="C42" s="200"/>
      <c r="D42" s="201"/>
      <c r="E42" s="202"/>
      <c r="F42" s="200"/>
      <c r="H42" s="203"/>
      <c r="I42" s="186" t="str">
        <f t="shared" si="1"/>
        <v/>
      </c>
      <c r="J42" s="204" t="str">
        <f>IF($H42="USD",IF(OR($I42="",$I42="-"),"",VLOOKUP($G42,為替!$A:$AX,$I42,FALSE))+$J$3,IF(OR($I42="",$I42="-"),"",VLOOKUP($G42,為替!$A:$AX,$I42,FALSE)))</f>
        <v/>
      </c>
      <c r="K42" s="205" t="str">
        <f t="shared" si="2"/>
        <v/>
      </c>
      <c r="L42" s="189" t="str">
        <f t="shared" si="3"/>
        <v/>
      </c>
      <c r="M42" s="204" t="str">
        <f>IF($H42="USD",IF(OR($L42="",$L42="-"),"",VLOOKUP($G42,為替!$A:$AX,$L42,FALSE))+$K$3,IF(OR($L42="",$L42="-"),"",VLOOKUP($G42,為替!$A:$AX,$L42,FALSE)))</f>
        <v/>
      </c>
      <c r="N42" s="205" t="str">
        <f t="shared" si="4"/>
        <v/>
      </c>
      <c r="O42" s="206" t="str">
        <f t="shared" si="0"/>
        <v/>
      </c>
      <c r="P42" s="207" t="str">
        <f t="shared" si="5"/>
        <v/>
      </c>
    </row>
    <row r="43" spans="3:16">
      <c r="C43" s="200"/>
      <c r="D43" s="201"/>
      <c r="E43" s="202"/>
      <c r="F43" s="200"/>
      <c r="H43" s="203"/>
      <c r="I43" s="186" t="str">
        <f t="shared" si="1"/>
        <v/>
      </c>
      <c r="J43" s="204" t="str">
        <f>IF($H43="USD",IF(OR($I43="",$I43="-"),"",VLOOKUP($G43,為替!$A:$AX,$I43,FALSE))+$J$3,IF(OR($I43="",$I43="-"),"",VLOOKUP($G43,為替!$A:$AX,$I43,FALSE)))</f>
        <v/>
      </c>
      <c r="K43" s="205" t="str">
        <f t="shared" si="2"/>
        <v/>
      </c>
      <c r="L43" s="189" t="str">
        <f t="shared" si="3"/>
        <v/>
      </c>
      <c r="M43" s="204" t="str">
        <f>IF($H43="USD",IF(OR($L43="",$L43="-"),"",VLOOKUP($G43,為替!$A:$AX,$L43,FALSE))+$K$3,IF(OR($L43="",$L43="-"),"",VLOOKUP($G43,為替!$A:$AX,$L43,FALSE)))</f>
        <v/>
      </c>
      <c r="N43" s="205" t="str">
        <f t="shared" si="4"/>
        <v/>
      </c>
      <c r="O43" s="206" t="str">
        <f t="shared" si="0"/>
        <v/>
      </c>
      <c r="P43" s="207" t="str">
        <f t="shared" si="5"/>
        <v/>
      </c>
    </row>
    <row r="44" spans="3:16">
      <c r="C44" s="200"/>
      <c r="D44" s="201"/>
      <c r="E44" s="202"/>
      <c r="F44" s="200"/>
      <c r="H44" s="203"/>
      <c r="I44" s="186" t="str">
        <f t="shared" si="1"/>
        <v/>
      </c>
      <c r="J44" s="204" t="str">
        <f>IF($H44="USD",IF(OR($I44="",$I44="-"),"",VLOOKUP($G44,為替!$A:$AX,$I44,FALSE))+$J$3,IF(OR($I44="",$I44="-"),"",VLOOKUP($G44,為替!$A:$AX,$I44,FALSE)))</f>
        <v/>
      </c>
      <c r="K44" s="205" t="str">
        <f t="shared" si="2"/>
        <v/>
      </c>
      <c r="L44" s="189" t="str">
        <f t="shared" si="3"/>
        <v/>
      </c>
      <c r="M44" s="204" t="str">
        <f>IF($H44="USD",IF(OR($L44="",$L44="-"),"",VLOOKUP($G44,為替!$A:$AX,$L44,FALSE))+$K$3,IF(OR($L44="",$L44="-"),"",VLOOKUP($G44,為替!$A:$AX,$L44,FALSE)))</f>
        <v/>
      </c>
      <c r="N44" s="205" t="str">
        <f t="shared" si="4"/>
        <v/>
      </c>
      <c r="O44" s="206" t="str">
        <f t="shared" si="0"/>
        <v/>
      </c>
      <c r="P44" s="207" t="str">
        <f t="shared" si="5"/>
        <v/>
      </c>
    </row>
    <row r="45" spans="3:16">
      <c r="C45" s="200"/>
      <c r="D45" s="201"/>
      <c r="E45" s="202"/>
      <c r="F45" s="200"/>
      <c r="H45" s="203"/>
      <c r="I45" s="186" t="str">
        <f t="shared" si="1"/>
        <v/>
      </c>
      <c r="J45" s="204" t="str">
        <f>IF($H45="USD",IF(OR($I45="",$I45="-"),"",VLOOKUP($G45,為替!$A:$AX,$I45,FALSE))+$J$3,IF(OR($I45="",$I45="-"),"",VLOOKUP($G45,為替!$A:$AX,$I45,FALSE)))</f>
        <v/>
      </c>
      <c r="K45" s="205" t="str">
        <f t="shared" si="2"/>
        <v/>
      </c>
      <c r="L45" s="189" t="str">
        <f t="shared" si="3"/>
        <v/>
      </c>
      <c r="M45" s="204" t="str">
        <f>IF($H45="USD",IF(OR($L45="",$L45="-"),"",VLOOKUP($G45,為替!$A:$AX,$L45,FALSE))+$K$3,IF(OR($L45="",$L45="-"),"",VLOOKUP($G45,為替!$A:$AX,$L45,FALSE)))</f>
        <v/>
      </c>
      <c r="N45" s="205" t="str">
        <f t="shared" si="4"/>
        <v/>
      </c>
      <c r="O45" s="206" t="str">
        <f t="shared" si="0"/>
        <v/>
      </c>
      <c r="P45" s="207" t="str">
        <f t="shared" si="5"/>
        <v/>
      </c>
    </row>
    <row r="46" spans="3:16">
      <c r="C46" s="200"/>
      <c r="D46" s="201"/>
      <c r="E46" s="202"/>
      <c r="F46" s="200"/>
      <c r="H46" s="203"/>
      <c r="I46" s="186" t="str">
        <f t="shared" si="1"/>
        <v/>
      </c>
      <c r="J46" s="204" t="str">
        <f>IF($H46="USD",IF(OR($I46="",$I46="-"),"",VLOOKUP($G46,為替!$A:$AX,$I46,FALSE))+$J$3,IF(OR($I46="",$I46="-"),"",VLOOKUP($G46,為替!$A:$AX,$I46,FALSE)))</f>
        <v/>
      </c>
      <c r="K46" s="205" t="str">
        <f t="shared" si="2"/>
        <v/>
      </c>
      <c r="L46" s="189" t="str">
        <f t="shared" si="3"/>
        <v/>
      </c>
      <c r="M46" s="204" t="str">
        <f>IF($H46="USD",IF(OR($L46="",$L46="-"),"",VLOOKUP($G46,為替!$A:$AX,$L46,FALSE))+$K$3,IF(OR($L46="",$L46="-"),"",VLOOKUP($G46,為替!$A:$AX,$L46,FALSE)))</f>
        <v/>
      </c>
      <c r="N46" s="205" t="str">
        <f t="shared" si="4"/>
        <v/>
      </c>
      <c r="O46" s="206" t="str">
        <f t="shared" si="0"/>
        <v/>
      </c>
      <c r="P46" s="207" t="str">
        <f t="shared" si="5"/>
        <v/>
      </c>
    </row>
    <row r="47" spans="3:16">
      <c r="C47" s="200"/>
      <c r="D47" s="201"/>
      <c r="E47" s="202"/>
      <c r="F47" s="200"/>
      <c r="H47" s="203"/>
      <c r="I47" s="186" t="str">
        <f t="shared" si="1"/>
        <v/>
      </c>
      <c r="J47" s="204" t="str">
        <f>IF($H47="USD",IF(OR($I47="",$I47="-"),"",VLOOKUP($G47,為替!$A:$AX,$I47,FALSE))+$J$3,IF(OR($I47="",$I47="-"),"",VLOOKUP($G47,為替!$A:$AX,$I47,FALSE)))</f>
        <v/>
      </c>
      <c r="K47" s="205" t="str">
        <f t="shared" si="2"/>
        <v/>
      </c>
      <c r="L47" s="189" t="str">
        <f t="shared" si="3"/>
        <v/>
      </c>
      <c r="M47" s="204" t="str">
        <f>IF($H47="USD",IF(OR($L47="",$L47="-"),"",VLOOKUP($G47,為替!$A:$AX,$L47,FALSE))+$K$3,IF(OR($L47="",$L47="-"),"",VLOOKUP($G47,為替!$A:$AX,$L47,FALSE)))</f>
        <v/>
      </c>
      <c r="N47" s="205" t="str">
        <f t="shared" si="4"/>
        <v/>
      </c>
      <c r="O47" s="206" t="str">
        <f t="shared" si="0"/>
        <v/>
      </c>
      <c r="P47" s="207" t="str">
        <f t="shared" si="5"/>
        <v/>
      </c>
    </row>
    <row r="48" spans="3:16">
      <c r="C48" s="200"/>
      <c r="D48" s="201"/>
      <c r="E48" s="202"/>
      <c r="F48" s="200"/>
      <c r="H48" s="203"/>
      <c r="I48" s="186" t="str">
        <f t="shared" si="1"/>
        <v/>
      </c>
      <c r="J48" s="204" t="str">
        <f>IF($H48="USD",IF(OR($I48="",$I48="-"),"",VLOOKUP($G48,為替!$A:$AX,$I48,FALSE))+$J$3,IF(OR($I48="",$I48="-"),"",VLOOKUP($G48,為替!$A:$AX,$I48,FALSE)))</f>
        <v/>
      </c>
      <c r="K48" s="205" t="str">
        <f t="shared" si="2"/>
        <v/>
      </c>
      <c r="L48" s="189" t="str">
        <f t="shared" si="3"/>
        <v/>
      </c>
      <c r="M48" s="204" t="str">
        <f>IF($H48="USD",IF(OR($L48="",$L48="-"),"",VLOOKUP($G48,為替!$A:$AX,$L48,FALSE))+$K$3,IF(OR($L48="",$L48="-"),"",VLOOKUP($G48,為替!$A:$AX,$L48,FALSE)))</f>
        <v/>
      </c>
      <c r="N48" s="205" t="str">
        <f t="shared" si="4"/>
        <v/>
      </c>
      <c r="O48" s="206" t="str">
        <f t="shared" si="0"/>
        <v/>
      </c>
      <c r="P48" s="207" t="str">
        <f t="shared" si="5"/>
        <v/>
      </c>
    </row>
    <row r="49" spans="3:16">
      <c r="C49" s="200"/>
      <c r="D49" s="201"/>
      <c r="E49" s="202"/>
      <c r="F49" s="200"/>
      <c r="H49" s="203"/>
      <c r="I49" s="186" t="str">
        <f t="shared" si="1"/>
        <v/>
      </c>
      <c r="J49" s="204" t="str">
        <f>IF($H49="USD",IF(OR($I49="",$I49="-"),"",VLOOKUP($G49,為替!$A:$AX,$I49,FALSE))+$J$3,IF(OR($I49="",$I49="-"),"",VLOOKUP($G49,為替!$A:$AX,$I49,FALSE)))</f>
        <v/>
      </c>
      <c r="K49" s="205" t="str">
        <f t="shared" si="2"/>
        <v/>
      </c>
      <c r="L49" s="189" t="str">
        <f t="shared" si="3"/>
        <v/>
      </c>
      <c r="M49" s="204" t="str">
        <f>IF($H49="USD",IF(OR($L49="",$L49="-"),"",VLOOKUP($G49,為替!$A:$AX,$L49,FALSE))+$K$3,IF(OR($L49="",$L49="-"),"",VLOOKUP($G49,為替!$A:$AX,$L49,FALSE)))</f>
        <v/>
      </c>
      <c r="N49" s="205" t="str">
        <f t="shared" si="4"/>
        <v/>
      </c>
      <c r="O49" s="206" t="str">
        <f t="shared" si="0"/>
        <v/>
      </c>
      <c r="P49" s="207" t="str">
        <f t="shared" si="5"/>
        <v/>
      </c>
    </row>
    <row r="50" spans="3:16">
      <c r="C50" s="200"/>
      <c r="D50" s="201"/>
      <c r="E50" s="202"/>
      <c r="F50" s="200"/>
      <c r="H50" s="203"/>
      <c r="I50" s="186" t="str">
        <f t="shared" si="1"/>
        <v/>
      </c>
      <c r="J50" s="204" t="str">
        <f>IF($H50="USD",IF(OR($I50="",$I50="-"),"",VLOOKUP($G50,為替!$A:$AX,$I50,FALSE))+$J$3,IF(OR($I50="",$I50="-"),"",VLOOKUP($G50,為替!$A:$AX,$I50,FALSE)))</f>
        <v/>
      </c>
      <c r="K50" s="205" t="str">
        <f t="shared" si="2"/>
        <v/>
      </c>
      <c r="L50" s="189" t="str">
        <f t="shared" si="3"/>
        <v/>
      </c>
      <c r="M50" s="204" t="str">
        <f>IF($H50="USD",IF(OR($L50="",$L50="-"),"",VLOOKUP($G50,為替!$A:$AX,$L50,FALSE))+$K$3,IF(OR($L50="",$L50="-"),"",VLOOKUP($G50,為替!$A:$AX,$L50,FALSE)))</f>
        <v/>
      </c>
      <c r="N50" s="205" t="str">
        <f t="shared" si="4"/>
        <v/>
      </c>
      <c r="O50" s="206" t="str">
        <f t="shared" si="0"/>
        <v/>
      </c>
      <c r="P50" s="207" t="str">
        <f t="shared" si="5"/>
        <v/>
      </c>
    </row>
    <row r="51" spans="3:16">
      <c r="C51" s="200"/>
      <c r="D51" s="201"/>
      <c r="E51" s="202"/>
      <c r="F51" s="200"/>
      <c r="H51" s="203"/>
      <c r="I51" s="186" t="str">
        <f t="shared" si="1"/>
        <v/>
      </c>
      <c r="J51" s="204" t="str">
        <f>IF($H51="USD",IF(OR($I51="",$I51="-"),"",VLOOKUP($G51,為替!$A:$AX,$I51,FALSE))+$J$3,IF(OR($I51="",$I51="-"),"",VLOOKUP($G51,為替!$A:$AX,$I51,FALSE)))</f>
        <v/>
      </c>
      <c r="K51" s="205" t="str">
        <f t="shared" si="2"/>
        <v/>
      </c>
      <c r="L51" s="189" t="str">
        <f t="shared" si="3"/>
        <v/>
      </c>
      <c r="M51" s="204" t="str">
        <f>IF($H51="USD",IF(OR($L51="",$L51="-"),"",VLOOKUP($G51,為替!$A:$AX,$L51,FALSE))+$K$3,IF(OR($L51="",$L51="-"),"",VLOOKUP($G51,為替!$A:$AX,$L51,FALSE)))</f>
        <v/>
      </c>
      <c r="N51" s="205" t="str">
        <f t="shared" si="4"/>
        <v/>
      </c>
      <c r="O51" s="206" t="str">
        <f t="shared" si="0"/>
        <v/>
      </c>
      <c r="P51" s="207" t="str">
        <f t="shared" si="5"/>
        <v/>
      </c>
    </row>
    <row r="52" spans="3:16">
      <c r="C52" s="200"/>
      <c r="D52" s="201"/>
      <c r="E52" s="202"/>
      <c r="F52" s="200"/>
      <c r="H52" s="203"/>
      <c r="I52" s="186" t="str">
        <f t="shared" si="1"/>
        <v/>
      </c>
      <c r="J52" s="204" t="str">
        <f>IF($H52="USD",IF(OR($I52="",$I52="-"),"",VLOOKUP($G52,為替!$A:$AX,$I52,FALSE))+$J$3,IF(OR($I52="",$I52="-"),"",VLOOKUP($G52,為替!$A:$AX,$I52,FALSE)))</f>
        <v/>
      </c>
      <c r="K52" s="205" t="str">
        <f t="shared" si="2"/>
        <v/>
      </c>
      <c r="L52" s="189" t="str">
        <f t="shared" si="3"/>
        <v/>
      </c>
      <c r="M52" s="204" t="str">
        <f>IF($H52="USD",IF(OR($L52="",$L52="-"),"",VLOOKUP($G52,為替!$A:$AX,$L52,FALSE))+$K$3,IF(OR($L52="",$L52="-"),"",VLOOKUP($G52,為替!$A:$AX,$L52,FALSE)))</f>
        <v/>
      </c>
      <c r="N52" s="205" t="str">
        <f t="shared" si="4"/>
        <v/>
      </c>
      <c r="O52" s="206" t="str">
        <f t="shared" si="0"/>
        <v/>
      </c>
      <c r="P52" s="207" t="str">
        <f t="shared" si="5"/>
        <v/>
      </c>
    </row>
    <row r="53" spans="3:16">
      <c r="C53" s="200"/>
      <c r="D53" s="201"/>
      <c r="E53" s="202"/>
      <c r="F53" s="200"/>
      <c r="H53" s="203"/>
      <c r="I53" s="186" t="str">
        <f t="shared" si="1"/>
        <v/>
      </c>
      <c r="J53" s="204" t="str">
        <f>IF($H53="USD",IF(OR($I53="",$I53="-"),"",VLOOKUP($G53,為替!$A:$AX,$I53,FALSE))+$J$3,IF(OR($I53="",$I53="-"),"",VLOOKUP($G53,為替!$A:$AX,$I53,FALSE)))</f>
        <v/>
      </c>
      <c r="K53" s="205" t="str">
        <f t="shared" si="2"/>
        <v/>
      </c>
      <c r="L53" s="189" t="str">
        <f t="shared" si="3"/>
        <v/>
      </c>
      <c r="M53" s="204" t="str">
        <f>IF($H53="USD",IF(OR($L53="",$L53="-"),"",VLOOKUP($G53,為替!$A:$AX,$L53,FALSE))+$K$3,IF(OR($L53="",$L53="-"),"",VLOOKUP($G53,為替!$A:$AX,$L53,FALSE)))</f>
        <v/>
      </c>
      <c r="N53" s="205" t="str">
        <f t="shared" si="4"/>
        <v/>
      </c>
      <c r="O53" s="206" t="str">
        <f t="shared" si="0"/>
        <v/>
      </c>
      <c r="P53" s="207" t="str">
        <f t="shared" si="5"/>
        <v/>
      </c>
    </row>
    <row r="54" spans="3:16">
      <c r="C54" s="200"/>
      <c r="D54" s="201"/>
      <c r="E54" s="202"/>
      <c r="F54" s="200"/>
      <c r="H54" s="203"/>
      <c r="I54" s="186" t="str">
        <f t="shared" si="1"/>
        <v/>
      </c>
      <c r="J54" s="204" t="str">
        <f>IF($H54="USD",IF(OR($I54="",$I54="-"),"",VLOOKUP($G54,為替!$A:$AX,$I54,FALSE))+$J$3,IF(OR($I54="",$I54="-"),"",VLOOKUP($G54,為替!$A:$AX,$I54,FALSE)))</f>
        <v/>
      </c>
      <c r="K54" s="205" t="str">
        <f t="shared" si="2"/>
        <v/>
      </c>
      <c r="L54" s="189" t="str">
        <f t="shared" si="3"/>
        <v/>
      </c>
      <c r="M54" s="204" t="str">
        <f>IF($H54="USD",IF(OR($L54="",$L54="-"),"",VLOOKUP($G54,為替!$A:$AX,$L54,FALSE))+$K$3,IF(OR($L54="",$L54="-"),"",VLOOKUP($G54,為替!$A:$AX,$L54,FALSE)))</f>
        <v/>
      </c>
      <c r="N54" s="205" t="str">
        <f t="shared" si="4"/>
        <v/>
      </c>
      <c r="O54" s="206" t="str">
        <f t="shared" si="0"/>
        <v/>
      </c>
      <c r="P54" s="207" t="str">
        <f t="shared" si="5"/>
        <v/>
      </c>
    </row>
    <row r="55" spans="3:16">
      <c r="C55" s="200"/>
      <c r="D55" s="201"/>
      <c r="E55" s="202"/>
      <c r="F55" s="200"/>
      <c r="H55" s="203"/>
      <c r="I55" s="186" t="str">
        <f t="shared" si="1"/>
        <v/>
      </c>
      <c r="J55" s="204" t="str">
        <f>IF($H55="USD",IF(OR($I55="",$I55="-"),"",VLOOKUP($G55,為替!$A:$AX,$I55,FALSE))+$J$3,IF(OR($I55="",$I55="-"),"",VLOOKUP($G55,為替!$A:$AX,$I55,FALSE)))</f>
        <v/>
      </c>
      <c r="K55" s="205" t="str">
        <f t="shared" si="2"/>
        <v/>
      </c>
      <c r="L55" s="189" t="str">
        <f t="shared" si="3"/>
        <v/>
      </c>
      <c r="M55" s="204" t="str">
        <f>IF($H55="USD",IF(OR($L55="",$L55="-"),"",VLOOKUP($G55,為替!$A:$AX,$L55,FALSE))+$K$3,IF(OR($L55="",$L55="-"),"",VLOOKUP($G55,為替!$A:$AX,$L55,FALSE)))</f>
        <v/>
      </c>
      <c r="N55" s="205" t="str">
        <f t="shared" si="4"/>
        <v/>
      </c>
      <c r="O55" s="206" t="str">
        <f t="shared" si="0"/>
        <v/>
      </c>
      <c r="P55" s="207" t="str">
        <f t="shared" si="5"/>
        <v/>
      </c>
    </row>
    <row r="56" spans="3:16">
      <c r="C56" s="200"/>
      <c r="D56" s="201"/>
      <c r="E56" s="202"/>
      <c r="F56" s="200"/>
      <c r="H56" s="203"/>
      <c r="I56" s="186" t="str">
        <f t="shared" si="1"/>
        <v/>
      </c>
      <c r="J56" s="204" t="str">
        <f>IF($H56="USD",IF(OR($I56="",$I56="-"),"",VLOOKUP($G56,為替!$A:$AX,$I56,FALSE))+$J$3,IF(OR($I56="",$I56="-"),"",VLOOKUP($G56,為替!$A:$AX,$I56,FALSE)))</f>
        <v/>
      </c>
      <c r="K56" s="205" t="str">
        <f t="shared" si="2"/>
        <v/>
      </c>
      <c r="L56" s="189" t="str">
        <f t="shared" si="3"/>
        <v/>
      </c>
      <c r="M56" s="204" t="str">
        <f>IF($H56="USD",IF(OR($L56="",$L56="-"),"",VLOOKUP($G56,為替!$A:$AX,$L56,FALSE))+$K$3,IF(OR($L56="",$L56="-"),"",VLOOKUP($G56,為替!$A:$AX,$L56,FALSE)))</f>
        <v/>
      </c>
      <c r="N56" s="205" t="str">
        <f t="shared" si="4"/>
        <v/>
      </c>
      <c r="O56" s="206" t="str">
        <f t="shared" si="0"/>
        <v/>
      </c>
      <c r="P56" s="207" t="str">
        <f t="shared" si="5"/>
        <v/>
      </c>
    </row>
    <row r="57" spans="3:16">
      <c r="C57" s="200"/>
      <c r="D57" s="201"/>
      <c r="E57" s="202"/>
      <c r="F57" s="200"/>
      <c r="H57" s="203"/>
      <c r="I57" s="186" t="str">
        <f t="shared" si="1"/>
        <v/>
      </c>
      <c r="J57" s="204" t="str">
        <f>IF($H57="USD",IF(OR($I57="",$I57="-"),"",VLOOKUP($G57,為替!$A:$AX,$I57,FALSE))+$J$3,IF(OR($I57="",$I57="-"),"",VLOOKUP($G57,為替!$A:$AX,$I57,FALSE)))</f>
        <v/>
      </c>
      <c r="K57" s="205" t="str">
        <f t="shared" si="2"/>
        <v/>
      </c>
      <c r="L57" s="189" t="str">
        <f t="shared" si="3"/>
        <v/>
      </c>
      <c r="M57" s="204" t="str">
        <f>IF($H57="USD",IF(OR($L57="",$L57="-"),"",VLOOKUP($G57,為替!$A:$AX,$L57,FALSE))+$K$3,IF(OR($L57="",$L57="-"),"",VLOOKUP($G57,為替!$A:$AX,$L57,FALSE)))</f>
        <v/>
      </c>
      <c r="N57" s="205" t="str">
        <f t="shared" si="4"/>
        <v/>
      </c>
      <c r="O57" s="206" t="str">
        <f t="shared" si="0"/>
        <v/>
      </c>
      <c r="P57" s="207" t="str">
        <f t="shared" si="5"/>
        <v/>
      </c>
    </row>
    <row r="58" spans="3:16">
      <c r="C58" s="200"/>
      <c r="D58" s="201"/>
      <c r="E58" s="202"/>
      <c r="F58" s="200"/>
      <c r="H58" s="203"/>
      <c r="I58" s="186" t="str">
        <f t="shared" si="1"/>
        <v/>
      </c>
      <c r="J58" s="204" t="str">
        <f>IF($H58="USD",IF(OR($I58="",$I58="-"),"",VLOOKUP($G58,為替!$A:$AX,$I58,FALSE))+$J$3,IF(OR($I58="",$I58="-"),"",VLOOKUP($G58,為替!$A:$AX,$I58,FALSE)))</f>
        <v/>
      </c>
      <c r="K58" s="205" t="str">
        <f t="shared" si="2"/>
        <v/>
      </c>
      <c r="L58" s="189" t="str">
        <f t="shared" si="3"/>
        <v/>
      </c>
      <c r="M58" s="204" t="str">
        <f>IF($H58="USD",IF(OR($L58="",$L58="-"),"",VLOOKUP($G58,為替!$A:$AX,$L58,FALSE))+$K$3,IF(OR($L58="",$L58="-"),"",VLOOKUP($G58,為替!$A:$AX,$L58,FALSE)))</f>
        <v/>
      </c>
      <c r="N58" s="205" t="str">
        <f t="shared" si="4"/>
        <v/>
      </c>
      <c r="O58" s="206" t="str">
        <f t="shared" si="0"/>
        <v/>
      </c>
      <c r="P58" s="207" t="str">
        <f t="shared" si="5"/>
        <v/>
      </c>
    </row>
    <row r="59" spans="3:16">
      <c r="C59" s="200"/>
      <c r="D59" s="201"/>
      <c r="E59" s="202"/>
      <c r="F59" s="200"/>
      <c r="H59" s="203"/>
      <c r="I59" s="186" t="str">
        <f t="shared" si="1"/>
        <v/>
      </c>
      <c r="J59" s="204" t="str">
        <f>IF($H59="USD",IF(OR($I59="",$I59="-"),"",VLOOKUP($G59,為替!$A:$AX,$I59,FALSE))+$J$3,IF(OR($I59="",$I59="-"),"",VLOOKUP($G59,為替!$A:$AX,$I59,FALSE)))</f>
        <v/>
      </c>
      <c r="K59" s="205" t="str">
        <f t="shared" si="2"/>
        <v/>
      </c>
      <c r="L59" s="189" t="str">
        <f t="shared" si="3"/>
        <v/>
      </c>
      <c r="M59" s="204" t="str">
        <f>IF($H59="USD",IF(OR($L59="",$L59="-"),"",VLOOKUP($G59,為替!$A:$AX,$L59,FALSE))+$K$3,IF(OR($L59="",$L59="-"),"",VLOOKUP($G59,為替!$A:$AX,$L59,FALSE)))</f>
        <v/>
      </c>
      <c r="N59" s="205" t="str">
        <f t="shared" si="4"/>
        <v/>
      </c>
      <c r="O59" s="206" t="str">
        <f t="shared" si="0"/>
        <v/>
      </c>
      <c r="P59" s="207" t="str">
        <f t="shared" si="5"/>
        <v/>
      </c>
    </row>
    <row r="60" spans="3:16">
      <c r="C60" s="200"/>
      <c r="D60" s="201"/>
      <c r="E60" s="202"/>
      <c r="F60" s="200"/>
      <c r="H60" s="203"/>
      <c r="I60" s="186" t="str">
        <f t="shared" si="1"/>
        <v/>
      </c>
      <c r="J60" s="204" t="str">
        <f>IF($H60="USD",IF(OR($I60="",$I60="-"),"",VLOOKUP($G60,為替!$A:$AX,$I60,FALSE))+$J$3,IF(OR($I60="",$I60="-"),"",VLOOKUP($G60,為替!$A:$AX,$I60,FALSE)))</f>
        <v/>
      </c>
      <c r="K60" s="205" t="str">
        <f t="shared" si="2"/>
        <v/>
      </c>
      <c r="L60" s="189" t="str">
        <f t="shared" si="3"/>
        <v/>
      </c>
      <c r="M60" s="204" t="str">
        <f>IF($H60="USD",IF(OR($L60="",$L60="-"),"",VLOOKUP($G60,為替!$A:$AX,$L60,FALSE))+$K$3,IF(OR($L60="",$L60="-"),"",VLOOKUP($G60,為替!$A:$AX,$L60,FALSE)))</f>
        <v/>
      </c>
      <c r="N60" s="205" t="str">
        <f t="shared" si="4"/>
        <v/>
      </c>
      <c r="O60" s="206" t="str">
        <f t="shared" si="0"/>
        <v/>
      </c>
      <c r="P60" s="207" t="str">
        <f t="shared" si="5"/>
        <v/>
      </c>
    </row>
    <row r="61" spans="3:16">
      <c r="C61" s="200"/>
      <c r="D61" s="201"/>
      <c r="E61" s="202"/>
      <c r="F61" s="200"/>
      <c r="H61" s="203"/>
      <c r="I61" s="186" t="str">
        <f t="shared" si="1"/>
        <v/>
      </c>
      <c r="J61" s="204" t="str">
        <f>IF($H61="USD",IF(OR($I61="",$I61="-"),"",VLOOKUP($G61,為替!$A:$AX,$I61,FALSE))+$J$3,IF(OR($I61="",$I61="-"),"",VLOOKUP($G61,為替!$A:$AX,$I61,FALSE)))</f>
        <v/>
      </c>
      <c r="K61" s="205" t="str">
        <f t="shared" si="2"/>
        <v/>
      </c>
      <c r="L61" s="189" t="str">
        <f t="shared" si="3"/>
        <v/>
      </c>
      <c r="M61" s="204" t="str">
        <f>IF($H61="USD",IF(OR($L61="",$L61="-"),"",VLOOKUP($G61,為替!$A:$AX,$L61,FALSE))+$K$3,IF(OR($L61="",$L61="-"),"",VLOOKUP($G61,為替!$A:$AX,$L61,FALSE)))</f>
        <v/>
      </c>
      <c r="N61" s="205" t="str">
        <f t="shared" si="4"/>
        <v/>
      </c>
      <c r="O61" s="206" t="str">
        <f t="shared" si="0"/>
        <v/>
      </c>
      <c r="P61" s="207" t="str">
        <f t="shared" si="5"/>
        <v/>
      </c>
    </row>
    <row r="62" spans="3:16">
      <c r="C62" s="200"/>
      <c r="D62" s="201"/>
      <c r="E62" s="202"/>
      <c r="F62" s="200"/>
      <c r="H62" s="203"/>
      <c r="I62" s="186" t="str">
        <f t="shared" si="1"/>
        <v/>
      </c>
      <c r="J62" s="204" t="str">
        <f>IF($H62="USD",IF(OR($I62="",$I62="-"),"",VLOOKUP($G62,為替!$A:$AX,$I62,FALSE))+$J$3,IF(OR($I62="",$I62="-"),"",VLOOKUP($G62,為替!$A:$AX,$I62,FALSE)))</f>
        <v/>
      </c>
      <c r="K62" s="205" t="str">
        <f t="shared" si="2"/>
        <v/>
      </c>
      <c r="L62" s="189" t="str">
        <f t="shared" si="3"/>
        <v/>
      </c>
      <c r="M62" s="204" t="str">
        <f>IF($H62="USD",IF(OR($L62="",$L62="-"),"",VLOOKUP($G62,為替!$A:$AX,$L62,FALSE))+$K$3,IF(OR($L62="",$L62="-"),"",VLOOKUP($G62,為替!$A:$AX,$L62,FALSE)))</f>
        <v/>
      </c>
      <c r="N62" s="205" t="str">
        <f t="shared" si="4"/>
        <v/>
      </c>
      <c r="O62" s="206" t="str">
        <f t="shared" si="0"/>
        <v/>
      </c>
      <c r="P62" s="207" t="str">
        <f t="shared" si="5"/>
        <v/>
      </c>
    </row>
    <row r="63" spans="3:16">
      <c r="C63" s="200"/>
      <c r="D63" s="201"/>
      <c r="E63" s="202"/>
      <c r="F63" s="200"/>
      <c r="H63" s="203"/>
      <c r="I63" s="186" t="str">
        <f t="shared" si="1"/>
        <v/>
      </c>
      <c r="J63" s="204" t="str">
        <f>IF($H63="USD",IF(OR($I63="",$I63="-"),"",VLOOKUP($G63,為替!$A:$AX,$I63,FALSE))+$J$3,IF(OR($I63="",$I63="-"),"",VLOOKUP($G63,為替!$A:$AX,$I63,FALSE)))</f>
        <v/>
      </c>
      <c r="K63" s="205" t="str">
        <f t="shared" si="2"/>
        <v/>
      </c>
      <c r="L63" s="189" t="str">
        <f t="shared" si="3"/>
        <v/>
      </c>
      <c r="M63" s="204" t="str">
        <f>IF($H63="USD",IF(OR($L63="",$L63="-"),"",VLOOKUP($G63,為替!$A:$AX,$L63,FALSE))+$K$3,IF(OR($L63="",$L63="-"),"",VLOOKUP($G63,為替!$A:$AX,$L63,FALSE)))</f>
        <v/>
      </c>
      <c r="N63" s="205" t="str">
        <f t="shared" si="4"/>
        <v/>
      </c>
      <c r="O63" s="206" t="str">
        <f t="shared" si="0"/>
        <v/>
      </c>
      <c r="P63" s="207" t="str">
        <f t="shared" si="5"/>
        <v/>
      </c>
    </row>
    <row r="64" spans="3:16">
      <c r="C64" s="200"/>
      <c r="D64" s="201"/>
      <c r="E64" s="202"/>
      <c r="F64" s="200"/>
      <c r="H64" s="203"/>
      <c r="I64" s="186" t="str">
        <f t="shared" si="1"/>
        <v/>
      </c>
      <c r="J64" s="204" t="str">
        <f>IF($H64="USD",IF(OR($I64="",$I64="-"),"",VLOOKUP($G64,為替!$A:$AX,$I64,FALSE))+$J$3,IF(OR($I64="",$I64="-"),"",VLOOKUP($G64,為替!$A:$AX,$I64,FALSE)))</f>
        <v/>
      </c>
      <c r="K64" s="205" t="str">
        <f t="shared" si="2"/>
        <v/>
      </c>
      <c r="L64" s="189" t="str">
        <f t="shared" si="3"/>
        <v/>
      </c>
      <c r="M64" s="204" t="str">
        <f>IF($H64="USD",IF(OR($L64="",$L64="-"),"",VLOOKUP($G64,為替!$A:$AX,$L64,FALSE))+$K$3,IF(OR($L64="",$L64="-"),"",VLOOKUP($G64,為替!$A:$AX,$L64,FALSE)))</f>
        <v/>
      </c>
      <c r="N64" s="205" t="str">
        <f t="shared" si="4"/>
        <v/>
      </c>
      <c r="O64" s="206" t="str">
        <f t="shared" si="0"/>
        <v/>
      </c>
      <c r="P64" s="207" t="str">
        <f t="shared" si="5"/>
        <v/>
      </c>
    </row>
    <row r="65" spans="3:16">
      <c r="C65" s="200"/>
      <c r="D65" s="201"/>
      <c r="E65" s="202"/>
      <c r="F65" s="200"/>
      <c r="H65" s="203"/>
      <c r="I65" s="186" t="str">
        <f t="shared" si="1"/>
        <v/>
      </c>
      <c r="J65" s="204" t="str">
        <f>IF($H65="USD",IF(OR($I65="",$I65="-"),"",VLOOKUP($G65,為替!$A:$AX,$I65,FALSE))+$J$3,IF(OR($I65="",$I65="-"),"",VLOOKUP($G65,為替!$A:$AX,$I65,FALSE)))</f>
        <v/>
      </c>
      <c r="K65" s="205" t="str">
        <f t="shared" si="2"/>
        <v/>
      </c>
      <c r="L65" s="189" t="str">
        <f t="shared" si="3"/>
        <v/>
      </c>
      <c r="M65" s="204" t="str">
        <f>IF($H65="USD",IF(OR($L65="",$L65="-"),"",VLOOKUP($G65,為替!$A:$AX,$L65,FALSE))+$K$3,IF(OR($L65="",$L65="-"),"",VLOOKUP($G65,為替!$A:$AX,$L65,FALSE)))</f>
        <v/>
      </c>
      <c r="N65" s="205" t="str">
        <f t="shared" si="4"/>
        <v/>
      </c>
      <c r="O65" s="206" t="str">
        <f t="shared" si="0"/>
        <v/>
      </c>
      <c r="P65" s="207" t="str">
        <f t="shared" si="5"/>
        <v/>
      </c>
    </row>
    <row r="66" spans="3:16">
      <c r="C66" s="200"/>
      <c r="D66" s="201"/>
      <c r="E66" s="202"/>
      <c r="F66" s="200"/>
      <c r="H66" s="203"/>
      <c r="I66" s="186" t="str">
        <f t="shared" si="1"/>
        <v/>
      </c>
      <c r="J66" s="204" t="str">
        <f>IF($H66="USD",IF(OR($I66="",$I66="-"),"",VLOOKUP($G66,為替!$A:$AX,$I66,FALSE))+$J$3,IF(OR($I66="",$I66="-"),"",VLOOKUP($G66,為替!$A:$AX,$I66,FALSE)))</f>
        <v/>
      </c>
      <c r="K66" s="205" t="str">
        <f t="shared" si="2"/>
        <v/>
      </c>
      <c r="L66" s="189" t="str">
        <f t="shared" si="3"/>
        <v/>
      </c>
      <c r="M66" s="204" t="str">
        <f>IF($H66="USD",IF(OR($L66="",$L66="-"),"",VLOOKUP($G66,為替!$A:$AX,$L66,FALSE))+$K$3,IF(OR($L66="",$L66="-"),"",VLOOKUP($G66,為替!$A:$AX,$L66,FALSE)))</f>
        <v/>
      </c>
      <c r="N66" s="205" t="str">
        <f t="shared" si="4"/>
        <v/>
      </c>
      <c r="O66" s="206" t="str">
        <f t="shared" si="0"/>
        <v/>
      </c>
      <c r="P66" s="207" t="str">
        <f t="shared" si="5"/>
        <v/>
      </c>
    </row>
    <row r="67" spans="3:16">
      <c r="C67" s="200"/>
      <c r="D67" s="201"/>
      <c r="E67" s="202"/>
      <c r="F67" s="200"/>
      <c r="H67" s="203"/>
      <c r="I67" s="186" t="str">
        <f t="shared" si="1"/>
        <v/>
      </c>
      <c r="J67" s="204" t="str">
        <f>IF($H67="USD",IF(OR($I67="",$I67="-"),"",VLOOKUP($G67,為替!$A:$AX,$I67,FALSE))+$J$3,IF(OR($I67="",$I67="-"),"",VLOOKUP($G67,為替!$A:$AX,$I67,FALSE)))</f>
        <v/>
      </c>
      <c r="K67" s="205" t="str">
        <f t="shared" si="2"/>
        <v/>
      </c>
      <c r="L67" s="189" t="str">
        <f t="shared" si="3"/>
        <v/>
      </c>
      <c r="M67" s="204" t="str">
        <f>IF($H67="USD",IF(OR($L67="",$L67="-"),"",VLOOKUP($G67,為替!$A:$AX,$L67,FALSE))+$K$3,IF(OR($L67="",$L67="-"),"",VLOOKUP($G67,為替!$A:$AX,$L67,FALSE)))</f>
        <v/>
      </c>
      <c r="N67" s="205" t="str">
        <f t="shared" si="4"/>
        <v/>
      </c>
      <c r="O67" s="206" t="str">
        <f t="shared" si="0"/>
        <v/>
      </c>
      <c r="P67" s="207" t="str">
        <f t="shared" si="5"/>
        <v/>
      </c>
    </row>
    <row r="68" spans="3:16">
      <c r="C68" s="200"/>
      <c r="D68" s="201"/>
      <c r="E68" s="202"/>
      <c r="F68" s="200"/>
      <c r="H68" s="203"/>
      <c r="I68" s="186" t="str">
        <f t="shared" si="1"/>
        <v/>
      </c>
      <c r="J68" s="204" t="str">
        <f>IF($H68="USD",IF(OR($I68="",$I68="-"),"",VLOOKUP($G68,為替!$A:$AX,$I68,FALSE))+$J$3,IF(OR($I68="",$I68="-"),"",VLOOKUP($G68,為替!$A:$AX,$I68,FALSE)))</f>
        <v/>
      </c>
      <c r="K68" s="205" t="str">
        <f t="shared" si="2"/>
        <v/>
      </c>
      <c r="L68" s="189" t="str">
        <f t="shared" si="3"/>
        <v/>
      </c>
      <c r="M68" s="204" t="str">
        <f>IF($H68="USD",IF(OR($L68="",$L68="-"),"",VLOOKUP($G68,為替!$A:$AX,$L68,FALSE))+$K$3,IF(OR($L68="",$L68="-"),"",VLOOKUP($G68,為替!$A:$AX,$L68,FALSE)))</f>
        <v/>
      </c>
      <c r="N68" s="205" t="str">
        <f t="shared" si="4"/>
        <v/>
      </c>
      <c r="O68" s="206" t="str">
        <f t="shared" si="0"/>
        <v/>
      </c>
      <c r="P68" s="207" t="str">
        <f t="shared" si="5"/>
        <v/>
      </c>
    </row>
    <row r="69" spans="3:16">
      <c r="C69" s="200"/>
      <c r="D69" s="201"/>
      <c r="E69" s="202"/>
      <c r="F69" s="200"/>
      <c r="H69" s="203"/>
      <c r="I69" s="186" t="str">
        <f t="shared" si="1"/>
        <v/>
      </c>
      <c r="J69" s="204" t="str">
        <f>IF($H69="USD",IF(OR($I69="",$I69="-"),"",VLOOKUP($G69,為替!$A:$AX,$I69,FALSE))+$J$3,IF(OR($I69="",$I69="-"),"",VLOOKUP($G69,為替!$A:$AX,$I69,FALSE)))</f>
        <v/>
      </c>
      <c r="K69" s="205" t="str">
        <f t="shared" si="2"/>
        <v/>
      </c>
      <c r="L69" s="189" t="str">
        <f t="shared" si="3"/>
        <v/>
      </c>
      <c r="M69" s="204" t="str">
        <f>IF($H69="USD",IF(OR($L69="",$L69="-"),"",VLOOKUP($G69,為替!$A:$AX,$L69,FALSE))+$K$3,IF(OR($L69="",$L69="-"),"",VLOOKUP($G69,為替!$A:$AX,$L69,FALSE)))</f>
        <v/>
      </c>
      <c r="N69" s="205" t="str">
        <f t="shared" si="4"/>
        <v/>
      </c>
      <c r="O69" s="206" t="str">
        <f t="shared" si="0"/>
        <v/>
      </c>
      <c r="P69" s="207" t="str">
        <f t="shared" si="5"/>
        <v/>
      </c>
    </row>
    <row r="70" spans="3:16">
      <c r="C70" s="200"/>
      <c r="D70" s="201"/>
      <c r="E70" s="202"/>
      <c r="F70" s="200"/>
      <c r="H70" s="203"/>
      <c r="I70" s="186" t="str">
        <f t="shared" si="1"/>
        <v/>
      </c>
      <c r="J70" s="204" t="str">
        <f>IF($H70="USD",IF(OR($I70="",$I70="-"),"",VLOOKUP($G70,為替!$A:$AX,$I70,FALSE))+$J$3,IF(OR($I70="",$I70="-"),"",VLOOKUP($G70,為替!$A:$AX,$I70,FALSE)))</f>
        <v/>
      </c>
      <c r="K70" s="205" t="str">
        <f t="shared" si="2"/>
        <v/>
      </c>
      <c r="L70" s="189" t="str">
        <f t="shared" si="3"/>
        <v/>
      </c>
      <c r="M70" s="204" t="str">
        <f>IF($H70="USD",IF(OR($L70="",$L70="-"),"",VLOOKUP($G70,為替!$A:$AX,$L70,FALSE))+$K$3,IF(OR($L70="",$L70="-"),"",VLOOKUP($G70,為替!$A:$AX,$L70,FALSE)))</f>
        <v/>
      </c>
      <c r="N70" s="205" t="str">
        <f t="shared" si="4"/>
        <v/>
      </c>
      <c r="O70" s="206" t="str">
        <f t="shared" ref="O70:O133" si="6">IF(OR(K70="",N70=""),"",K70-N70)</f>
        <v/>
      </c>
      <c r="P70" s="207" t="str">
        <f t="shared" si="5"/>
        <v/>
      </c>
    </row>
    <row r="71" spans="3:16">
      <c r="C71" s="200"/>
      <c r="D71" s="201"/>
      <c r="E71" s="202"/>
      <c r="F71" s="200"/>
      <c r="H71" s="203"/>
      <c r="I71" s="186" t="str">
        <f t="shared" ref="I71:I134" si="7">IF(H71="","",IF(H71="JPY","",IF($H71="USD",4, IF(H71="EUR",7,IF(H71="CNY",47,IF(H71="HKD",34))))))</f>
        <v/>
      </c>
      <c r="J71" s="204" t="str">
        <f>IF($H71="USD",IF(OR($I71="",$I71="-"),"",VLOOKUP($G71,為替!$A:$AX,$I71,FALSE))+$J$3,IF(OR($I71="",$I71="-"),"",VLOOKUP($G71,為替!$A:$AX,$I71,FALSE)))</f>
        <v/>
      </c>
      <c r="K71" s="205" t="str">
        <f t="shared" ref="K71:K134" si="8">IF($H71="JPY",$F71,IF($H71="","",$F71*$J71))</f>
        <v/>
      </c>
      <c r="L71" s="189" t="str">
        <f t="shared" ref="L71:L134" si="9">IF(H71="","",IF(H71="JPY","",IF($H71="USD",3, IF(H71="EUR",6,IF(H71="CNY",46,IF(H71="HKD",33))))))</f>
        <v/>
      </c>
      <c r="M71" s="204" t="str">
        <f>IF($H71="USD",IF(OR($L71="",$L71="-"),"",VLOOKUP($G71,為替!$A:$AX,$L71,FALSE))+$K$3,IF(OR($L71="",$L71="-"),"",VLOOKUP($G71,為替!$A:$AX,$L71,FALSE)))</f>
        <v/>
      </c>
      <c r="N71" s="205" t="str">
        <f t="shared" ref="N71:N134" si="10">IF($E71="JPY",($C71+$D71),IF($E71="","",($C71+$D71)*$M71))</f>
        <v/>
      </c>
      <c r="O71" s="206" t="str">
        <f t="shared" si="6"/>
        <v/>
      </c>
      <c r="P71" s="207" t="str">
        <f t="shared" ref="P71:P134" si="11">IF(OR(K71="",O71=""),"",O71/K71)</f>
        <v/>
      </c>
    </row>
    <row r="72" spans="3:16">
      <c r="C72" s="200"/>
      <c r="D72" s="201"/>
      <c r="E72" s="202"/>
      <c r="F72" s="200"/>
      <c r="H72" s="203"/>
      <c r="I72" s="186" t="str">
        <f t="shared" si="7"/>
        <v/>
      </c>
      <c r="J72" s="204" t="str">
        <f>IF($H72="USD",IF(OR($I72="",$I72="-"),"",VLOOKUP($G72,為替!$A:$AX,$I72,FALSE))+$J$3,IF(OR($I72="",$I72="-"),"",VLOOKUP($G72,為替!$A:$AX,$I72,FALSE)))</f>
        <v/>
      </c>
      <c r="K72" s="205" t="str">
        <f t="shared" si="8"/>
        <v/>
      </c>
      <c r="L72" s="189" t="str">
        <f t="shared" si="9"/>
        <v/>
      </c>
      <c r="M72" s="204" t="str">
        <f>IF($H72="USD",IF(OR($L72="",$L72="-"),"",VLOOKUP($G72,為替!$A:$AX,$L72,FALSE))+$K$3,IF(OR($L72="",$L72="-"),"",VLOOKUP($G72,為替!$A:$AX,$L72,FALSE)))</f>
        <v/>
      </c>
      <c r="N72" s="205" t="str">
        <f t="shared" si="10"/>
        <v/>
      </c>
      <c r="O72" s="206" t="str">
        <f t="shared" si="6"/>
        <v/>
      </c>
      <c r="P72" s="207" t="str">
        <f t="shared" si="11"/>
        <v/>
      </c>
    </row>
    <row r="73" spans="3:16">
      <c r="C73" s="200"/>
      <c r="D73" s="201"/>
      <c r="E73" s="202"/>
      <c r="F73" s="200"/>
      <c r="H73" s="203"/>
      <c r="I73" s="186" t="str">
        <f t="shared" si="7"/>
        <v/>
      </c>
      <c r="J73" s="204" t="str">
        <f>IF($H73="USD",IF(OR($I73="",$I73="-"),"",VLOOKUP($G73,為替!$A:$AX,$I73,FALSE))+$J$3,IF(OR($I73="",$I73="-"),"",VLOOKUP($G73,為替!$A:$AX,$I73,FALSE)))</f>
        <v/>
      </c>
      <c r="K73" s="205" t="str">
        <f t="shared" si="8"/>
        <v/>
      </c>
      <c r="L73" s="189" t="str">
        <f t="shared" si="9"/>
        <v/>
      </c>
      <c r="M73" s="204" t="str">
        <f>IF($H73="USD",IF(OR($L73="",$L73="-"),"",VLOOKUP($G73,為替!$A:$AX,$L73,FALSE))+$K$3,IF(OR($L73="",$L73="-"),"",VLOOKUP($G73,為替!$A:$AX,$L73,FALSE)))</f>
        <v/>
      </c>
      <c r="N73" s="205" t="str">
        <f t="shared" si="10"/>
        <v/>
      </c>
      <c r="O73" s="206" t="str">
        <f t="shared" si="6"/>
        <v/>
      </c>
      <c r="P73" s="207" t="str">
        <f t="shared" si="11"/>
        <v/>
      </c>
    </row>
    <row r="74" spans="3:16">
      <c r="C74" s="200"/>
      <c r="D74" s="201"/>
      <c r="E74" s="202"/>
      <c r="F74" s="200"/>
      <c r="H74" s="203"/>
      <c r="I74" s="186" t="str">
        <f t="shared" si="7"/>
        <v/>
      </c>
      <c r="J74" s="204" t="str">
        <f>IF($H74="USD",IF(OR($I74="",$I74="-"),"",VLOOKUP($G74,為替!$A:$AX,$I74,FALSE))+$J$3,IF(OR($I74="",$I74="-"),"",VLOOKUP($G74,為替!$A:$AX,$I74,FALSE)))</f>
        <v/>
      </c>
      <c r="K74" s="205" t="str">
        <f t="shared" si="8"/>
        <v/>
      </c>
      <c r="L74" s="189" t="str">
        <f t="shared" si="9"/>
        <v/>
      </c>
      <c r="M74" s="204" t="str">
        <f>IF($H74="USD",IF(OR($L74="",$L74="-"),"",VLOOKUP($G74,為替!$A:$AX,$L74,FALSE))+$K$3,IF(OR($L74="",$L74="-"),"",VLOOKUP($G74,為替!$A:$AX,$L74,FALSE)))</f>
        <v/>
      </c>
      <c r="N74" s="205" t="str">
        <f t="shared" si="10"/>
        <v/>
      </c>
      <c r="O74" s="206" t="str">
        <f t="shared" si="6"/>
        <v/>
      </c>
      <c r="P74" s="207" t="str">
        <f t="shared" si="11"/>
        <v/>
      </c>
    </row>
    <row r="75" spans="3:16">
      <c r="C75" s="200"/>
      <c r="D75" s="201"/>
      <c r="E75" s="202"/>
      <c r="F75" s="200"/>
      <c r="H75" s="203"/>
      <c r="I75" s="186" t="str">
        <f t="shared" si="7"/>
        <v/>
      </c>
      <c r="J75" s="204" t="str">
        <f>IF($H75="USD",IF(OR($I75="",$I75="-"),"",VLOOKUP($G75,為替!$A:$AX,$I75,FALSE))+$J$3,IF(OR($I75="",$I75="-"),"",VLOOKUP($G75,為替!$A:$AX,$I75,FALSE)))</f>
        <v/>
      </c>
      <c r="K75" s="205" t="str">
        <f t="shared" si="8"/>
        <v/>
      </c>
      <c r="L75" s="189" t="str">
        <f t="shared" si="9"/>
        <v/>
      </c>
      <c r="M75" s="204" t="str">
        <f>IF($H75="USD",IF(OR($L75="",$L75="-"),"",VLOOKUP($G75,為替!$A:$AX,$L75,FALSE))+$K$3,IF(OR($L75="",$L75="-"),"",VLOOKUP($G75,為替!$A:$AX,$L75,FALSE)))</f>
        <v/>
      </c>
      <c r="N75" s="205" t="str">
        <f t="shared" si="10"/>
        <v/>
      </c>
      <c r="O75" s="206" t="str">
        <f t="shared" si="6"/>
        <v/>
      </c>
      <c r="P75" s="207" t="str">
        <f t="shared" si="11"/>
        <v/>
      </c>
    </row>
    <row r="76" spans="3:16">
      <c r="C76" s="200"/>
      <c r="D76" s="201"/>
      <c r="E76" s="202"/>
      <c r="F76" s="200"/>
      <c r="H76" s="203"/>
      <c r="I76" s="186" t="str">
        <f t="shared" si="7"/>
        <v/>
      </c>
      <c r="J76" s="204" t="str">
        <f>IF($H76="USD",IF(OR($I76="",$I76="-"),"",VLOOKUP($G76,為替!$A:$AX,$I76,FALSE))+$J$3,IF(OR($I76="",$I76="-"),"",VLOOKUP($G76,為替!$A:$AX,$I76,FALSE)))</f>
        <v/>
      </c>
      <c r="K76" s="205" t="str">
        <f t="shared" si="8"/>
        <v/>
      </c>
      <c r="L76" s="189" t="str">
        <f t="shared" si="9"/>
        <v/>
      </c>
      <c r="M76" s="204" t="str">
        <f>IF($H76="USD",IF(OR($L76="",$L76="-"),"",VLOOKUP($G76,為替!$A:$AX,$L76,FALSE))+$K$3,IF(OR($L76="",$L76="-"),"",VLOOKUP($G76,為替!$A:$AX,$L76,FALSE)))</f>
        <v/>
      </c>
      <c r="N76" s="205" t="str">
        <f t="shared" si="10"/>
        <v/>
      </c>
      <c r="O76" s="206" t="str">
        <f t="shared" si="6"/>
        <v/>
      </c>
      <c r="P76" s="207" t="str">
        <f t="shared" si="11"/>
        <v/>
      </c>
    </row>
    <row r="77" spans="3:16">
      <c r="C77" s="200"/>
      <c r="D77" s="201"/>
      <c r="E77" s="202"/>
      <c r="F77" s="200"/>
      <c r="H77" s="203"/>
      <c r="I77" s="186" t="str">
        <f t="shared" si="7"/>
        <v/>
      </c>
      <c r="J77" s="204" t="str">
        <f>IF($H77="USD",IF(OR($I77="",$I77="-"),"",VLOOKUP($G77,為替!$A:$AX,$I77,FALSE))+$J$3,IF(OR($I77="",$I77="-"),"",VLOOKUP($G77,為替!$A:$AX,$I77,FALSE)))</f>
        <v/>
      </c>
      <c r="K77" s="205" t="str">
        <f t="shared" si="8"/>
        <v/>
      </c>
      <c r="L77" s="189" t="str">
        <f t="shared" si="9"/>
        <v/>
      </c>
      <c r="M77" s="204" t="str">
        <f>IF($H77="USD",IF(OR($L77="",$L77="-"),"",VLOOKUP($G77,為替!$A:$AX,$L77,FALSE))+$K$3,IF(OR($L77="",$L77="-"),"",VLOOKUP($G77,為替!$A:$AX,$L77,FALSE)))</f>
        <v/>
      </c>
      <c r="N77" s="205" t="str">
        <f t="shared" si="10"/>
        <v/>
      </c>
      <c r="O77" s="206" t="str">
        <f t="shared" si="6"/>
        <v/>
      </c>
      <c r="P77" s="207" t="str">
        <f t="shared" si="11"/>
        <v/>
      </c>
    </row>
    <row r="78" spans="3:16">
      <c r="C78" s="200"/>
      <c r="D78" s="201"/>
      <c r="E78" s="202"/>
      <c r="F78" s="200"/>
      <c r="H78" s="203"/>
      <c r="I78" s="186" t="str">
        <f t="shared" si="7"/>
        <v/>
      </c>
      <c r="J78" s="204" t="str">
        <f>IF($H78="USD",IF(OR($I78="",$I78="-"),"",VLOOKUP($G78,為替!$A:$AX,$I78,FALSE))+$J$3,IF(OR($I78="",$I78="-"),"",VLOOKUP($G78,為替!$A:$AX,$I78,FALSE)))</f>
        <v/>
      </c>
      <c r="K78" s="205" t="str">
        <f t="shared" si="8"/>
        <v/>
      </c>
      <c r="L78" s="189" t="str">
        <f t="shared" si="9"/>
        <v/>
      </c>
      <c r="M78" s="204" t="str">
        <f>IF($H78="USD",IF(OR($L78="",$L78="-"),"",VLOOKUP($G78,為替!$A:$AX,$L78,FALSE))+$K$3,IF(OR($L78="",$L78="-"),"",VLOOKUP($G78,為替!$A:$AX,$L78,FALSE)))</f>
        <v/>
      </c>
      <c r="N78" s="205" t="str">
        <f t="shared" si="10"/>
        <v/>
      </c>
      <c r="O78" s="206" t="str">
        <f t="shared" si="6"/>
        <v/>
      </c>
      <c r="P78" s="207" t="str">
        <f t="shared" si="11"/>
        <v/>
      </c>
    </row>
    <row r="79" spans="3:16">
      <c r="C79" s="200"/>
      <c r="D79" s="201"/>
      <c r="E79" s="202"/>
      <c r="F79" s="200"/>
      <c r="H79" s="203"/>
      <c r="I79" s="186" t="str">
        <f t="shared" si="7"/>
        <v/>
      </c>
      <c r="J79" s="204" t="str">
        <f>IF($H79="USD",IF(OR($I79="",$I79="-"),"",VLOOKUP($G79,為替!$A:$AX,$I79,FALSE))+$J$3,IF(OR($I79="",$I79="-"),"",VLOOKUP($G79,為替!$A:$AX,$I79,FALSE)))</f>
        <v/>
      </c>
      <c r="K79" s="205" t="str">
        <f t="shared" si="8"/>
        <v/>
      </c>
      <c r="L79" s="189" t="str">
        <f t="shared" si="9"/>
        <v/>
      </c>
      <c r="M79" s="204" t="str">
        <f>IF($H79="USD",IF(OR($L79="",$L79="-"),"",VLOOKUP($G79,為替!$A:$AX,$L79,FALSE))+$K$3,IF(OR($L79="",$L79="-"),"",VLOOKUP($G79,為替!$A:$AX,$L79,FALSE)))</f>
        <v/>
      </c>
      <c r="N79" s="205" t="str">
        <f t="shared" si="10"/>
        <v/>
      </c>
      <c r="O79" s="206" t="str">
        <f t="shared" si="6"/>
        <v/>
      </c>
      <c r="P79" s="207" t="str">
        <f t="shared" si="11"/>
        <v/>
      </c>
    </row>
    <row r="80" spans="3:16">
      <c r="C80" s="200"/>
      <c r="D80" s="201"/>
      <c r="E80" s="202"/>
      <c r="F80" s="200"/>
      <c r="H80" s="203"/>
      <c r="I80" s="186" t="str">
        <f t="shared" si="7"/>
        <v/>
      </c>
      <c r="J80" s="204" t="str">
        <f>IF($H80="USD",IF(OR($I80="",$I80="-"),"",VLOOKUP($G80,為替!$A:$AX,$I80,FALSE))+$J$3,IF(OR($I80="",$I80="-"),"",VLOOKUP($G80,為替!$A:$AX,$I80,FALSE)))</f>
        <v/>
      </c>
      <c r="K80" s="205" t="str">
        <f t="shared" si="8"/>
        <v/>
      </c>
      <c r="L80" s="189" t="str">
        <f t="shared" si="9"/>
        <v/>
      </c>
      <c r="M80" s="204" t="str">
        <f>IF($H80="USD",IF(OR($L80="",$L80="-"),"",VLOOKUP($G80,為替!$A:$AX,$L80,FALSE))+$K$3,IF(OR($L80="",$L80="-"),"",VLOOKUP($G80,為替!$A:$AX,$L80,FALSE)))</f>
        <v/>
      </c>
      <c r="N80" s="205" t="str">
        <f t="shared" si="10"/>
        <v/>
      </c>
      <c r="O80" s="206" t="str">
        <f t="shared" si="6"/>
        <v/>
      </c>
      <c r="P80" s="207" t="str">
        <f t="shared" si="11"/>
        <v/>
      </c>
    </row>
    <row r="81" spans="3:16">
      <c r="C81" s="200"/>
      <c r="D81" s="201"/>
      <c r="E81" s="202"/>
      <c r="F81" s="200"/>
      <c r="H81" s="203"/>
      <c r="I81" s="186" t="str">
        <f t="shared" si="7"/>
        <v/>
      </c>
      <c r="J81" s="204" t="str">
        <f>IF($H81="USD",IF(OR($I81="",$I81="-"),"",VLOOKUP($G81,為替!$A:$AX,$I81,FALSE))+$J$3,IF(OR($I81="",$I81="-"),"",VLOOKUP($G81,為替!$A:$AX,$I81,FALSE)))</f>
        <v/>
      </c>
      <c r="K81" s="205" t="str">
        <f t="shared" si="8"/>
        <v/>
      </c>
      <c r="L81" s="189" t="str">
        <f t="shared" si="9"/>
        <v/>
      </c>
      <c r="M81" s="204" t="str">
        <f>IF($H81="USD",IF(OR($L81="",$L81="-"),"",VLOOKUP($G81,為替!$A:$AX,$L81,FALSE))+$K$3,IF(OR($L81="",$L81="-"),"",VLOOKUP($G81,為替!$A:$AX,$L81,FALSE)))</f>
        <v/>
      </c>
      <c r="N81" s="205" t="str">
        <f t="shared" si="10"/>
        <v/>
      </c>
      <c r="O81" s="206" t="str">
        <f t="shared" si="6"/>
        <v/>
      </c>
      <c r="P81" s="207" t="str">
        <f t="shared" si="11"/>
        <v/>
      </c>
    </row>
    <row r="82" spans="3:16">
      <c r="C82" s="200"/>
      <c r="D82" s="201"/>
      <c r="E82" s="202"/>
      <c r="F82" s="200"/>
      <c r="H82" s="203"/>
      <c r="I82" s="186" t="str">
        <f t="shared" si="7"/>
        <v/>
      </c>
      <c r="J82" s="204" t="str">
        <f>IF($H82="USD",IF(OR($I82="",$I82="-"),"",VLOOKUP($G82,為替!$A:$AX,$I82,FALSE))+$J$3,IF(OR($I82="",$I82="-"),"",VLOOKUP($G82,為替!$A:$AX,$I82,FALSE)))</f>
        <v/>
      </c>
      <c r="K82" s="205" t="str">
        <f t="shared" si="8"/>
        <v/>
      </c>
      <c r="L82" s="189" t="str">
        <f t="shared" si="9"/>
        <v/>
      </c>
      <c r="M82" s="204" t="str">
        <f>IF($H82="USD",IF(OR($L82="",$L82="-"),"",VLOOKUP($G82,為替!$A:$AX,$L82,FALSE))+$K$3,IF(OR($L82="",$L82="-"),"",VLOOKUP($G82,為替!$A:$AX,$L82,FALSE)))</f>
        <v/>
      </c>
      <c r="N82" s="205" t="str">
        <f t="shared" si="10"/>
        <v/>
      </c>
      <c r="O82" s="206" t="str">
        <f t="shared" si="6"/>
        <v/>
      </c>
      <c r="P82" s="207" t="str">
        <f t="shared" si="11"/>
        <v/>
      </c>
    </row>
    <row r="83" spans="3:16">
      <c r="C83" s="200"/>
      <c r="D83" s="201"/>
      <c r="E83" s="202"/>
      <c r="F83" s="200"/>
      <c r="H83" s="203"/>
      <c r="I83" s="186" t="str">
        <f t="shared" si="7"/>
        <v/>
      </c>
      <c r="J83" s="204" t="str">
        <f>IF($H83="USD",IF(OR($I83="",$I83="-"),"",VLOOKUP($G83,為替!$A:$AX,$I83,FALSE))+$J$3,IF(OR($I83="",$I83="-"),"",VLOOKUP($G83,為替!$A:$AX,$I83,FALSE)))</f>
        <v/>
      </c>
      <c r="K83" s="205" t="str">
        <f t="shared" si="8"/>
        <v/>
      </c>
      <c r="L83" s="189" t="str">
        <f t="shared" si="9"/>
        <v/>
      </c>
      <c r="M83" s="204" t="str">
        <f>IF($H83="USD",IF(OR($L83="",$L83="-"),"",VLOOKUP($G83,為替!$A:$AX,$L83,FALSE))+$K$3,IF(OR($L83="",$L83="-"),"",VLOOKUP($G83,為替!$A:$AX,$L83,FALSE)))</f>
        <v/>
      </c>
      <c r="N83" s="205" t="str">
        <f t="shared" si="10"/>
        <v/>
      </c>
      <c r="O83" s="206" t="str">
        <f t="shared" si="6"/>
        <v/>
      </c>
      <c r="P83" s="207" t="str">
        <f t="shared" si="11"/>
        <v/>
      </c>
    </row>
    <row r="84" spans="3:16">
      <c r="C84" s="200"/>
      <c r="D84" s="201"/>
      <c r="E84" s="202"/>
      <c r="F84" s="200"/>
      <c r="H84" s="203"/>
      <c r="I84" s="186" t="str">
        <f t="shared" si="7"/>
        <v/>
      </c>
      <c r="J84" s="204" t="str">
        <f>IF($H84="USD",IF(OR($I84="",$I84="-"),"",VLOOKUP($G84,為替!$A:$AX,$I84,FALSE))+$J$3,IF(OR($I84="",$I84="-"),"",VLOOKUP($G84,為替!$A:$AX,$I84,FALSE)))</f>
        <v/>
      </c>
      <c r="K84" s="205" t="str">
        <f t="shared" si="8"/>
        <v/>
      </c>
      <c r="L84" s="189" t="str">
        <f t="shared" si="9"/>
        <v/>
      </c>
      <c r="M84" s="204" t="str">
        <f>IF($H84="USD",IF(OR($L84="",$L84="-"),"",VLOOKUP($G84,為替!$A:$AX,$L84,FALSE))+$K$3,IF(OR($L84="",$L84="-"),"",VLOOKUP($G84,為替!$A:$AX,$L84,FALSE)))</f>
        <v/>
      </c>
      <c r="N84" s="205" t="str">
        <f t="shared" si="10"/>
        <v/>
      </c>
      <c r="O84" s="206" t="str">
        <f t="shared" si="6"/>
        <v/>
      </c>
      <c r="P84" s="207" t="str">
        <f t="shared" si="11"/>
        <v/>
      </c>
    </row>
    <row r="85" spans="3:16">
      <c r="C85" s="200"/>
      <c r="D85" s="201"/>
      <c r="E85" s="202"/>
      <c r="F85" s="200"/>
      <c r="H85" s="203"/>
      <c r="I85" s="186" t="str">
        <f t="shared" si="7"/>
        <v/>
      </c>
      <c r="J85" s="204" t="str">
        <f>IF($H85="USD",IF(OR($I85="",$I85="-"),"",VLOOKUP($G85,為替!$A:$AX,$I85,FALSE))+$J$3,IF(OR($I85="",$I85="-"),"",VLOOKUP($G85,為替!$A:$AX,$I85,FALSE)))</f>
        <v/>
      </c>
      <c r="K85" s="205" t="str">
        <f t="shared" si="8"/>
        <v/>
      </c>
      <c r="L85" s="189" t="str">
        <f t="shared" si="9"/>
        <v/>
      </c>
      <c r="M85" s="204" t="str">
        <f>IF($H85="USD",IF(OR($L85="",$L85="-"),"",VLOOKUP($G85,為替!$A:$AX,$L85,FALSE))+$K$3,IF(OR($L85="",$L85="-"),"",VLOOKUP($G85,為替!$A:$AX,$L85,FALSE)))</f>
        <v/>
      </c>
      <c r="N85" s="205" t="str">
        <f t="shared" si="10"/>
        <v/>
      </c>
      <c r="O85" s="206" t="str">
        <f t="shared" si="6"/>
        <v/>
      </c>
      <c r="P85" s="207" t="str">
        <f t="shared" si="11"/>
        <v/>
      </c>
    </row>
    <row r="86" spans="3:16">
      <c r="C86" s="200"/>
      <c r="D86" s="201"/>
      <c r="E86" s="202"/>
      <c r="F86" s="200"/>
      <c r="H86" s="203"/>
      <c r="I86" s="186" t="str">
        <f t="shared" si="7"/>
        <v/>
      </c>
      <c r="J86" s="204" t="str">
        <f>IF($H86="USD",IF(OR($I86="",$I86="-"),"",VLOOKUP($G86,為替!$A:$AX,$I86,FALSE))+$J$3,IF(OR($I86="",$I86="-"),"",VLOOKUP($G86,為替!$A:$AX,$I86,FALSE)))</f>
        <v/>
      </c>
      <c r="K86" s="205" t="str">
        <f t="shared" si="8"/>
        <v/>
      </c>
      <c r="L86" s="189" t="str">
        <f t="shared" si="9"/>
        <v/>
      </c>
      <c r="M86" s="204" t="str">
        <f>IF($H86="USD",IF(OR($L86="",$L86="-"),"",VLOOKUP($G86,為替!$A:$AX,$L86,FALSE))+$K$3,IF(OR($L86="",$L86="-"),"",VLOOKUP($G86,為替!$A:$AX,$L86,FALSE)))</f>
        <v/>
      </c>
      <c r="N86" s="205" t="str">
        <f t="shared" si="10"/>
        <v/>
      </c>
      <c r="O86" s="206" t="str">
        <f t="shared" si="6"/>
        <v/>
      </c>
      <c r="P86" s="207" t="str">
        <f t="shared" si="11"/>
        <v/>
      </c>
    </row>
    <row r="87" spans="3:16">
      <c r="C87" s="200"/>
      <c r="D87" s="201"/>
      <c r="E87" s="202"/>
      <c r="F87" s="200"/>
      <c r="H87" s="203"/>
      <c r="I87" s="186" t="str">
        <f t="shared" si="7"/>
        <v/>
      </c>
      <c r="J87" s="204" t="str">
        <f>IF($H87="USD",IF(OR($I87="",$I87="-"),"",VLOOKUP($G87,為替!$A:$AX,$I87,FALSE))+$J$3,IF(OR($I87="",$I87="-"),"",VLOOKUP($G87,為替!$A:$AX,$I87,FALSE)))</f>
        <v/>
      </c>
      <c r="K87" s="205" t="str">
        <f t="shared" si="8"/>
        <v/>
      </c>
      <c r="L87" s="189" t="str">
        <f t="shared" si="9"/>
        <v/>
      </c>
      <c r="M87" s="204" t="str">
        <f>IF($H87="USD",IF(OR($L87="",$L87="-"),"",VLOOKUP($G87,為替!$A:$AX,$L87,FALSE))+$K$3,IF(OR($L87="",$L87="-"),"",VLOOKUP($G87,為替!$A:$AX,$L87,FALSE)))</f>
        <v/>
      </c>
      <c r="N87" s="205" t="str">
        <f t="shared" si="10"/>
        <v/>
      </c>
      <c r="O87" s="206" t="str">
        <f t="shared" si="6"/>
        <v/>
      </c>
      <c r="P87" s="207" t="str">
        <f t="shared" si="11"/>
        <v/>
      </c>
    </row>
    <row r="88" spans="3:16">
      <c r="C88" s="200"/>
      <c r="D88" s="201"/>
      <c r="E88" s="202"/>
      <c r="F88" s="200"/>
      <c r="H88" s="203"/>
      <c r="I88" s="186" t="str">
        <f t="shared" si="7"/>
        <v/>
      </c>
      <c r="J88" s="204" t="str">
        <f>IF($H88="USD",IF(OR($I88="",$I88="-"),"",VLOOKUP($G88,為替!$A:$AX,$I88,FALSE))+$J$3,IF(OR($I88="",$I88="-"),"",VLOOKUP($G88,為替!$A:$AX,$I88,FALSE)))</f>
        <v/>
      </c>
      <c r="K88" s="205" t="str">
        <f t="shared" si="8"/>
        <v/>
      </c>
      <c r="L88" s="189" t="str">
        <f t="shared" si="9"/>
        <v/>
      </c>
      <c r="M88" s="204" t="str">
        <f>IF($H88="USD",IF(OR($L88="",$L88="-"),"",VLOOKUP($G88,為替!$A:$AX,$L88,FALSE))+$K$3,IF(OR($L88="",$L88="-"),"",VLOOKUP($G88,為替!$A:$AX,$L88,FALSE)))</f>
        <v/>
      </c>
      <c r="N88" s="205" t="str">
        <f t="shared" si="10"/>
        <v/>
      </c>
      <c r="O88" s="206" t="str">
        <f t="shared" si="6"/>
        <v/>
      </c>
      <c r="P88" s="207" t="str">
        <f t="shared" si="11"/>
        <v/>
      </c>
    </row>
    <row r="89" spans="3:16">
      <c r="C89" s="200"/>
      <c r="D89" s="201"/>
      <c r="E89" s="202"/>
      <c r="F89" s="200"/>
      <c r="H89" s="203"/>
      <c r="I89" s="186" t="str">
        <f t="shared" si="7"/>
        <v/>
      </c>
      <c r="J89" s="204" t="str">
        <f>IF($H89="USD",IF(OR($I89="",$I89="-"),"",VLOOKUP($G89,為替!$A:$AX,$I89,FALSE))+$J$3,IF(OR($I89="",$I89="-"),"",VLOOKUP($G89,為替!$A:$AX,$I89,FALSE)))</f>
        <v/>
      </c>
      <c r="K89" s="205" t="str">
        <f t="shared" si="8"/>
        <v/>
      </c>
      <c r="L89" s="189" t="str">
        <f t="shared" si="9"/>
        <v/>
      </c>
      <c r="M89" s="204" t="str">
        <f>IF($H89="USD",IF(OR($L89="",$L89="-"),"",VLOOKUP($G89,為替!$A:$AX,$L89,FALSE))+$K$3,IF(OR($L89="",$L89="-"),"",VLOOKUP($G89,為替!$A:$AX,$L89,FALSE)))</f>
        <v/>
      </c>
      <c r="N89" s="205" t="str">
        <f t="shared" si="10"/>
        <v/>
      </c>
      <c r="O89" s="206" t="str">
        <f t="shared" si="6"/>
        <v/>
      </c>
      <c r="P89" s="207" t="str">
        <f t="shared" si="11"/>
        <v/>
      </c>
    </row>
    <row r="90" spans="3:16">
      <c r="C90" s="200"/>
      <c r="D90" s="201"/>
      <c r="E90" s="202"/>
      <c r="F90" s="200"/>
      <c r="H90" s="203"/>
      <c r="I90" s="186" t="str">
        <f t="shared" si="7"/>
        <v/>
      </c>
      <c r="J90" s="204" t="str">
        <f>IF($H90="USD",IF(OR($I90="",$I90="-"),"",VLOOKUP($G90,為替!$A:$AX,$I90,FALSE))+$J$3,IF(OR($I90="",$I90="-"),"",VLOOKUP($G90,為替!$A:$AX,$I90,FALSE)))</f>
        <v/>
      </c>
      <c r="K90" s="205" t="str">
        <f t="shared" si="8"/>
        <v/>
      </c>
      <c r="L90" s="189" t="str">
        <f t="shared" si="9"/>
        <v/>
      </c>
      <c r="M90" s="204" t="str">
        <f>IF($H90="USD",IF(OR($L90="",$L90="-"),"",VLOOKUP($G90,為替!$A:$AX,$L90,FALSE))+$K$3,IF(OR($L90="",$L90="-"),"",VLOOKUP($G90,為替!$A:$AX,$L90,FALSE)))</f>
        <v/>
      </c>
      <c r="N90" s="205" t="str">
        <f t="shared" si="10"/>
        <v/>
      </c>
      <c r="O90" s="206" t="str">
        <f t="shared" si="6"/>
        <v/>
      </c>
      <c r="P90" s="207" t="str">
        <f t="shared" si="11"/>
        <v/>
      </c>
    </row>
    <row r="91" spans="3:16">
      <c r="C91" s="200"/>
      <c r="D91" s="201"/>
      <c r="E91" s="202"/>
      <c r="F91" s="200"/>
      <c r="H91" s="203"/>
      <c r="I91" s="186" t="str">
        <f t="shared" si="7"/>
        <v/>
      </c>
      <c r="J91" s="204" t="str">
        <f>IF($H91="USD",IF(OR($I91="",$I91="-"),"",VLOOKUP($G91,為替!$A:$AX,$I91,FALSE))+$J$3,IF(OR($I91="",$I91="-"),"",VLOOKUP($G91,為替!$A:$AX,$I91,FALSE)))</f>
        <v/>
      </c>
      <c r="K91" s="205" t="str">
        <f t="shared" si="8"/>
        <v/>
      </c>
      <c r="L91" s="189" t="str">
        <f t="shared" si="9"/>
        <v/>
      </c>
      <c r="M91" s="204" t="str">
        <f>IF($H91="USD",IF(OR($L91="",$L91="-"),"",VLOOKUP($G91,為替!$A:$AX,$L91,FALSE))+$K$3,IF(OR($L91="",$L91="-"),"",VLOOKUP($G91,為替!$A:$AX,$L91,FALSE)))</f>
        <v/>
      </c>
      <c r="N91" s="205" t="str">
        <f t="shared" si="10"/>
        <v/>
      </c>
      <c r="O91" s="206" t="str">
        <f t="shared" si="6"/>
        <v/>
      </c>
      <c r="P91" s="207" t="str">
        <f t="shared" si="11"/>
        <v/>
      </c>
    </row>
    <row r="92" spans="3:16">
      <c r="C92" s="200"/>
      <c r="D92" s="201"/>
      <c r="E92" s="202"/>
      <c r="F92" s="200"/>
      <c r="H92" s="203"/>
      <c r="I92" s="186" t="str">
        <f t="shared" si="7"/>
        <v/>
      </c>
      <c r="J92" s="204" t="str">
        <f>IF($H92="USD",IF(OR($I92="",$I92="-"),"",VLOOKUP($G92,為替!$A:$AX,$I92,FALSE))+$J$3,IF(OR($I92="",$I92="-"),"",VLOOKUP($G92,為替!$A:$AX,$I92,FALSE)))</f>
        <v/>
      </c>
      <c r="K92" s="205" t="str">
        <f t="shared" si="8"/>
        <v/>
      </c>
      <c r="L92" s="189" t="str">
        <f t="shared" si="9"/>
        <v/>
      </c>
      <c r="M92" s="204" t="str">
        <f>IF($H92="USD",IF(OR($L92="",$L92="-"),"",VLOOKUP($G92,為替!$A:$AX,$L92,FALSE))+$K$3,IF(OR($L92="",$L92="-"),"",VLOOKUP($G92,為替!$A:$AX,$L92,FALSE)))</f>
        <v/>
      </c>
      <c r="N92" s="205" t="str">
        <f t="shared" si="10"/>
        <v/>
      </c>
      <c r="O92" s="206" t="str">
        <f t="shared" si="6"/>
        <v/>
      </c>
      <c r="P92" s="207" t="str">
        <f t="shared" si="11"/>
        <v/>
      </c>
    </row>
    <row r="93" spans="3:16">
      <c r="C93" s="200"/>
      <c r="D93" s="201"/>
      <c r="E93" s="202"/>
      <c r="F93" s="200"/>
      <c r="H93" s="203"/>
      <c r="I93" s="186" t="str">
        <f t="shared" si="7"/>
        <v/>
      </c>
      <c r="J93" s="204" t="str">
        <f>IF($H93="USD",IF(OR($I93="",$I93="-"),"",VLOOKUP($G93,為替!$A:$AX,$I93,FALSE))+$J$3,IF(OR($I93="",$I93="-"),"",VLOOKUP($G93,為替!$A:$AX,$I93,FALSE)))</f>
        <v/>
      </c>
      <c r="K93" s="205" t="str">
        <f t="shared" si="8"/>
        <v/>
      </c>
      <c r="L93" s="189" t="str">
        <f t="shared" si="9"/>
        <v/>
      </c>
      <c r="M93" s="204" t="str">
        <f>IF($H93="USD",IF(OR($L93="",$L93="-"),"",VLOOKUP($G93,為替!$A:$AX,$L93,FALSE))+$K$3,IF(OR($L93="",$L93="-"),"",VLOOKUP($G93,為替!$A:$AX,$L93,FALSE)))</f>
        <v/>
      </c>
      <c r="N93" s="205" t="str">
        <f t="shared" si="10"/>
        <v/>
      </c>
      <c r="O93" s="206" t="str">
        <f t="shared" si="6"/>
        <v/>
      </c>
      <c r="P93" s="207" t="str">
        <f t="shared" si="11"/>
        <v/>
      </c>
    </row>
    <row r="94" spans="3:16">
      <c r="C94" s="200"/>
      <c r="D94" s="201"/>
      <c r="E94" s="202"/>
      <c r="F94" s="200"/>
      <c r="H94" s="203"/>
      <c r="I94" s="186" t="str">
        <f t="shared" si="7"/>
        <v/>
      </c>
      <c r="J94" s="204" t="str">
        <f>IF($H94="USD",IF(OR($I94="",$I94="-"),"",VLOOKUP($G94,為替!$A:$AX,$I94,FALSE))+$J$3,IF(OR($I94="",$I94="-"),"",VLOOKUP($G94,為替!$A:$AX,$I94,FALSE)))</f>
        <v/>
      </c>
      <c r="K94" s="205" t="str">
        <f t="shared" si="8"/>
        <v/>
      </c>
      <c r="L94" s="189" t="str">
        <f t="shared" si="9"/>
        <v/>
      </c>
      <c r="M94" s="204" t="str">
        <f>IF($H94="USD",IF(OR($L94="",$L94="-"),"",VLOOKUP($G94,為替!$A:$AX,$L94,FALSE))+$K$3,IF(OR($L94="",$L94="-"),"",VLOOKUP($G94,為替!$A:$AX,$L94,FALSE)))</f>
        <v/>
      </c>
      <c r="N94" s="205" t="str">
        <f t="shared" si="10"/>
        <v/>
      </c>
      <c r="O94" s="206" t="str">
        <f t="shared" si="6"/>
        <v/>
      </c>
      <c r="P94" s="207" t="str">
        <f t="shared" si="11"/>
        <v/>
      </c>
    </row>
    <row r="95" spans="3:16">
      <c r="C95" s="200"/>
      <c r="D95" s="201"/>
      <c r="E95" s="202"/>
      <c r="F95" s="200"/>
      <c r="H95" s="203"/>
      <c r="I95" s="186" t="str">
        <f t="shared" si="7"/>
        <v/>
      </c>
      <c r="J95" s="204" t="str">
        <f>IF($H95="USD",IF(OR($I95="",$I95="-"),"",VLOOKUP($G95,為替!$A:$AX,$I95,FALSE))+$J$3,IF(OR($I95="",$I95="-"),"",VLOOKUP($G95,為替!$A:$AX,$I95,FALSE)))</f>
        <v/>
      </c>
      <c r="K95" s="205" t="str">
        <f t="shared" si="8"/>
        <v/>
      </c>
      <c r="L95" s="189" t="str">
        <f t="shared" si="9"/>
        <v/>
      </c>
      <c r="M95" s="204" t="str">
        <f>IF($H95="USD",IF(OR($L95="",$L95="-"),"",VLOOKUP($G95,為替!$A:$AX,$L95,FALSE))+$K$3,IF(OR($L95="",$L95="-"),"",VLOOKUP($G95,為替!$A:$AX,$L95,FALSE)))</f>
        <v/>
      </c>
      <c r="N95" s="205" t="str">
        <f t="shared" si="10"/>
        <v/>
      </c>
      <c r="O95" s="206" t="str">
        <f t="shared" si="6"/>
        <v/>
      </c>
      <c r="P95" s="207" t="str">
        <f t="shared" si="11"/>
        <v/>
      </c>
    </row>
    <row r="96" spans="3:16">
      <c r="C96" s="200"/>
      <c r="D96" s="201"/>
      <c r="E96" s="202"/>
      <c r="F96" s="200"/>
      <c r="H96" s="203"/>
      <c r="I96" s="186" t="str">
        <f t="shared" si="7"/>
        <v/>
      </c>
      <c r="J96" s="204" t="str">
        <f>IF($H96="USD",IF(OR($I96="",$I96="-"),"",VLOOKUP($G96,為替!$A:$AX,$I96,FALSE))+$J$3,IF(OR($I96="",$I96="-"),"",VLOOKUP($G96,為替!$A:$AX,$I96,FALSE)))</f>
        <v/>
      </c>
      <c r="K96" s="205" t="str">
        <f t="shared" si="8"/>
        <v/>
      </c>
      <c r="L96" s="189" t="str">
        <f t="shared" si="9"/>
        <v/>
      </c>
      <c r="M96" s="204" t="str">
        <f>IF($H96="USD",IF(OR($L96="",$L96="-"),"",VLOOKUP($G96,為替!$A:$AX,$L96,FALSE))+$K$3,IF(OR($L96="",$L96="-"),"",VLOOKUP($G96,為替!$A:$AX,$L96,FALSE)))</f>
        <v/>
      </c>
      <c r="N96" s="205" t="str">
        <f t="shared" si="10"/>
        <v/>
      </c>
      <c r="O96" s="206" t="str">
        <f t="shared" si="6"/>
        <v/>
      </c>
      <c r="P96" s="207" t="str">
        <f t="shared" si="11"/>
        <v/>
      </c>
    </row>
    <row r="97" spans="3:16">
      <c r="C97" s="200"/>
      <c r="D97" s="201"/>
      <c r="E97" s="202"/>
      <c r="F97" s="200"/>
      <c r="H97" s="203"/>
      <c r="I97" s="186" t="str">
        <f t="shared" si="7"/>
        <v/>
      </c>
      <c r="J97" s="204" t="str">
        <f>IF($H97="USD",IF(OR($I97="",$I97="-"),"",VLOOKUP($G97,為替!$A:$AX,$I97,FALSE))+$J$3,IF(OR($I97="",$I97="-"),"",VLOOKUP($G97,為替!$A:$AX,$I97,FALSE)))</f>
        <v/>
      </c>
      <c r="K97" s="205" t="str">
        <f t="shared" si="8"/>
        <v/>
      </c>
      <c r="L97" s="189" t="str">
        <f t="shared" si="9"/>
        <v/>
      </c>
      <c r="M97" s="204" t="str">
        <f>IF($H97="USD",IF(OR($L97="",$L97="-"),"",VLOOKUP($G97,為替!$A:$AX,$L97,FALSE))+$K$3,IF(OR($L97="",$L97="-"),"",VLOOKUP($G97,為替!$A:$AX,$L97,FALSE)))</f>
        <v/>
      </c>
      <c r="N97" s="205" t="str">
        <f t="shared" si="10"/>
        <v/>
      </c>
      <c r="O97" s="206" t="str">
        <f t="shared" si="6"/>
        <v/>
      </c>
      <c r="P97" s="207" t="str">
        <f t="shared" si="11"/>
        <v/>
      </c>
    </row>
    <row r="98" spans="3:16">
      <c r="C98" s="200"/>
      <c r="D98" s="201"/>
      <c r="E98" s="202"/>
      <c r="F98" s="200"/>
      <c r="H98" s="203"/>
      <c r="I98" s="186" t="str">
        <f t="shared" si="7"/>
        <v/>
      </c>
      <c r="J98" s="204" t="str">
        <f>IF($H98="USD",IF(OR($I98="",$I98="-"),"",VLOOKUP($G98,為替!$A:$AX,$I98,FALSE))+$J$3,IF(OR($I98="",$I98="-"),"",VLOOKUP($G98,為替!$A:$AX,$I98,FALSE)))</f>
        <v/>
      </c>
      <c r="K98" s="205" t="str">
        <f t="shared" si="8"/>
        <v/>
      </c>
      <c r="L98" s="189" t="str">
        <f t="shared" si="9"/>
        <v/>
      </c>
      <c r="M98" s="204" t="str">
        <f>IF($H98="USD",IF(OR($L98="",$L98="-"),"",VLOOKUP($G98,為替!$A:$AX,$L98,FALSE))+$K$3,IF(OR($L98="",$L98="-"),"",VLOOKUP($G98,為替!$A:$AX,$L98,FALSE)))</f>
        <v/>
      </c>
      <c r="N98" s="205" t="str">
        <f t="shared" si="10"/>
        <v/>
      </c>
      <c r="O98" s="206" t="str">
        <f t="shared" si="6"/>
        <v/>
      </c>
      <c r="P98" s="207" t="str">
        <f t="shared" si="11"/>
        <v/>
      </c>
    </row>
    <row r="99" spans="3:16">
      <c r="C99" s="200"/>
      <c r="D99" s="201"/>
      <c r="E99" s="202"/>
      <c r="F99" s="200"/>
      <c r="H99" s="203"/>
      <c r="I99" s="186" t="str">
        <f t="shared" si="7"/>
        <v/>
      </c>
      <c r="J99" s="204" t="str">
        <f>IF($H99="USD",IF(OR($I99="",$I99="-"),"",VLOOKUP($G99,為替!$A:$AX,$I99,FALSE))+$J$3,IF(OR($I99="",$I99="-"),"",VLOOKUP($G99,為替!$A:$AX,$I99,FALSE)))</f>
        <v/>
      </c>
      <c r="K99" s="205" t="str">
        <f t="shared" si="8"/>
        <v/>
      </c>
      <c r="L99" s="189" t="str">
        <f t="shared" si="9"/>
        <v/>
      </c>
      <c r="M99" s="204" t="str">
        <f>IF($H99="USD",IF(OR($L99="",$L99="-"),"",VLOOKUP($G99,為替!$A:$AX,$L99,FALSE))+$K$3,IF(OR($L99="",$L99="-"),"",VLOOKUP($G99,為替!$A:$AX,$L99,FALSE)))</f>
        <v/>
      </c>
      <c r="N99" s="205" t="str">
        <f t="shared" si="10"/>
        <v/>
      </c>
      <c r="O99" s="206" t="str">
        <f t="shared" si="6"/>
        <v/>
      </c>
      <c r="P99" s="207" t="str">
        <f t="shared" si="11"/>
        <v/>
      </c>
    </row>
    <row r="100" spans="3:16">
      <c r="C100" s="200"/>
      <c r="D100" s="201"/>
      <c r="E100" s="202"/>
      <c r="F100" s="200"/>
      <c r="H100" s="203"/>
      <c r="I100" s="186" t="str">
        <f t="shared" si="7"/>
        <v/>
      </c>
      <c r="J100" s="204" t="str">
        <f>IF($H100="USD",IF(OR($I100="",$I100="-"),"",VLOOKUP($G100,為替!$A:$AX,$I100,FALSE))+$J$3,IF(OR($I100="",$I100="-"),"",VLOOKUP($G100,為替!$A:$AX,$I100,FALSE)))</f>
        <v/>
      </c>
      <c r="K100" s="205" t="str">
        <f t="shared" si="8"/>
        <v/>
      </c>
      <c r="L100" s="189" t="str">
        <f t="shared" si="9"/>
        <v/>
      </c>
      <c r="M100" s="204" t="str">
        <f>IF($H100="USD",IF(OR($L100="",$L100="-"),"",VLOOKUP($G100,為替!$A:$AX,$L100,FALSE))+$K$3,IF(OR($L100="",$L100="-"),"",VLOOKUP($G100,為替!$A:$AX,$L100,FALSE)))</f>
        <v/>
      </c>
      <c r="N100" s="205" t="str">
        <f t="shared" si="10"/>
        <v/>
      </c>
      <c r="O100" s="206" t="str">
        <f t="shared" si="6"/>
        <v/>
      </c>
      <c r="P100" s="207" t="str">
        <f t="shared" si="11"/>
        <v/>
      </c>
    </row>
    <row r="101" spans="3:16">
      <c r="C101" s="200"/>
      <c r="D101" s="201"/>
      <c r="E101" s="202"/>
      <c r="F101" s="200"/>
      <c r="H101" s="203"/>
      <c r="I101" s="186" t="str">
        <f t="shared" si="7"/>
        <v/>
      </c>
      <c r="J101" s="204" t="str">
        <f>IF($H101="USD",IF(OR($I101="",$I101="-"),"",VLOOKUP($G101,為替!$A:$AX,$I101,FALSE))+$J$3,IF(OR($I101="",$I101="-"),"",VLOOKUP($G101,為替!$A:$AX,$I101,FALSE)))</f>
        <v/>
      </c>
      <c r="K101" s="205" t="str">
        <f t="shared" si="8"/>
        <v/>
      </c>
      <c r="L101" s="189" t="str">
        <f t="shared" si="9"/>
        <v/>
      </c>
      <c r="M101" s="204" t="str">
        <f>IF($H101="USD",IF(OR($L101="",$L101="-"),"",VLOOKUP($G101,為替!$A:$AX,$L101,FALSE))+$K$3,IF(OR($L101="",$L101="-"),"",VLOOKUP($G101,為替!$A:$AX,$L101,FALSE)))</f>
        <v/>
      </c>
      <c r="N101" s="205" t="str">
        <f t="shared" si="10"/>
        <v/>
      </c>
      <c r="O101" s="206" t="str">
        <f t="shared" si="6"/>
        <v/>
      </c>
      <c r="P101" s="207" t="str">
        <f t="shared" si="11"/>
        <v/>
      </c>
    </row>
    <row r="102" spans="3:16">
      <c r="C102" s="200"/>
      <c r="D102" s="201"/>
      <c r="E102" s="202"/>
      <c r="F102" s="200"/>
      <c r="H102" s="203"/>
      <c r="I102" s="186" t="str">
        <f t="shared" si="7"/>
        <v/>
      </c>
      <c r="J102" s="204" t="str">
        <f>IF($H102="USD",IF(OR($I102="",$I102="-"),"",VLOOKUP($G102,為替!$A:$AX,$I102,FALSE))+$J$3,IF(OR($I102="",$I102="-"),"",VLOOKUP($G102,為替!$A:$AX,$I102,FALSE)))</f>
        <v/>
      </c>
      <c r="K102" s="205" t="str">
        <f t="shared" si="8"/>
        <v/>
      </c>
      <c r="L102" s="189" t="str">
        <f t="shared" si="9"/>
        <v/>
      </c>
      <c r="M102" s="204" t="str">
        <f>IF($H102="USD",IF(OR($L102="",$L102="-"),"",VLOOKUP($G102,為替!$A:$AX,$L102,FALSE))+$K$3,IF(OR($L102="",$L102="-"),"",VLOOKUP($G102,為替!$A:$AX,$L102,FALSE)))</f>
        <v/>
      </c>
      <c r="N102" s="205" t="str">
        <f t="shared" si="10"/>
        <v/>
      </c>
      <c r="O102" s="206" t="str">
        <f t="shared" si="6"/>
        <v/>
      </c>
      <c r="P102" s="207" t="str">
        <f t="shared" si="11"/>
        <v/>
      </c>
    </row>
    <row r="103" spans="3:16">
      <c r="C103" s="200"/>
      <c r="D103" s="201"/>
      <c r="E103" s="202"/>
      <c r="F103" s="200"/>
      <c r="H103" s="203"/>
      <c r="I103" s="186" t="str">
        <f t="shared" si="7"/>
        <v/>
      </c>
      <c r="J103" s="204" t="str">
        <f>IF($H103="USD",IF(OR($I103="",$I103="-"),"",VLOOKUP($G103,為替!$A:$AX,$I103,FALSE))+$J$3,IF(OR($I103="",$I103="-"),"",VLOOKUP($G103,為替!$A:$AX,$I103,FALSE)))</f>
        <v/>
      </c>
      <c r="K103" s="205" t="str">
        <f t="shared" si="8"/>
        <v/>
      </c>
      <c r="L103" s="189" t="str">
        <f t="shared" si="9"/>
        <v/>
      </c>
      <c r="M103" s="204" t="str">
        <f>IF($H103="USD",IF(OR($L103="",$L103="-"),"",VLOOKUP($G103,為替!$A:$AX,$L103,FALSE))+$K$3,IF(OR($L103="",$L103="-"),"",VLOOKUP($G103,為替!$A:$AX,$L103,FALSE)))</f>
        <v/>
      </c>
      <c r="N103" s="205" t="str">
        <f t="shared" si="10"/>
        <v/>
      </c>
      <c r="O103" s="206" t="str">
        <f t="shared" si="6"/>
        <v/>
      </c>
      <c r="P103" s="207" t="str">
        <f t="shared" si="11"/>
        <v/>
      </c>
    </row>
    <row r="104" spans="3:16">
      <c r="C104" s="200"/>
      <c r="D104" s="201"/>
      <c r="E104" s="202"/>
      <c r="F104" s="200"/>
      <c r="H104" s="203"/>
      <c r="I104" s="186" t="str">
        <f t="shared" si="7"/>
        <v/>
      </c>
      <c r="J104" s="204" t="str">
        <f>IF($H104="USD",IF(OR($I104="",$I104="-"),"",VLOOKUP($G104,為替!$A:$AX,$I104,FALSE))+$J$3,IF(OR($I104="",$I104="-"),"",VLOOKUP($G104,為替!$A:$AX,$I104,FALSE)))</f>
        <v/>
      </c>
      <c r="K104" s="205" t="str">
        <f t="shared" si="8"/>
        <v/>
      </c>
      <c r="L104" s="189" t="str">
        <f t="shared" si="9"/>
        <v/>
      </c>
      <c r="M104" s="204" t="str">
        <f>IF($H104="USD",IF(OR($L104="",$L104="-"),"",VLOOKUP($G104,為替!$A:$AX,$L104,FALSE))+$K$3,IF(OR($L104="",$L104="-"),"",VLOOKUP($G104,為替!$A:$AX,$L104,FALSE)))</f>
        <v/>
      </c>
      <c r="N104" s="205" t="str">
        <f t="shared" si="10"/>
        <v/>
      </c>
      <c r="O104" s="206" t="str">
        <f t="shared" si="6"/>
        <v/>
      </c>
      <c r="P104" s="207" t="str">
        <f t="shared" si="11"/>
        <v/>
      </c>
    </row>
    <row r="105" spans="3:16">
      <c r="C105" s="200"/>
      <c r="D105" s="201"/>
      <c r="E105" s="202"/>
      <c r="F105" s="200"/>
      <c r="H105" s="203"/>
      <c r="I105" s="186" t="str">
        <f t="shared" si="7"/>
        <v/>
      </c>
      <c r="J105" s="204" t="str">
        <f>IF($H105="USD",IF(OR($I105="",$I105="-"),"",VLOOKUP($G105,為替!$A:$AX,$I105,FALSE))+$J$3,IF(OR($I105="",$I105="-"),"",VLOOKUP($G105,為替!$A:$AX,$I105,FALSE)))</f>
        <v/>
      </c>
      <c r="K105" s="205" t="str">
        <f t="shared" si="8"/>
        <v/>
      </c>
      <c r="L105" s="189" t="str">
        <f t="shared" si="9"/>
        <v/>
      </c>
      <c r="M105" s="204" t="str">
        <f>IF($H105="USD",IF(OR($L105="",$L105="-"),"",VLOOKUP($G105,為替!$A:$AX,$L105,FALSE))+$K$3,IF(OR($L105="",$L105="-"),"",VLOOKUP($G105,為替!$A:$AX,$L105,FALSE)))</f>
        <v/>
      </c>
      <c r="N105" s="205" t="str">
        <f t="shared" si="10"/>
        <v/>
      </c>
      <c r="O105" s="206" t="str">
        <f t="shared" si="6"/>
        <v/>
      </c>
      <c r="P105" s="207" t="str">
        <f t="shared" si="11"/>
        <v/>
      </c>
    </row>
    <row r="106" spans="3:16">
      <c r="C106" s="200"/>
      <c r="D106" s="201"/>
      <c r="E106" s="202"/>
      <c r="F106" s="200"/>
      <c r="H106" s="203"/>
      <c r="I106" s="186" t="str">
        <f t="shared" si="7"/>
        <v/>
      </c>
      <c r="J106" s="204" t="str">
        <f>IF($H106="USD",IF(OR($I106="",$I106="-"),"",VLOOKUP($G106,為替!$A:$AX,$I106,FALSE))+$J$3,IF(OR($I106="",$I106="-"),"",VLOOKUP($G106,為替!$A:$AX,$I106,FALSE)))</f>
        <v/>
      </c>
      <c r="K106" s="205" t="str">
        <f t="shared" si="8"/>
        <v/>
      </c>
      <c r="L106" s="189" t="str">
        <f t="shared" si="9"/>
        <v/>
      </c>
      <c r="M106" s="204" t="str">
        <f>IF($H106="USD",IF(OR($L106="",$L106="-"),"",VLOOKUP($G106,為替!$A:$AX,$L106,FALSE))+$K$3,IF(OR($L106="",$L106="-"),"",VLOOKUP($G106,為替!$A:$AX,$L106,FALSE)))</f>
        <v/>
      </c>
      <c r="N106" s="205" t="str">
        <f t="shared" si="10"/>
        <v/>
      </c>
      <c r="O106" s="206" t="str">
        <f t="shared" si="6"/>
        <v/>
      </c>
      <c r="P106" s="207" t="str">
        <f t="shared" si="11"/>
        <v/>
      </c>
    </row>
    <row r="107" spans="3:16">
      <c r="C107" s="200"/>
      <c r="D107" s="201"/>
      <c r="E107" s="202"/>
      <c r="F107" s="200"/>
      <c r="H107" s="203"/>
      <c r="I107" s="186" t="str">
        <f t="shared" si="7"/>
        <v/>
      </c>
      <c r="J107" s="204" t="str">
        <f>IF($H107="USD",IF(OR($I107="",$I107="-"),"",VLOOKUP($G107,為替!$A:$AX,$I107,FALSE))+$J$3,IF(OR($I107="",$I107="-"),"",VLOOKUP($G107,為替!$A:$AX,$I107,FALSE)))</f>
        <v/>
      </c>
      <c r="K107" s="205" t="str">
        <f t="shared" si="8"/>
        <v/>
      </c>
      <c r="L107" s="189" t="str">
        <f t="shared" si="9"/>
        <v/>
      </c>
      <c r="M107" s="204" t="str">
        <f>IF($H107="USD",IF(OR($L107="",$L107="-"),"",VLOOKUP($G107,為替!$A:$AX,$L107,FALSE))+$K$3,IF(OR($L107="",$L107="-"),"",VLOOKUP($G107,為替!$A:$AX,$L107,FALSE)))</f>
        <v/>
      </c>
      <c r="N107" s="205" t="str">
        <f t="shared" si="10"/>
        <v/>
      </c>
      <c r="O107" s="206" t="str">
        <f t="shared" si="6"/>
        <v/>
      </c>
      <c r="P107" s="207" t="str">
        <f t="shared" si="11"/>
        <v/>
      </c>
    </row>
    <row r="108" spans="3:16">
      <c r="C108" s="200"/>
      <c r="D108" s="201"/>
      <c r="E108" s="202"/>
      <c r="F108" s="200"/>
      <c r="H108" s="203"/>
      <c r="I108" s="186" t="str">
        <f t="shared" si="7"/>
        <v/>
      </c>
      <c r="J108" s="204" t="str">
        <f>IF($H108="USD",IF(OR($I108="",$I108="-"),"",VLOOKUP($G108,為替!$A:$AX,$I108,FALSE))+$J$3,IF(OR($I108="",$I108="-"),"",VLOOKUP($G108,為替!$A:$AX,$I108,FALSE)))</f>
        <v/>
      </c>
      <c r="K108" s="205" t="str">
        <f t="shared" si="8"/>
        <v/>
      </c>
      <c r="L108" s="189" t="str">
        <f t="shared" si="9"/>
        <v/>
      </c>
      <c r="M108" s="204" t="str">
        <f>IF($H108="USD",IF(OR($L108="",$L108="-"),"",VLOOKUP($G108,為替!$A:$AX,$L108,FALSE))+$K$3,IF(OR($L108="",$L108="-"),"",VLOOKUP($G108,為替!$A:$AX,$L108,FALSE)))</f>
        <v/>
      </c>
      <c r="N108" s="205" t="str">
        <f t="shared" si="10"/>
        <v/>
      </c>
      <c r="O108" s="206" t="str">
        <f t="shared" si="6"/>
        <v/>
      </c>
      <c r="P108" s="207" t="str">
        <f t="shared" si="11"/>
        <v/>
      </c>
    </row>
    <row r="109" spans="3:16">
      <c r="C109" s="200"/>
      <c r="D109" s="201"/>
      <c r="E109" s="202"/>
      <c r="F109" s="200"/>
      <c r="H109" s="203"/>
      <c r="I109" s="186" t="str">
        <f t="shared" si="7"/>
        <v/>
      </c>
      <c r="J109" s="204" t="str">
        <f>IF($H109="USD",IF(OR($I109="",$I109="-"),"",VLOOKUP($G109,為替!$A:$AX,$I109,FALSE))+$J$3,IF(OR($I109="",$I109="-"),"",VLOOKUP($G109,為替!$A:$AX,$I109,FALSE)))</f>
        <v/>
      </c>
      <c r="K109" s="205" t="str">
        <f t="shared" si="8"/>
        <v/>
      </c>
      <c r="L109" s="189" t="str">
        <f t="shared" si="9"/>
        <v/>
      </c>
      <c r="M109" s="204" t="str">
        <f>IF($H109="USD",IF(OR($L109="",$L109="-"),"",VLOOKUP($G109,為替!$A:$AX,$L109,FALSE))+$K$3,IF(OR($L109="",$L109="-"),"",VLOOKUP($G109,為替!$A:$AX,$L109,FALSE)))</f>
        <v/>
      </c>
      <c r="N109" s="205" t="str">
        <f t="shared" si="10"/>
        <v/>
      </c>
      <c r="O109" s="206" t="str">
        <f t="shared" si="6"/>
        <v/>
      </c>
      <c r="P109" s="207" t="str">
        <f t="shared" si="11"/>
        <v/>
      </c>
    </row>
    <row r="110" spans="3:16">
      <c r="C110" s="200"/>
      <c r="D110" s="201"/>
      <c r="E110" s="202"/>
      <c r="F110" s="200"/>
      <c r="H110" s="203"/>
      <c r="I110" s="186" t="str">
        <f t="shared" si="7"/>
        <v/>
      </c>
      <c r="J110" s="204" t="str">
        <f>IF($H110="USD",IF(OR($I110="",$I110="-"),"",VLOOKUP($G110,為替!$A:$AX,$I110,FALSE))+$J$3,IF(OR($I110="",$I110="-"),"",VLOOKUP($G110,為替!$A:$AX,$I110,FALSE)))</f>
        <v/>
      </c>
      <c r="K110" s="205" t="str">
        <f t="shared" si="8"/>
        <v/>
      </c>
      <c r="L110" s="189" t="str">
        <f t="shared" si="9"/>
        <v/>
      </c>
      <c r="M110" s="204" t="str">
        <f>IF($H110="USD",IF(OR($L110="",$L110="-"),"",VLOOKUP($G110,為替!$A:$AX,$L110,FALSE))+$K$3,IF(OR($L110="",$L110="-"),"",VLOOKUP($G110,為替!$A:$AX,$L110,FALSE)))</f>
        <v/>
      </c>
      <c r="N110" s="205" t="str">
        <f t="shared" si="10"/>
        <v/>
      </c>
      <c r="O110" s="206" t="str">
        <f t="shared" si="6"/>
        <v/>
      </c>
      <c r="P110" s="207" t="str">
        <f t="shared" si="11"/>
        <v/>
      </c>
    </row>
    <row r="111" spans="3:16">
      <c r="C111" s="200"/>
      <c r="D111" s="201"/>
      <c r="E111" s="202"/>
      <c r="F111" s="200"/>
      <c r="H111" s="203"/>
      <c r="I111" s="186" t="str">
        <f t="shared" si="7"/>
        <v/>
      </c>
      <c r="J111" s="204" t="str">
        <f>IF($H111="USD",IF(OR($I111="",$I111="-"),"",VLOOKUP($G111,為替!$A:$AX,$I111,FALSE))+$J$3,IF(OR($I111="",$I111="-"),"",VLOOKUP($G111,為替!$A:$AX,$I111,FALSE)))</f>
        <v/>
      </c>
      <c r="K111" s="205" t="str">
        <f t="shared" si="8"/>
        <v/>
      </c>
      <c r="L111" s="189" t="str">
        <f t="shared" si="9"/>
        <v/>
      </c>
      <c r="M111" s="204" t="str">
        <f>IF($H111="USD",IF(OR($L111="",$L111="-"),"",VLOOKUP($G111,為替!$A:$AX,$L111,FALSE))+$K$3,IF(OR($L111="",$L111="-"),"",VLOOKUP($G111,為替!$A:$AX,$L111,FALSE)))</f>
        <v/>
      </c>
      <c r="N111" s="205" t="str">
        <f t="shared" si="10"/>
        <v/>
      </c>
      <c r="O111" s="206" t="str">
        <f t="shared" si="6"/>
        <v/>
      </c>
      <c r="P111" s="207" t="str">
        <f t="shared" si="11"/>
        <v/>
      </c>
    </row>
    <row r="112" spans="3:16">
      <c r="C112" s="200"/>
      <c r="D112" s="201"/>
      <c r="E112" s="202"/>
      <c r="F112" s="200"/>
      <c r="H112" s="203"/>
      <c r="I112" s="186" t="str">
        <f t="shared" si="7"/>
        <v/>
      </c>
      <c r="J112" s="204" t="str">
        <f>IF($H112="USD",IF(OR($I112="",$I112="-"),"",VLOOKUP($G112,為替!$A:$AX,$I112,FALSE))+$J$3,IF(OR($I112="",$I112="-"),"",VLOOKUP($G112,為替!$A:$AX,$I112,FALSE)))</f>
        <v/>
      </c>
      <c r="K112" s="205" t="str">
        <f t="shared" si="8"/>
        <v/>
      </c>
      <c r="L112" s="189" t="str">
        <f t="shared" si="9"/>
        <v/>
      </c>
      <c r="M112" s="204" t="str">
        <f>IF($H112="USD",IF(OR($L112="",$L112="-"),"",VLOOKUP($G112,為替!$A:$AX,$L112,FALSE))+$K$3,IF(OR($L112="",$L112="-"),"",VLOOKUP($G112,為替!$A:$AX,$L112,FALSE)))</f>
        <v/>
      </c>
      <c r="N112" s="205" t="str">
        <f t="shared" si="10"/>
        <v/>
      </c>
      <c r="O112" s="206" t="str">
        <f t="shared" si="6"/>
        <v/>
      </c>
      <c r="P112" s="207" t="str">
        <f t="shared" si="11"/>
        <v/>
      </c>
    </row>
    <row r="113" spans="3:16">
      <c r="C113" s="200"/>
      <c r="D113" s="201"/>
      <c r="E113" s="202"/>
      <c r="F113" s="200"/>
      <c r="H113" s="203"/>
      <c r="I113" s="186" t="str">
        <f t="shared" si="7"/>
        <v/>
      </c>
      <c r="J113" s="204" t="str">
        <f>IF($H113="USD",IF(OR($I113="",$I113="-"),"",VLOOKUP($G113,為替!$A:$AX,$I113,FALSE))+$J$3,IF(OR($I113="",$I113="-"),"",VLOOKUP($G113,為替!$A:$AX,$I113,FALSE)))</f>
        <v/>
      </c>
      <c r="K113" s="205" t="str">
        <f t="shared" si="8"/>
        <v/>
      </c>
      <c r="L113" s="189" t="str">
        <f t="shared" si="9"/>
        <v/>
      </c>
      <c r="M113" s="204" t="str">
        <f>IF($H113="USD",IF(OR($L113="",$L113="-"),"",VLOOKUP($G113,為替!$A:$AX,$L113,FALSE))+$K$3,IF(OR($L113="",$L113="-"),"",VLOOKUP($G113,為替!$A:$AX,$L113,FALSE)))</f>
        <v/>
      </c>
      <c r="N113" s="205" t="str">
        <f t="shared" si="10"/>
        <v/>
      </c>
      <c r="O113" s="206" t="str">
        <f t="shared" si="6"/>
        <v/>
      </c>
      <c r="P113" s="207" t="str">
        <f t="shared" si="11"/>
        <v/>
      </c>
    </row>
    <row r="114" spans="3:16">
      <c r="C114" s="200"/>
      <c r="D114" s="201"/>
      <c r="E114" s="202"/>
      <c r="F114" s="200"/>
      <c r="H114" s="203"/>
      <c r="I114" s="186" t="str">
        <f t="shared" si="7"/>
        <v/>
      </c>
      <c r="J114" s="204" t="str">
        <f>IF($H114="USD",IF(OR($I114="",$I114="-"),"",VLOOKUP($G114,為替!$A:$AX,$I114,FALSE))+$J$3,IF(OR($I114="",$I114="-"),"",VLOOKUP($G114,為替!$A:$AX,$I114,FALSE)))</f>
        <v/>
      </c>
      <c r="K114" s="205" t="str">
        <f t="shared" si="8"/>
        <v/>
      </c>
      <c r="L114" s="189" t="str">
        <f t="shared" si="9"/>
        <v/>
      </c>
      <c r="M114" s="204" t="str">
        <f>IF($H114="USD",IF(OR($L114="",$L114="-"),"",VLOOKUP($G114,為替!$A:$AX,$L114,FALSE))+$K$3,IF(OR($L114="",$L114="-"),"",VLOOKUP($G114,為替!$A:$AX,$L114,FALSE)))</f>
        <v/>
      </c>
      <c r="N114" s="205" t="str">
        <f t="shared" si="10"/>
        <v/>
      </c>
      <c r="O114" s="206" t="str">
        <f t="shared" si="6"/>
        <v/>
      </c>
      <c r="P114" s="207" t="str">
        <f t="shared" si="11"/>
        <v/>
      </c>
    </row>
    <row r="115" spans="3:16">
      <c r="C115" s="200"/>
      <c r="D115" s="201"/>
      <c r="E115" s="202"/>
      <c r="F115" s="200"/>
      <c r="H115" s="203"/>
      <c r="I115" s="186" t="str">
        <f t="shared" si="7"/>
        <v/>
      </c>
      <c r="J115" s="204" t="str">
        <f>IF($H115="USD",IF(OR($I115="",$I115="-"),"",VLOOKUP($G115,為替!$A:$AX,$I115,FALSE))+$J$3,IF(OR($I115="",$I115="-"),"",VLOOKUP($G115,為替!$A:$AX,$I115,FALSE)))</f>
        <v/>
      </c>
      <c r="K115" s="205" t="str">
        <f t="shared" si="8"/>
        <v/>
      </c>
      <c r="L115" s="189" t="str">
        <f t="shared" si="9"/>
        <v/>
      </c>
      <c r="M115" s="204" t="str">
        <f>IF($H115="USD",IF(OR($L115="",$L115="-"),"",VLOOKUP($G115,為替!$A:$AX,$L115,FALSE))+$K$3,IF(OR($L115="",$L115="-"),"",VLOOKUP($G115,為替!$A:$AX,$L115,FALSE)))</f>
        <v/>
      </c>
      <c r="N115" s="205" t="str">
        <f t="shared" si="10"/>
        <v/>
      </c>
      <c r="O115" s="206" t="str">
        <f t="shared" si="6"/>
        <v/>
      </c>
      <c r="P115" s="207" t="str">
        <f t="shared" si="11"/>
        <v/>
      </c>
    </row>
    <row r="116" spans="3:16">
      <c r="C116" s="200"/>
      <c r="D116" s="201"/>
      <c r="E116" s="202"/>
      <c r="F116" s="200"/>
      <c r="H116" s="203"/>
      <c r="I116" s="186" t="str">
        <f t="shared" si="7"/>
        <v/>
      </c>
      <c r="J116" s="204" t="str">
        <f>IF($H116="USD",IF(OR($I116="",$I116="-"),"",VLOOKUP($G116,為替!$A:$AX,$I116,FALSE))+$J$3,IF(OR($I116="",$I116="-"),"",VLOOKUP($G116,為替!$A:$AX,$I116,FALSE)))</f>
        <v/>
      </c>
      <c r="K116" s="205" t="str">
        <f t="shared" si="8"/>
        <v/>
      </c>
      <c r="L116" s="189" t="str">
        <f t="shared" si="9"/>
        <v/>
      </c>
      <c r="M116" s="204" t="str">
        <f>IF($H116="USD",IF(OR($L116="",$L116="-"),"",VLOOKUP($G116,為替!$A:$AX,$L116,FALSE))+$K$3,IF(OR($L116="",$L116="-"),"",VLOOKUP($G116,為替!$A:$AX,$L116,FALSE)))</f>
        <v/>
      </c>
      <c r="N116" s="205" t="str">
        <f t="shared" si="10"/>
        <v/>
      </c>
      <c r="O116" s="206" t="str">
        <f t="shared" si="6"/>
        <v/>
      </c>
      <c r="P116" s="207" t="str">
        <f t="shared" si="11"/>
        <v/>
      </c>
    </row>
    <row r="117" spans="3:16">
      <c r="C117" s="200"/>
      <c r="D117" s="201"/>
      <c r="E117" s="202"/>
      <c r="F117" s="200"/>
      <c r="H117" s="203"/>
      <c r="I117" s="186" t="str">
        <f t="shared" si="7"/>
        <v/>
      </c>
      <c r="J117" s="204" t="str">
        <f>IF($H117="USD",IF(OR($I117="",$I117="-"),"",VLOOKUP($G117,為替!$A:$AX,$I117,FALSE))+$J$3,IF(OR($I117="",$I117="-"),"",VLOOKUP($G117,為替!$A:$AX,$I117,FALSE)))</f>
        <v/>
      </c>
      <c r="K117" s="205" t="str">
        <f t="shared" si="8"/>
        <v/>
      </c>
      <c r="L117" s="189" t="str">
        <f t="shared" si="9"/>
        <v/>
      </c>
      <c r="M117" s="204" t="str">
        <f>IF($H117="USD",IF(OR($L117="",$L117="-"),"",VLOOKUP($G117,為替!$A:$AX,$L117,FALSE))+$K$3,IF(OR($L117="",$L117="-"),"",VLOOKUP($G117,為替!$A:$AX,$L117,FALSE)))</f>
        <v/>
      </c>
      <c r="N117" s="205" t="str">
        <f t="shared" si="10"/>
        <v/>
      </c>
      <c r="O117" s="206" t="str">
        <f t="shared" si="6"/>
        <v/>
      </c>
      <c r="P117" s="207" t="str">
        <f t="shared" si="11"/>
        <v/>
      </c>
    </row>
    <row r="118" spans="3:16">
      <c r="C118" s="200"/>
      <c r="D118" s="201"/>
      <c r="E118" s="202"/>
      <c r="F118" s="200"/>
      <c r="H118" s="203"/>
      <c r="I118" s="186" t="str">
        <f t="shared" si="7"/>
        <v/>
      </c>
      <c r="J118" s="204" t="str">
        <f>IF($H118="USD",IF(OR($I118="",$I118="-"),"",VLOOKUP($G118,為替!$A:$AX,$I118,FALSE))+$J$3,IF(OR($I118="",$I118="-"),"",VLOOKUP($G118,為替!$A:$AX,$I118,FALSE)))</f>
        <v/>
      </c>
      <c r="K118" s="205" t="str">
        <f t="shared" si="8"/>
        <v/>
      </c>
      <c r="L118" s="189" t="str">
        <f t="shared" si="9"/>
        <v/>
      </c>
      <c r="M118" s="204" t="str">
        <f>IF($H118="USD",IF(OR($L118="",$L118="-"),"",VLOOKUP($G118,為替!$A:$AX,$L118,FALSE))+$K$3,IF(OR($L118="",$L118="-"),"",VLOOKUP($G118,為替!$A:$AX,$L118,FALSE)))</f>
        <v/>
      </c>
      <c r="N118" s="205" t="str">
        <f t="shared" si="10"/>
        <v/>
      </c>
      <c r="O118" s="206" t="str">
        <f t="shared" si="6"/>
        <v/>
      </c>
      <c r="P118" s="207" t="str">
        <f t="shared" si="11"/>
        <v/>
      </c>
    </row>
    <row r="119" spans="3:16">
      <c r="C119" s="200"/>
      <c r="D119" s="201"/>
      <c r="E119" s="202"/>
      <c r="F119" s="200"/>
      <c r="H119" s="203"/>
      <c r="I119" s="186" t="str">
        <f t="shared" si="7"/>
        <v/>
      </c>
      <c r="J119" s="204" t="str">
        <f>IF($H119="USD",IF(OR($I119="",$I119="-"),"",VLOOKUP($G119,為替!$A:$AX,$I119,FALSE))+$J$3,IF(OR($I119="",$I119="-"),"",VLOOKUP($G119,為替!$A:$AX,$I119,FALSE)))</f>
        <v/>
      </c>
      <c r="K119" s="205" t="str">
        <f t="shared" si="8"/>
        <v/>
      </c>
      <c r="L119" s="189" t="str">
        <f t="shared" si="9"/>
        <v/>
      </c>
      <c r="M119" s="204" t="str">
        <f>IF($H119="USD",IF(OR($L119="",$L119="-"),"",VLOOKUP($G119,為替!$A:$AX,$L119,FALSE))+$K$3,IF(OR($L119="",$L119="-"),"",VLOOKUP($G119,為替!$A:$AX,$L119,FALSE)))</f>
        <v/>
      </c>
      <c r="N119" s="205" t="str">
        <f t="shared" si="10"/>
        <v/>
      </c>
      <c r="O119" s="206" t="str">
        <f t="shared" si="6"/>
        <v/>
      </c>
      <c r="P119" s="207" t="str">
        <f t="shared" si="11"/>
        <v/>
      </c>
    </row>
    <row r="120" spans="3:16">
      <c r="C120" s="200"/>
      <c r="D120" s="201"/>
      <c r="E120" s="202"/>
      <c r="F120" s="200"/>
      <c r="H120" s="203"/>
      <c r="I120" s="186" t="str">
        <f t="shared" si="7"/>
        <v/>
      </c>
      <c r="J120" s="204" t="str">
        <f>IF($H120="USD",IF(OR($I120="",$I120="-"),"",VLOOKUP($G120,為替!$A:$AX,$I120,FALSE))+$J$3,IF(OR($I120="",$I120="-"),"",VLOOKUP($G120,為替!$A:$AX,$I120,FALSE)))</f>
        <v/>
      </c>
      <c r="K120" s="205" t="str">
        <f t="shared" si="8"/>
        <v/>
      </c>
      <c r="L120" s="189" t="str">
        <f t="shared" si="9"/>
        <v/>
      </c>
      <c r="M120" s="204" t="str">
        <f>IF($H120="USD",IF(OR($L120="",$L120="-"),"",VLOOKUP($G120,為替!$A:$AX,$L120,FALSE))+$K$3,IF(OR($L120="",$L120="-"),"",VLOOKUP($G120,為替!$A:$AX,$L120,FALSE)))</f>
        <v/>
      </c>
      <c r="N120" s="205" t="str">
        <f t="shared" si="10"/>
        <v/>
      </c>
      <c r="O120" s="206" t="str">
        <f t="shared" si="6"/>
        <v/>
      </c>
      <c r="P120" s="207" t="str">
        <f t="shared" si="11"/>
        <v/>
      </c>
    </row>
    <row r="121" spans="3:16">
      <c r="C121" s="200"/>
      <c r="D121" s="201"/>
      <c r="E121" s="202"/>
      <c r="F121" s="200"/>
      <c r="H121" s="203"/>
      <c r="I121" s="186" t="str">
        <f t="shared" si="7"/>
        <v/>
      </c>
      <c r="J121" s="204" t="str">
        <f>IF($H121="USD",IF(OR($I121="",$I121="-"),"",VLOOKUP($G121,為替!$A:$AX,$I121,FALSE))+$J$3,IF(OR($I121="",$I121="-"),"",VLOOKUP($G121,為替!$A:$AX,$I121,FALSE)))</f>
        <v/>
      </c>
      <c r="K121" s="205" t="str">
        <f t="shared" si="8"/>
        <v/>
      </c>
      <c r="L121" s="189" t="str">
        <f t="shared" si="9"/>
        <v/>
      </c>
      <c r="M121" s="204" t="str">
        <f>IF($H121="USD",IF(OR($L121="",$L121="-"),"",VLOOKUP($G121,為替!$A:$AX,$L121,FALSE))+$K$3,IF(OR($L121="",$L121="-"),"",VLOOKUP($G121,為替!$A:$AX,$L121,FALSE)))</f>
        <v/>
      </c>
      <c r="N121" s="205" t="str">
        <f t="shared" si="10"/>
        <v/>
      </c>
      <c r="O121" s="206" t="str">
        <f t="shared" si="6"/>
        <v/>
      </c>
      <c r="P121" s="207" t="str">
        <f t="shared" si="11"/>
        <v/>
      </c>
    </row>
    <row r="122" spans="3:16">
      <c r="C122" s="200"/>
      <c r="D122" s="201"/>
      <c r="E122" s="202"/>
      <c r="F122" s="200"/>
      <c r="H122" s="203"/>
      <c r="I122" s="186" t="str">
        <f t="shared" si="7"/>
        <v/>
      </c>
      <c r="J122" s="204" t="str">
        <f>IF($H122="USD",IF(OR($I122="",$I122="-"),"",VLOOKUP($G122,為替!$A:$AX,$I122,FALSE))+$J$3,IF(OR($I122="",$I122="-"),"",VLOOKUP($G122,為替!$A:$AX,$I122,FALSE)))</f>
        <v/>
      </c>
      <c r="K122" s="205" t="str">
        <f t="shared" si="8"/>
        <v/>
      </c>
      <c r="L122" s="189" t="str">
        <f t="shared" si="9"/>
        <v/>
      </c>
      <c r="M122" s="204" t="str">
        <f>IF($H122="USD",IF(OR($L122="",$L122="-"),"",VLOOKUP($G122,為替!$A:$AX,$L122,FALSE))+$K$3,IF(OR($L122="",$L122="-"),"",VLOOKUP($G122,為替!$A:$AX,$L122,FALSE)))</f>
        <v/>
      </c>
      <c r="N122" s="205" t="str">
        <f t="shared" si="10"/>
        <v/>
      </c>
      <c r="O122" s="206" t="str">
        <f t="shared" si="6"/>
        <v/>
      </c>
      <c r="P122" s="207" t="str">
        <f t="shared" si="11"/>
        <v/>
      </c>
    </row>
    <row r="123" spans="3:16">
      <c r="C123" s="200"/>
      <c r="D123" s="201"/>
      <c r="E123" s="202"/>
      <c r="F123" s="200"/>
      <c r="H123" s="203"/>
      <c r="I123" s="186" t="str">
        <f t="shared" si="7"/>
        <v/>
      </c>
      <c r="J123" s="204" t="str">
        <f>IF($H123="USD",IF(OR($I123="",$I123="-"),"",VLOOKUP($G123,為替!$A:$AX,$I123,FALSE))+$J$3,IF(OR($I123="",$I123="-"),"",VLOOKUP($G123,為替!$A:$AX,$I123,FALSE)))</f>
        <v/>
      </c>
      <c r="K123" s="205" t="str">
        <f t="shared" si="8"/>
        <v/>
      </c>
      <c r="L123" s="189" t="str">
        <f t="shared" si="9"/>
        <v/>
      </c>
      <c r="M123" s="204" t="str">
        <f>IF($H123="USD",IF(OR($L123="",$L123="-"),"",VLOOKUP($G123,為替!$A:$AX,$L123,FALSE))+$K$3,IF(OR($L123="",$L123="-"),"",VLOOKUP($G123,為替!$A:$AX,$L123,FALSE)))</f>
        <v/>
      </c>
      <c r="N123" s="205" t="str">
        <f t="shared" si="10"/>
        <v/>
      </c>
      <c r="O123" s="206" t="str">
        <f t="shared" si="6"/>
        <v/>
      </c>
      <c r="P123" s="207" t="str">
        <f t="shared" si="11"/>
        <v/>
      </c>
    </row>
    <row r="124" spans="3:16">
      <c r="C124" s="200"/>
      <c r="D124" s="201"/>
      <c r="E124" s="202"/>
      <c r="F124" s="200"/>
      <c r="H124" s="203"/>
      <c r="I124" s="186" t="str">
        <f t="shared" si="7"/>
        <v/>
      </c>
      <c r="J124" s="204" t="str">
        <f>IF($H124="USD",IF(OR($I124="",$I124="-"),"",VLOOKUP($G124,為替!$A:$AX,$I124,FALSE))+$J$3,IF(OR($I124="",$I124="-"),"",VLOOKUP($G124,為替!$A:$AX,$I124,FALSE)))</f>
        <v/>
      </c>
      <c r="K124" s="205" t="str">
        <f t="shared" si="8"/>
        <v/>
      </c>
      <c r="L124" s="189" t="str">
        <f t="shared" si="9"/>
        <v/>
      </c>
      <c r="M124" s="204" t="str">
        <f>IF($H124="USD",IF(OR($L124="",$L124="-"),"",VLOOKUP($G124,為替!$A:$AX,$L124,FALSE))+$K$3,IF(OR($L124="",$L124="-"),"",VLOOKUP($G124,為替!$A:$AX,$L124,FALSE)))</f>
        <v/>
      </c>
      <c r="N124" s="205" t="str">
        <f t="shared" si="10"/>
        <v/>
      </c>
      <c r="O124" s="206" t="str">
        <f t="shared" si="6"/>
        <v/>
      </c>
      <c r="P124" s="207" t="str">
        <f t="shared" si="11"/>
        <v/>
      </c>
    </row>
    <row r="125" spans="3:16">
      <c r="C125" s="200"/>
      <c r="D125" s="201"/>
      <c r="E125" s="202"/>
      <c r="F125" s="200"/>
      <c r="H125" s="203"/>
      <c r="I125" s="186" t="str">
        <f t="shared" si="7"/>
        <v/>
      </c>
      <c r="J125" s="204" t="str">
        <f>IF($H125="USD",IF(OR($I125="",$I125="-"),"",VLOOKUP($G125,為替!$A:$AX,$I125,FALSE))+$J$3,IF(OR($I125="",$I125="-"),"",VLOOKUP($G125,為替!$A:$AX,$I125,FALSE)))</f>
        <v/>
      </c>
      <c r="K125" s="205" t="str">
        <f t="shared" si="8"/>
        <v/>
      </c>
      <c r="L125" s="189" t="str">
        <f t="shared" si="9"/>
        <v/>
      </c>
      <c r="M125" s="204" t="str">
        <f>IF($H125="USD",IF(OR($L125="",$L125="-"),"",VLOOKUP($G125,為替!$A:$AX,$L125,FALSE))+$K$3,IF(OR($L125="",$L125="-"),"",VLOOKUP($G125,為替!$A:$AX,$L125,FALSE)))</f>
        <v/>
      </c>
      <c r="N125" s="205" t="str">
        <f t="shared" si="10"/>
        <v/>
      </c>
      <c r="O125" s="206" t="str">
        <f t="shared" si="6"/>
        <v/>
      </c>
      <c r="P125" s="207" t="str">
        <f t="shared" si="11"/>
        <v/>
      </c>
    </row>
    <row r="126" spans="3:16">
      <c r="C126" s="200"/>
      <c r="D126" s="201"/>
      <c r="E126" s="202"/>
      <c r="F126" s="200"/>
      <c r="H126" s="203"/>
      <c r="I126" s="186" t="str">
        <f t="shared" si="7"/>
        <v/>
      </c>
      <c r="J126" s="204" t="str">
        <f>IF($H126="USD",IF(OR($I126="",$I126="-"),"",VLOOKUP($G126,為替!$A:$AX,$I126,FALSE))+$J$3,IF(OR($I126="",$I126="-"),"",VLOOKUP($G126,為替!$A:$AX,$I126,FALSE)))</f>
        <v/>
      </c>
      <c r="K126" s="205" t="str">
        <f t="shared" si="8"/>
        <v/>
      </c>
      <c r="L126" s="189" t="str">
        <f t="shared" si="9"/>
        <v/>
      </c>
      <c r="M126" s="204" t="str">
        <f>IF($H126="USD",IF(OR($L126="",$L126="-"),"",VLOOKUP($G126,為替!$A:$AX,$L126,FALSE))+$K$3,IF(OR($L126="",$L126="-"),"",VLOOKUP($G126,為替!$A:$AX,$L126,FALSE)))</f>
        <v/>
      </c>
      <c r="N126" s="205" t="str">
        <f t="shared" si="10"/>
        <v/>
      </c>
      <c r="O126" s="206" t="str">
        <f t="shared" si="6"/>
        <v/>
      </c>
      <c r="P126" s="207" t="str">
        <f t="shared" si="11"/>
        <v/>
      </c>
    </row>
    <row r="127" spans="3:16">
      <c r="C127" s="200"/>
      <c r="D127" s="201"/>
      <c r="E127" s="202"/>
      <c r="F127" s="200"/>
      <c r="H127" s="203"/>
      <c r="I127" s="186" t="str">
        <f t="shared" si="7"/>
        <v/>
      </c>
      <c r="J127" s="204" t="str">
        <f>IF($H127="USD",IF(OR($I127="",$I127="-"),"",VLOOKUP($G127,為替!$A:$AX,$I127,FALSE))+$J$3,IF(OR($I127="",$I127="-"),"",VLOOKUP($G127,為替!$A:$AX,$I127,FALSE)))</f>
        <v/>
      </c>
      <c r="K127" s="205" t="str">
        <f t="shared" si="8"/>
        <v/>
      </c>
      <c r="L127" s="189" t="str">
        <f t="shared" si="9"/>
        <v/>
      </c>
      <c r="M127" s="204" t="str">
        <f>IF($H127="USD",IF(OR($L127="",$L127="-"),"",VLOOKUP($G127,為替!$A:$AX,$L127,FALSE))+$K$3,IF(OR($L127="",$L127="-"),"",VLOOKUP($G127,為替!$A:$AX,$L127,FALSE)))</f>
        <v/>
      </c>
      <c r="N127" s="205" t="str">
        <f t="shared" si="10"/>
        <v/>
      </c>
      <c r="O127" s="206" t="str">
        <f t="shared" si="6"/>
        <v/>
      </c>
      <c r="P127" s="207" t="str">
        <f t="shared" si="11"/>
        <v/>
      </c>
    </row>
    <row r="128" spans="3:16">
      <c r="C128" s="200"/>
      <c r="D128" s="201"/>
      <c r="E128" s="202"/>
      <c r="F128" s="200"/>
      <c r="H128" s="203"/>
      <c r="I128" s="186" t="str">
        <f t="shared" si="7"/>
        <v/>
      </c>
      <c r="J128" s="204" t="str">
        <f>IF($H128="USD",IF(OR($I128="",$I128="-"),"",VLOOKUP($G128,為替!$A:$AX,$I128,FALSE))+$J$3,IF(OR($I128="",$I128="-"),"",VLOOKUP($G128,為替!$A:$AX,$I128,FALSE)))</f>
        <v/>
      </c>
      <c r="K128" s="205" t="str">
        <f t="shared" si="8"/>
        <v/>
      </c>
      <c r="L128" s="189" t="str">
        <f t="shared" si="9"/>
        <v/>
      </c>
      <c r="M128" s="204" t="str">
        <f>IF($H128="USD",IF(OR($L128="",$L128="-"),"",VLOOKUP($G128,為替!$A:$AX,$L128,FALSE))+$K$3,IF(OR($L128="",$L128="-"),"",VLOOKUP($G128,為替!$A:$AX,$L128,FALSE)))</f>
        <v/>
      </c>
      <c r="N128" s="205" t="str">
        <f t="shared" si="10"/>
        <v/>
      </c>
      <c r="O128" s="206" t="str">
        <f t="shared" si="6"/>
        <v/>
      </c>
      <c r="P128" s="207" t="str">
        <f t="shared" si="11"/>
        <v/>
      </c>
    </row>
    <row r="129" spans="3:16">
      <c r="C129" s="200"/>
      <c r="D129" s="201"/>
      <c r="E129" s="202"/>
      <c r="F129" s="200"/>
      <c r="H129" s="203"/>
      <c r="I129" s="186" t="str">
        <f t="shared" si="7"/>
        <v/>
      </c>
      <c r="J129" s="204" t="str">
        <f>IF($H129="USD",IF(OR($I129="",$I129="-"),"",VLOOKUP($G129,為替!$A:$AX,$I129,FALSE))+$J$3,IF(OR($I129="",$I129="-"),"",VLOOKUP($G129,為替!$A:$AX,$I129,FALSE)))</f>
        <v/>
      </c>
      <c r="K129" s="205" t="str">
        <f t="shared" si="8"/>
        <v/>
      </c>
      <c r="L129" s="189" t="str">
        <f t="shared" si="9"/>
        <v/>
      </c>
      <c r="M129" s="204" t="str">
        <f>IF($H129="USD",IF(OR($L129="",$L129="-"),"",VLOOKUP($G129,為替!$A:$AX,$L129,FALSE))+$K$3,IF(OR($L129="",$L129="-"),"",VLOOKUP($G129,為替!$A:$AX,$L129,FALSE)))</f>
        <v/>
      </c>
      <c r="N129" s="205" t="str">
        <f t="shared" si="10"/>
        <v/>
      </c>
      <c r="O129" s="206" t="str">
        <f t="shared" si="6"/>
        <v/>
      </c>
      <c r="P129" s="207" t="str">
        <f t="shared" si="11"/>
        <v/>
      </c>
    </row>
    <row r="130" spans="3:16">
      <c r="C130" s="200"/>
      <c r="D130" s="201"/>
      <c r="E130" s="202"/>
      <c r="F130" s="200"/>
      <c r="H130" s="203"/>
      <c r="I130" s="186" t="str">
        <f t="shared" si="7"/>
        <v/>
      </c>
      <c r="J130" s="204" t="str">
        <f>IF($H130="USD",IF(OR($I130="",$I130="-"),"",VLOOKUP($G130,為替!$A:$AX,$I130,FALSE))+$J$3,IF(OR($I130="",$I130="-"),"",VLOOKUP($G130,為替!$A:$AX,$I130,FALSE)))</f>
        <v/>
      </c>
      <c r="K130" s="205" t="str">
        <f t="shared" si="8"/>
        <v/>
      </c>
      <c r="L130" s="189" t="str">
        <f t="shared" si="9"/>
        <v/>
      </c>
      <c r="M130" s="204" t="str">
        <f>IF($H130="USD",IF(OR($L130="",$L130="-"),"",VLOOKUP($G130,為替!$A:$AX,$L130,FALSE))+$K$3,IF(OR($L130="",$L130="-"),"",VLOOKUP($G130,為替!$A:$AX,$L130,FALSE)))</f>
        <v/>
      </c>
      <c r="N130" s="205" t="str">
        <f t="shared" si="10"/>
        <v/>
      </c>
      <c r="O130" s="206" t="str">
        <f t="shared" si="6"/>
        <v/>
      </c>
      <c r="P130" s="207" t="str">
        <f t="shared" si="11"/>
        <v/>
      </c>
    </row>
    <row r="131" spans="3:16">
      <c r="C131" s="200"/>
      <c r="D131" s="201"/>
      <c r="E131" s="202"/>
      <c r="F131" s="200"/>
      <c r="H131" s="203"/>
      <c r="I131" s="186" t="str">
        <f t="shared" si="7"/>
        <v/>
      </c>
      <c r="J131" s="204" t="str">
        <f>IF($H131="USD",IF(OR($I131="",$I131="-"),"",VLOOKUP($G131,為替!$A:$AX,$I131,FALSE))+$J$3,IF(OR($I131="",$I131="-"),"",VLOOKUP($G131,為替!$A:$AX,$I131,FALSE)))</f>
        <v/>
      </c>
      <c r="K131" s="205" t="str">
        <f t="shared" si="8"/>
        <v/>
      </c>
      <c r="L131" s="189" t="str">
        <f t="shared" si="9"/>
        <v/>
      </c>
      <c r="M131" s="204" t="str">
        <f>IF($H131="USD",IF(OR($L131="",$L131="-"),"",VLOOKUP($G131,為替!$A:$AX,$L131,FALSE))+$K$3,IF(OR($L131="",$L131="-"),"",VLOOKUP($G131,為替!$A:$AX,$L131,FALSE)))</f>
        <v/>
      </c>
      <c r="N131" s="205" t="str">
        <f t="shared" si="10"/>
        <v/>
      </c>
      <c r="O131" s="206" t="str">
        <f t="shared" si="6"/>
        <v/>
      </c>
      <c r="P131" s="207" t="str">
        <f t="shared" si="11"/>
        <v/>
      </c>
    </row>
    <row r="132" spans="3:16">
      <c r="C132" s="200"/>
      <c r="D132" s="201"/>
      <c r="E132" s="202"/>
      <c r="F132" s="200"/>
      <c r="H132" s="203"/>
      <c r="I132" s="186" t="str">
        <f t="shared" si="7"/>
        <v/>
      </c>
      <c r="J132" s="204" t="str">
        <f>IF($H132="USD",IF(OR($I132="",$I132="-"),"",VLOOKUP($G132,為替!$A:$AX,$I132,FALSE))+$J$3,IF(OR($I132="",$I132="-"),"",VLOOKUP($G132,為替!$A:$AX,$I132,FALSE)))</f>
        <v/>
      </c>
      <c r="K132" s="205" t="str">
        <f t="shared" si="8"/>
        <v/>
      </c>
      <c r="L132" s="189" t="str">
        <f t="shared" si="9"/>
        <v/>
      </c>
      <c r="M132" s="204" t="str">
        <f>IF($H132="USD",IF(OR($L132="",$L132="-"),"",VLOOKUP($G132,為替!$A:$AX,$L132,FALSE))+$K$3,IF(OR($L132="",$L132="-"),"",VLOOKUP($G132,為替!$A:$AX,$L132,FALSE)))</f>
        <v/>
      </c>
      <c r="N132" s="205" t="str">
        <f t="shared" si="10"/>
        <v/>
      </c>
      <c r="O132" s="206" t="str">
        <f t="shared" si="6"/>
        <v/>
      </c>
      <c r="P132" s="207" t="str">
        <f t="shared" si="11"/>
        <v/>
      </c>
    </row>
    <row r="133" spans="3:16">
      <c r="C133" s="200"/>
      <c r="D133" s="201"/>
      <c r="E133" s="202"/>
      <c r="F133" s="200"/>
      <c r="H133" s="203"/>
      <c r="I133" s="186" t="str">
        <f t="shared" si="7"/>
        <v/>
      </c>
      <c r="J133" s="204" t="str">
        <f>IF($H133="USD",IF(OR($I133="",$I133="-"),"",VLOOKUP($G133,為替!$A:$AX,$I133,FALSE))+$J$3,IF(OR($I133="",$I133="-"),"",VLOOKUP($G133,為替!$A:$AX,$I133,FALSE)))</f>
        <v/>
      </c>
      <c r="K133" s="205" t="str">
        <f t="shared" si="8"/>
        <v/>
      </c>
      <c r="L133" s="189" t="str">
        <f t="shared" si="9"/>
        <v/>
      </c>
      <c r="M133" s="204" t="str">
        <f>IF($H133="USD",IF(OR($L133="",$L133="-"),"",VLOOKUP($G133,為替!$A:$AX,$L133,FALSE))+$K$3,IF(OR($L133="",$L133="-"),"",VLOOKUP($G133,為替!$A:$AX,$L133,FALSE)))</f>
        <v/>
      </c>
      <c r="N133" s="205" t="str">
        <f t="shared" si="10"/>
        <v/>
      </c>
      <c r="O133" s="206" t="str">
        <f t="shared" si="6"/>
        <v/>
      </c>
      <c r="P133" s="207" t="str">
        <f t="shared" si="11"/>
        <v/>
      </c>
    </row>
    <row r="134" spans="3:16">
      <c r="C134" s="200"/>
      <c r="D134" s="201"/>
      <c r="E134" s="202"/>
      <c r="F134" s="200"/>
      <c r="H134" s="203"/>
      <c r="I134" s="186" t="str">
        <f t="shared" si="7"/>
        <v/>
      </c>
      <c r="J134" s="204" t="str">
        <f>IF($H134="USD",IF(OR($I134="",$I134="-"),"",VLOOKUP($G134,為替!$A:$AX,$I134,FALSE))+$J$3,IF(OR($I134="",$I134="-"),"",VLOOKUP($G134,為替!$A:$AX,$I134,FALSE)))</f>
        <v/>
      </c>
      <c r="K134" s="205" t="str">
        <f t="shared" si="8"/>
        <v/>
      </c>
      <c r="L134" s="189" t="str">
        <f t="shared" si="9"/>
        <v/>
      </c>
      <c r="M134" s="204" t="str">
        <f>IF($H134="USD",IF(OR($L134="",$L134="-"),"",VLOOKUP($G134,為替!$A:$AX,$L134,FALSE))+$K$3,IF(OR($L134="",$L134="-"),"",VLOOKUP($G134,為替!$A:$AX,$L134,FALSE)))</f>
        <v/>
      </c>
      <c r="N134" s="205" t="str">
        <f t="shared" si="10"/>
        <v/>
      </c>
      <c r="O134" s="206" t="str">
        <f t="shared" ref="O134:O197" si="12">IF(OR(K134="",N134=""),"",K134-N134)</f>
        <v/>
      </c>
      <c r="P134" s="207" t="str">
        <f t="shared" si="11"/>
        <v/>
      </c>
    </row>
    <row r="135" spans="3:16">
      <c r="C135" s="200"/>
      <c r="D135" s="201"/>
      <c r="E135" s="202"/>
      <c r="F135" s="200"/>
      <c r="H135" s="203"/>
      <c r="I135" s="186" t="str">
        <f t="shared" ref="I135:I198" si="13">IF(H135="","",IF(H135="JPY","",IF($H135="USD",4, IF(H135="EUR",7,IF(H135="CNY",47,IF(H135="HKD",34))))))</f>
        <v/>
      </c>
      <c r="J135" s="204" t="str">
        <f>IF($H135="USD",IF(OR($I135="",$I135="-"),"",VLOOKUP($G135,為替!$A:$AX,$I135,FALSE))+$J$3,IF(OR($I135="",$I135="-"),"",VLOOKUP($G135,為替!$A:$AX,$I135,FALSE)))</f>
        <v/>
      </c>
      <c r="K135" s="205" t="str">
        <f t="shared" ref="K135:K198" si="14">IF($H135="JPY",$F135,IF($H135="","",$F135*$J135))</f>
        <v/>
      </c>
      <c r="L135" s="189" t="str">
        <f t="shared" ref="L135:L198" si="15">IF(H135="","",IF(H135="JPY","",IF($H135="USD",3, IF(H135="EUR",6,IF(H135="CNY",46,IF(H135="HKD",33))))))</f>
        <v/>
      </c>
      <c r="M135" s="204" t="str">
        <f>IF($H135="USD",IF(OR($L135="",$L135="-"),"",VLOOKUP($G135,為替!$A:$AX,$L135,FALSE))+$K$3,IF(OR($L135="",$L135="-"),"",VLOOKUP($G135,為替!$A:$AX,$L135,FALSE)))</f>
        <v/>
      </c>
      <c r="N135" s="205" t="str">
        <f t="shared" ref="N135:N198" si="16">IF($E135="JPY",($C135+$D135),IF($E135="","",($C135+$D135)*$M135))</f>
        <v/>
      </c>
      <c r="O135" s="206" t="str">
        <f t="shared" si="12"/>
        <v/>
      </c>
      <c r="P135" s="207" t="str">
        <f t="shared" ref="P135:P198" si="17">IF(OR(K135="",O135=""),"",O135/K135)</f>
        <v/>
      </c>
    </row>
    <row r="136" spans="3:16">
      <c r="C136" s="200"/>
      <c r="D136" s="201"/>
      <c r="E136" s="202"/>
      <c r="F136" s="200"/>
      <c r="H136" s="203"/>
      <c r="I136" s="186" t="str">
        <f t="shared" si="13"/>
        <v/>
      </c>
      <c r="J136" s="204" t="str">
        <f>IF($H136="USD",IF(OR($I136="",$I136="-"),"",VLOOKUP($G136,為替!$A:$AX,$I136,FALSE))+$J$3,IF(OR($I136="",$I136="-"),"",VLOOKUP($G136,為替!$A:$AX,$I136,FALSE)))</f>
        <v/>
      </c>
      <c r="K136" s="205" t="str">
        <f t="shared" si="14"/>
        <v/>
      </c>
      <c r="L136" s="189" t="str">
        <f t="shared" si="15"/>
        <v/>
      </c>
      <c r="M136" s="204" t="str">
        <f>IF($H136="USD",IF(OR($L136="",$L136="-"),"",VLOOKUP($G136,為替!$A:$AX,$L136,FALSE))+$K$3,IF(OR($L136="",$L136="-"),"",VLOOKUP($G136,為替!$A:$AX,$L136,FALSE)))</f>
        <v/>
      </c>
      <c r="N136" s="205" t="str">
        <f t="shared" si="16"/>
        <v/>
      </c>
      <c r="O136" s="206" t="str">
        <f t="shared" si="12"/>
        <v/>
      </c>
      <c r="P136" s="207" t="str">
        <f t="shared" si="17"/>
        <v/>
      </c>
    </row>
    <row r="137" spans="3:16">
      <c r="C137" s="200"/>
      <c r="D137" s="201"/>
      <c r="E137" s="202"/>
      <c r="F137" s="200"/>
      <c r="H137" s="203"/>
      <c r="I137" s="186" t="str">
        <f t="shared" si="13"/>
        <v/>
      </c>
      <c r="J137" s="204" t="str">
        <f>IF($H137="USD",IF(OR($I137="",$I137="-"),"",VLOOKUP($G137,為替!$A:$AX,$I137,FALSE))+$J$3,IF(OR($I137="",$I137="-"),"",VLOOKUP($G137,為替!$A:$AX,$I137,FALSE)))</f>
        <v/>
      </c>
      <c r="K137" s="205" t="str">
        <f t="shared" si="14"/>
        <v/>
      </c>
      <c r="L137" s="189" t="str">
        <f t="shared" si="15"/>
        <v/>
      </c>
      <c r="M137" s="204" t="str">
        <f>IF($H137="USD",IF(OR($L137="",$L137="-"),"",VLOOKUP($G137,為替!$A:$AX,$L137,FALSE))+$K$3,IF(OR($L137="",$L137="-"),"",VLOOKUP($G137,為替!$A:$AX,$L137,FALSE)))</f>
        <v/>
      </c>
      <c r="N137" s="205" t="str">
        <f t="shared" si="16"/>
        <v/>
      </c>
      <c r="O137" s="206" t="str">
        <f t="shared" si="12"/>
        <v/>
      </c>
      <c r="P137" s="207" t="str">
        <f t="shared" si="17"/>
        <v/>
      </c>
    </row>
    <row r="138" spans="3:16">
      <c r="C138" s="200"/>
      <c r="D138" s="201"/>
      <c r="E138" s="202"/>
      <c r="F138" s="200"/>
      <c r="H138" s="203"/>
      <c r="I138" s="186" t="str">
        <f t="shared" si="13"/>
        <v/>
      </c>
      <c r="J138" s="204" t="str">
        <f>IF($H138="USD",IF(OR($I138="",$I138="-"),"",VLOOKUP($G138,為替!$A:$AX,$I138,FALSE))+$J$3,IF(OR($I138="",$I138="-"),"",VLOOKUP($G138,為替!$A:$AX,$I138,FALSE)))</f>
        <v/>
      </c>
      <c r="K138" s="205" t="str">
        <f t="shared" si="14"/>
        <v/>
      </c>
      <c r="L138" s="189" t="str">
        <f t="shared" si="15"/>
        <v/>
      </c>
      <c r="M138" s="204" t="str">
        <f>IF($H138="USD",IF(OR($L138="",$L138="-"),"",VLOOKUP($G138,為替!$A:$AX,$L138,FALSE))+$K$3,IF(OR($L138="",$L138="-"),"",VLOOKUP($G138,為替!$A:$AX,$L138,FALSE)))</f>
        <v/>
      </c>
      <c r="N138" s="205" t="str">
        <f t="shared" si="16"/>
        <v/>
      </c>
      <c r="O138" s="206" t="str">
        <f t="shared" si="12"/>
        <v/>
      </c>
      <c r="P138" s="207" t="str">
        <f t="shared" si="17"/>
        <v/>
      </c>
    </row>
    <row r="139" spans="3:16">
      <c r="C139" s="200"/>
      <c r="D139" s="201"/>
      <c r="E139" s="202"/>
      <c r="F139" s="200"/>
      <c r="H139" s="203"/>
      <c r="I139" s="186" t="str">
        <f t="shared" si="13"/>
        <v/>
      </c>
      <c r="J139" s="204" t="str">
        <f>IF($H139="USD",IF(OR($I139="",$I139="-"),"",VLOOKUP($G139,為替!$A:$AX,$I139,FALSE))+$J$3,IF(OR($I139="",$I139="-"),"",VLOOKUP($G139,為替!$A:$AX,$I139,FALSE)))</f>
        <v/>
      </c>
      <c r="K139" s="205" t="str">
        <f t="shared" si="14"/>
        <v/>
      </c>
      <c r="L139" s="189" t="str">
        <f t="shared" si="15"/>
        <v/>
      </c>
      <c r="M139" s="204" t="str">
        <f>IF($H139="USD",IF(OR($L139="",$L139="-"),"",VLOOKUP($G139,為替!$A:$AX,$L139,FALSE))+$K$3,IF(OR($L139="",$L139="-"),"",VLOOKUP($G139,為替!$A:$AX,$L139,FALSE)))</f>
        <v/>
      </c>
      <c r="N139" s="205" t="str">
        <f t="shared" si="16"/>
        <v/>
      </c>
      <c r="O139" s="206" t="str">
        <f t="shared" si="12"/>
        <v/>
      </c>
      <c r="P139" s="207" t="str">
        <f t="shared" si="17"/>
        <v/>
      </c>
    </row>
    <row r="140" spans="3:16">
      <c r="C140" s="200"/>
      <c r="D140" s="201"/>
      <c r="E140" s="202"/>
      <c r="F140" s="200"/>
      <c r="H140" s="203"/>
      <c r="I140" s="186" t="str">
        <f t="shared" si="13"/>
        <v/>
      </c>
      <c r="J140" s="204" t="str">
        <f>IF($H140="USD",IF(OR($I140="",$I140="-"),"",VLOOKUP($G140,為替!$A:$AX,$I140,FALSE))+$J$3,IF(OR($I140="",$I140="-"),"",VLOOKUP($G140,為替!$A:$AX,$I140,FALSE)))</f>
        <v/>
      </c>
      <c r="K140" s="205" t="str">
        <f t="shared" si="14"/>
        <v/>
      </c>
      <c r="L140" s="189" t="str">
        <f t="shared" si="15"/>
        <v/>
      </c>
      <c r="M140" s="204" t="str">
        <f>IF($H140="USD",IF(OR($L140="",$L140="-"),"",VLOOKUP($G140,為替!$A:$AX,$L140,FALSE))+$K$3,IF(OR($L140="",$L140="-"),"",VLOOKUP($G140,為替!$A:$AX,$L140,FALSE)))</f>
        <v/>
      </c>
      <c r="N140" s="205" t="str">
        <f t="shared" si="16"/>
        <v/>
      </c>
      <c r="O140" s="206" t="str">
        <f t="shared" si="12"/>
        <v/>
      </c>
      <c r="P140" s="207" t="str">
        <f t="shared" si="17"/>
        <v/>
      </c>
    </row>
    <row r="141" spans="3:16">
      <c r="C141" s="200"/>
      <c r="D141" s="201"/>
      <c r="E141" s="202"/>
      <c r="F141" s="200"/>
      <c r="H141" s="203"/>
      <c r="I141" s="186" t="str">
        <f t="shared" si="13"/>
        <v/>
      </c>
      <c r="J141" s="204" t="str">
        <f>IF($H141="USD",IF(OR($I141="",$I141="-"),"",VLOOKUP($G141,為替!$A:$AX,$I141,FALSE))+$J$3,IF(OR($I141="",$I141="-"),"",VLOOKUP($G141,為替!$A:$AX,$I141,FALSE)))</f>
        <v/>
      </c>
      <c r="K141" s="205" t="str">
        <f t="shared" si="14"/>
        <v/>
      </c>
      <c r="L141" s="189" t="str">
        <f t="shared" si="15"/>
        <v/>
      </c>
      <c r="M141" s="204" t="str">
        <f>IF($H141="USD",IF(OR($L141="",$L141="-"),"",VLOOKUP($G141,為替!$A:$AX,$L141,FALSE))+$K$3,IF(OR($L141="",$L141="-"),"",VLOOKUP($G141,為替!$A:$AX,$L141,FALSE)))</f>
        <v/>
      </c>
      <c r="N141" s="205" t="str">
        <f t="shared" si="16"/>
        <v/>
      </c>
      <c r="O141" s="206" t="str">
        <f t="shared" si="12"/>
        <v/>
      </c>
      <c r="P141" s="207" t="str">
        <f t="shared" si="17"/>
        <v/>
      </c>
    </row>
    <row r="142" spans="3:16">
      <c r="C142" s="200"/>
      <c r="D142" s="201"/>
      <c r="E142" s="202"/>
      <c r="F142" s="200"/>
      <c r="H142" s="203"/>
      <c r="I142" s="186" t="str">
        <f t="shared" si="13"/>
        <v/>
      </c>
      <c r="J142" s="204" t="str">
        <f>IF($H142="USD",IF(OR($I142="",$I142="-"),"",VLOOKUP($G142,為替!$A:$AX,$I142,FALSE))+$J$3,IF(OR($I142="",$I142="-"),"",VLOOKUP($G142,為替!$A:$AX,$I142,FALSE)))</f>
        <v/>
      </c>
      <c r="K142" s="205" t="str">
        <f t="shared" si="14"/>
        <v/>
      </c>
      <c r="L142" s="189" t="str">
        <f t="shared" si="15"/>
        <v/>
      </c>
      <c r="M142" s="204" t="str">
        <f>IF($H142="USD",IF(OR($L142="",$L142="-"),"",VLOOKUP($G142,為替!$A:$AX,$L142,FALSE))+$K$3,IF(OR($L142="",$L142="-"),"",VLOOKUP($G142,為替!$A:$AX,$L142,FALSE)))</f>
        <v/>
      </c>
      <c r="N142" s="205" t="str">
        <f t="shared" si="16"/>
        <v/>
      </c>
      <c r="O142" s="206" t="str">
        <f t="shared" si="12"/>
        <v/>
      </c>
      <c r="P142" s="207" t="str">
        <f t="shared" si="17"/>
        <v/>
      </c>
    </row>
    <row r="143" spans="3:16">
      <c r="C143" s="200"/>
      <c r="D143" s="201"/>
      <c r="E143" s="202"/>
      <c r="F143" s="200"/>
      <c r="H143" s="203"/>
      <c r="I143" s="186" t="str">
        <f t="shared" si="13"/>
        <v/>
      </c>
      <c r="J143" s="204" t="str">
        <f>IF($H143="USD",IF(OR($I143="",$I143="-"),"",VLOOKUP($G143,為替!$A:$AX,$I143,FALSE))+$J$3,IF(OR($I143="",$I143="-"),"",VLOOKUP($G143,為替!$A:$AX,$I143,FALSE)))</f>
        <v/>
      </c>
      <c r="K143" s="205" t="str">
        <f t="shared" si="14"/>
        <v/>
      </c>
      <c r="L143" s="189" t="str">
        <f t="shared" si="15"/>
        <v/>
      </c>
      <c r="M143" s="204" t="str">
        <f>IF($H143="USD",IF(OR($L143="",$L143="-"),"",VLOOKUP($G143,為替!$A:$AX,$L143,FALSE))+$K$3,IF(OR($L143="",$L143="-"),"",VLOOKUP($G143,為替!$A:$AX,$L143,FALSE)))</f>
        <v/>
      </c>
      <c r="N143" s="205" t="str">
        <f t="shared" si="16"/>
        <v/>
      </c>
      <c r="O143" s="206" t="str">
        <f t="shared" si="12"/>
        <v/>
      </c>
      <c r="P143" s="207" t="str">
        <f t="shared" si="17"/>
        <v/>
      </c>
    </row>
    <row r="144" spans="3:16">
      <c r="C144" s="200"/>
      <c r="D144" s="201"/>
      <c r="E144" s="202"/>
      <c r="F144" s="200"/>
      <c r="H144" s="203"/>
      <c r="I144" s="186" t="str">
        <f t="shared" si="13"/>
        <v/>
      </c>
      <c r="J144" s="204" t="str">
        <f>IF($H144="USD",IF(OR($I144="",$I144="-"),"",VLOOKUP($G144,為替!$A:$AX,$I144,FALSE))+$J$3,IF(OR($I144="",$I144="-"),"",VLOOKUP($G144,為替!$A:$AX,$I144,FALSE)))</f>
        <v/>
      </c>
      <c r="K144" s="205" t="str">
        <f t="shared" si="14"/>
        <v/>
      </c>
      <c r="L144" s="189" t="str">
        <f t="shared" si="15"/>
        <v/>
      </c>
      <c r="M144" s="204" t="str">
        <f>IF($H144="USD",IF(OR($L144="",$L144="-"),"",VLOOKUP($G144,為替!$A:$AX,$L144,FALSE))+$K$3,IF(OR($L144="",$L144="-"),"",VLOOKUP($G144,為替!$A:$AX,$L144,FALSE)))</f>
        <v/>
      </c>
      <c r="N144" s="205" t="str">
        <f t="shared" si="16"/>
        <v/>
      </c>
      <c r="O144" s="206" t="str">
        <f t="shared" si="12"/>
        <v/>
      </c>
      <c r="P144" s="207" t="str">
        <f t="shared" si="17"/>
        <v/>
      </c>
    </row>
    <row r="145" spans="3:16">
      <c r="C145" s="200"/>
      <c r="D145" s="201"/>
      <c r="E145" s="202"/>
      <c r="F145" s="200"/>
      <c r="H145" s="203"/>
      <c r="I145" s="186" t="str">
        <f t="shared" si="13"/>
        <v/>
      </c>
      <c r="J145" s="204" t="str">
        <f>IF($H145="USD",IF(OR($I145="",$I145="-"),"",VLOOKUP($G145,為替!$A:$AX,$I145,FALSE))+$J$3,IF(OR($I145="",$I145="-"),"",VLOOKUP($G145,為替!$A:$AX,$I145,FALSE)))</f>
        <v/>
      </c>
      <c r="K145" s="205" t="str">
        <f t="shared" si="14"/>
        <v/>
      </c>
      <c r="L145" s="189" t="str">
        <f t="shared" si="15"/>
        <v/>
      </c>
      <c r="M145" s="204" t="str">
        <f>IF($H145="USD",IF(OR($L145="",$L145="-"),"",VLOOKUP($G145,為替!$A:$AX,$L145,FALSE))+$K$3,IF(OR($L145="",$L145="-"),"",VLOOKUP($G145,為替!$A:$AX,$L145,FALSE)))</f>
        <v/>
      </c>
      <c r="N145" s="205" t="str">
        <f t="shared" si="16"/>
        <v/>
      </c>
      <c r="O145" s="206" t="str">
        <f t="shared" si="12"/>
        <v/>
      </c>
      <c r="P145" s="207" t="str">
        <f t="shared" si="17"/>
        <v/>
      </c>
    </row>
    <row r="146" spans="3:16">
      <c r="C146" s="200"/>
      <c r="D146" s="201"/>
      <c r="E146" s="202"/>
      <c r="F146" s="200"/>
      <c r="H146" s="203"/>
      <c r="I146" s="186" t="str">
        <f t="shared" si="13"/>
        <v/>
      </c>
      <c r="J146" s="204" t="str">
        <f>IF($H146="USD",IF(OR($I146="",$I146="-"),"",VLOOKUP($G146,為替!$A:$AX,$I146,FALSE))+$J$3,IF(OR($I146="",$I146="-"),"",VLOOKUP($G146,為替!$A:$AX,$I146,FALSE)))</f>
        <v/>
      </c>
      <c r="K146" s="205" t="str">
        <f t="shared" si="14"/>
        <v/>
      </c>
      <c r="L146" s="189" t="str">
        <f t="shared" si="15"/>
        <v/>
      </c>
      <c r="M146" s="204" t="str">
        <f>IF($H146="USD",IF(OR($L146="",$L146="-"),"",VLOOKUP($G146,為替!$A:$AX,$L146,FALSE))+$K$3,IF(OR($L146="",$L146="-"),"",VLOOKUP($G146,為替!$A:$AX,$L146,FALSE)))</f>
        <v/>
      </c>
      <c r="N146" s="205" t="str">
        <f t="shared" si="16"/>
        <v/>
      </c>
      <c r="O146" s="206" t="str">
        <f t="shared" si="12"/>
        <v/>
      </c>
      <c r="P146" s="207" t="str">
        <f t="shared" si="17"/>
        <v/>
      </c>
    </row>
    <row r="147" spans="3:16">
      <c r="C147" s="200"/>
      <c r="D147" s="201"/>
      <c r="E147" s="202"/>
      <c r="F147" s="200"/>
      <c r="H147" s="203"/>
      <c r="I147" s="186" t="str">
        <f t="shared" si="13"/>
        <v/>
      </c>
      <c r="J147" s="204" t="str">
        <f>IF($H147="USD",IF(OR($I147="",$I147="-"),"",VLOOKUP($G147,為替!$A:$AX,$I147,FALSE))+$J$3,IF(OR($I147="",$I147="-"),"",VLOOKUP($G147,為替!$A:$AX,$I147,FALSE)))</f>
        <v/>
      </c>
      <c r="K147" s="205" t="str">
        <f t="shared" si="14"/>
        <v/>
      </c>
      <c r="L147" s="189" t="str">
        <f t="shared" si="15"/>
        <v/>
      </c>
      <c r="M147" s="204" t="str">
        <f>IF($H147="USD",IF(OR($L147="",$L147="-"),"",VLOOKUP($G147,為替!$A:$AX,$L147,FALSE))+$K$3,IF(OR($L147="",$L147="-"),"",VLOOKUP($G147,為替!$A:$AX,$L147,FALSE)))</f>
        <v/>
      </c>
      <c r="N147" s="205" t="str">
        <f t="shared" si="16"/>
        <v/>
      </c>
      <c r="O147" s="206" t="str">
        <f t="shared" si="12"/>
        <v/>
      </c>
      <c r="P147" s="207" t="str">
        <f t="shared" si="17"/>
        <v/>
      </c>
    </row>
    <row r="148" spans="3:16">
      <c r="C148" s="200"/>
      <c r="D148" s="201"/>
      <c r="E148" s="202"/>
      <c r="F148" s="200"/>
      <c r="H148" s="203"/>
      <c r="I148" s="186" t="str">
        <f t="shared" si="13"/>
        <v/>
      </c>
      <c r="J148" s="204" t="str">
        <f>IF($H148="USD",IF(OR($I148="",$I148="-"),"",VLOOKUP($G148,為替!$A:$AX,$I148,FALSE))+$J$3,IF(OR($I148="",$I148="-"),"",VLOOKUP($G148,為替!$A:$AX,$I148,FALSE)))</f>
        <v/>
      </c>
      <c r="K148" s="205" t="str">
        <f t="shared" si="14"/>
        <v/>
      </c>
      <c r="L148" s="189" t="str">
        <f t="shared" si="15"/>
        <v/>
      </c>
      <c r="M148" s="204" t="str">
        <f>IF($H148="USD",IF(OR($L148="",$L148="-"),"",VLOOKUP($G148,為替!$A:$AX,$L148,FALSE))+$K$3,IF(OR($L148="",$L148="-"),"",VLOOKUP($G148,為替!$A:$AX,$L148,FALSE)))</f>
        <v/>
      </c>
      <c r="N148" s="205" t="str">
        <f t="shared" si="16"/>
        <v/>
      </c>
      <c r="O148" s="206" t="str">
        <f t="shared" si="12"/>
        <v/>
      </c>
      <c r="P148" s="207" t="str">
        <f t="shared" si="17"/>
        <v/>
      </c>
    </row>
    <row r="149" spans="3:16">
      <c r="C149" s="200"/>
      <c r="D149" s="201"/>
      <c r="E149" s="202"/>
      <c r="F149" s="200"/>
      <c r="H149" s="203"/>
      <c r="I149" s="186" t="str">
        <f t="shared" si="13"/>
        <v/>
      </c>
      <c r="J149" s="204" t="str">
        <f>IF($H149="USD",IF(OR($I149="",$I149="-"),"",VLOOKUP($G149,為替!$A:$AX,$I149,FALSE))+$J$3,IF(OR($I149="",$I149="-"),"",VLOOKUP($G149,為替!$A:$AX,$I149,FALSE)))</f>
        <v/>
      </c>
      <c r="K149" s="205" t="str">
        <f t="shared" si="14"/>
        <v/>
      </c>
      <c r="L149" s="189" t="str">
        <f t="shared" si="15"/>
        <v/>
      </c>
      <c r="M149" s="204" t="str">
        <f>IF($H149="USD",IF(OR($L149="",$L149="-"),"",VLOOKUP($G149,為替!$A:$AX,$L149,FALSE))+$K$3,IF(OR($L149="",$L149="-"),"",VLOOKUP($G149,為替!$A:$AX,$L149,FALSE)))</f>
        <v/>
      </c>
      <c r="N149" s="205" t="str">
        <f t="shared" si="16"/>
        <v/>
      </c>
      <c r="O149" s="206" t="str">
        <f t="shared" si="12"/>
        <v/>
      </c>
      <c r="P149" s="207" t="str">
        <f t="shared" si="17"/>
        <v/>
      </c>
    </row>
    <row r="150" spans="3:16">
      <c r="C150" s="200"/>
      <c r="D150" s="201"/>
      <c r="E150" s="202"/>
      <c r="F150" s="200"/>
      <c r="H150" s="203"/>
      <c r="I150" s="186" t="str">
        <f t="shared" si="13"/>
        <v/>
      </c>
      <c r="J150" s="204" t="str">
        <f>IF($H150="USD",IF(OR($I150="",$I150="-"),"",VLOOKUP($G150,為替!$A:$AX,$I150,FALSE))+$J$3,IF(OR($I150="",$I150="-"),"",VLOOKUP($G150,為替!$A:$AX,$I150,FALSE)))</f>
        <v/>
      </c>
      <c r="K150" s="205" t="str">
        <f t="shared" si="14"/>
        <v/>
      </c>
      <c r="L150" s="189" t="str">
        <f t="shared" si="15"/>
        <v/>
      </c>
      <c r="M150" s="204" t="str">
        <f>IF($H150="USD",IF(OR($L150="",$L150="-"),"",VLOOKUP($G150,為替!$A:$AX,$L150,FALSE))+$K$3,IF(OR($L150="",$L150="-"),"",VLOOKUP($G150,為替!$A:$AX,$L150,FALSE)))</f>
        <v/>
      </c>
      <c r="N150" s="205" t="str">
        <f t="shared" si="16"/>
        <v/>
      </c>
      <c r="O150" s="206" t="str">
        <f t="shared" si="12"/>
        <v/>
      </c>
      <c r="P150" s="207" t="str">
        <f t="shared" si="17"/>
        <v/>
      </c>
    </row>
    <row r="151" spans="3:16">
      <c r="C151" s="200"/>
      <c r="D151" s="201"/>
      <c r="E151" s="202"/>
      <c r="F151" s="200"/>
      <c r="H151" s="203"/>
      <c r="I151" s="186" t="str">
        <f t="shared" si="13"/>
        <v/>
      </c>
      <c r="J151" s="204" t="str">
        <f>IF($H151="USD",IF(OR($I151="",$I151="-"),"",VLOOKUP($G151,為替!$A:$AX,$I151,FALSE))+$J$3,IF(OR($I151="",$I151="-"),"",VLOOKUP($G151,為替!$A:$AX,$I151,FALSE)))</f>
        <v/>
      </c>
      <c r="K151" s="205" t="str">
        <f t="shared" si="14"/>
        <v/>
      </c>
      <c r="L151" s="189" t="str">
        <f t="shared" si="15"/>
        <v/>
      </c>
      <c r="M151" s="204" t="str">
        <f>IF($H151="USD",IF(OR($L151="",$L151="-"),"",VLOOKUP($G151,為替!$A:$AX,$L151,FALSE))+$K$3,IF(OR($L151="",$L151="-"),"",VLOOKUP($G151,為替!$A:$AX,$L151,FALSE)))</f>
        <v/>
      </c>
      <c r="N151" s="205" t="str">
        <f t="shared" si="16"/>
        <v/>
      </c>
      <c r="O151" s="206" t="str">
        <f t="shared" si="12"/>
        <v/>
      </c>
      <c r="P151" s="207" t="str">
        <f t="shared" si="17"/>
        <v/>
      </c>
    </row>
    <row r="152" spans="3:16">
      <c r="C152" s="200"/>
      <c r="D152" s="201"/>
      <c r="E152" s="202"/>
      <c r="F152" s="200"/>
      <c r="H152" s="203"/>
      <c r="I152" s="186" t="str">
        <f t="shared" si="13"/>
        <v/>
      </c>
      <c r="J152" s="204" t="str">
        <f>IF($H152="USD",IF(OR($I152="",$I152="-"),"",VLOOKUP($G152,為替!$A:$AX,$I152,FALSE))+$J$3,IF(OR($I152="",$I152="-"),"",VLOOKUP($G152,為替!$A:$AX,$I152,FALSE)))</f>
        <v/>
      </c>
      <c r="K152" s="205" t="str">
        <f t="shared" si="14"/>
        <v/>
      </c>
      <c r="L152" s="189" t="str">
        <f t="shared" si="15"/>
        <v/>
      </c>
      <c r="M152" s="204" t="str">
        <f>IF($H152="USD",IF(OR($L152="",$L152="-"),"",VLOOKUP($G152,為替!$A:$AX,$L152,FALSE))+$K$3,IF(OR($L152="",$L152="-"),"",VLOOKUP($G152,為替!$A:$AX,$L152,FALSE)))</f>
        <v/>
      </c>
      <c r="N152" s="205" t="str">
        <f t="shared" si="16"/>
        <v/>
      </c>
      <c r="O152" s="206" t="str">
        <f t="shared" si="12"/>
        <v/>
      </c>
      <c r="P152" s="207" t="str">
        <f t="shared" si="17"/>
        <v/>
      </c>
    </row>
    <row r="153" spans="3:16">
      <c r="C153" s="200"/>
      <c r="D153" s="201"/>
      <c r="E153" s="202"/>
      <c r="F153" s="200"/>
      <c r="H153" s="203"/>
      <c r="I153" s="186" t="str">
        <f t="shared" si="13"/>
        <v/>
      </c>
      <c r="J153" s="204" t="str">
        <f>IF($H153="USD",IF(OR($I153="",$I153="-"),"",VLOOKUP($G153,為替!$A:$AX,$I153,FALSE))+$J$3,IF(OR($I153="",$I153="-"),"",VLOOKUP($G153,為替!$A:$AX,$I153,FALSE)))</f>
        <v/>
      </c>
      <c r="K153" s="205" t="str">
        <f t="shared" si="14"/>
        <v/>
      </c>
      <c r="L153" s="189" t="str">
        <f t="shared" si="15"/>
        <v/>
      </c>
      <c r="M153" s="204" t="str">
        <f>IF($H153="USD",IF(OR($L153="",$L153="-"),"",VLOOKUP($G153,為替!$A:$AX,$L153,FALSE))+$K$3,IF(OR($L153="",$L153="-"),"",VLOOKUP($G153,為替!$A:$AX,$L153,FALSE)))</f>
        <v/>
      </c>
      <c r="N153" s="205" t="str">
        <f t="shared" si="16"/>
        <v/>
      </c>
      <c r="O153" s="206" t="str">
        <f t="shared" si="12"/>
        <v/>
      </c>
      <c r="P153" s="207" t="str">
        <f t="shared" si="17"/>
        <v/>
      </c>
    </row>
    <row r="154" spans="3:16">
      <c r="C154" s="200"/>
      <c r="D154" s="201"/>
      <c r="E154" s="202"/>
      <c r="F154" s="200"/>
      <c r="H154" s="203"/>
      <c r="I154" s="186" t="str">
        <f t="shared" si="13"/>
        <v/>
      </c>
      <c r="J154" s="204" t="str">
        <f>IF($H154="USD",IF(OR($I154="",$I154="-"),"",VLOOKUP($G154,為替!$A:$AX,$I154,FALSE))+$J$3,IF(OR($I154="",$I154="-"),"",VLOOKUP($G154,為替!$A:$AX,$I154,FALSE)))</f>
        <v/>
      </c>
      <c r="K154" s="205" t="str">
        <f t="shared" si="14"/>
        <v/>
      </c>
      <c r="L154" s="189" t="str">
        <f t="shared" si="15"/>
        <v/>
      </c>
      <c r="M154" s="204" t="str">
        <f>IF($H154="USD",IF(OR($L154="",$L154="-"),"",VLOOKUP($G154,為替!$A:$AX,$L154,FALSE))+$K$3,IF(OR($L154="",$L154="-"),"",VLOOKUP($G154,為替!$A:$AX,$L154,FALSE)))</f>
        <v/>
      </c>
      <c r="N154" s="205" t="str">
        <f t="shared" si="16"/>
        <v/>
      </c>
      <c r="O154" s="206" t="str">
        <f t="shared" si="12"/>
        <v/>
      </c>
      <c r="P154" s="207" t="str">
        <f t="shared" si="17"/>
        <v/>
      </c>
    </row>
    <row r="155" spans="3:16">
      <c r="C155" s="200"/>
      <c r="D155" s="201"/>
      <c r="E155" s="202"/>
      <c r="F155" s="200"/>
      <c r="H155" s="203"/>
      <c r="I155" s="186" t="str">
        <f t="shared" si="13"/>
        <v/>
      </c>
      <c r="J155" s="204" t="str">
        <f>IF($H155="USD",IF(OR($I155="",$I155="-"),"",VLOOKUP($G155,為替!$A:$AX,$I155,FALSE))+$J$3,IF(OR($I155="",$I155="-"),"",VLOOKUP($G155,為替!$A:$AX,$I155,FALSE)))</f>
        <v/>
      </c>
      <c r="K155" s="205" t="str">
        <f t="shared" si="14"/>
        <v/>
      </c>
      <c r="L155" s="189" t="str">
        <f t="shared" si="15"/>
        <v/>
      </c>
      <c r="M155" s="204" t="str">
        <f>IF($H155="USD",IF(OR($L155="",$L155="-"),"",VLOOKUP($G155,為替!$A:$AX,$L155,FALSE))+$K$3,IF(OR($L155="",$L155="-"),"",VLOOKUP($G155,為替!$A:$AX,$L155,FALSE)))</f>
        <v/>
      </c>
      <c r="N155" s="205" t="str">
        <f t="shared" si="16"/>
        <v/>
      </c>
      <c r="O155" s="206" t="str">
        <f t="shared" si="12"/>
        <v/>
      </c>
      <c r="P155" s="207" t="str">
        <f t="shared" si="17"/>
        <v/>
      </c>
    </row>
    <row r="156" spans="3:16">
      <c r="C156" s="200"/>
      <c r="D156" s="201"/>
      <c r="E156" s="202"/>
      <c r="F156" s="200"/>
      <c r="H156" s="203"/>
      <c r="I156" s="186" t="str">
        <f t="shared" si="13"/>
        <v/>
      </c>
      <c r="J156" s="204" t="str">
        <f>IF($H156="USD",IF(OR($I156="",$I156="-"),"",VLOOKUP($G156,為替!$A:$AX,$I156,FALSE))+$J$3,IF(OR($I156="",$I156="-"),"",VLOOKUP($G156,為替!$A:$AX,$I156,FALSE)))</f>
        <v/>
      </c>
      <c r="K156" s="205" t="str">
        <f t="shared" si="14"/>
        <v/>
      </c>
      <c r="L156" s="189" t="str">
        <f t="shared" si="15"/>
        <v/>
      </c>
      <c r="M156" s="204" t="str">
        <f>IF($H156="USD",IF(OR($L156="",$L156="-"),"",VLOOKUP($G156,為替!$A:$AX,$L156,FALSE))+$K$3,IF(OR($L156="",$L156="-"),"",VLOOKUP($G156,為替!$A:$AX,$L156,FALSE)))</f>
        <v/>
      </c>
      <c r="N156" s="205" t="str">
        <f t="shared" si="16"/>
        <v/>
      </c>
      <c r="O156" s="206" t="str">
        <f t="shared" si="12"/>
        <v/>
      </c>
      <c r="P156" s="207" t="str">
        <f t="shared" si="17"/>
        <v/>
      </c>
    </row>
    <row r="157" spans="3:16">
      <c r="C157" s="200"/>
      <c r="D157" s="201"/>
      <c r="E157" s="202"/>
      <c r="F157" s="200"/>
      <c r="H157" s="203"/>
      <c r="I157" s="186" t="str">
        <f t="shared" si="13"/>
        <v/>
      </c>
      <c r="J157" s="204" t="str">
        <f>IF($H157="USD",IF(OR($I157="",$I157="-"),"",VLOOKUP($G157,為替!$A:$AX,$I157,FALSE))+$J$3,IF(OR($I157="",$I157="-"),"",VLOOKUP($G157,為替!$A:$AX,$I157,FALSE)))</f>
        <v/>
      </c>
      <c r="K157" s="205" t="str">
        <f t="shared" si="14"/>
        <v/>
      </c>
      <c r="L157" s="189" t="str">
        <f t="shared" si="15"/>
        <v/>
      </c>
      <c r="M157" s="204" t="str">
        <f>IF($H157="USD",IF(OR($L157="",$L157="-"),"",VLOOKUP($G157,為替!$A:$AX,$L157,FALSE))+$K$3,IF(OR($L157="",$L157="-"),"",VLOOKUP($G157,為替!$A:$AX,$L157,FALSE)))</f>
        <v/>
      </c>
      <c r="N157" s="205" t="str">
        <f t="shared" si="16"/>
        <v/>
      </c>
      <c r="O157" s="206" t="str">
        <f t="shared" si="12"/>
        <v/>
      </c>
      <c r="P157" s="207" t="str">
        <f t="shared" si="17"/>
        <v/>
      </c>
    </row>
    <row r="158" spans="3:16">
      <c r="C158" s="200"/>
      <c r="D158" s="201"/>
      <c r="E158" s="202"/>
      <c r="F158" s="200"/>
      <c r="H158" s="203"/>
      <c r="I158" s="186" t="str">
        <f t="shared" si="13"/>
        <v/>
      </c>
      <c r="J158" s="204" t="str">
        <f>IF($H158="USD",IF(OR($I158="",$I158="-"),"",VLOOKUP($G158,為替!$A:$AX,$I158,FALSE))+$J$3,IF(OR($I158="",$I158="-"),"",VLOOKUP($G158,為替!$A:$AX,$I158,FALSE)))</f>
        <v/>
      </c>
      <c r="K158" s="205" t="str">
        <f t="shared" si="14"/>
        <v/>
      </c>
      <c r="L158" s="189" t="str">
        <f t="shared" si="15"/>
        <v/>
      </c>
      <c r="M158" s="204" t="str">
        <f>IF($H158="USD",IF(OR($L158="",$L158="-"),"",VLOOKUP($G158,為替!$A:$AX,$L158,FALSE))+$K$3,IF(OR($L158="",$L158="-"),"",VLOOKUP($G158,為替!$A:$AX,$L158,FALSE)))</f>
        <v/>
      </c>
      <c r="N158" s="205" t="str">
        <f t="shared" si="16"/>
        <v/>
      </c>
      <c r="O158" s="206" t="str">
        <f t="shared" si="12"/>
        <v/>
      </c>
      <c r="P158" s="207" t="str">
        <f t="shared" si="17"/>
        <v/>
      </c>
    </row>
    <row r="159" spans="3:16">
      <c r="C159" s="200"/>
      <c r="D159" s="201"/>
      <c r="E159" s="202"/>
      <c r="F159" s="200"/>
      <c r="H159" s="203"/>
      <c r="I159" s="186" t="str">
        <f t="shared" si="13"/>
        <v/>
      </c>
      <c r="J159" s="204" t="str">
        <f>IF($H159="USD",IF(OR($I159="",$I159="-"),"",VLOOKUP($G159,為替!$A:$AX,$I159,FALSE))+$J$3,IF(OR($I159="",$I159="-"),"",VLOOKUP($G159,為替!$A:$AX,$I159,FALSE)))</f>
        <v/>
      </c>
      <c r="K159" s="205" t="str">
        <f t="shared" si="14"/>
        <v/>
      </c>
      <c r="L159" s="189" t="str">
        <f t="shared" si="15"/>
        <v/>
      </c>
      <c r="M159" s="204" t="str">
        <f>IF($H159="USD",IF(OR($L159="",$L159="-"),"",VLOOKUP($G159,為替!$A:$AX,$L159,FALSE))+$K$3,IF(OR($L159="",$L159="-"),"",VLOOKUP($G159,為替!$A:$AX,$L159,FALSE)))</f>
        <v/>
      </c>
      <c r="N159" s="205" t="str">
        <f t="shared" si="16"/>
        <v/>
      </c>
      <c r="O159" s="206" t="str">
        <f t="shared" si="12"/>
        <v/>
      </c>
      <c r="P159" s="207" t="str">
        <f t="shared" si="17"/>
        <v/>
      </c>
    </row>
    <row r="160" spans="3:16">
      <c r="C160" s="200"/>
      <c r="D160" s="201"/>
      <c r="E160" s="202"/>
      <c r="F160" s="200"/>
      <c r="H160" s="203"/>
      <c r="I160" s="186" t="str">
        <f t="shared" si="13"/>
        <v/>
      </c>
      <c r="J160" s="204" t="str">
        <f>IF($H160="USD",IF(OR($I160="",$I160="-"),"",VLOOKUP($G160,為替!$A:$AX,$I160,FALSE))+$J$3,IF(OR($I160="",$I160="-"),"",VLOOKUP($G160,為替!$A:$AX,$I160,FALSE)))</f>
        <v/>
      </c>
      <c r="K160" s="205" t="str">
        <f t="shared" si="14"/>
        <v/>
      </c>
      <c r="L160" s="189" t="str">
        <f t="shared" si="15"/>
        <v/>
      </c>
      <c r="M160" s="204" t="str">
        <f>IF($H160="USD",IF(OR($L160="",$L160="-"),"",VLOOKUP($G160,為替!$A:$AX,$L160,FALSE))+$K$3,IF(OR($L160="",$L160="-"),"",VLOOKUP($G160,為替!$A:$AX,$L160,FALSE)))</f>
        <v/>
      </c>
      <c r="N160" s="205" t="str">
        <f t="shared" si="16"/>
        <v/>
      </c>
      <c r="O160" s="206" t="str">
        <f t="shared" si="12"/>
        <v/>
      </c>
      <c r="P160" s="207" t="str">
        <f t="shared" si="17"/>
        <v/>
      </c>
    </row>
    <row r="161" spans="3:16">
      <c r="C161" s="200"/>
      <c r="D161" s="201"/>
      <c r="E161" s="202"/>
      <c r="F161" s="200"/>
      <c r="H161" s="203"/>
      <c r="I161" s="186" t="str">
        <f t="shared" si="13"/>
        <v/>
      </c>
      <c r="J161" s="204" t="str">
        <f>IF($H161="USD",IF(OR($I161="",$I161="-"),"",VLOOKUP($G161,為替!$A:$AX,$I161,FALSE))+$J$3,IF(OR($I161="",$I161="-"),"",VLOOKUP($G161,為替!$A:$AX,$I161,FALSE)))</f>
        <v/>
      </c>
      <c r="K161" s="205" t="str">
        <f t="shared" si="14"/>
        <v/>
      </c>
      <c r="L161" s="189" t="str">
        <f t="shared" si="15"/>
        <v/>
      </c>
      <c r="M161" s="204" t="str">
        <f>IF($H161="USD",IF(OR($L161="",$L161="-"),"",VLOOKUP($G161,為替!$A:$AX,$L161,FALSE))+$K$3,IF(OR($L161="",$L161="-"),"",VLOOKUP($G161,為替!$A:$AX,$L161,FALSE)))</f>
        <v/>
      </c>
      <c r="N161" s="205" t="str">
        <f t="shared" si="16"/>
        <v/>
      </c>
      <c r="O161" s="206" t="str">
        <f t="shared" si="12"/>
        <v/>
      </c>
      <c r="P161" s="207" t="str">
        <f t="shared" si="17"/>
        <v/>
      </c>
    </row>
    <row r="162" spans="3:16">
      <c r="C162" s="200"/>
      <c r="D162" s="201"/>
      <c r="E162" s="202"/>
      <c r="F162" s="200"/>
      <c r="H162" s="203"/>
      <c r="I162" s="186" t="str">
        <f t="shared" si="13"/>
        <v/>
      </c>
      <c r="J162" s="204" t="str">
        <f>IF($H162="USD",IF(OR($I162="",$I162="-"),"",VLOOKUP($G162,為替!$A:$AX,$I162,FALSE))+$J$3,IF(OR($I162="",$I162="-"),"",VLOOKUP($G162,為替!$A:$AX,$I162,FALSE)))</f>
        <v/>
      </c>
      <c r="K162" s="205" t="str">
        <f t="shared" si="14"/>
        <v/>
      </c>
      <c r="L162" s="189" t="str">
        <f t="shared" si="15"/>
        <v/>
      </c>
      <c r="M162" s="204" t="str">
        <f>IF($H162="USD",IF(OR($L162="",$L162="-"),"",VLOOKUP($G162,為替!$A:$AX,$L162,FALSE))+$K$3,IF(OR($L162="",$L162="-"),"",VLOOKUP($G162,為替!$A:$AX,$L162,FALSE)))</f>
        <v/>
      </c>
      <c r="N162" s="205" t="str">
        <f t="shared" si="16"/>
        <v/>
      </c>
      <c r="O162" s="206" t="str">
        <f t="shared" si="12"/>
        <v/>
      </c>
      <c r="P162" s="207" t="str">
        <f t="shared" si="17"/>
        <v/>
      </c>
    </row>
    <row r="163" spans="3:16">
      <c r="C163" s="200"/>
      <c r="D163" s="201"/>
      <c r="E163" s="202"/>
      <c r="F163" s="200"/>
      <c r="H163" s="203"/>
      <c r="I163" s="186" t="str">
        <f t="shared" si="13"/>
        <v/>
      </c>
      <c r="J163" s="204" t="str">
        <f>IF($H163="USD",IF(OR($I163="",$I163="-"),"",VLOOKUP($G163,為替!$A:$AX,$I163,FALSE))+$J$3,IF(OR($I163="",$I163="-"),"",VLOOKUP($G163,為替!$A:$AX,$I163,FALSE)))</f>
        <v/>
      </c>
      <c r="K163" s="205" t="str">
        <f t="shared" si="14"/>
        <v/>
      </c>
      <c r="L163" s="189" t="str">
        <f t="shared" si="15"/>
        <v/>
      </c>
      <c r="M163" s="204" t="str">
        <f>IF($H163="USD",IF(OR($L163="",$L163="-"),"",VLOOKUP($G163,為替!$A:$AX,$L163,FALSE))+$K$3,IF(OR($L163="",$L163="-"),"",VLOOKUP($G163,為替!$A:$AX,$L163,FALSE)))</f>
        <v/>
      </c>
      <c r="N163" s="205" t="str">
        <f t="shared" si="16"/>
        <v/>
      </c>
      <c r="O163" s="206" t="str">
        <f t="shared" si="12"/>
        <v/>
      </c>
      <c r="P163" s="207" t="str">
        <f t="shared" si="17"/>
        <v/>
      </c>
    </row>
    <row r="164" spans="3:16">
      <c r="C164" s="200"/>
      <c r="D164" s="201"/>
      <c r="E164" s="202"/>
      <c r="F164" s="200"/>
      <c r="H164" s="203"/>
      <c r="I164" s="186" t="str">
        <f t="shared" si="13"/>
        <v/>
      </c>
      <c r="J164" s="204" t="str">
        <f>IF($H164="USD",IF(OR($I164="",$I164="-"),"",VLOOKUP($G164,為替!$A:$AX,$I164,FALSE))+$J$3,IF(OR($I164="",$I164="-"),"",VLOOKUP($G164,為替!$A:$AX,$I164,FALSE)))</f>
        <v/>
      </c>
      <c r="K164" s="205" t="str">
        <f t="shared" si="14"/>
        <v/>
      </c>
      <c r="L164" s="189" t="str">
        <f t="shared" si="15"/>
        <v/>
      </c>
      <c r="M164" s="204" t="str">
        <f>IF($H164="USD",IF(OR($L164="",$L164="-"),"",VLOOKUP($G164,為替!$A:$AX,$L164,FALSE))+$K$3,IF(OR($L164="",$L164="-"),"",VLOOKUP($G164,為替!$A:$AX,$L164,FALSE)))</f>
        <v/>
      </c>
      <c r="N164" s="205" t="str">
        <f t="shared" si="16"/>
        <v/>
      </c>
      <c r="O164" s="206" t="str">
        <f t="shared" si="12"/>
        <v/>
      </c>
      <c r="P164" s="207" t="str">
        <f t="shared" si="17"/>
        <v/>
      </c>
    </row>
    <row r="165" spans="3:16">
      <c r="C165" s="200"/>
      <c r="D165" s="201"/>
      <c r="E165" s="202"/>
      <c r="F165" s="200"/>
      <c r="H165" s="203"/>
      <c r="I165" s="186" t="str">
        <f t="shared" si="13"/>
        <v/>
      </c>
      <c r="J165" s="204" t="str">
        <f>IF($H165="USD",IF(OR($I165="",$I165="-"),"",VLOOKUP($G165,為替!$A:$AX,$I165,FALSE))+$J$3,IF(OR($I165="",$I165="-"),"",VLOOKUP($G165,為替!$A:$AX,$I165,FALSE)))</f>
        <v/>
      </c>
      <c r="K165" s="205" t="str">
        <f t="shared" si="14"/>
        <v/>
      </c>
      <c r="L165" s="189" t="str">
        <f t="shared" si="15"/>
        <v/>
      </c>
      <c r="M165" s="204" t="str">
        <f>IF($H165="USD",IF(OR($L165="",$L165="-"),"",VLOOKUP($G165,為替!$A:$AX,$L165,FALSE))+$K$3,IF(OR($L165="",$L165="-"),"",VLOOKUP($G165,為替!$A:$AX,$L165,FALSE)))</f>
        <v/>
      </c>
      <c r="N165" s="205" t="str">
        <f t="shared" si="16"/>
        <v/>
      </c>
      <c r="O165" s="206" t="str">
        <f t="shared" si="12"/>
        <v/>
      </c>
      <c r="P165" s="207" t="str">
        <f t="shared" si="17"/>
        <v/>
      </c>
    </row>
    <row r="166" spans="3:16">
      <c r="C166" s="200"/>
      <c r="D166" s="201"/>
      <c r="E166" s="202"/>
      <c r="F166" s="200"/>
      <c r="H166" s="203"/>
      <c r="I166" s="186" t="str">
        <f t="shared" si="13"/>
        <v/>
      </c>
      <c r="J166" s="204" t="str">
        <f>IF($H166="USD",IF(OR($I166="",$I166="-"),"",VLOOKUP($G166,為替!$A:$AX,$I166,FALSE))+$J$3,IF(OR($I166="",$I166="-"),"",VLOOKUP($G166,為替!$A:$AX,$I166,FALSE)))</f>
        <v/>
      </c>
      <c r="K166" s="205" t="str">
        <f t="shared" si="14"/>
        <v/>
      </c>
      <c r="L166" s="189" t="str">
        <f t="shared" si="15"/>
        <v/>
      </c>
      <c r="M166" s="204" t="str">
        <f>IF($H166="USD",IF(OR($L166="",$L166="-"),"",VLOOKUP($G166,為替!$A:$AX,$L166,FALSE))+$K$3,IF(OR($L166="",$L166="-"),"",VLOOKUP($G166,為替!$A:$AX,$L166,FALSE)))</f>
        <v/>
      </c>
      <c r="N166" s="205" t="str">
        <f t="shared" si="16"/>
        <v/>
      </c>
      <c r="O166" s="206" t="str">
        <f t="shared" si="12"/>
        <v/>
      </c>
      <c r="P166" s="207" t="str">
        <f t="shared" si="17"/>
        <v/>
      </c>
    </row>
    <row r="167" spans="3:16">
      <c r="C167" s="200"/>
      <c r="D167" s="201"/>
      <c r="E167" s="202"/>
      <c r="F167" s="200"/>
      <c r="H167" s="203"/>
      <c r="I167" s="186" t="str">
        <f t="shared" si="13"/>
        <v/>
      </c>
      <c r="J167" s="204" t="str">
        <f>IF($H167="USD",IF(OR($I167="",$I167="-"),"",VLOOKUP($G167,為替!$A:$AX,$I167,FALSE))+$J$3,IF(OR($I167="",$I167="-"),"",VLOOKUP($G167,為替!$A:$AX,$I167,FALSE)))</f>
        <v/>
      </c>
      <c r="K167" s="205" t="str">
        <f t="shared" si="14"/>
        <v/>
      </c>
      <c r="L167" s="189" t="str">
        <f t="shared" si="15"/>
        <v/>
      </c>
      <c r="M167" s="204" t="str">
        <f>IF($H167="USD",IF(OR($L167="",$L167="-"),"",VLOOKUP($G167,為替!$A:$AX,$L167,FALSE))+$K$3,IF(OR($L167="",$L167="-"),"",VLOOKUP($G167,為替!$A:$AX,$L167,FALSE)))</f>
        <v/>
      </c>
      <c r="N167" s="205" t="str">
        <f t="shared" si="16"/>
        <v/>
      </c>
      <c r="O167" s="206" t="str">
        <f t="shared" si="12"/>
        <v/>
      </c>
      <c r="P167" s="207" t="str">
        <f t="shared" si="17"/>
        <v/>
      </c>
    </row>
    <row r="168" spans="3:16">
      <c r="C168" s="200"/>
      <c r="D168" s="201"/>
      <c r="E168" s="202"/>
      <c r="F168" s="200"/>
      <c r="H168" s="203"/>
      <c r="I168" s="186" t="str">
        <f t="shared" si="13"/>
        <v/>
      </c>
      <c r="J168" s="204" t="str">
        <f>IF($H168="USD",IF(OR($I168="",$I168="-"),"",VLOOKUP($G168,為替!$A:$AX,$I168,FALSE))+$J$3,IF(OR($I168="",$I168="-"),"",VLOOKUP($G168,為替!$A:$AX,$I168,FALSE)))</f>
        <v/>
      </c>
      <c r="K168" s="205" t="str">
        <f t="shared" si="14"/>
        <v/>
      </c>
      <c r="L168" s="189" t="str">
        <f t="shared" si="15"/>
        <v/>
      </c>
      <c r="M168" s="204" t="str">
        <f>IF($H168="USD",IF(OR($L168="",$L168="-"),"",VLOOKUP($G168,為替!$A:$AX,$L168,FALSE))+$K$3,IF(OR($L168="",$L168="-"),"",VLOOKUP($G168,為替!$A:$AX,$L168,FALSE)))</f>
        <v/>
      </c>
      <c r="N168" s="205" t="str">
        <f t="shared" si="16"/>
        <v/>
      </c>
      <c r="O168" s="206" t="str">
        <f t="shared" si="12"/>
        <v/>
      </c>
      <c r="P168" s="207" t="str">
        <f t="shared" si="17"/>
        <v/>
      </c>
    </row>
    <row r="169" spans="3:16">
      <c r="C169" s="200"/>
      <c r="D169" s="201"/>
      <c r="E169" s="202"/>
      <c r="F169" s="200"/>
      <c r="H169" s="203"/>
      <c r="I169" s="186" t="str">
        <f t="shared" si="13"/>
        <v/>
      </c>
      <c r="J169" s="204" t="str">
        <f>IF($H169="USD",IF(OR($I169="",$I169="-"),"",VLOOKUP($G169,為替!$A:$AX,$I169,FALSE))+$J$3,IF(OR($I169="",$I169="-"),"",VLOOKUP($G169,為替!$A:$AX,$I169,FALSE)))</f>
        <v/>
      </c>
      <c r="K169" s="205" t="str">
        <f t="shared" si="14"/>
        <v/>
      </c>
      <c r="L169" s="189" t="str">
        <f t="shared" si="15"/>
        <v/>
      </c>
      <c r="M169" s="204" t="str">
        <f>IF($H169="USD",IF(OR($L169="",$L169="-"),"",VLOOKUP($G169,為替!$A:$AX,$L169,FALSE))+$K$3,IF(OR($L169="",$L169="-"),"",VLOOKUP($G169,為替!$A:$AX,$L169,FALSE)))</f>
        <v/>
      </c>
      <c r="N169" s="205" t="str">
        <f t="shared" si="16"/>
        <v/>
      </c>
      <c r="O169" s="206" t="str">
        <f t="shared" si="12"/>
        <v/>
      </c>
      <c r="P169" s="207" t="str">
        <f t="shared" si="17"/>
        <v/>
      </c>
    </row>
    <row r="170" spans="3:16">
      <c r="C170" s="200"/>
      <c r="D170" s="201"/>
      <c r="E170" s="202"/>
      <c r="F170" s="200"/>
      <c r="H170" s="203"/>
      <c r="I170" s="186" t="str">
        <f t="shared" si="13"/>
        <v/>
      </c>
      <c r="J170" s="204" t="str">
        <f>IF($H170="USD",IF(OR($I170="",$I170="-"),"",VLOOKUP($G170,為替!$A:$AX,$I170,FALSE))+$J$3,IF(OR($I170="",$I170="-"),"",VLOOKUP($G170,為替!$A:$AX,$I170,FALSE)))</f>
        <v/>
      </c>
      <c r="K170" s="205" t="str">
        <f t="shared" si="14"/>
        <v/>
      </c>
      <c r="L170" s="189" t="str">
        <f t="shared" si="15"/>
        <v/>
      </c>
      <c r="M170" s="204" t="str">
        <f>IF($H170="USD",IF(OR($L170="",$L170="-"),"",VLOOKUP($G170,為替!$A:$AX,$L170,FALSE))+$K$3,IF(OR($L170="",$L170="-"),"",VLOOKUP($G170,為替!$A:$AX,$L170,FALSE)))</f>
        <v/>
      </c>
      <c r="N170" s="205" t="str">
        <f t="shared" si="16"/>
        <v/>
      </c>
      <c r="O170" s="206" t="str">
        <f t="shared" si="12"/>
        <v/>
      </c>
      <c r="P170" s="207" t="str">
        <f t="shared" si="17"/>
        <v/>
      </c>
    </row>
    <row r="171" spans="3:16">
      <c r="C171" s="200"/>
      <c r="D171" s="201"/>
      <c r="E171" s="202"/>
      <c r="F171" s="200"/>
      <c r="H171" s="203"/>
      <c r="I171" s="186" t="str">
        <f t="shared" si="13"/>
        <v/>
      </c>
      <c r="J171" s="204" t="str">
        <f>IF($H171="USD",IF(OR($I171="",$I171="-"),"",VLOOKUP($G171,為替!$A:$AX,$I171,FALSE))+$J$3,IF(OR($I171="",$I171="-"),"",VLOOKUP($G171,為替!$A:$AX,$I171,FALSE)))</f>
        <v/>
      </c>
      <c r="K171" s="205" t="str">
        <f t="shared" si="14"/>
        <v/>
      </c>
      <c r="L171" s="189" t="str">
        <f t="shared" si="15"/>
        <v/>
      </c>
      <c r="M171" s="204" t="str">
        <f>IF($H171="USD",IF(OR($L171="",$L171="-"),"",VLOOKUP($G171,為替!$A:$AX,$L171,FALSE))+$K$3,IF(OR($L171="",$L171="-"),"",VLOOKUP($G171,為替!$A:$AX,$L171,FALSE)))</f>
        <v/>
      </c>
      <c r="N171" s="205" t="str">
        <f t="shared" si="16"/>
        <v/>
      </c>
      <c r="O171" s="206" t="str">
        <f t="shared" si="12"/>
        <v/>
      </c>
      <c r="P171" s="207" t="str">
        <f t="shared" si="17"/>
        <v/>
      </c>
    </row>
    <row r="172" spans="3:16">
      <c r="C172" s="200"/>
      <c r="D172" s="201"/>
      <c r="E172" s="202"/>
      <c r="F172" s="200"/>
      <c r="H172" s="203"/>
      <c r="I172" s="186" t="str">
        <f t="shared" si="13"/>
        <v/>
      </c>
      <c r="J172" s="204" t="str">
        <f>IF($H172="USD",IF(OR($I172="",$I172="-"),"",VLOOKUP($G172,為替!$A:$AX,$I172,FALSE))+$J$3,IF(OR($I172="",$I172="-"),"",VLOOKUP($G172,為替!$A:$AX,$I172,FALSE)))</f>
        <v/>
      </c>
      <c r="K172" s="205" t="str">
        <f t="shared" si="14"/>
        <v/>
      </c>
      <c r="L172" s="189" t="str">
        <f t="shared" si="15"/>
        <v/>
      </c>
      <c r="M172" s="204" t="str">
        <f>IF($H172="USD",IF(OR($L172="",$L172="-"),"",VLOOKUP($G172,為替!$A:$AX,$L172,FALSE))+$K$3,IF(OR($L172="",$L172="-"),"",VLOOKUP($G172,為替!$A:$AX,$L172,FALSE)))</f>
        <v/>
      </c>
      <c r="N172" s="205" t="str">
        <f t="shared" si="16"/>
        <v/>
      </c>
      <c r="O172" s="206" t="str">
        <f t="shared" si="12"/>
        <v/>
      </c>
      <c r="P172" s="207" t="str">
        <f t="shared" si="17"/>
        <v/>
      </c>
    </row>
    <row r="173" spans="3:16">
      <c r="C173" s="200"/>
      <c r="D173" s="201"/>
      <c r="E173" s="202"/>
      <c r="F173" s="200"/>
      <c r="H173" s="203"/>
      <c r="I173" s="186" t="str">
        <f t="shared" si="13"/>
        <v/>
      </c>
      <c r="J173" s="204" t="str">
        <f>IF($H173="USD",IF(OR($I173="",$I173="-"),"",VLOOKUP($G173,為替!$A:$AX,$I173,FALSE))+$J$3,IF(OR($I173="",$I173="-"),"",VLOOKUP($G173,為替!$A:$AX,$I173,FALSE)))</f>
        <v/>
      </c>
      <c r="K173" s="205" t="str">
        <f t="shared" si="14"/>
        <v/>
      </c>
      <c r="L173" s="189" t="str">
        <f t="shared" si="15"/>
        <v/>
      </c>
      <c r="M173" s="204" t="str">
        <f>IF($H173="USD",IF(OR($L173="",$L173="-"),"",VLOOKUP($G173,為替!$A:$AX,$L173,FALSE))+$K$3,IF(OR($L173="",$L173="-"),"",VLOOKUP($G173,為替!$A:$AX,$L173,FALSE)))</f>
        <v/>
      </c>
      <c r="N173" s="205" t="str">
        <f t="shared" si="16"/>
        <v/>
      </c>
      <c r="O173" s="206" t="str">
        <f t="shared" si="12"/>
        <v/>
      </c>
      <c r="P173" s="207" t="str">
        <f t="shared" si="17"/>
        <v/>
      </c>
    </row>
    <row r="174" spans="3:16">
      <c r="C174" s="200"/>
      <c r="D174" s="201"/>
      <c r="E174" s="202"/>
      <c r="F174" s="200"/>
      <c r="H174" s="203"/>
      <c r="I174" s="186" t="str">
        <f t="shared" si="13"/>
        <v/>
      </c>
      <c r="J174" s="204" t="str">
        <f>IF($H174="USD",IF(OR($I174="",$I174="-"),"",VLOOKUP($G174,為替!$A:$AX,$I174,FALSE))+$J$3,IF(OR($I174="",$I174="-"),"",VLOOKUP($G174,為替!$A:$AX,$I174,FALSE)))</f>
        <v/>
      </c>
      <c r="K174" s="205" t="str">
        <f t="shared" si="14"/>
        <v/>
      </c>
      <c r="L174" s="189" t="str">
        <f t="shared" si="15"/>
        <v/>
      </c>
      <c r="M174" s="204" t="str">
        <f>IF($H174="USD",IF(OR($L174="",$L174="-"),"",VLOOKUP($G174,為替!$A:$AX,$L174,FALSE))+$K$3,IF(OR($L174="",$L174="-"),"",VLOOKUP($G174,為替!$A:$AX,$L174,FALSE)))</f>
        <v/>
      </c>
      <c r="N174" s="205" t="str">
        <f t="shared" si="16"/>
        <v/>
      </c>
      <c r="O174" s="206" t="str">
        <f t="shared" si="12"/>
        <v/>
      </c>
      <c r="P174" s="207" t="str">
        <f t="shared" si="17"/>
        <v/>
      </c>
    </row>
    <row r="175" spans="3:16">
      <c r="C175" s="200"/>
      <c r="D175" s="201"/>
      <c r="E175" s="202"/>
      <c r="F175" s="200"/>
      <c r="H175" s="203"/>
      <c r="I175" s="186" t="str">
        <f t="shared" si="13"/>
        <v/>
      </c>
      <c r="J175" s="204" t="str">
        <f>IF($H175="USD",IF(OR($I175="",$I175="-"),"",VLOOKUP($G175,為替!$A:$AX,$I175,FALSE))+$J$3,IF(OR($I175="",$I175="-"),"",VLOOKUP($G175,為替!$A:$AX,$I175,FALSE)))</f>
        <v/>
      </c>
      <c r="K175" s="205" t="str">
        <f t="shared" si="14"/>
        <v/>
      </c>
      <c r="L175" s="189" t="str">
        <f t="shared" si="15"/>
        <v/>
      </c>
      <c r="M175" s="204" t="str">
        <f>IF($H175="USD",IF(OR($L175="",$L175="-"),"",VLOOKUP($G175,為替!$A:$AX,$L175,FALSE))+$K$3,IF(OR($L175="",$L175="-"),"",VLOOKUP($G175,為替!$A:$AX,$L175,FALSE)))</f>
        <v/>
      </c>
      <c r="N175" s="205" t="str">
        <f t="shared" si="16"/>
        <v/>
      </c>
      <c r="O175" s="206" t="str">
        <f t="shared" si="12"/>
        <v/>
      </c>
      <c r="P175" s="207" t="str">
        <f t="shared" si="17"/>
        <v/>
      </c>
    </row>
    <row r="176" spans="3:16">
      <c r="C176" s="200"/>
      <c r="D176" s="201"/>
      <c r="E176" s="202"/>
      <c r="F176" s="200"/>
      <c r="H176" s="203"/>
      <c r="I176" s="186" t="str">
        <f t="shared" si="13"/>
        <v/>
      </c>
      <c r="J176" s="204" t="str">
        <f>IF($H176="USD",IF(OR($I176="",$I176="-"),"",VLOOKUP($G176,為替!$A:$AX,$I176,FALSE))+$J$3,IF(OR($I176="",$I176="-"),"",VLOOKUP($G176,為替!$A:$AX,$I176,FALSE)))</f>
        <v/>
      </c>
      <c r="K176" s="205" t="str">
        <f t="shared" si="14"/>
        <v/>
      </c>
      <c r="L176" s="189" t="str">
        <f t="shared" si="15"/>
        <v/>
      </c>
      <c r="M176" s="204" t="str">
        <f>IF($H176="USD",IF(OR($L176="",$L176="-"),"",VLOOKUP($G176,為替!$A:$AX,$L176,FALSE))+$K$3,IF(OR($L176="",$L176="-"),"",VLOOKUP($G176,為替!$A:$AX,$L176,FALSE)))</f>
        <v/>
      </c>
      <c r="N176" s="205" t="str">
        <f t="shared" si="16"/>
        <v/>
      </c>
      <c r="O176" s="206" t="str">
        <f t="shared" si="12"/>
        <v/>
      </c>
      <c r="P176" s="207" t="str">
        <f t="shared" si="17"/>
        <v/>
      </c>
    </row>
    <row r="177" spans="3:16">
      <c r="C177" s="200"/>
      <c r="D177" s="201"/>
      <c r="E177" s="202"/>
      <c r="F177" s="200"/>
      <c r="H177" s="203"/>
      <c r="I177" s="186" t="str">
        <f t="shared" si="13"/>
        <v/>
      </c>
      <c r="J177" s="204" t="str">
        <f>IF($H177="USD",IF(OR($I177="",$I177="-"),"",VLOOKUP($G177,為替!$A:$AX,$I177,FALSE))+$J$3,IF(OR($I177="",$I177="-"),"",VLOOKUP($G177,為替!$A:$AX,$I177,FALSE)))</f>
        <v/>
      </c>
      <c r="K177" s="205" t="str">
        <f t="shared" si="14"/>
        <v/>
      </c>
      <c r="L177" s="189" t="str">
        <f t="shared" si="15"/>
        <v/>
      </c>
      <c r="M177" s="204" t="str">
        <f>IF($H177="USD",IF(OR($L177="",$L177="-"),"",VLOOKUP($G177,為替!$A:$AX,$L177,FALSE))+$K$3,IF(OR($L177="",$L177="-"),"",VLOOKUP($G177,為替!$A:$AX,$L177,FALSE)))</f>
        <v/>
      </c>
      <c r="N177" s="205" t="str">
        <f t="shared" si="16"/>
        <v/>
      </c>
      <c r="O177" s="206" t="str">
        <f t="shared" si="12"/>
        <v/>
      </c>
      <c r="P177" s="207" t="str">
        <f t="shared" si="17"/>
        <v/>
      </c>
    </row>
    <row r="178" spans="3:16">
      <c r="C178" s="200"/>
      <c r="D178" s="201"/>
      <c r="E178" s="202"/>
      <c r="F178" s="200"/>
      <c r="H178" s="203"/>
      <c r="I178" s="186" t="str">
        <f t="shared" si="13"/>
        <v/>
      </c>
      <c r="J178" s="204" t="str">
        <f>IF($H178="USD",IF(OR($I178="",$I178="-"),"",VLOOKUP($G178,為替!$A:$AX,$I178,FALSE))+$J$3,IF(OR($I178="",$I178="-"),"",VLOOKUP($G178,為替!$A:$AX,$I178,FALSE)))</f>
        <v/>
      </c>
      <c r="K178" s="205" t="str">
        <f t="shared" si="14"/>
        <v/>
      </c>
      <c r="L178" s="189" t="str">
        <f t="shared" si="15"/>
        <v/>
      </c>
      <c r="M178" s="204" t="str">
        <f>IF($H178="USD",IF(OR($L178="",$L178="-"),"",VLOOKUP($G178,為替!$A:$AX,$L178,FALSE))+$K$3,IF(OR($L178="",$L178="-"),"",VLOOKUP($G178,為替!$A:$AX,$L178,FALSE)))</f>
        <v/>
      </c>
      <c r="N178" s="205" t="str">
        <f t="shared" si="16"/>
        <v/>
      </c>
      <c r="O178" s="206" t="str">
        <f t="shared" si="12"/>
        <v/>
      </c>
      <c r="P178" s="207" t="str">
        <f t="shared" si="17"/>
        <v/>
      </c>
    </row>
    <row r="179" spans="3:16">
      <c r="C179" s="200"/>
      <c r="D179" s="201"/>
      <c r="E179" s="202"/>
      <c r="F179" s="200"/>
      <c r="H179" s="203"/>
      <c r="I179" s="186" t="str">
        <f t="shared" si="13"/>
        <v/>
      </c>
      <c r="J179" s="204" t="str">
        <f>IF($H179="USD",IF(OR($I179="",$I179="-"),"",VLOOKUP($G179,為替!$A:$AX,$I179,FALSE))+$J$3,IF(OR($I179="",$I179="-"),"",VLOOKUP($G179,為替!$A:$AX,$I179,FALSE)))</f>
        <v/>
      </c>
      <c r="K179" s="205" t="str">
        <f t="shared" si="14"/>
        <v/>
      </c>
      <c r="L179" s="189" t="str">
        <f t="shared" si="15"/>
        <v/>
      </c>
      <c r="M179" s="204" t="str">
        <f>IF($H179="USD",IF(OR($L179="",$L179="-"),"",VLOOKUP($G179,為替!$A:$AX,$L179,FALSE))+$K$3,IF(OR($L179="",$L179="-"),"",VLOOKUP($G179,為替!$A:$AX,$L179,FALSE)))</f>
        <v/>
      </c>
      <c r="N179" s="205" t="str">
        <f t="shared" si="16"/>
        <v/>
      </c>
      <c r="O179" s="206" t="str">
        <f t="shared" si="12"/>
        <v/>
      </c>
      <c r="P179" s="207" t="str">
        <f t="shared" si="17"/>
        <v/>
      </c>
    </row>
    <row r="180" spans="3:16">
      <c r="C180" s="200"/>
      <c r="D180" s="201"/>
      <c r="E180" s="202"/>
      <c r="F180" s="200"/>
      <c r="H180" s="203"/>
      <c r="I180" s="186" t="str">
        <f t="shared" si="13"/>
        <v/>
      </c>
      <c r="J180" s="204" t="str">
        <f>IF($H180="USD",IF(OR($I180="",$I180="-"),"",VLOOKUP($G180,為替!$A:$AX,$I180,FALSE))+$J$3,IF(OR($I180="",$I180="-"),"",VLOOKUP($G180,為替!$A:$AX,$I180,FALSE)))</f>
        <v/>
      </c>
      <c r="K180" s="205" t="str">
        <f t="shared" si="14"/>
        <v/>
      </c>
      <c r="L180" s="189" t="str">
        <f t="shared" si="15"/>
        <v/>
      </c>
      <c r="M180" s="204" t="str">
        <f>IF($H180="USD",IF(OR($L180="",$L180="-"),"",VLOOKUP($G180,為替!$A:$AX,$L180,FALSE))+$K$3,IF(OR($L180="",$L180="-"),"",VLOOKUP($G180,為替!$A:$AX,$L180,FALSE)))</f>
        <v/>
      </c>
      <c r="N180" s="205" t="str">
        <f t="shared" si="16"/>
        <v/>
      </c>
      <c r="O180" s="206" t="str">
        <f t="shared" si="12"/>
        <v/>
      </c>
      <c r="P180" s="207" t="str">
        <f t="shared" si="17"/>
        <v/>
      </c>
    </row>
    <row r="181" spans="3:16">
      <c r="C181" s="200"/>
      <c r="D181" s="201"/>
      <c r="E181" s="202"/>
      <c r="F181" s="200"/>
      <c r="H181" s="203"/>
      <c r="I181" s="186" t="str">
        <f t="shared" si="13"/>
        <v/>
      </c>
      <c r="J181" s="204" t="str">
        <f>IF($H181="USD",IF(OR($I181="",$I181="-"),"",VLOOKUP($G181,為替!$A:$AX,$I181,FALSE))+$J$3,IF(OR($I181="",$I181="-"),"",VLOOKUP($G181,為替!$A:$AX,$I181,FALSE)))</f>
        <v/>
      </c>
      <c r="K181" s="205" t="str">
        <f t="shared" si="14"/>
        <v/>
      </c>
      <c r="L181" s="189" t="str">
        <f t="shared" si="15"/>
        <v/>
      </c>
      <c r="M181" s="204" t="str">
        <f>IF($H181="USD",IF(OR($L181="",$L181="-"),"",VLOOKUP($G181,為替!$A:$AX,$L181,FALSE))+$K$3,IF(OR($L181="",$L181="-"),"",VLOOKUP($G181,為替!$A:$AX,$L181,FALSE)))</f>
        <v/>
      </c>
      <c r="N181" s="205" t="str">
        <f t="shared" si="16"/>
        <v/>
      </c>
      <c r="O181" s="206" t="str">
        <f t="shared" si="12"/>
        <v/>
      </c>
      <c r="P181" s="207" t="str">
        <f t="shared" si="17"/>
        <v/>
      </c>
    </row>
    <row r="182" spans="3:16">
      <c r="C182" s="200"/>
      <c r="D182" s="201"/>
      <c r="E182" s="202"/>
      <c r="F182" s="200"/>
      <c r="H182" s="203"/>
      <c r="I182" s="186" t="str">
        <f t="shared" si="13"/>
        <v/>
      </c>
      <c r="J182" s="204" t="str">
        <f>IF($H182="USD",IF(OR($I182="",$I182="-"),"",VLOOKUP($G182,為替!$A:$AX,$I182,FALSE))+$J$3,IF(OR($I182="",$I182="-"),"",VLOOKUP($G182,為替!$A:$AX,$I182,FALSE)))</f>
        <v/>
      </c>
      <c r="K182" s="205" t="str">
        <f t="shared" si="14"/>
        <v/>
      </c>
      <c r="L182" s="189" t="str">
        <f t="shared" si="15"/>
        <v/>
      </c>
      <c r="M182" s="204" t="str">
        <f>IF($H182="USD",IF(OR($L182="",$L182="-"),"",VLOOKUP($G182,為替!$A:$AX,$L182,FALSE))+$K$3,IF(OR($L182="",$L182="-"),"",VLOOKUP($G182,為替!$A:$AX,$L182,FALSE)))</f>
        <v/>
      </c>
      <c r="N182" s="205" t="str">
        <f t="shared" si="16"/>
        <v/>
      </c>
      <c r="O182" s="206" t="str">
        <f t="shared" si="12"/>
        <v/>
      </c>
      <c r="P182" s="207" t="str">
        <f t="shared" si="17"/>
        <v/>
      </c>
    </row>
    <row r="183" spans="3:16">
      <c r="C183" s="200"/>
      <c r="D183" s="201"/>
      <c r="E183" s="202"/>
      <c r="F183" s="200"/>
      <c r="H183" s="203"/>
      <c r="I183" s="186" t="str">
        <f t="shared" si="13"/>
        <v/>
      </c>
      <c r="J183" s="204" t="str">
        <f>IF($H183="USD",IF(OR($I183="",$I183="-"),"",VLOOKUP($G183,為替!$A:$AX,$I183,FALSE))+$J$3,IF(OR($I183="",$I183="-"),"",VLOOKUP($G183,為替!$A:$AX,$I183,FALSE)))</f>
        <v/>
      </c>
      <c r="K183" s="205" t="str">
        <f t="shared" si="14"/>
        <v/>
      </c>
      <c r="L183" s="189" t="str">
        <f t="shared" si="15"/>
        <v/>
      </c>
      <c r="M183" s="204" t="str">
        <f>IF($H183="USD",IF(OR($L183="",$L183="-"),"",VLOOKUP($G183,為替!$A:$AX,$L183,FALSE))+$K$3,IF(OR($L183="",$L183="-"),"",VLOOKUP($G183,為替!$A:$AX,$L183,FALSE)))</f>
        <v/>
      </c>
      <c r="N183" s="205" t="str">
        <f t="shared" si="16"/>
        <v/>
      </c>
      <c r="O183" s="206" t="str">
        <f t="shared" si="12"/>
        <v/>
      </c>
      <c r="P183" s="207" t="str">
        <f t="shared" si="17"/>
        <v/>
      </c>
    </row>
    <row r="184" spans="3:16">
      <c r="C184" s="200"/>
      <c r="D184" s="201"/>
      <c r="E184" s="202"/>
      <c r="F184" s="200"/>
      <c r="H184" s="203"/>
      <c r="I184" s="186" t="str">
        <f t="shared" si="13"/>
        <v/>
      </c>
      <c r="J184" s="204" t="str">
        <f>IF($H184="USD",IF(OR($I184="",$I184="-"),"",VLOOKUP($G184,為替!$A:$AX,$I184,FALSE))+$J$3,IF(OR($I184="",$I184="-"),"",VLOOKUP($G184,為替!$A:$AX,$I184,FALSE)))</f>
        <v/>
      </c>
      <c r="K184" s="205" t="str">
        <f t="shared" si="14"/>
        <v/>
      </c>
      <c r="L184" s="189" t="str">
        <f t="shared" si="15"/>
        <v/>
      </c>
      <c r="M184" s="204" t="str">
        <f>IF($H184="USD",IF(OR($L184="",$L184="-"),"",VLOOKUP($G184,為替!$A:$AX,$L184,FALSE))+$K$3,IF(OR($L184="",$L184="-"),"",VLOOKUP($G184,為替!$A:$AX,$L184,FALSE)))</f>
        <v/>
      </c>
      <c r="N184" s="205" t="str">
        <f t="shared" si="16"/>
        <v/>
      </c>
      <c r="O184" s="206" t="str">
        <f t="shared" si="12"/>
        <v/>
      </c>
      <c r="P184" s="207" t="str">
        <f t="shared" si="17"/>
        <v/>
      </c>
    </row>
    <row r="185" spans="3:16">
      <c r="C185" s="200"/>
      <c r="D185" s="201"/>
      <c r="E185" s="202"/>
      <c r="F185" s="200"/>
      <c r="H185" s="203"/>
      <c r="I185" s="186" t="str">
        <f t="shared" si="13"/>
        <v/>
      </c>
      <c r="J185" s="204" t="str">
        <f>IF($H185="USD",IF(OR($I185="",$I185="-"),"",VLOOKUP($G185,為替!$A:$AX,$I185,FALSE))+$J$3,IF(OR($I185="",$I185="-"),"",VLOOKUP($G185,為替!$A:$AX,$I185,FALSE)))</f>
        <v/>
      </c>
      <c r="K185" s="205" t="str">
        <f t="shared" si="14"/>
        <v/>
      </c>
      <c r="L185" s="189" t="str">
        <f t="shared" si="15"/>
        <v/>
      </c>
      <c r="M185" s="204" t="str">
        <f>IF($H185="USD",IF(OR($L185="",$L185="-"),"",VLOOKUP($G185,為替!$A:$AX,$L185,FALSE))+$K$3,IF(OR($L185="",$L185="-"),"",VLOOKUP($G185,為替!$A:$AX,$L185,FALSE)))</f>
        <v/>
      </c>
      <c r="N185" s="205" t="str">
        <f t="shared" si="16"/>
        <v/>
      </c>
      <c r="O185" s="206" t="str">
        <f t="shared" si="12"/>
        <v/>
      </c>
      <c r="P185" s="207" t="str">
        <f t="shared" si="17"/>
        <v/>
      </c>
    </row>
    <row r="186" spans="3:16">
      <c r="C186" s="200"/>
      <c r="D186" s="201"/>
      <c r="E186" s="202"/>
      <c r="F186" s="200"/>
      <c r="H186" s="203"/>
      <c r="I186" s="186" t="str">
        <f t="shared" si="13"/>
        <v/>
      </c>
      <c r="J186" s="204" t="str">
        <f>IF($H186="USD",IF(OR($I186="",$I186="-"),"",VLOOKUP($G186,為替!$A:$AX,$I186,FALSE))+$J$3,IF(OR($I186="",$I186="-"),"",VLOOKUP($G186,為替!$A:$AX,$I186,FALSE)))</f>
        <v/>
      </c>
      <c r="K186" s="205" t="str">
        <f t="shared" si="14"/>
        <v/>
      </c>
      <c r="L186" s="189" t="str">
        <f t="shared" si="15"/>
        <v/>
      </c>
      <c r="M186" s="204" t="str">
        <f>IF($H186="USD",IF(OR($L186="",$L186="-"),"",VLOOKUP($G186,為替!$A:$AX,$L186,FALSE))+$K$3,IF(OR($L186="",$L186="-"),"",VLOOKUP($G186,為替!$A:$AX,$L186,FALSE)))</f>
        <v/>
      </c>
      <c r="N186" s="205" t="str">
        <f t="shared" si="16"/>
        <v/>
      </c>
      <c r="O186" s="206" t="str">
        <f t="shared" si="12"/>
        <v/>
      </c>
      <c r="P186" s="207" t="str">
        <f t="shared" si="17"/>
        <v/>
      </c>
    </row>
    <row r="187" spans="3:16">
      <c r="C187" s="200"/>
      <c r="D187" s="201"/>
      <c r="E187" s="202"/>
      <c r="F187" s="200"/>
      <c r="H187" s="203"/>
      <c r="I187" s="186" t="str">
        <f t="shared" si="13"/>
        <v/>
      </c>
      <c r="J187" s="204" t="str">
        <f>IF($H187="USD",IF(OR($I187="",$I187="-"),"",VLOOKUP($G187,為替!$A:$AX,$I187,FALSE))+$J$3,IF(OR($I187="",$I187="-"),"",VLOOKUP($G187,為替!$A:$AX,$I187,FALSE)))</f>
        <v/>
      </c>
      <c r="K187" s="205" t="str">
        <f t="shared" si="14"/>
        <v/>
      </c>
      <c r="L187" s="189" t="str">
        <f t="shared" si="15"/>
        <v/>
      </c>
      <c r="M187" s="204" t="str">
        <f>IF($H187="USD",IF(OR($L187="",$L187="-"),"",VLOOKUP($G187,為替!$A:$AX,$L187,FALSE))+$K$3,IF(OR($L187="",$L187="-"),"",VLOOKUP($G187,為替!$A:$AX,$L187,FALSE)))</f>
        <v/>
      </c>
      <c r="N187" s="205" t="str">
        <f t="shared" si="16"/>
        <v/>
      </c>
      <c r="O187" s="206" t="str">
        <f t="shared" si="12"/>
        <v/>
      </c>
      <c r="P187" s="207" t="str">
        <f t="shared" si="17"/>
        <v/>
      </c>
    </row>
    <row r="188" spans="3:16">
      <c r="C188" s="200"/>
      <c r="D188" s="201"/>
      <c r="E188" s="202"/>
      <c r="F188" s="200"/>
      <c r="H188" s="203"/>
      <c r="I188" s="186" t="str">
        <f t="shared" si="13"/>
        <v/>
      </c>
      <c r="J188" s="204" t="str">
        <f>IF($H188="USD",IF(OR($I188="",$I188="-"),"",VLOOKUP($G188,為替!$A:$AX,$I188,FALSE))+$J$3,IF(OR($I188="",$I188="-"),"",VLOOKUP($G188,為替!$A:$AX,$I188,FALSE)))</f>
        <v/>
      </c>
      <c r="K188" s="205" t="str">
        <f t="shared" si="14"/>
        <v/>
      </c>
      <c r="L188" s="189" t="str">
        <f t="shared" si="15"/>
        <v/>
      </c>
      <c r="M188" s="204" t="str">
        <f>IF($H188="USD",IF(OR($L188="",$L188="-"),"",VLOOKUP($G188,為替!$A:$AX,$L188,FALSE))+$K$3,IF(OR($L188="",$L188="-"),"",VLOOKUP($G188,為替!$A:$AX,$L188,FALSE)))</f>
        <v/>
      </c>
      <c r="N188" s="205" t="str">
        <f t="shared" si="16"/>
        <v/>
      </c>
      <c r="O188" s="206" t="str">
        <f t="shared" si="12"/>
        <v/>
      </c>
      <c r="P188" s="207" t="str">
        <f t="shared" si="17"/>
        <v/>
      </c>
    </row>
    <row r="189" spans="3:16">
      <c r="C189" s="200"/>
      <c r="D189" s="201"/>
      <c r="E189" s="202"/>
      <c r="F189" s="200"/>
      <c r="H189" s="203"/>
      <c r="I189" s="186" t="str">
        <f t="shared" si="13"/>
        <v/>
      </c>
      <c r="J189" s="204" t="str">
        <f>IF($H189="USD",IF(OR($I189="",$I189="-"),"",VLOOKUP($G189,為替!$A:$AX,$I189,FALSE))+$J$3,IF(OR($I189="",$I189="-"),"",VLOOKUP($G189,為替!$A:$AX,$I189,FALSE)))</f>
        <v/>
      </c>
      <c r="K189" s="205" t="str">
        <f t="shared" si="14"/>
        <v/>
      </c>
      <c r="L189" s="189" t="str">
        <f t="shared" si="15"/>
        <v/>
      </c>
      <c r="M189" s="204" t="str">
        <f>IF($H189="USD",IF(OR($L189="",$L189="-"),"",VLOOKUP($G189,為替!$A:$AX,$L189,FALSE))+$K$3,IF(OR($L189="",$L189="-"),"",VLOOKUP($G189,為替!$A:$AX,$L189,FALSE)))</f>
        <v/>
      </c>
      <c r="N189" s="205" t="str">
        <f t="shared" si="16"/>
        <v/>
      </c>
      <c r="O189" s="206" t="str">
        <f t="shared" si="12"/>
        <v/>
      </c>
      <c r="P189" s="207" t="str">
        <f t="shared" si="17"/>
        <v/>
      </c>
    </row>
    <row r="190" spans="3:16">
      <c r="C190" s="200"/>
      <c r="D190" s="201"/>
      <c r="E190" s="202"/>
      <c r="F190" s="200"/>
      <c r="H190" s="203"/>
      <c r="I190" s="186" t="str">
        <f t="shared" si="13"/>
        <v/>
      </c>
      <c r="J190" s="204" t="str">
        <f>IF($H190="USD",IF(OR($I190="",$I190="-"),"",VLOOKUP($G190,為替!$A:$AX,$I190,FALSE))+$J$3,IF(OR($I190="",$I190="-"),"",VLOOKUP($G190,為替!$A:$AX,$I190,FALSE)))</f>
        <v/>
      </c>
      <c r="K190" s="205" t="str">
        <f t="shared" si="14"/>
        <v/>
      </c>
      <c r="L190" s="189" t="str">
        <f t="shared" si="15"/>
        <v/>
      </c>
      <c r="M190" s="204" t="str">
        <f>IF($H190="USD",IF(OR($L190="",$L190="-"),"",VLOOKUP($G190,為替!$A:$AX,$L190,FALSE))+$K$3,IF(OR($L190="",$L190="-"),"",VLOOKUP($G190,為替!$A:$AX,$L190,FALSE)))</f>
        <v/>
      </c>
      <c r="N190" s="205" t="str">
        <f t="shared" si="16"/>
        <v/>
      </c>
      <c r="O190" s="206" t="str">
        <f t="shared" si="12"/>
        <v/>
      </c>
      <c r="P190" s="207" t="str">
        <f t="shared" si="17"/>
        <v/>
      </c>
    </row>
    <row r="191" spans="3:16">
      <c r="C191" s="200"/>
      <c r="D191" s="201"/>
      <c r="E191" s="202"/>
      <c r="F191" s="200"/>
      <c r="H191" s="203"/>
      <c r="I191" s="186" t="str">
        <f t="shared" si="13"/>
        <v/>
      </c>
      <c r="J191" s="204" t="str">
        <f>IF($H191="USD",IF(OR($I191="",$I191="-"),"",VLOOKUP($G191,為替!$A:$AX,$I191,FALSE))+$J$3,IF(OR($I191="",$I191="-"),"",VLOOKUP($G191,為替!$A:$AX,$I191,FALSE)))</f>
        <v/>
      </c>
      <c r="K191" s="205" t="str">
        <f t="shared" si="14"/>
        <v/>
      </c>
      <c r="L191" s="189" t="str">
        <f t="shared" si="15"/>
        <v/>
      </c>
      <c r="M191" s="204" t="str">
        <f>IF($H191="USD",IF(OR($L191="",$L191="-"),"",VLOOKUP($G191,為替!$A:$AX,$L191,FALSE))+$K$3,IF(OR($L191="",$L191="-"),"",VLOOKUP($G191,為替!$A:$AX,$L191,FALSE)))</f>
        <v/>
      </c>
      <c r="N191" s="205" t="str">
        <f t="shared" si="16"/>
        <v/>
      </c>
      <c r="O191" s="206" t="str">
        <f t="shared" si="12"/>
        <v/>
      </c>
      <c r="P191" s="207" t="str">
        <f t="shared" si="17"/>
        <v/>
      </c>
    </row>
    <row r="192" spans="3:16">
      <c r="C192" s="200"/>
      <c r="D192" s="201"/>
      <c r="E192" s="202"/>
      <c r="F192" s="200"/>
      <c r="H192" s="203"/>
      <c r="I192" s="186" t="str">
        <f t="shared" si="13"/>
        <v/>
      </c>
      <c r="J192" s="204" t="str">
        <f>IF($H192="USD",IF(OR($I192="",$I192="-"),"",VLOOKUP($G192,為替!$A:$AX,$I192,FALSE))+$J$3,IF(OR($I192="",$I192="-"),"",VLOOKUP($G192,為替!$A:$AX,$I192,FALSE)))</f>
        <v/>
      </c>
      <c r="K192" s="205" t="str">
        <f t="shared" si="14"/>
        <v/>
      </c>
      <c r="L192" s="189" t="str">
        <f t="shared" si="15"/>
        <v/>
      </c>
      <c r="M192" s="204" t="str">
        <f>IF($H192="USD",IF(OR($L192="",$L192="-"),"",VLOOKUP($G192,為替!$A:$AX,$L192,FALSE))+$K$3,IF(OR($L192="",$L192="-"),"",VLOOKUP($G192,為替!$A:$AX,$L192,FALSE)))</f>
        <v/>
      </c>
      <c r="N192" s="205" t="str">
        <f t="shared" si="16"/>
        <v/>
      </c>
      <c r="O192" s="206" t="str">
        <f t="shared" si="12"/>
        <v/>
      </c>
      <c r="P192" s="207" t="str">
        <f t="shared" si="17"/>
        <v/>
      </c>
    </row>
    <row r="193" spans="3:16">
      <c r="C193" s="200"/>
      <c r="D193" s="201"/>
      <c r="E193" s="202"/>
      <c r="F193" s="200"/>
      <c r="H193" s="203"/>
      <c r="I193" s="186" t="str">
        <f t="shared" si="13"/>
        <v/>
      </c>
      <c r="J193" s="204" t="str">
        <f>IF($H193="USD",IF(OR($I193="",$I193="-"),"",VLOOKUP($G193,為替!$A:$AX,$I193,FALSE))+$J$3,IF(OR($I193="",$I193="-"),"",VLOOKUP($G193,為替!$A:$AX,$I193,FALSE)))</f>
        <v/>
      </c>
      <c r="K193" s="205" t="str">
        <f t="shared" si="14"/>
        <v/>
      </c>
      <c r="L193" s="189" t="str">
        <f t="shared" si="15"/>
        <v/>
      </c>
      <c r="M193" s="204" t="str">
        <f>IF($H193="USD",IF(OR($L193="",$L193="-"),"",VLOOKUP($G193,為替!$A:$AX,$L193,FALSE))+$K$3,IF(OR($L193="",$L193="-"),"",VLOOKUP($G193,為替!$A:$AX,$L193,FALSE)))</f>
        <v/>
      </c>
      <c r="N193" s="205" t="str">
        <f t="shared" si="16"/>
        <v/>
      </c>
      <c r="O193" s="206" t="str">
        <f t="shared" si="12"/>
        <v/>
      </c>
      <c r="P193" s="207" t="str">
        <f t="shared" si="17"/>
        <v/>
      </c>
    </row>
    <row r="194" spans="3:16">
      <c r="C194" s="200"/>
      <c r="D194" s="201"/>
      <c r="E194" s="202"/>
      <c r="F194" s="200"/>
      <c r="H194" s="203"/>
      <c r="I194" s="186" t="str">
        <f t="shared" si="13"/>
        <v/>
      </c>
      <c r="J194" s="204" t="str">
        <f>IF($H194="USD",IF(OR($I194="",$I194="-"),"",VLOOKUP($G194,為替!$A:$AX,$I194,FALSE))+$J$3,IF(OR($I194="",$I194="-"),"",VLOOKUP($G194,為替!$A:$AX,$I194,FALSE)))</f>
        <v/>
      </c>
      <c r="K194" s="205" t="str">
        <f t="shared" si="14"/>
        <v/>
      </c>
      <c r="L194" s="189" t="str">
        <f t="shared" si="15"/>
        <v/>
      </c>
      <c r="M194" s="204" t="str">
        <f>IF($H194="USD",IF(OR($L194="",$L194="-"),"",VLOOKUP($G194,為替!$A:$AX,$L194,FALSE))+$K$3,IF(OR($L194="",$L194="-"),"",VLOOKUP($G194,為替!$A:$AX,$L194,FALSE)))</f>
        <v/>
      </c>
      <c r="N194" s="205" t="str">
        <f t="shared" si="16"/>
        <v/>
      </c>
      <c r="O194" s="206" t="str">
        <f t="shared" si="12"/>
        <v/>
      </c>
      <c r="P194" s="207" t="str">
        <f t="shared" si="17"/>
        <v/>
      </c>
    </row>
    <row r="195" spans="3:16">
      <c r="C195" s="200"/>
      <c r="D195" s="201"/>
      <c r="E195" s="202"/>
      <c r="F195" s="200"/>
      <c r="H195" s="203"/>
      <c r="I195" s="186" t="str">
        <f t="shared" si="13"/>
        <v/>
      </c>
      <c r="J195" s="204" t="str">
        <f>IF($H195="USD",IF(OR($I195="",$I195="-"),"",VLOOKUP($G195,為替!$A:$AX,$I195,FALSE))+$J$3,IF(OR($I195="",$I195="-"),"",VLOOKUP($G195,為替!$A:$AX,$I195,FALSE)))</f>
        <v/>
      </c>
      <c r="K195" s="205" t="str">
        <f t="shared" si="14"/>
        <v/>
      </c>
      <c r="L195" s="189" t="str">
        <f t="shared" si="15"/>
        <v/>
      </c>
      <c r="M195" s="204" t="str">
        <f>IF($H195="USD",IF(OR($L195="",$L195="-"),"",VLOOKUP($G195,為替!$A:$AX,$L195,FALSE))+$K$3,IF(OR($L195="",$L195="-"),"",VLOOKUP($G195,為替!$A:$AX,$L195,FALSE)))</f>
        <v/>
      </c>
      <c r="N195" s="205" t="str">
        <f t="shared" si="16"/>
        <v/>
      </c>
      <c r="O195" s="206" t="str">
        <f t="shared" si="12"/>
        <v/>
      </c>
      <c r="P195" s="207" t="str">
        <f t="shared" si="17"/>
        <v/>
      </c>
    </row>
    <row r="196" spans="3:16">
      <c r="C196" s="200"/>
      <c r="D196" s="201"/>
      <c r="E196" s="202"/>
      <c r="F196" s="200"/>
      <c r="H196" s="203"/>
      <c r="I196" s="186" t="str">
        <f t="shared" si="13"/>
        <v/>
      </c>
      <c r="J196" s="204" t="str">
        <f>IF($H196="USD",IF(OR($I196="",$I196="-"),"",VLOOKUP($G196,為替!$A:$AX,$I196,FALSE))+$J$3,IF(OR($I196="",$I196="-"),"",VLOOKUP($G196,為替!$A:$AX,$I196,FALSE)))</f>
        <v/>
      </c>
      <c r="K196" s="205" t="str">
        <f t="shared" si="14"/>
        <v/>
      </c>
      <c r="L196" s="189" t="str">
        <f t="shared" si="15"/>
        <v/>
      </c>
      <c r="M196" s="204" t="str">
        <f>IF($H196="USD",IF(OR($L196="",$L196="-"),"",VLOOKUP($G196,為替!$A:$AX,$L196,FALSE))+$K$3,IF(OR($L196="",$L196="-"),"",VLOOKUP($G196,為替!$A:$AX,$L196,FALSE)))</f>
        <v/>
      </c>
      <c r="N196" s="205" t="str">
        <f t="shared" si="16"/>
        <v/>
      </c>
      <c r="O196" s="206" t="str">
        <f t="shared" si="12"/>
        <v/>
      </c>
      <c r="P196" s="207" t="str">
        <f t="shared" si="17"/>
        <v/>
      </c>
    </row>
    <row r="197" spans="3:16">
      <c r="C197" s="200"/>
      <c r="D197" s="201"/>
      <c r="E197" s="202"/>
      <c r="F197" s="200"/>
      <c r="H197" s="203"/>
      <c r="I197" s="186" t="str">
        <f t="shared" si="13"/>
        <v/>
      </c>
      <c r="J197" s="204" t="str">
        <f>IF($H197="USD",IF(OR($I197="",$I197="-"),"",VLOOKUP($G197,為替!$A:$AX,$I197,FALSE))+$J$3,IF(OR($I197="",$I197="-"),"",VLOOKUP($G197,為替!$A:$AX,$I197,FALSE)))</f>
        <v/>
      </c>
      <c r="K197" s="205" t="str">
        <f t="shared" si="14"/>
        <v/>
      </c>
      <c r="L197" s="189" t="str">
        <f t="shared" si="15"/>
        <v/>
      </c>
      <c r="M197" s="204" t="str">
        <f>IF($H197="USD",IF(OR($L197="",$L197="-"),"",VLOOKUP($G197,為替!$A:$AX,$L197,FALSE))+$K$3,IF(OR($L197="",$L197="-"),"",VLOOKUP($G197,為替!$A:$AX,$L197,FALSE)))</f>
        <v/>
      </c>
      <c r="N197" s="205" t="str">
        <f t="shared" si="16"/>
        <v/>
      </c>
      <c r="O197" s="206" t="str">
        <f t="shared" si="12"/>
        <v/>
      </c>
      <c r="P197" s="207" t="str">
        <f t="shared" si="17"/>
        <v/>
      </c>
    </row>
    <row r="198" spans="3:16">
      <c r="C198" s="200"/>
      <c r="D198" s="201"/>
      <c r="E198" s="202"/>
      <c r="F198" s="200"/>
      <c r="H198" s="203"/>
      <c r="I198" s="186" t="str">
        <f t="shared" si="13"/>
        <v/>
      </c>
      <c r="J198" s="204" t="str">
        <f>IF($H198="USD",IF(OR($I198="",$I198="-"),"",VLOOKUP($G198,為替!$A:$AX,$I198,FALSE))+$J$3,IF(OR($I198="",$I198="-"),"",VLOOKUP($G198,為替!$A:$AX,$I198,FALSE)))</f>
        <v/>
      </c>
      <c r="K198" s="205" t="str">
        <f t="shared" si="14"/>
        <v/>
      </c>
      <c r="L198" s="189" t="str">
        <f t="shared" si="15"/>
        <v/>
      </c>
      <c r="M198" s="204" t="str">
        <f>IF($H198="USD",IF(OR($L198="",$L198="-"),"",VLOOKUP($G198,為替!$A:$AX,$L198,FALSE))+$K$3,IF(OR($L198="",$L198="-"),"",VLOOKUP($G198,為替!$A:$AX,$L198,FALSE)))</f>
        <v/>
      </c>
      <c r="N198" s="205" t="str">
        <f t="shared" si="16"/>
        <v/>
      </c>
      <c r="O198" s="206" t="str">
        <f t="shared" ref="O198:O261" si="18">IF(OR(K198="",N198=""),"",K198-N198)</f>
        <v/>
      </c>
      <c r="P198" s="207" t="str">
        <f t="shared" si="17"/>
        <v/>
      </c>
    </row>
    <row r="199" spans="3:16">
      <c r="C199" s="200"/>
      <c r="D199" s="201"/>
      <c r="E199" s="202"/>
      <c r="F199" s="200"/>
      <c r="H199" s="203"/>
      <c r="I199" s="186" t="str">
        <f t="shared" ref="I199:I262" si="19">IF(H199="","",IF(H199="JPY","",IF($H199="USD",4, IF(H199="EUR",7,IF(H199="CNY",47,IF(H199="HKD",34))))))</f>
        <v/>
      </c>
      <c r="J199" s="204" t="str">
        <f>IF($H199="USD",IF(OR($I199="",$I199="-"),"",VLOOKUP($G199,為替!$A:$AX,$I199,FALSE))+$J$3,IF(OR($I199="",$I199="-"),"",VLOOKUP($G199,為替!$A:$AX,$I199,FALSE)))</f>
        <v/>
      </c>
      <c r="K199" s="205" t="str">
        <f t="shared" ref="K199:K262" si="20">IF($H199="JPY",$F199,IF($H199="","",$F199*$J199))</f>
        <v/>
      </c>
      <c r="L199" s="189" t="str">
        <f t="shared" ref="L199:L262" si="21">IF(H199="","",IF(H199="JPY","",IF($H199="USD",3, IF(H199="EUR",6,IF(H199="CNY",46,IF(H199="HKD",33))))))</f>
        <v/>
      </c>
      <c r="M199" s="204" t="str">
        <f>IF($H199="USD",IF(OR($L199="",$L199="-"),"",VLOOKUP($G199,為替!$A:$AX,$L199,FALSE))+$K$3,IF(OR($L199="",$L199="-"),"",VLOOKUP($G199,為替!$A:$AX,$L199,FALSE)))</f>
        <v/>
      </c>
      <c r="N199" s="205" t="str">
        <f t="shared" ref="N199:N262" si="22">IF($E199="JPY",($C199+$D199),IF($E199="","",($C199+$D199)*$M199))</f>
        <v/>
      </c>
      <c r="O199" s="206" t="str">
        <f t="shared" si="18"/>
        <v/>
      </c>
      <c r="P199" s="207" t="str">
        <f t="shared" ref="P199:P262" si="23">IF(OR(K199="",O199=""),"",O199/K199)</f>
        <v/>
      </c>
    </row>
    <row r="200" spans="3:16">
      <c r="C200" s="200"/>
      <c r="D200" s="201"/>
      <c r="E200" s="202"/>
      <c r="F200" s="200"/>
      <c r="H200" s="203"/>
      <c r="I200" s="186" t="str">
        <f t="shared" si="19"/>
        <v/>
      </c>
      <c r="J200" s="204" t="str">
        <f>IF($H200="USD",IF(OR($I200="",$I200="-"),"",VLOOKUP($G200,為替!$A:$AX,$I200,FALSE))+$J$3,IF(OR($I200="",$I200="-"),"",VLOOKUP($G200,為替!$A:$AX,$I200,FALSE)))</f>
        <v/>
      </c>
      <c r="K200" s="205" t="str">
        <f t="shared" si="20"/>
        <v/>
      </c>
      <c r="L200" s="189" t="str">
        <f t="shared" si="21"/>
        <v/>
      </c>
      <c r="M200" s="204" t="str">
        <f>IF($H200="USD",IF(OR($L200="",$L200="-"),"",VLOOKUP($G200,為替!$A:$AX,$L200,FALSE))+$K$3,IF(OR($L200="",$L200="-"),"",VLOOKUP($G200,為替!$A:$AX,$L200,FALSE)))</f>
        <v/>
      </c>
      <c r="N200" s="205" t="str">
        <f t="shared" si="22"/>
        <v/>
      </c>
      <c r="O200" s="206" t="str">
        <f t="shared" si="18"/>
        <v/>
      </c>
      <c r="P200" s="207" t="str">
        <f t="shared" si="23"/>
        <v/>
      </c>
    </row>
    <row r="201" spans="3:16">
      <c r="C201" s="200"/>
      <c r="D201" s="201"/>
      <c r="E201" s="202"/>
      <c r="F201" s="200"/>
      <c r="H201" s="203"/>
      <c r="I201" s="186" t="str">
        <f t="shared" si="19"/>
        <v/>
      </c>
      <c r="J201" s="204" t="str">
        <f>IF($H201="USD",IF(OR($I201="",$I201="-"),"",VLOOKUP($G201,為替!$A:$AX,$I201,FALSE))+$J$3,IF(OR($I201="",$I201="-"),"",VLOOKUP($G201,為替!$A:$AX,$I201,FALSE)))</f>
        <v/>
      </c>
      <c r="K201" s="205" t="str">
        <f t="shared" si="20"/>
        <v/>
      </c>
      <c r="L201" s="189" t="str">
        <f t="shared" si="21"/>
        <v/>
      </c>
      <c r="M201" s="204" t="str">
        <f>IF($H201="USD",IF(OR($L201="",$L201="-"),"",VLOOKUP($G201,為替!$A:$AX,$L201,FALSE))+$K$3,IF(OR($L201="",$L201="-"),"",VLOOKUP($G201,為替!$A:$AX,$L201,FALSE)))</f>
        <v/>
      </c>
      <c r="N201" s="205" t="str">
        <f t="shared" si="22"/>
        <v/>
      </c>
      <c r="O201" s="206" t="str">
        <f t="shared" si="18"/>
        <v/>
      </c>
      <c r="P201" s="207" t="str">
        <f t="shared" si="23"/>
        <v/>
      </c>
    </row>
    <row r="202" spans="3:16">
      <c r="C202" s="200"/>
      <c r="D202" s="201"/>
      <c r="E202" s="202"/>
      <c r="F202" s="200"/>
      <c r="H202" s="203"/>
      <c r="I202" s="186" t="str">
        <f t="shared" si="19"/>
        <v/>
      </c>
      <c r="J202" s="204" t="str">
        <f>IF($H202="USD",IF(OR($I202="",$I202="-"),"",VLOOKUP($G202,為替!$A:$AX,$I202,FALSE))+$J$3,IF(OR($I202="",$I202="-"),"",VLOOKUP($G202,為替!$A:$AX,$I202,FALSE)))</f>
        <v/>
      </c>
      <c r="K202" s="205" t="str">
        <f t="shared" si="20"/>
        <v/>
      </c>
      <c r="L202" s="189" t="str">
        <f t="shared" si="21"/>
        <v/>
      </c>
      <c r="M202" s="204" t="str">
        <f>IF($H202="USD",IF(OR($L202="",$L202="-"),"",VLOOKUP($G202,為替!$A:$AX,$L202,FALSE))+$K$3,IF(OR($L202="",$L202="-"),"",VLOOKUP($G202,為替!$A:$AX,$L202,FALSE)))</f>
        <v/>
      </c>
      <c r="N202" s="205" t="str">
        <f t="shared" si="22"/>
        <v/>
      </c>
      <c r="O202" s="206" t="str">
        <f t="shared" si="18"/>
        <v/>
      </c>
      <c r="P202" s="207" t="str">
        <f t="shared" si="23"/>
        <v/>
      </c>
    </row>
    <row r="203" spans="3:16">
      <c r="C203" s="200"/>
      <c r="D203" s="201"/>
      <c r="E203" s="202"/>
      <c r="F203" s="200"/>
      <c r="H203" s="203"/>
      <c r="I203" s="186" t="str">
        <f t="shared" si="19"/>
        <v/>
      </c>
      <c r="J203" s="204" t="str">
        <f>IF($H203="USD",IF(OR($I203="",$I203="-"),"",VLOOKUP($G203,為替!$A:$AX,$I203,FALSE))+$J$3,IF(OR($I203="",$I203="-"),"",VLOOKUP($G203,為替!$A:$AX,$I203,FALSE)))</f>
        <v/>
      </c>
      <c r="K203" s="205" t="str">
        <f t="shared" si="20"/>
        <v/>
      </c>
      <c r="L203" s="189" t="str">
        <f t="shared" si="21"/>
        <v/>
      </c>
      <c r="M203" s="204" t="str">
        <f>IF($H203="USD",IF(OR($L203="",$L203="-"),"",VLOOKUP($G203,為替!$A:$AX,$L203,FALSE))+$K$3,IF(OR($L203="",$L203="-"),"",VLOOKUP($G203,為替!$A:$AX,$L203,FALSE)))</f>
        <v/>
      </c>
      <c r="N203" s="205" t="str">
        <f t="shared" si="22"/>
        <v/>
      </c>
      <c r="O203" s="206" t="str">
        <f t="shared" si="18"/>
        <v/>
      </c>
      <c r="P203" s="207" t="str">
        <f t="shared" si="23"/>
        <v/>
      </c>
    </row>
    <row r="204" spans="3:16">
      <c r="C204" s="200"/>
      <c r="D204" s="201"/>
      <c r="E204" s="202"/>
      <c r="F204" s="200"/>
      <c r="H204" s="203"/>
      <c r="I204" s="186" t="str">
        <f t="shared" si="19"/>
        <v/>
      </c>
      <c r="J204" s="204" t="str">
        <f>IF($H204="USD",IF(OR($I204="",$I204="-"),"",VLOOKUP($G204,為替!$A:$AX,$I204,FALSE))+$J$3,IF(OR($I204="",$I204="-"),"",VLOOKUP($G204,為替!$A:$AX,$I204,FALSE)))</f>
        <v/>
      </c>
      <c r="K204" s="205" t="str">
        <f t="shared" si="20"/>
        <v/>
      </c>
      <c r="L204" s="189" t="str">
        <f t="shared" si="21"/>
        <v/>
      </c>
      <c r="M204" s="204" t="str">
        <f>IF($H204="USD",IF(OR($L204="",$L204="-"),"",VLOOKUP($G204,為替!$A:$AX,$L204,FALSE))+$K$3,IF(OR($L204="",$L204="-"),"",VLOOKUP($G204,為替!$A:$AX,$L204,FALSE)))</f>
        <v/>
      </c>
      <c r="N204" s="205" t="str">
        <f t="shared" si="22"/>
        <v/>
      </c>
      <c r="O204" s="206" t="str">
        <f t="shared" si="18"/>
        <v/>
      </c>
      <c r="P204" s="207" t="str">
        <f t="shared" si="23"/>
        <v/>
      </c>
    </row>
    <row r="205" spans="3:16">
      <c r="C205" s="200"/>
      <c r="D205" s="201"/>
      <c r="E205" s="202"/>
      <c r="F205" s="200"/>
      <c r="H205" s="203"/>
      <c r="I205" s="186" t="str">
        <f t="shared" si="19"/>
        <v/>
      </c>
      <c r="J205" s="204" t="str">
        <f>IF($H205="USD",IF(OR($I205="",$I205="-"),"",VLOOKUP($G205,為替!$A:$AX,$I205,FALSE))+$J$3,IF(OR($I205="",$I205="-"),"",VLOOKUP($G205,為替!$A:$AX,$I205,FALSE)))</f>
        <v/>
      </c>
      <c r="K205" s="205" t="str">
        <f t="shared" si="20"/>
        <v/>
      </c>
      <c r="L205" s="189" t="str">
        <f t="shared" si="21"/>
        <v/>
      </c>
      <c r="M205" s="204" t="str">
        <f>IF($H205="USD",IF(OR($L205="",$L205="-"),"",VLOOKUP($G205,為替!$A:$AX,$L205,FALSE))+$K$3,IF(OR($L205="",$L205="-"),"",VLOOKUP($G205,為替!$A:$AX,$L205,FALSE)))</f>
        <v/>
      </c>
      <c r="N205" s="205" t="str">
        <f t="shared" si="22"/>
        <v/>
      </c>
      <c r="O205" s="206" t="str">
        <f t="shared" si="18"/>
        <v/>
      </c>
      <c r="P205" s="207" t="str">
        <f t="shared" si="23"/>
        <v/>
      </c>
    </row>
    <row r="206" spans="3:16">
      <c r="C206" s="200"/>
      <c r="D206" s="201"/>
      <c r="E206" s="202"/>
      <c r="F206" s="200"/>
      <c r="H206" s="203"/>
      <c r="I206" s="186" t="str">
        <f t="shared" si="19"/>
        <v/>
      </c>
      <c r="J206" s="204" t="str">
        <f>IF($H206="USD",IF(OR($I206="",$I206="-"),"",VLOOKUP($G206,為替!$A:$AX,$I206,FALSE))+$J$3,IF(OR($I206="",$I206="-"),"",VLOOKUP($G206,為替!$A:$AX,$I206,FALSE)))</f>
        <v/>
      </c>
      <c r="K206" s="205" t="str">
        <f t="shared" si="20"/>
        <v/>
      </c>
      <c r="L206" s="189" t="str">
        <f t="shared" si="21"/>
        <v/>
      </c>
      <c r="M206" s="204" t="str">
        <f>IF($H206="USD",IF(OR($L206="",$L206="-"),"",VLOOKUP($G206,為替!$A:$AX,$L206,FALSE))+$K$3,IF(OR($L206="",$L206="-"),"",VLOOKUP($G206,為替!$A:$AX,$L206,FALSE)))</f>
        <v/>
      </c>
      <c r="N206" s="205" t="str">
        <f t="shared" si="22"/>
        <v/>
      </c>
      <c r="O206" s="206" t="str">
        <f t="shared" si="18"/>
        <v/>
      </c>
      <c r="P206" s="207" t="str">
        <f t="shared" si="23"/>
        <v/>
      </c>
    </row>
    <row r="207" spans="3:16">
      <c r="C207" s="200"/>
      <c r="D207" s="201"/>
      <c r="E207" s="202"/>
      <c r="F207" s="200"/>
      <c r="H207" s="203"/>
      <c r="I207" s="186" t="str">
        <f t="shared" si="19"/>
        <v/>
      </c>
      <c r="J207" s="204" t="str">
        <f>IF($H207="USD",IF(OR($I207="",$I207="-"),"",VLOOKUP($G207,為替!$A:$AX,$I207,FALSE))+$J$3,IF(OR($I207="",$I207="-"),"",VLOOKUP($G207,為替!$A:$AX,$I207,FALSE)))</f>
        <v/>
      </c>
      <c r="K207" s="205" t="str">
        <f t="shared" si="20"/>
        <v/>
      </c>
      <c r="L207" s="189" t="str">
        <f t="shared" si="21"/>
        <v/>
      </c>
      <c r="M207" s="204" t="str">
        <f>IF($H207="USD",IF(OR($L207="",$L207="-"),"",VLOOKUP($G207,為替!$A:$AX,$L207,FALSE))+$K$3,IF(OR($L207="",$L207="-"),"",VLOOKUP($G207,為替!$A:$AX,$L207,FALSE)))</f>
        <v/>
      </c>
      <c r="N207" s="205" t="str">
        <f t="shared" si="22"/>
        <v/>
      </c>
      <c r="O207" s="206" t="str">
        <f t="shared" si="18"/>
        <v/>
      </c>
      <c r="P207" s="207" t="str">
        <f t="shared" si="23"/>
        <v/>
      </c>
    </row>
    <row r="208" spans="3:16">
      <c r="C208" s="200"/>
      <c r="D208" s="201"/>
      <c r="E208" s="202"/>
      <c r="F208" s="200"/>
      <c r="H208" s="203"/>
      <c r="I208" s="186" t="str">
        <f t="shared" si="19"/>
        <v/>
      </c>
      <c r="J208" s="204" t="str">
        <f>IF($H208="USD",IF(OR($I208="",$I208="-"),"",VLOOKUP($G208,為替!$A:$AX,$I208,FALSE))+$J$3,IF(OR($I208="",$I208="-"),"",VLOOKUP($G208,為替!$A:$AX,$I208,FALSE)))</f>
        <v/>
      </c>
      <c r="K208" s="205" t="str">
        <f t="shared" si="20"/>
        <v/>
      </c>
      <c r="L208" s="189" t="str">
        <f t="shared" si="21"/>
        <v/>
      </c>
      <c r="M208" s="204" t="str">
        <f>IF($H208="USD",IF(OR($L208="",$L208="-"),"",VLOOKUP($G208,為替!$A:$AX,$L208,FALSE))+$K$3,IF(OR($L208="",$L208="-"),"",VLOOKUP($G208,為替!$A:$AX,$L208,FALSE)))</f>
        <v/>
      </c>
      <c r="N208" s="205" t="str">
        <f t="shared" si="22"/>
        <v/>
      </c>
      <c r="O208" s="206" t="str">
        <f t="shared" si="18"/>
        <v/>
      </c>
      <c r="P208" s="207" t="str">
        <f t="shared" si="23"/>
        <v/>
      </c>
    </row>
    <row r="209" spans="3:16">
      <c r="C209" s="200"/>
      <c r="D209" s="201"/>
      <c r="E209" s="202"/>
      <c r="F209" s="200"/>
      <c r="H209" s="203"/>
      <c r="I209" s="186" t="str">
        <f t="shared" si="19"/>
        <v/>
      </c>
      <c r="J209" s="204" t="str">
        <f>IF($H209="USD",IF(OR($I209="",$I209="-"),"",VLOOKUP($G209,為替!$A:$AX,$I209,FALSE))+$J$3,IF(OR($I209="",$I209="-"),"",VLOOKUP($G209,為替!$A:$AX,$I209,FALSE)))</f>
        <v/>
      </c>
      <c r="K209" s="205" t="str">
        <f t="shared" si="20"/>
        <v/>
      </c>
      <c r="L209" s="189" t="str">
        <f t="shared" si="21"/>
        <v/>
      </c>
      <c r="M209" s="204" t="str">
        <f>IF($H209="USD",IF(OR($L209="",$L209="-"),"",VLOOKUP($G209,為替!$A:$AX,$L209,FALSE))+$K$3,IF(OR($L209="",$L209="-"),"",VLOOKUP($G209,為替!$A:$AX,$L209,FALSE)))</f>
        <v/>
      </c>
      <c r="N209" s="205" t="str">
        <f t="shared" si="22"/>
        <v/>
      </c>
      <c r="O209" s="206" t="str">
        <f t="shared" si="18"/>
        <v/>
      </c>
      <c r="P209" s="207" t="str">
        <f t="shared" si="23"/>
        <v/>
      </c>
    </row>
    <row r="210" spans="3:16">
      <c r="C210" s="200"/>
      <c r="D210" s="201"/>
      <c r="E210" s="202"/>
      <c r="F210" s="200"/>
      <c r="H210" s="203"/>
      <c r="I210" s="186" t="str">
        <f t="shared" si="19"/>
        <v/>
      </c>
      <c r="J210" s="204" t="str">
        <f>IF($H210="USD",IF(OR($I210="",$I210="-"),"",VLOOKUP($G210,為替!$A:$AX,$I210,FALSE))+$J$3,IF(OR($I210="",$I210="-"),"",VLOOKUP($G210,為替!$A:$AX,$I210,FALSE)))</f>
        <v/>
      </c>
      <c r="K210" s="205" t="str">
        <f t="shared" si="20"/>
        <v/>
      </c>
      <c r="L210" s="189" t="str">
        <f t="shared" si="21"/>
        <v/>
      </c>
      <c r="M210" s="204" t="str">
        <f>IF($H210="USD",IF(OR($L210="",$L210="-"),"",VLOOKUP($G210,為替!$A:$AX,$L210,FALSE))+$K$3,IF(OR($L210="",$L210="-"),"",VLOOKUP($G210,為替!$A:$AX,$L210,FALSE)))</f>
        <v/>
      </c>
      <c r="N210" s="205" t="str">
        <f t="shared" si="22"/>
        <v/>
      </c>
      <c r="O210" s="206" t="str">
        <f t="shared" si="18"/>
        <v/>
      </c>
      <c r="P210" s="207" t="str">
        <f t="shared" si="23"/>
        <v/>
      </c>
    </row>
    <row r="211" spans="3:16">
      <c r="C211" s="200"/>
      <c r="D211" s="201"/>
      <c r="E211" s="202"/>
      <c r="F211" s="200"/>
      <c r="H211" s="203"/>
      <c r="I211" s="186" t="str">
        <f t="shared" si="19"/>
        <v/>
      </c>
      <c r="J211" s="204" t="str">
        <f>IF($H211="USD",IF(OR($I211="",$I211="-"),"",VLOOKUP($G211,為替!$A:$AX,$I211,FALSE))+$J$3,IF(OR($I211="",$I211="-"),"",VLOOKUP($G211,為替!$A:$AX,$I211,FALSE)))</f>
        <v/>
      </c>
      <c r="K211" s="205" t="str">
        <f t="shared" si="20"/>
        <v/>
      </c>
      <c r="L211" s="189" t="str">
        <f t="shared" si="21"/>
        <v/>
      </c>
      <c r="M211" s="204" t="str">
        <f>IF($H211="USD",IF(OR($L211="",$L211="-"),"",VLOOKUP($G211,為替!$A:$AX,$L211,FALSE))+$K$3,IF(OR($L211="",$L211="-"),"",VLOOKUP($G211,為替!$A:$AX,$L211,FALSE)))</f>
        <v/>
      </c>
      <c r="N211" s="205" t="str">
        <f t="shared" si="22"/>
        <v/>
      </c>
      <c r="O211" s="206" t="str">
        <f t="shared" si="18"/>
        <v/>
      </c>
      <c r="P211" s="207" t="str">
        <f t="shared" si="23"/>
        <v/>
      </c>
    </row>
    <row r="212" spans="3:16">
      <c r="C212" s="200"/>
      <c r="D212" s="201"/>
      <c r="E212" s="202"/>
      <c r="F212" s="200"/>
      <c r="H212" s="203"/>
      <c r="I212" s="186" t="str">
        <f t="shared" si="19"/>
        <v/>
      </c>
      <c r="J212" s="204" t="str">
        <f>IF($H212="USD",IF(OR($I212="",$I212="-"),"",VLOOKUP($G212,為替!$A:$AX,$I212,FALSE))+$J$3,IF(OR($I212="",$I212="-"),"",VLOOKUP($G212,為替!$A:$AX,$I212,FALSE)))</f>
        <v/>
      </c>
      <c r="K212" s="205" t="str">
        <f t="shared" si="20"/>
        <v/>
      </c>
      <c r="L212" s="189" t="str">
        <f t="shared" si="21"/>
        <v/>
      </c>
      <c r="M212" s="204" t="str">
        <f>IF($H212="USD",IF(OR($L212="",$L212="-"),"",VLOOKUP($G212,為替!$A:$AX,$L212,FALSE))+$K$3,IF(OR($L212="",$L212="-"),"",VLOOKUP($G212,為替!$A:$AX,$L212,FALSE)))</f>
        <v/>
      </c>
      <c r="N212" s="205" t="str">
        <f t="shared" si="22"/>
        <v/>
      </c>
      <c r="O212" s="206" t="str">
        <f t="shared" si="18"/>
        <v/>
      </c>
      <c r="P212" s="207" t="str">
        <f t="shared" si="23"/>
        <v/>
      </c>
    </row>
    <row r="213" spans="3:16">
      <c r="C213" s="200"/>
      <c r="D213" s="201"/>
      <c r="E213" s="202"/>
      <c r="F213" s="200"/>
      <c r="H213" s="203"/>
      <c r="I213" s="186" t="str">
        <f t="shared" si="19"/>
        <v/>
      </c>
      <c r="J213" s="204" t="str">
        <f>IF($H213="USD",IF(OR($I213="",$I213="-"),"",VLOOKUP($G213,為替!$A:$AX,$I213,FALSE))+$J$3,IF(OR($I213="",$I213="-"),"",VLOOKUP($G213,為替!$A:$AX,$I213,FALSE)))</f>
        <v/>
      </c>
      <c r="K213" s="205" t="str">
        <f t="shared" si="20"/>
        <v/>
      </c>
      <c r="L213" s="189" t="str">
        <f t="shared" si="21"/>
        <v/>
      </c>
      <c r="M213" s="204" t="str">
        <f>IF($H213="USD",IF(OR($L213="",$L213="-"),"",VLOOKUP($G213,為替!$A:$AX,$L213,FALSE))+$K$3,IF(OR($L213="",$L213="-"),"",VLOOKUP($G213,為替!$A:$AX,$L213,FALSE)))</f>
        <v/>
      </c>
      <c r="N213" s="205" t="str">
        <f t="shared" si="22"/>
        <v/>
      </c>
      <c r="O213" s="206" t="str">
        <f t="shared" si="18"/>
        <v/>
      </c>
      <c r="P213" s="207" t="str">
        <f t="shared" si="23"/>
        <v/>
      </c>
    </row>
    <row r="214" spans="3:16">
      <c r="C214" s="200"/>
      <c r="D214" s="201"/>
      <c r="E214" s="202"/>
      <c r="F214" s="200"/>
      <c r="H214" s="203"/>
      <c r="I214" s="186" t="str">
        <f t="shared" si="19"/>
        <v/>
      </c>
      <c r="J214" s="204" t="str">
        <f>IF($H214="USD",IF(OR($I214="",$I214="-"),"",VLOOKUP($G214,為替!$A:$AX,$I214,FALSE))+$J$3,IF(OR($I214="",$I214="-"),"",VLOOKUP($G214,為替!$A:$AX,$I214,FALSE)))</f>
        <v/>
      </c>
      <c r="K214" s="205" t="str">
        <f t="shared" si="20"/>
        <v/>
      </c>
      <c r="L214" s="189" t="str">
        <f t="shared" si="21"/>
        <v/>
      </c>
      <c r="M214" s="204" t="str">
        <f>IF($H214="USD",IF(OR($L214="",$L214="-"),"",VLOOKUP($G214,為替!$A:$AX,$L214,FALSE))+$K$3,IF(OR($L214="",$L214="-"),"",VLOOKUP($G214,為替!$A:$AX,$L214,FALSE)))</f>
        <v/>
      </c>
      <c r="N214" s="205" t="str">
        <f t="shared" si="22"/>
        <v/>
      </c>
      <c r="O214" s="206" t="str">
        <f t="shared" si="18"/>
        <v/>
      </c>
      <c r="P214" s="207" t="str">
        <f t="shared" si="23"/>
        <v/>
      </c>
    </row>
    <row r="215" spans="3:16">
      <c r="C215" s="200"/>
      <c r="D215" s="201"/>
      <c r="E215" s="202"/>
      <c r="F215" s="200"/>
      <c r="H215" s="203"/>
      <c r="I215" s="186" t="str">
        <f t="shared" si="19"/>
        <v/>
      </c>
      <c r="J215" s="204" t="str">
        <f>IF($H215="USD",IF(OR($I215="",$I215="-"),"",VLOOKUP($G215,為替!$A:$AX,$I215,FALSE))+$J$3,IF(OR($I215="",$I215="-"),"",VLOOKUP($G215,為替!$A:$AX,$I215,FALSE)))</f>
        <v/>
      </c>
      <c r="K215" s="205" t="str">
        <f t="shared" si="20"/>
        <v/>
      </c>
      <c r="L215" s="189" t="str">
        <f t="shared" si="21"/>
        <v/>
      </c>
      <c r="M215" s="204" t="str">
        <f>IF($H215="USD",IF(OR($L215="",$L215="-"),"",VLOOKUP($G215,為替!$A:$AX,$L215,FALSE))+$K$3,IF(OR($L215="",$L215="-"),"",VLOOKUP($G215,為替!$A:$AX,$L215,FALSE)))</f>
        <v/>
      </c>
      <c r="N215" s="205" t="str">
        <f t="shared" si="22"/>
        <v/>
      </c>
      <c r="O215" s="206" t="str">
        <f t="shared" si="18"/>
        <v/>
      </c>
      <c r="P215" s="207" t="str">
        <f t="shared" si="23"/>
        <v/>
      </c>
    </row>
    <row r="216" spans="3:16">
      <c r="C216" s="200"/>
      <c r="D216" s="201"/>
      <c r="E216" s="202"/>
      <c r="F216" s="200"/>
      <c r="H216" s="203"/>
      <c r="I216" s="186" t="str">
        <f t="shared" si="19"/>
        <v/>
      </c>
      <c r="J216" s="204" t="str">
        <f>IF($H216="USD",IF(OR($I216="",$I216="-"),"",VLOOKUP($G216,為替!$A:$AX,$I216,FALSE))+$J$3,IF(OR($I216="",$I216="-"),"",VLOOKUP($G216,為替!$A:$AX,$I216,FALSE)))</f>
        <v/>
      </c>
      <c r="K216" s="205" t="str">
        <f t="shared" si="20"/>
        <v/>
      </c>
      <c r="L216" s="189" t="str">
        <f t="shared" si="21"/>
        <v/>
      </c>
      <c r="M216" s="204" t="str">
        <f>IF($H216="USD",IF(OR($L216="",$L216="-"),"",VLOOKUP($G216,為替!$A:$AX,$L216,FALSE))+$K$3,IF(OR($L216="",$L216="-"),"",VLOOKUP($G216,為替!$A:$AX,$L216,FALSE)))</f>
        <v/>
      </c>
      <c r="N216" s="205" t="str">
        <f t="shared" si="22"/>
        <v/>
      </c>
      <c r="O216" s="206" t="str">
        <f t="shared" si="18"/>
        <v/>
      </c>
      <c r="P216" s="207" t="str">
        <f t="shared" si="23"/>
        <v/>
      </c>
    </row>
    <row r="217" spans="3:16">
      <c r="C217" s="200"/>
      <c r="D217" s="201"/>
      <c r="E217" s="202"/>
      <c r="F217" s="200"/>
      <c r="H217" s="203"/>
      <c r="I217" s="186" t="str">
        <f t="shared" si="19"/>
        <v/>
      </c>
      <c r="J217" s="204" t="str">
        <f>IF($H217="USD",IF(OR($I217="",$I217="-"),"",VLOOKUP($G217,為替!$A:$AX,$I217,FALSE))+$J$3,IF(OR($I217="",$I217="-"),"",VLOOKUP($G217,為替!$A:$AX,$I217,FALSE)))</f>
        <v/>
      </c>
      <c r="K217" s="205" t="str">
        <f t="shared" si="20"/>
        <v/>
      </c>
      <c r="L217" s="189" t="str">
        <f t="shared" si="21"/>
        <v/>
      </c>
      <c r="M217" s="204" t="str">
        <f>IF($H217="USD",IF(OR($L217="",$L217="-"),"",VLOOKUP($G217,為替!$A:$AX,$L217,FALSE))+$K$3,IF(OR($L217="",$L217="-"),"",VLOOKUP($G217,為替!$A:$AX,$L217,FALSE)))</f>
        <v/>
      </c>
      <c r="N217" s="205" t="str">
        <f t="shared" si="22"/>
        <v/>
      </c>
      <c r="O217" s="206" t="str">
        <f t="shared" si="18"/>
        <v/>
      </c>
      <c r="P217" s="207" t="str">
        <f t="shared" si="23"/>
        <v/>
      </c>
    </row>
    <row r="218" spans="3:16">
      <c r="C218" s="200"/>
      <c r="D218" s="201"/>
      <c r="E218" s="202"/>
      <c r="F218" s="200"/>
      <c r="H218" s="203"/>
      <c r="I218" s="186" t="str">
        <f t="shared" si="19"/>
        <v/>
      </c>
      <c r="J218" s="204" t="str">
        <f>IF($H218="USD",IF(OR($I218="",$I218="-"),"",VLOOKUP($G218,為替!$A:$AX,$I218,FALSE))+$J$3,IF(OR($I218="",$I218="-"),"",VLOOKUP($G218,為替!$A:$AX,$I218,FALSE)))</f>
        <v/>
      </c>
      <c r="K218" s="205" t="str">
        <f t="shared" si="20"/>
        <v/>
      </c>
      <c r="L218" s="189" t="str">
        <f t="shared" si="21"/>
        <v/>
      </c>
      <c r="M218" s="204" t="str">
        <f>IF($H218="USD",IF(OR($L218="",$L218="-"),"",VLOOKUP($G218,為替!$A:$AX,$L218,FALSE))+$K$3,IF(OR($L218="",$L218="-"),"",VLOOKUP($G218,為替!$A:$AX,$L218,FALSE)))</f>
        <v/>
      </c>
      <c r="N218" s="205" t="str">
        <f t="shared" si="22"/>
        <v/>
      </c>
      <c r="O218" s="206" t="str">
        <f t="shared" si="18"/>
        <v/>
      </c>
      <c r="P218" s="207" t="str">
        <f t="shared" si="23"/>
        <v/>
      </c>
    </row>
    <row r="219" spans="3:16">
      <c r="C219" s="200"/>
      <c r="D219" s="201"/>
      <c r="E219" s="202"/>
      <c r="F219" s="200"/>
      <c r="H219" s="203"/>
      <c r="I219" s="186" t="str">
        <f t="shared" si="19"/>
        <v/>
      </c>
      <c r="J219" s="204" t="str">
        <f>IF($H219="USD",IF(OR($I219="",$I219="-"),"",VLOOKUP($G219,為替!$A:$AX,$I219,FALSE))+$J$3,IF(OR($I219="",$I219="-"),"",VLOOKUP($G219,為替!$A:$AX,$I219,FALSE)))</f>
        <v/>
      </c>
      <c r="K219" s="205" t="str">
        <f t="shared" si="20"/>
        <v/>
      </c>
      <c r="L219" s="189" t="str">
        <f t="shared" si="21"/>
        <v/>
      </c>
      <c r="M219" s="204" t="str">
        <f>IF($H219="USD",IF(OR($L219="",$L219="-"),"",VLOOKUP($G219,為替!$A:$AX,$L219,FALSE))+$K$3,IF(OR($L219="",$L219="-"),"",VLOOKUP($G219,為替!$A:$AX,$L219,FALSE)))</f>
        <v/>
      </c>
      <c r="N219" s="205" t="str">
        <f t="shared" si="22"/>
        <v/>
      </c>
      <c r="O219" s="206" t="str">
        <f t="shared" si="18"/>
        <v/>
      </c>
      <c r="P219" s="207" t="str">
        <f t="shared" si="23"/>
        <v/>
      </c>
    </row>
    <row r="220" spans="3:16">
      <c r="C220" s="200"/>
      <c r="D220" s="201"/>
      <c r="E220" s="202"/>
      <c r="F220" s="200"/>
      <c r="H220" s="203"/>
      <c r="I220" s="186" t="str">
        <f t="shared" si="19"/>
        <v/>
      </c>
      <c r="J220" s="204" t="str">
        <f>IF($H220="USD",IF(OR($I220="",$I220="-"),"",VLOOKUP($G220,為替!$A:$AX,$I220,FALSE))+$J$3,IF(OR($I220="",$I220="-"),"",VLOOKUP($G220,為替!$A:$AX,$I220,FALSE)))</f>
        <v/>
      </c>
      <c r="K220" s="205" t="str">
        <f t="shared" si="20"/>
        <v/>
      </c>
      <c r="L220" s="189" t="str">
        <f t="shared" si="21"/>
        <v/>
      </c>
      <c r="M220" s="204" t="str">
        <f>IF($H220="USD",IF(OR($L220="",$L220="-"),"",VLOOKUP($G220,為替!$A:$AX,$L220,FALSE))+$K$3,IF(OR($L220="",$L220="-"),"",VLOOKUP($G220,為替!$A:$AX,$L220,FALSE)))</f>
        <v/>
      </c>
      <c r="N220" s="205" t="str">
        <f t="shared" si="22"/>
        <v/>
      </c>
      <c r="O220" s="206" t="str">
        <f t="shared" si="18"/>
        <v/>
      </c>
      <c r="P220" s="207" t="str">
        <f t="shared" si="23"/>
        <v/>
      </c>
    </row>
    <row r="221" spans="3:16">
      <c r="C221" s="200"/>
      <c r="D221" s="201"/>
      <c r="E221" s="202"/>
      <c r="F221" s="200"/>
      <c r="H221" s="203"/>
      <c r="I221" s="186" t="str">
        <f t="shared" si="19"/>
        <v/>
      </c>
      <c r="J221" s="204" t="str">
        <f>IF($H221="USD",IF(OR($I221="",$I221="-"),"",VLOOKUP($G221,為替!$A:$AX,$I221,FALSE))+$J$3,IF(OR($I221="",$I221="-"),"",VLOOKUP($G221,為替!$A:$AX,$I221,FALSE)))</f>
        <v/>
      </c>
      <c r="K221" s="205" t="str">
        <f t="shared" si="20"/>
        <v/>
      </c>
      <c r="L221" s="189" t="str">
        <f t="shared" si="21"/>
        <v/>
      </c>
      <c r="M221" s="204" t="str">
        <f>IF($H221="USD",IF(OR($L221="",$L221="-"),"",VLOOKUP($G221,為替!$A:$AX,$L221,FALSE))+$K$3,IF(OR($L221="",$L221="-"),"",VLOOKUP($G221,為替!$A:$AX,$L221,FALSE)))</f>
        <v/>
      </c>
      <c r="N221" s="205" t="str">
        <f t="shared" si="22"/>
        <v/>
      </c>
      <c r="O221" s="206" t="str">
        <f t="shared" si="18"/>
        <v/>
      </c>
      <c r="P221" s="207" t="str">
        <f t="shared" si="23"/>
        <v/>
      </c>
    </row>
    <row r="222" spans="3:16">
      <c r="C222" s="200"/>
      <c r="D222" s="201"/>
      <c r="E222" s="202"/>
      <c r="F222" s="200"/>
      <c r="H222" s="203"/>
      <c r="I222" s="186" t="str">
        <f t="shared" si="19"/>
        <v/>
      </c>
      <c r="J222" s="204" t="str">
        <f>IF($H222="USD",IF(OR($I222="",$I222="-"),"",VLOOKUP($G222,為替!$A:$AX,$I222,FALSE))+$J$3,IF(OR($I222="",$I222="-"),"",VLOOKUP($G222,為替!$A:$AX,$I222,FALSE)))</f>
        <v/>
      </c>
      <c r="K222" s="205" t="str">
        <f t="shared" si="20"/>
        <v/>
      </c>
      <c r="L222" s="189" t="str">
        <f t="shared" si="21"/>
        <v/>
      </c>
      <c r="M222" s="204" t="str">
        <f>IF($H222="USD",IF(OR($L222="",$L222="-"),"",VLOOKUP($G222,為替!$A:$AX,$L222,FALSE))+$K$3,IF(OR($L222="",$L222="-"),"",VLOOKUP($G222,為替!$A:$AX,$L222,FALSE)))</f>
        <v/>
      </c>
      <c r="N222" s="205" t="str">
        <f t="shared" si="22"/>
        <v/>
      </c>
      <c r="O222" s="206" t="str">
        <f t="shared" si="18"/>
        <v/>
      </c>
      <c r="P222" s="207" t="str">
        <f t="shared" si="23"/>
        <v/>
      </c>
    </row>
    <row r="223" spans="3:16">
      <c r="C223" s="200"/>
      <c r="D223" s="201"/>
      <c r="E223" s="202"/>
      <c r="F223" s="200"/>
      <c r="H223" s="203"/>
      <c r="I223" s="186" t="str">
        <f t="shared" si="19"/>
        <v/>
      </c>
      <c r="J223" s="204" t="str">
        <f>IF($H223="USD",IF(OR($I223="",$I223="-"),"",VLOOKUP($G223,為替!$A:$AX,$I223,FALSE))+$J$3,IF(OR($I223="",$I223="-"),"",VLOOKUP($G223,為替!$A:$AX,$I223,FALSE)))</f>
        <v/>
      </c>
      <c r="K223" s="205" t="str">
        <f t="shared" si="20"/>
        <v/>
      </c>
      <c r="L223" s="189" t="str">
        <f t="shared" si="21"/>
        <v/>
      </c>
      <c r="M223" s="204" t="str">
        <f>IF($H223="USD",IF(OR($L223="",$L223="-"),"",VLOOKUP($G223,為替!$A:$AX,$L223,FALSE))+$K$3,IF(OR($L223="",$L223="-"),"",VLOOKUP($G223,為替!$A:$AX,$L223,FALSE)))</f>
        <v/>
      </c>
      <c r="N223" s="205" t="str">
        <f t="shared" si="22"/>
        <v/>
      </c>
      <c r="O223" s="206" t="str">
        <f t="shared" si="18"/>
        <v/>
      </c>
      <c r="P223" s="207" t="str">
        <f t="shared" si="23"/>
        <v/>
      </c>
    </row>
    <row r="224" spans="3:16">
      <c r="C224" s="200"/>
      <c r="D224" s="201"/>
      <c r="E224" s="202"/>
      <c r="F224" s="200"/>
      <c r="H224" s="203"/>
      <c r="I224" s="186" t="str">
        <f t="shared" si="19"/>
        <v/>
      </c>
      <c r="J224" s="204" t="str">
        <f>IF($H224="USD",IF(OR($I224="",$I224="-"),"",VLOOKUP($G224,為替!$A:$AX,$I224,FALSE))+$J$3,IF(OR($I224="",$I224="-"),"",VLOOKUP($G224,為替!$A:$AX,$I224,FALSE)))</f>
        <v/>
      </c>
      <c r="K224" s="205" t="str">
        <f t="shared" si="20"/>
        <v/>
      </c>
      <c r="L224" s="189" t="str">
        <f t="shared" si="21"/>
        <v/>
      </c>
      <c r="M224" s="204" t="str">
        <f>IF($H224="USD",IF(OR($L224="",$L224="-"),"",VLOOKUP($G224,為替!$A:$AX,$L224,FALSE))+$K$3,IF(OR($L224="",$L224="-"),"",VLOOKUP($G224,為替!$A:$AX,$L224,FALSE)))</f>
        <v/>
      </c>
      <c r="N224" s="205" t="str">
        <f t="shared" si="22"/>
        <v/>
      </c>
      <c r="O224" s="206" t="str">
        <f t="shared" si="18"/>
        <v/>
      </c>
      <c r="P224" s="207" t="str">
        <f t="shared" si="23"/>
        <v/>
      </c>
    </row>
    <row r="225" spans="3:16">
      <c r="C225" s="200"/>
      <c r="D225" s="201"/>
      <c r="E225" s="202"/>
      <c r="F225" s="200"/>
      <c r="H225" s="203"/>
      <c r="I225" s="186" t="str">
        <f t="shared" si="19"/>
        <v/>
      </c>
      <c r="J225" s="204" t="str">
        <f>IF($H225="USD",IF(OR($I225="",$I225="-"),"",VLOOKUP($G225,為替!$A:$AX,$I225,FALSE))+$J$3,IF(OR($I225="",$I225="-"),"",VLOOKUP($G225,為替!$A:$AX,$I225,FALSE)))</f>
        <v/>
      </c>
      <c r="K225" s="205" t="str">
        <f t="shared" si="20"/>
        <v/>
      </c>
      <c r="L225" s="189" t="str">
        <f t="shared" si="21"/>
        <v/>
      </c>
      <c r="M225" s="204" t="str">
        <f>IF($H225="USD",IF(OR($L225="",$L225="-"),"",VLOOKUP($G225,為替!$A:$AX,$L225,FALSE))+$K$3,IF(OR($L225="",$L225="-"),"",VLOOKUP($G225,為替!$A:$AX,$L225,FALSE)))</f>
        <v/>
      </c>
      <c r="N225" s="205" t="str">
        <f t="shared" si="22"/>
        <v/>
      </c>
      <c r="O225" s="206" t="str">
        <f t="shared" si="18"/>
        <v/>
      </c>
      <c r="P225" s="207" t="str">
        <f t="shared" si="23"/>
        <v/>
      </c>
    </row>
    <row r="226" spans="3:16">
      <c r="C226" s="200"/>
      <c r="D226" s="201"/>
      <c r="E226" s="202"/>
      <c r="F226" s="200"/>
      <c r="H226" s="203"/>
      <c r="I226" s="186" t="str">
        <f t="shared" si="19"/>
        <v/>
      </c>
      <c r="J226" s="204" t="str">
        <f>IF($H226="USD",IF(OR($I226="",$I226="-"),"",VLOOKUP($G226,為替!$A:$AX,$I226,FALSE))+$J$3,IF(OR($I226="",$I226="-"),"",VLOOKUP($G226,為替!$A:$AX,$I226,FALSE)))</f>
        <v/>
      </c>
      <c r="K226" s="205" t="str">
        <f t="shared" si="20"/>
        <v/>
      </c>
      <c r="L226" s="189" t="str">
        <f t="shared" si="21"/>
        <v/>
      </c>
      <c r="M226" s="204" t="str">
        <f>IF($H226="USD",IF(OR($L226="",$L226="-"),"",VLOOKUP($G226,為替!$A:$AX,$L226,FALSE))+$K$3,IF(OR($L226="",$L226="-"),"",VLOOKUP($G226,為替!$A:$AX,$L226,FALSE)))</f>
        <v/>
      </c>
      <c r="N226" s="205" t="str">
        <f t="shared" si="22"/>
        <v/>
      </c>
      <c r="O226" s="206" t="str">
        <f t="shared" si="18"/>
        <v/>
      </c>
      <c r="P226" s="207" t="str">
        <f t="shared" si="23"/>
        <v/>
      </c>
    </row>
    <row r="227" spans="3:16">
      <c r="C227" s="200"/>
      <c r="D227" s="201"/>
      <c r="E227" s="202"/>
      <c r="F227" s="200"/>
      <c r="H227" s="203"/>
      <c r="I227" s="186" t="str">
        <f t="shared" si="19"/>
        <v/>
      </c>
      <c r="J227" s="204" t="str">
        <f>IF($H227="USD",IF(OR($I227="",$I227="-"),"",VLOOKUP($G227,為替!$A:$AX,$I227,FALSE))+$J$3,IF(OR($I227="",$I227="-"),"",VLOOKUP($G227,為替!$A:$AX,$I227,FALSE)))</f>
        <v/>
      </c>
      <c r="K227" s="205" t="str">
        <f t="shared" si="20"/>
        <v/>
      </c>
      <c r="L227" s="189" t="str">
        <f t="shared" si="21"/>
        <v/>
      </c>
      <c r="M227" s="204" t="str">
        <f>IF($H227="USD",IF(OR($L227="",$L227="-"),"",VLOOKUP($G227,為替!$A:$AX,$L227,FALSE))+$K$3,IF(OR($L227="",$L227="-"),"",VLOOKUP($G227,為替!$A:$AX,$L227,FALSE)))</f>
        <v/>
      </c>
      <c r="N227" s="205" t="str">
        <f t="shared" si="22"/>
        <v/>
      </c>
      <c r="O227" s="206" t="str">
        <f t="shared" si="18"/>
        <v/>
      </c>
      <c r="P227" s="207" t="str">
        <f t="shared" si="23"/>
        <v/>
      </c>
    </row>
    <row r="228" spans="3:16">
      <c r="C228" s="200"/>
      <c r="D228" s="201"/>
      <c r="E228" s="202"/>
      <c r="F228" s="200"/>
      <c r="H228" s="203"/>
      <c r="I228" s="186" t="str">
        <f t="shared" si="19"/>
        <v/>
      </c>
      <c r="J228" s="204" t="str">
        <f>IF($H228="USD",IF(OR($I228="",$I228="-"),"",VLOOKUP($G228,為替!$A:$AX,$I228,FALSE))+$J$3,IF(OR($I228="",$I228="-"),"",VLOOKUP($G228,為替!$A:$AX,$I228,FALSE)))</f>
        <v/>
      </c>
      <c r="K228" s="205" t="str">
        <f t="shared" si="20"/>
        <v/>
      </c>
      <c r="L228" s="189" t="str">
        <f t="shared" si="21"/>
        <v/>
      </c>
      <c r="M228" s="204" t="str">
        <f>IF($H228="USD",IF(OR($L228="",$L228="-"),"",VLOOKUP($G228,為替!$A:$AX,$L228,FALSE))+$K$3,IF(OR($L228="",$L228="-"),"",VLOOKUP($G228,為替!$A:$AX,$L228,FALSE)))</f>
        <v/>
      </c>
      <c r="N228" s="205" t="str">
        <f t="shared" si="22"/>
        <v/>
      </c>
      <c r="O228" s="206" t="str">
        <f t="shared" si="18"/>
        <v/>
      </c>
      <c r="P228" s="207" t="str">
        <f t="shared" si="23"/>
        <v/>
      </c>
    </row>
    <row r="229" spans="3:16">
      <c r="C229" s="200"/>
      <c r="D229" s="201"/>
      <c r="E229" s="202"/>
      <c r="F229" s="200"/>
      <c r="H229" s="203"/>
      <c r="I229" s="186" t="str">
        <f t="shared" si="19"/>
        <v/>
      </c>
      <c r="J229" s="204" t="str">
        <f>IF($H229="USD",IF(OR($I229="",$I229="-"),"",VLOOKUP($G229,為替!$A:$AX,$I229,FALSE))+$J$3,IF(OR($I229="",$I229="-"),"",VLOOKUP($G229,為替!$A:$AX,$I229,FALSE)))</f>
        <v/>
      </c>
      <c r="K229" s="205" t="str">
        <f t="shared" si="20"/>
        <v/>
      </c>
      <c r="L229" s="189" t="str">
        <f t="shared" si="21"/>
        <v/>
      </c>
      <c r="M229" s="204" t="str">
        <f>IF($H229="USD",IF(OR($L229="",$L229="-"),"",VLOOKUP($G229,為替!$A:$AX,$L229,FALSE))+$K$3,IF(OR($L229="",$L229="-"),"",VLOOKUP($G229,為替!$A:$AX,$L229,FALSE)))</f>
        <v/>
      </c>
      <c r="N229" s="205" t="str">
        <f t="shared" si="22"/>
        <v/>
      </c>
      <c r="O229" s="206" t="str">
        <f t="shared" si="18"/>
        <v/>
      </c>
      <c r="P229" s="207" t="str">
        <f t="shared" si="23"/>
        <v/>
      </c>
    </row>
    <row r="230" spans="3:16">
      <c r="C230" s="200"/>
      <c r="D230" s="201"/>
      <c r="E230" s="202"/>
      <c r="F230" s="200"/>
      <c r="H230" s="203"/>
      <c r="I230" s="186" t="str">
        <f t="shared" si="19"/>
        <v/>
      </c>
      <c r="J230" s="204" t="str">
        <f>IF($H230="USD",IF(OR($I230="",$I230="-"),"",VLOOKUP($G230,為替!$A:$AX,$I230,FALSE))+$J$3,IF(OR($I230="",$I230="-"),"",VLOOKUP($G230,為替!$A:$AX,$I230,FALSE)))</f>
        <v/>
      </c>
      <c r="K230" s="205" t="str">
        <f t="shared" si="20"/>
        <v/>
      </c>
      <c r="L230" s="189" t="str">
        <f t="shared" si="21"/>
        <v/>
      </c>
      <c r="M230" s="204" t="str">
        <f>IF($H230="USD",IF(OR($L230="",$L230="-"),"",VLOOKUP($G230,為替!$A:$AX,$L230,FALSE))+$K$3,IF(OR($L230="",$L230="-"),"",VLOOKUP($G230,為替!$A:$AX,$L230,FALSE)))</f>
        <v/>
      </c>
      <c r="N230" s="205" t="str">
        <f t="shared" si="22"/>
        <v/>
      </c>
      <c r="O230" s="206" t="str">
        <f t="shared" si="18"/>
        <v/>
      </c>
      <c r="P230" s="207" t="str">
        <f t="shared" si="23"/>
        <v/>
      </c>
    </row>
    <row r="231" spans="3:16">
      <c r="C231" s="200"/>
      <c r="D231" s="201"/>
      <c r="E231" s="202"/>
      <c r="F231" s="200"/>
      <c r="H231" s="203"/>
      <c r="I231" s="186" t="str">
        <f t="shared" si="19"/>
        <v/>
      </c>
      <c r="J231" s="204" t="str">
        <f>IF($H231="USD",IF(OR($I231="",$I231="-"),"",VLOOKUP($G231,為替!$A:$AX,$I231,FALSE))+$J$3,IF(OR($I231="",$I231="-"),"",VLOOKUP($G231,為替!$A:$AX,$I231,FALSE)))</f>
        <v/>
      </c>
      <c r="K231" s="205" t="str">
        <f t="shared" si="20"/>
        <v/>
      </c>
      <c r="L231" s="189" t="str">
        <f t="shared" si="21"/>
        <v/>
      </c>
      <c r="M231" s="204" t="str">
        <f>IF($H231="USD",IF(OR($L231="",$L231="-"),"",VLOOKUP($G231,為替!$A:$AX,$L231,FALSE))+$K$3,IF(OR($L231="",$L231="-"),"",VLOOKUP($G231,為替!$A:$AX,$L231,FALSE)))</f>
        <v/>
      </c>
      <c r="N231" s="205" t="str">
        <f t="shared" si="22"/>
        <v/>
      </c>
      <c r="O231" s="206" t="str">
        <f t="shared" si="18"/>
        <v/>
      </c>
      <c r="P231" s="207" t="str">
        <f t="shared" si="23"/>
        <v/>
      </c>
    </row>
    <row r="232" spans="3:16">
      <c r="C232" s="200"/>
      <c r="D232" s="201"/>
      <c r="E232" s="202"/>
      <c r="F232" s="200"/>
      <c r="H232" s="203"/>
      <c r="I232" s="186" t="str">
        <f t="shared" si="19"/>
        <v/>
      </c>
      <c r="J232" s="204" t="str">
        <f>IF($H232="USD",IF(OR($I232="",$I232="-"),"",VLOOKUP($G232,為替!$A:$AX,$I232,FALSE))+$J$3,IF(OR($I232="",$I232="-"),"",VLOOKUP($G232,為替!$A:$AX,$I232,FALSE)))</f>
        <v/>
      </c>
      <c r="K232" s="205" t="str">
        <f t="shared" si="20"/>
        <v/>
      </c>
      <c r="L232" s="189" t="str">
        <f t="shared" si="21"/>
        <v/>
      </c>
      <c r="M232" s="204" t="str">
        <f>IF($H232="USD",IF(OR($L232="",$L232="-"),"",VLOOKUP($G232,為替!$A:$AX,$L232,FALSE))+$K$3,IF(OR($L232="",$L232="-"),"",VLOOKUP($G232,為替!$A:$AX,$L232,FALSE)))</f>
        <v/>
      </c>
      <c r="N232" s="205" t="str">
        <f t="shared" si="22"/>
        <v/>
      </c>
      <c r="O232" s="206" t="str">
        <f t="shared" si="18"/>
        <v/>
      </c>
      <c r="P232" s="207" t="str">
        <f t="shared" si="23"/>
        <v/>
      </c>
    </row>
    <row r="233" spans="3:16">
      <c r="C233" s="200"/>
      <c r="D233" s="201"/>
      <c r="E233" s="202"/>
      <c r="F233" s="200"/>
      <c r="H233" s="203"/>
      <c r="I233" s="186" t="str">
        <f t="shared" si="19"/>
        <v/>
      </c>
      <c r="J233" s="204" t="str">
        <f>IF($H233="USD",IF(OR($I233="",$I233="-"),"",VLOOKUP($G233,為替!$A:$AX,$I233,FALSE))+$J$3,IF(OR($I233="",$I233="-"),"",VLOOKUP($G233,為替!$A:$AX,$I233,FALSE)))</f>
        <v/>
      </c>
      <c r="K233" s="205" t="str">
        <f t="shared" si="20"/>
        <v/>
      </c>
      <c r="L233" s="189" t="str">
        <f t="shared" si="21"/>
        <v/>
      </c>
      <c r="M233" s="204" t="str">
        <f>IF($H233="USD",IF(OR($L233="",$L233="-"),"",VLOOKUP($G233,為替!$A:$AX,$L233,FALSE))+$K$3,IF(OR($L233="",$L233="-"),"",VLOOKUP($G233,為替!$A:$AX,$L233,FALSE)))</f>
        <v/>
      </c>
      <c r="N233" s="205" t="str">
        <f t="shared" si="22"/>
        <v/>
      </c>
      <c r="O233" s="206" t="str">
        <f t="shared" si="18"/>
        <v/>
      </c>
      <c r="P233" s="207" t="str">
        <f t="shared" si="23"/>
        <v/>
      </c>
    </row>
    <row r="234" spans="3:16">
      <c r="C234" s="200"/>
      <c r="D234" s="201"/>
      <c r="E234" s="202"/>
      <c r="F234" s="200"/>
      <c r="H234" s="203"/>
      <c r="I234" s="186" t="str">
        <f t="shared" si="19"/>
        <v/>
      </c>
      <c r="J234" s="204" t="str">
        <f>IF($H234="USD",IF(OR($I234="",$I234="-"),"",VLOOKUP($G234,為替!$A:$AX,$I234,FALSE))+$J$3,IF(OR($I234="",$I234="-"),"",VLOOKUP($G234,為替!$A:$AX,$I234,FALSE)))</f>
        <v/>
      </c>
      <c r="K234" s="205" t="str">
        <f t="shared" si="20"/>
        <v/>
      </c>
      <c r="L234" s="189" t="str">
        <f t="shared" si="21"/>
        <v/>
      </c>
      <c r="M234" s="204" t="str">
        <f>IF($H234="USD",IF(OR($L234="",$L234="-"),"",VLOOKUP($G234,為替!$A:$AX,$L234,FALSE))+$K$3,IF(OR($L234="",$L234="-"),"",VLOOKUP($G234,為替!$A:$AX,$L234,FALSE)))</f>
        <v/>
      </c>
      <c r="N234" s="205" t="str">
        <f t="shared" si="22"/>
        <v/>
      </c>
      <c r="O234" s="206" t="str">
        <f t="shared" si="18"/>
        <v/>
      </c>
      <c r="P234" s="207" t="str">
        <f t="shared" si="23"/>
        <v/>
      </c>
    </row>
    <row r="235" spans="3:16">
      <c r="C235" s="200"/>
      <c r="D235" s="201"/>
      <c r="E235" s="202"/>
      <c r="F235" s="200"/>
      <c r="H235" s="203"/>
      <c r="I235" s="186" t="str">
        <f t="shared" si="19"/>
        <v/>
      </c>
      <c r="J235" s="204" t="str">
        <f>IF($H235="USD",IF(OR($I235="",$I235="-"),"",VLOOKUP($G235,為替!$A:$AX,$I235,FALSE))+$J$3,IF(OR($I235="",$I235="-"),"",VLOOKUP($G235,為替!$A:$AX,$I235,FALSE)))</f>
        <v/>
      </c>
      <c r="K235" s="205" t="str">
        <f t="shared" si="20"/>
        <v/>
      </c>
      <c r="L235" s="189" t="str">
        <f t="shared" si="21"/>
        <v/>
      </c>
      <c r="M235" s="204" t="str">
        <f>IF($H235="USD",IF(OR($L235="",$L235="-"),"",VLOOKUP($G235,為替!$A:$AX,$L235,FALSE))+$K$3,IF(OR($L235="",$L235="-"),"",VLOOKUP($G235,為替!$A:$AX,$L235,FALSE)))</f>
        <v/>
      </c>
      <c r="N235" s="205" t="str">
        <f t="shared" si="22"/>
        <v/>
      </c>
      <c r="O235" s="206" t="str">
        <f t="shared" si="18"/>
        <v/>
      </c>
      <c r="P235" s="207" t="str">
        <f t="shared" si="23"/>
        <v/>
      </c>
    </row>
    <row r="236" spans="3:16">
      <c r="C236" s="200"/>
      <c r="D236" s="201"/>
      <c r="E236" s="202"/>
      <c r="F236" s="200"/>
      <c r="H236" s="203"/>
      <c r="I236" s="186" t="str">
        <f t="shared" si="19"/>
        <v/>
      </c>
      <c r="J236" s="204" t="str">
        <f>IF($H236="USD",IF(OR($I236="",$I236="-"),"",VLOOKUP($G236,為替!$A:$AX,$I236,FALSE))+$J$3,IF(OR($I236="",$I236="-"),"",VLOOKUP($G236,為替!$A:$AX,$I236,FALSE)))</f>
        <v/>
      </c>
      <c r="K236" s="205" t="str">
        <f t="shared" si="20"/>
        <v/>
      </c>
      <c r="L236" s="189" t="str">
        <f t="shared" si="21"/>
        <v/>
      </c>
      <c r="M236" s="204" t="str">
        <f>IF($H236="USD",IF(OR($L236="",$L236="-"),"",VLOOKUP($G236,為替!$A:$AX,$L236,FALSE))+$K$3,IF(OR($L236="",$L236="-"),"",VLOOKUP($G236,為替!$A:$AX,$L236,FALSE)))</f>
        <v/>
      </c>
      <c r="N236" s="205" t="str">
        <f t="shared" si="22"/>
        <v/>
      </c>
      <c r="O236" s="206" t="str">
        <f t="shared" si="18"/>
        <v/>
      </c>
      <c r="P236" s="207" t="str">
        <f t="shared" si="23"/>
        <v/>
      </c>
    </row>
    <row r="237" spans="3:16">
      <c r="C237" s="200"/>
      <c r="D237" s="201"/>
      <c r="E237" s="202"/>
      <c r="F237" s="200"/>
      <c r="H237" s="203"/>
      <c r="I237" s="186" t="str">
        <f t="shared" si="19"/>
        <v/>
      </c>
      <c r="J237" s="204" t="str">
        <f>IF($H237="USD",IF(OR($I237="",$I237="-"),"",VLOOKUP($G237,為替!$A:$AX,$I237,FALSE))+$J$3,IF(OR($I237="",$I237="-"),"",VLOOKUP($G237,為替!$A:$AX,$I237,FALSE)))</f>
        <v/>
      </c>
      <c r="K237" s="205" t="str">
        <f t="shared" si="20"/>
        <v/>
      </c>
      <c r="L237" s="189" t="str">
        <f t="shared" si="21"/>
        <v/>
      </c>
      <c r="M237" s="204" t="str">
        <f>IF($H237="USD",IF(OR($L237="",$L237="-"),"",VLOOKUP($G237,為替!$A:$AX,$L237,FALSE))+$K$3,IF(OR($L237="",$L237="-"),"",VLOOKUP($G237,為替!$A:$AX,$L237,FALSE)))</f>
        <v/>
      </c>
      <c r="N237" s="205" t="str">
        <f t="shared" si="22"/>
        <v/>
      </c>
      <c r="O237" s="206" t="str">
        <f t="shared" si="18"/>
        <v/>
      </c>
      <c r="P237" s="207" t="str">
        <f t="shared" si="23"/>
        <v/>
      </c>
    </row>
    <row r="238" spans="3:16">
      <c r="C238" s="200"/>
      <c r="D238" s="201"/>
      <c r="E238" s="202"/>
      <c r="F238" s="200"/>
      <c r="H238" s="203"/>
      <c r="I238" s="186" t="str">
        <f t="shared" si="19"/>
        <v/>
      </c>
      <c r="J238" s="204" t="str">
        <f>IF($H238="USD",IF(OR($I238="",$I238="-"),"",VLOOKUP($G238,為替!$A:$AX,$I238,FALSE))+$J$3,IF(OR($I238="",$I238="-"),"",VLOOKUP($G238,為替!$A:$AX,$I238,FALSE)))</f>
        <v/>
      </c>
      <c r="K238" s="205" t="str">
        <f t="shared" si="20"/>
        <v/>
      </c>
      <c r="L238" s="189" t="str">
        <f t="shared" si="21"/>
        <v/>
      </c>
      <c r="M238" s="204" t="str">
        <f>IF($H238="USD",IF(OR($L238="",$L238="-"),"",VLOOKUP($G238,為替!$A:$AX,$L238,FALSE))+$K$3,IF(OR($L238="",$L238="-"),"",VLOOKUP($G238,為替!$A:$AX,$L238,FALSE)))</f>
        <v/>
      </c>
      <c r="N238" s="205" t="str">
        <f t="shared" si="22"/>
        <v/>
      </c>
      <c r="O238" s="206" t="str">
        <f t="shared" si="18"/>
        <v/>
      </c>
      <c r="P238" s="207" t="str">
        <f t="shared" si="23"/>
        <v/>
      </c>
    </row>
    <row r="239" spans="3:16">
      <c r="C239" s="200"/>
      <c r="D239" s="201"/>
      <c r="E239" s="202"/>
      <c r="F239" s="200"/>
      <c r="H239" s="203"/>
      <c r="I239" s="186" t="str">
        <f t="shared" si="19"/>
        <v/>
      </c>
      <c r="J239" s="204" t="str">
        <f>IF($H239="USD",IF(OR($I239="",$I239="-"),"",VLOOKUP($G239,為替!$A:$AX,$I239,FALSE))+$J$3,IF(OR($I239="",$I239="-"),"",VLOOKUP($G239,為替!$A:$AX,$I239,FALSE)))</f>
        <v/>
      </c>
      <c r="K239" s="205" t="str">
        <f t="shared" si="20"/>
        <v/>
      </c>
      <c r="L239" s="189" t="str">
        <f t="shared" si="21"/>
        <v/>
      </c>
      <c r="M239" s="204" t="str">
        <f>IF($H239="USD",IF(OR($L239="",$L239="-"),"",VLOOKUP($G239,為替!$A:$AX,$L239,FALSE))+$K$3,IF(OR($L239="",$L239="-"),"",VLOOKUP($G239,為替!$A:$AX,$L239,FALSE)))</f>
        <v/>
      </c>
      <c r="N239" s="205" t="str">
        <f t="shared" si="22"/>
        <v/>
      </c>
      <c r="O239" s="206" t="str">
        <f t="shared" si="18"/>
        <v/>
      </c>
      <c r="P239" s="207" t="str">
        <f t="shared" si="23"/>
        <v/>
      </c>
    </row>
    <row r="240" spans="3:16">
      <c r="C240" s="200"/>
      <c r="D240" s="201"/>
      <c r="E240" s="202"/>
      <c r="F240" s="200"/>
      <c r="H240" s="203"/>
      <c r="I240" s="186" t="str">
        <f t="shared" si="19"/>
        <v/>
      </c>
      <c r="J240" s="204" t="str">
        <f>IF($H240="USD",IF(OR($I240="",$I240="-"),"",VLOOKUP($G240,為替!$A:$AX,$I240,FALSE))+$J$3,IF(OR($I240="",$I240="-"),"",VLOOKUP($G240,為替!$A:$AX,$I240,FALSE)))</f>
        <v/>
      </c>
      <c r="K240" s="205" t="str">
        <f t="shared" si="20"/>
        <v/>
      </c>
      <c r="L240" s="189" t="str">
        <f t="shared" si="21"/>
        <v/>
      </c>
      <c r="M240" s="204" t="str">
        <f>IF($H240="USD",IF(OR($L240="",$L240="-"),"",VLOOKUP($G240,為替!$A:$AX,$L240,FALSE))+$K$3,IF(OR($L240="",$L240="-"),"",VLOOKUP($G240,為替!$A:$AX,$L240,FALSE)))</f>
        <v/>
      </c>
      <c r="N240" s="205" t="str">
        <f t="shared" si="22"/>
        <v/>
      </c>
      <c r="O240" s="206" t="str">
        <f t="shared" si="18"/>
        <v/>
      </c>
      <c r="P240" s="207" t="str">
        <f t="shared" si="23"/>
        <v/>
      </c>
    </row>
    <row r="241" spans="3:16">
      <c r="C241" s="200"/>
      <c r="D241" s="201"/>
      <c r="E241" s="202"/>
      <c r="F241" s="200"/>
      <c r="H241" s="203"/>
      <c r="I241" s="186" t="str">
        <f t="shared" si="19"/>
        <v/>
      </c>
      <c r="J241" s="204" t="str">
        <f>IF($H241="USD",IF(OR($I241="",$I241="-"),"",VLOOKUP($G241,為替!$A:$AX,$I241,FALSE))+$J$3,IF(OR($I241="",$I241="-"),"",VLOOKUP($G241,為替!$A:$AX,$I241,FALSE)))</f>
        <v/>
      </c>
      <c r="K241" s="205" t="str">
        <f t="shared" si="20"/>
        <v/>
      </c>
      <c r="L241" s="189" t="str">
        <f t="shared" si="21"/>
        <v/>
      </c>
      <c r="M241" s="204" t="str">
        <f>IF($H241="USD",IF(OR($L241="",$L241="-"),"",VLOOKUP($G241,為替!$A:$AX,$L241,FALSE))+$K$3,IF(OR($L241="",$L241="-"),"",VLOOKUP($G241,為替!$A:$AX,$L241,FALSE)))</f>
        <v/>
      </c>
      <c r="N241" s="205" t="str">
        <f t="shared" si="22"/>
        <v/>
      </c>
      <c r="O241" s="206" t="str">
        <f t="shared" si="18"/>
        <v/>
      </c>
      <c r="P241" s="207" t="str">
        <f t="shared" si="23"/>
        <v/>
      </c>
    </row>
    <row r="242" spans="3:16">
      <c r="C242" s="200"/>
      <c r="D242" s="201"/>
      <c r="E242" s="202"/>
      <c r="F242" s="200"/>
      <c r="H242" s="203"/>
      <c r="I242" s="186" t="str">
        <f t="shared" si="19"/>
        <v/>
      </c>
      <c r="J242" s="204" t="str">
        <f>IF($H242="USD",IF(OR($I242="",$I242="-"),"",VLOOKUP($G242,為替!$A:$AX,$I242,FALSE))+$J$3,IF(OR($I242="",$I242="-"),"",VLOOKUP($G242,為替!$A:$AX,$I242,FALSE)))</f>
        <v/>
      </c>
      <c r="K242" s="205" t="str">
        <f t="shared" si="20"/>
        <v/>
      </c>
      <c r="L242" s="189" t="str">
        <f t="shared" si="21"/>
        <v/>
      </c>
      <c r="M242" s="204" t="str">
        <f>IF($H242="USD",IF(OR($L242="",$L242="-"),"",VLOOKUP($G242,為替!$A:$AX,$L242,FALSE))+$K$3,IF(OR($L242="",$L242="-"),"",VLOOKUP($G242,為替!$A:$AX,$L242,FALSE)))</f>
        <v/>
      </c>
      <c r="N242" s="205" t="str">
        <f t="shared" si="22"/>
        <v/>
      </c>
      <c r="O242" s="206" t="str">
        <f t="shared" si="18"/>
        <v/>
      </c>
      <c r="P242" s="207" t="str">
        <f t="shared" si="23"/>
        <v/>
      </c>
    </row>
    <row r="243" spans="3:16">
      <c r="C243" s="200"/>
      <c r="D243" s="201"/>
      <c r="E243" s="202"/>
      <c r="F243" s="200"/>
      <c r="H243" s="203"/>
      <c r="I243" s="186" t="str">
        <f t="shared" si="19"/>
        <v/>
      </c>
      <c r="J243" s="204" t="str">
        <f>IF($H243="USD",IF(OR($I243="",$I243="-"),"",VLOOKUP($G243,為替!$A:$AX,$I243,FALSE))+$J$3,IF(OR($I243="",$I243="-"),"",VLOOKUP($G243,為替!$A:$AX,$I243,FALSE)))</f>
        <v/>
      </c>
      <c r="K243" s="205" t="str">
        <f t="shared" si="20"/>
        <v/>
      </c>
      <c r="L243" s="189" t="str">
        <f t="shared" si="21"/>
        <v/>
      </c>
      <c r="M243" s="204" t="str">
        <f>IF($H243="USD",IF(OR($L243="",$L243="-"),"",VLOOKUP($G243,為替!$A:$AX,$L243,FALSE))+$K$3,IF(OR($L243="",$L243="-"),"",VLOOKUP($G243,為替!$A:$AX,$L243,FALSE)))</f>
        <v/>
      </c>
      <c r="N243" s="205" t="str">
        <f t="shared" si="22"/>
        <v/>
      </c>
      <c r="O243" s="206" t="str">
        <f t="shared" si="18"/>
        <v/>
      </c>
      <c r="P243" s="207" t="str">
        <f t="shared" si="23"/>
        <v/>
      </c>
    </row>
    <row r="244" spans="3:16">
      <c r="C244" s="200"/>
      <c r="D244" s="201"/>
      <c r="E244" s="202"/>
      <c r="F244" s="200"/>
      <c r="H244" s="203"/>
      <c r="I244" s="186" t="str">
        <f t="shared" si="19"/>
        <v/>
      </c>
      <c r="J244" s="204" t="str">
        <f>IF($H244="USD",IF(OR($I244="",$I244="-"),"",VLOOKUP($G244,為替!$A:$AX,$I244,FALSE))+$J$3,IF(OR($I244="",$I244="-"),"",VLOOKUP($G244,為替!$A:$AX,$I244,FALSE)))</f>
        <v/>
      </c>
      <c r="K244" s="205" t="str">
        <f t="shared" si="20"/>
        <v/>
      </c>
      <c r="L244" s="189" t="str">
        <f t="shared" si="21"/>
        <v/>
      </c>
      <c r="M244" s="204" t="str">
        <f>IF($H244="USD",IF(OR($L244="",$L244="-"),"",VLOOKUP($G244,為替!$A:$AX,$L244,FALSE))+$K$3,IF(OR($L244="",$L244="-"),"",VLOOKUP($G244,為替!$A:$AX,$L244,FALSE)))</f>
        <v/>
      </c>
      <c r="N244" s="205" t="str">
        <f t="shared" si="22"/>
        <v/>
      </c>
      <c r="O244" s="206" t="str">
        <f t="shared" si="18"/>
        <v/>
      </c>
      <c r="P244" s="207" t="str">
        <f t="shared" si="23"/>
        <v/>
      </c>
    </row>
    <row r="245" spans="3:16">
      <c r="C245" s="200"/>
      <c r="D245" s="201"/>
      <c r="E245" s="202"/>
      <c r="F245" s="200"/>
      <c r="H245" s="203"/>
      <c r="I245" s="186" t="str">
        <f t="shared" si="19"/>
        <v/>
      </c>
      <c r="J245" s="204" t="str">
        <f>IF($H245="USD",IF(OR($I245="",$I245="-"),"",VLOOKUP($G245,為替!$A:$AX,$I245,FALSE))+$J$3,IF(OR($I245="",$I245="-"),"",VLOOKUP($G245,為替!$A:$AX,$I245,FALSE)))</f>
        <v/>
      </c>
      <c r="K245" s="205" t="str">
        <f t="shared" si="20"/>
        <v/>
      </c>
      <c r="L245" s="189" t="str">
        <f t="shared" si="21"/>
        <v/>
      </c>
      <c r="M245" s="204" t="str">
        <f>IF($H245="USD",IF(OR($L245="",$L245="-"),"",VLOOKUP($G245,為替!$A:$AX,$L245,FALSE))+$K$3,IF(OR($L245="",$L245="-"),"",VLOOKUP($G245,為替!$A:$AX,$L245,FALSE)))</f>
        <v/>
      </c>
      <c r="N245" s="205" t="str">
        <f t="shared" si="22"/>
        <v/>
      </c>
      <c r="O245" s="206" t="str">
        <f t="shared" si="18"/>
        <v/>
      </c>
      <c r="P245" s="207" t="str">
        <f t="shared" si="23"/>
        <v/>
      </c>
    </row>
    <row r="246" spans="3:16">
      <c r="C246" s="200"/>
      <c r="D246" s="201"/>
      <c r="E246" s="202"/>
      <c r="F246" s="200"/>
      <c r="H246" s="203"/>
      <c r="I246" s="186" t="str">
        <f t="shared" si="19"/>
        <v/>
      </c>
      <c r="J246" s="204" t="str">
        <f>IF($H246="USD",IF(OR($I246="",$I246="-"),"",VLOOKUP($G246,為替!$A:$AX,$I246,FALSE))+$J$3,IF(OR($I246="",$I246="-"),"",VLOOKUP($G246,為替!$A:$AX,$I246,FALSE)))</f>
        <v/>
      </c>
      <c r="K246" s="205" t="str">
        <f t="shared" si="20"/>
        <v/>
      </c>
      <c r="L246" s="189" t="str">
        <f t="shared" si="21"/>
        <v/>
      </c>
      <c r="M246" s="204" t="str">
        <f>IF($H246="USD",IF(OR($L246="",$L246="-"),"",VLOOKUP($G246,為替!$A:$AX,$L246,FALSE))+$K$3,IF(OR($L246="",$L246="-"),"",VLOOKUP($G246,為替!$A:$AX,$L246,FALSE)))</f>
        <v/>
      </c>
      <c r="N246" s="205" t="str">
        <f t="shared" si="22"/>
        <v/>
      </c>
      <c r="O246" s="206" t="str">
        <f t="shared" si="18"/>
        <v/>
      </c>
      <c r="P246" s="207" t="str">
        <f t="shared" si="23"/>
        <v/>
      </c>
    </row>
    <row r="247" spans="3:16">
      <c r="C247" s="200"/>
      <c r="D247" s="201"/>
      <c r="E247" s="202"/>
      <c r="F247" s="200"/>
      <c r="H247" s="203"/>
      <c r="I247" s="186" t="str">
        <f t="shared" si="19"/>
        <v/>
      </c>
      <c r="J247" s="204" t="str">
        <f>IF($H247="USD",IF(OR($I247="",$I247="-"),"",VLOOKUP($G247,為替!$A:$AX,$I247,FALSE))+$J$3,IF(OR($I247="",$I247="-"),"",VLOOKUP($G247,為替!$A:$AX,$I247,FALSE)))</f>
        <v/>
      </c>
      <c r="K247" s="205" t="str">
        <f t="shared" si="20"/>
        <v/>
      </c>
      <c r="L247" s="189" t="str">
        <f t="shared" si="21"/>
        <v/>
      </c>
      <c r="M247" s="204" t="str">
        <f>IF($H247="USD",IF(OR($L247="",$L247="-"),"",VLOOKUP($G247,為替!$A:$AX,$L247,FALSE))+$K$3,IF(OR($L247="",$L247="-"),"",VLOOKUP($G247,為替!$A:$AX,$L247,FALSE)))</f>
        <v/>
      </c>
      <c r="N247" s="205" t="str">
        <f t="shared" si="22"/>
        <v/>
      </c>
      <c r="O247" s="206" t="str">
        <f t="shared" si="18"/>
        <v/>
      </c>
      <c r="P247" s="207" t="str">
        <f t="shared" si="23"/>
        <v/>
      </c>
    </row>
    <row r="248" spans="3:16">
      <c r="C248" s="200"/>
      <c r="D248" s="201"/>
      <c r="E248" s="202"/>
      <c r="F248" s="200"/>
      <c r="H248" s="203"/>
      <c r="I248" s="186" t="str">
        <f t="shared" si="19"/>
        <v/>
      </c>
      <c r="J248" s="204" t="str">
        <f>IF($H248="USD",IF(OR($I248="",$I248="-"),"",VLOOKUP($G248,為替!$A:$AX,$I248,FALSE))+$J$3,IF(OR($I248="",$I248="-"),"",VLOOKUP($G248,為替!$A:$AX,$I248,FALSE)))</f>
        <v/>
      </c>
      <c r="K248" s="205" t="str">
        <f t="shared" si="20"/>
        <v/>
      </c>
      <c r="L248" s="189" t="str">
        <f t="shared" si="21"/>
        <v/>
      </c>
      <c r="M248" s="204" t="str">
        <f>IF($H248="USD",IF(OR($L248="",$L248="-"),"",VLOOKUP($G248,為替!$A:$AX,$L248,FALSE))+$K$3,IF(OR($L248="",$L248="-"),"",VLOOKUP($G248,為替!$A:$AX,$L248,FALSE)))</f>
        <v/>
      </c>
      <c r="N248" s="205" t="str">
        <f t="shared" si="22"/>
        <v/>
      </c>
      <c r="O248" s="206" t="str">
        <f t="shared" si="18"/>
        <v/>
      </c>
      <c r="P248" s="207" t="str">
        <f t="shared" si="23"/>
        <v/>
      </c>
    </row>
    <row r="249" spans="3:16">
      <c r="C249" s="200"/>
      <c r="D249" s="201"/>
      <c r="E249" s="202"/>
      <c r="F249" s="200"/>
      <c r="H249" s="203"/>
      <c r="I249" s="186" t="str">
        <f t="shared" si="19"/>
        <v/>
      </c>
      <c r="J249" s="204" t="str">
        <f>IF($H249="USD",IF(OR($I249="",$I249="-"),"",VLOOKUP($G249,為替!$A:$AX,$I249,FALSE))+$J$3,IF(OR($I249="",$I249="-"),"",VLOOKUP($G249,為替!$A:$AX,$I249,FALSE)))</f>
        <v/>
      </c>
      <c r="K249" s="205" t="str">
        <f t="shared" si="20"/>
        <v/>
      </c>
      <c r="L249" s="189" t="str">
        <f t="shared" si="21"/>
        <v/>
      </c>
      <c r="M249" s="204" t="str">
        <f>IF($H249="USD",IF(OR($L249="",$L249="-"),"",VLOOKUP($G249,為替!$A:$AX,$L249,FALSE))+$K$3,IF(OR($L249="",$L249="-"),"",VLOOKUP($G249,為替!$A:$AX,$L249,FALSE)))</f>
        <v/>
      </c>
      <c r="N249" s="205" t="str">
        <f t="shared" si="22"/>
        <v/>
      </c>
      <c r="O249" s="206" t="str">
        <f t="shared" si="18"/>
        <v/>
      </c>
      <c r="P249" s="207" t="str">
        <f t="shared" si="23"/>
        <v/>
      </c>
    </row>
    <row r="250" spans="3:16">
      <c r="C250" s="200"/>
      <c r="D250" s="201"/>
      <c r="E250" s="202"/>
      <c r="F250" s="200"/>
      <c r="H250" s="203"/>
      <c r="I250" s="186" t="str">
        <f t="shared" si="19"/>
        <v/>
      </c>
      <c r="J250" s="204" t="str">
        <f>IF($H250="USD",IF(OR($I250="",$I250="-"),"",VLOOKUP($G250,為替!$A:$AX,$I250,FALSE))+$J$3,IF(OR($I250="",$I250="-"),"",VLOOKUP($G250,為替!$A:$AX,$I250,FALSE)))</f>
        <v/>
      </c>
      <c r="K250" s="205" t="str">
        <f t="shared" si="20"/>
        <v/>
      </c>
      <c r="L250" s="189" t="str">
        <f t="shared" si="21"/>
        <v/>
      </c>
      <c r="M250" s="204" t="str">
        <f>IF($H250="USD",IF(OR($L250="",$L250="-"),"",VLOOKUP($G250,為替!$A:$AX,$L250,FALSE))+$K$3,IF(OR($L250="",$L250="-"),"",VLOOKUP($G250,為替!$A:$AX,$L250,FALSE)))</f>
        <v/>
      </c>
      <c r="N250" s="205" t="str">
        <f t="shared" si="22"/>
        <v/>
      </c>
      <c r="O250" s="206" t="str">
        <f t="shared" si="18"/>
        <v/>
      </c>
      <c r="P250" s="207" t="str">
        <f t="shared" si="23"/>
        <v/>
      </c>
    </row>
    <row r="251" spans="3:16">
      <c r="C251" s="200"/>
      <c r="D251" s="201"/>
      <c r="E251" s="202"/>
      <c r="F251" s="200"/>
      <c r="H251" s="203"/>
      <c r="I251" s="186" t="str">
        <f t="shared" si="19"/>
        <v/>
      </c>
      <c r="J251" s="204" t="str">
        <f>IF($H251="USD",IF(OR($I251="",$I251="-"),"",VLOOKUP($G251,為替!$A:$AX,$I251,FALSE))+$J$3,IF(OR($I251="",$I251="-"),"",VLOOKUP($G251,為替!$A:$AX,$I251,FALSE)))</f>
        <v/>
      </c>
      <c r="K251" s="205" t="str">
        <f t="shared" si="20"/>
        <v/>
      </c>
      <c r="L251" s="189" t="str">
        <f t="shared" si="21"/>
        <v/>
      </c>
      <c r="M251" s="204" t="str">
        <f>IF($H251="USD",IF(OR($L251="",$L251="-"),"",VLOOKUP($G251,為替!$A:$AX,$L251,FALSE))+$K$3,IF(OR($L251="",$L251="-"),"",VLOOKUP($G251,為替!$A:$AX,$L251,FALSE)))</f>
        <v/>
      </c>
      <c r="N251" s="205" t="str">
        <f t="shared" si="22"/>
        <v/>
      </c>
      <c r="O251" s="206" t="str">
        <f t="shared" si="18"/>
        <v/>
      </c>
      <c r="P251" s="207" t="str">
        <f t="shared" si="23"/>
        <v/>
      </c>
    </row>
    <row r="252" spans="3:16">
      <c r="C252" s="200"/>
      <c r="D252" s="201"/>
      <c r="E252" s="202"/>
      <c r="F252" s="200"/>
      <c r="H252" s="203"/>
      <c r="I252" s="186" t="str">
        <f t="shared" si="19"/>
        <v/>
      </c>
      <c r="J252" s="204" t="str">
        <f>IF($H252="USD",IF(OR($I252="",$I252="-"),"",VLOOKUP($G252,為替!$A:$AX,$I252,FALSE))+$J$3,IF(OR($I252="",$I252="-"),"",VLOOKUP($G252,為替!$A:$AX,$I252,FALSE)))</f>
        <v/>
      </c>
      <c r="K252" s="205" t="str">
        <f t="shared" si="20"/>
        <v/>
      </c>
      <c r="L252" s="189" t="str">
        <f t="shared" si="21"/>
        <v/>
      </c>
      <c r="M252" s="204" t="str">
        <f>IF($H252="USD",IF(OR($L252="",$L252="-"),"",VLOOKUP($G252,為替!$A:$AX,$L252,FALSE))+$K$3,IF(OR($L252="",$L252="-"),"",VLOOKUP($G252,為替!$A:$AX,$L252,FALSE)))</f>
        <v/>
      </c>
      <c r="N252" s="205" t="str">
        <f t="shared" si="22"/>
        <v/>
      </c>
      <c r="O252" s="206" t="str">
        <f t="shared" si="18"/>
        <v/>
      </c>
      <c r="P252" s="207" t="str">
        <f t="shared" si="23"/>
        <v/>
      </c>
    </row>
    <row r="253" spans="3:16">
      <c r="C253" s="200"/>
      <c r="D253" s="201"/>
      <c r="E253" s="202"/>
      <c r="F253" s="200"/>
      <c r="H253" s="203"/>
      <c r="I253" s="186" t="str">
        <f t="shared" si="19"/>
        <v/>
      </c>
      <c r="J253" s="204" t="str">
        <f>IF($H253="USD",IF(OR($I253="",$I253="-"),"",VLOOKUP($G253,為替!$A:$AX,$I253,FALSE))+$J$3,IF(OR($I253="",$I253="-"),"",VLOOKUP($G253,為替!$A:$AX,$I253,FALSE)))</f>
        <v/>
      </c>
      <c r="K253" s="205" t="str">
        <f t="shared" si="20"/>
        <v/>
      </c>
      <c r="L253" s="189" t="str">
        <f t="shared" si="21"/>
        <v/>
      </c>
      <c r="M253" s="204" t="str">
        <f>IF($H253="USD",IF(OR($L253="",$L253="-"),"",VLOOKUP($G253,為替!$A:$AX,$L253,FALSE))+$K$3,IF(OR($L253="",$L253="-"),"",VLOOKUP($G253,為替!$A:$AX,$L253,FALSE)))</f>
        <v/>
      </c>
      <c r="N253" s="205" t="str">
        <f t="shared" si="22"/>
        <v/>
      </c>
      <c r="O253" s="206" t="str">
        <f t="shared" si="18"/>
        <v/>
      </c>
      <c r="P253" s="207" t="str">
        <f t="shared" si="23"/>
        <v/>
      </c>
    </row>
    <row r="254" spans="3:16">
      <c r="C254" s="200"/>
      <c r="D254" s="201"/>
      <c r="E254" s="202"/>
      <c r="F254" s="200"/>
      <c r="H254" s="203"/>
      <c r="I254" s="186" t="str">
        <f t="shared" si="19"/>
        <v/>
      </c>
      <c r="J254" s="204" t="str">
        <f>IF($H254="USD",IF(OR($I254="",$I254="-"),"",VLOOKUP($G254,為替!$A:$AX,$I254,FALSE))+$J$3,IF(OR($I254="",$I254="-"),"",VLOOKUP($G254,為替!$A:$AX,$I254,FALSE)))</f>
        <v/>
      </c>
      <c r="K254" s="205" t="str">
        <f t="shared" si="20"/>
        <v/>
      </c>
      <c r="L254" s="189" t="str">
        <f t="shared" si="21"/>
        <v/>
      </c>
      <c r="M254" s="204" t="str">
        <f>IF($H254="USD",IF(OR($L254="",$L254="-"),"",VLOOKUP($G254,為替!$A:$AX,$L254,FALSE))+$K$3,IF(OR($L254="",$L254="-"),"",VLOOKUP($G254,為替!$A:$AX,$L254,FALSE)))</f>
        <v/>
      </c>
      <c r="N254" s="205" t="str">
        <f t="shared" si="22"/>
        <v/>
      </c>
      <c r="O254" s="206" t="str">
        <f t="shared" si="18"/>
        <v/>
      </c>
      <c r="P254" s="207" t="str">
        <f t="shared" si="23"/>
        <v/>
      </c>
    </row>
    <row r="255" spans="3:16">
      <c r="C255" s="200"/>
      <c r="D255" s="201"/>
      <c r="E255" s="202"/>
      <c r="F255" s="200"/>
      <c r="H255" s="203"/>
      <c r="I255" s="186" t="str">
        <f t="shared" si="19"/>
        <v/>
      </c>
      <c r="J255" s="204" t="str">
        <f>IF($H255="USD",IF(OR($I255="",$I255="-"),"",VLOOKUP($G255,為替!$A:$AX,$I255,FALSE))+$J$3,IF(OR($I255="",$I255="-"),"",VLOOKUP($G255,為替!$A:$AX,$I255,FALSE)))</f>
        <v/>
      </c>
      <c r="K255" s="205" t="str">
        <f t="shared" si="20"/>
        <v/>
      </c>
      <c r="L255" s="189" t="str">
        <f t="shared" si="21"/>
        <v/>
      </c>
      <c r="M255" s="204" t="str">
        <f>IF($H255="USD",IF(OR($L255="",$L255="-"),"",VLOOKUP($G255,為替!$A:$AX,$L255,FALSE))+$K$3,IF(OR($L255="",$L255="-"),"",VLOOKUP($G255,為替!$A:$AX,$L255,FALSE)))</f>
        <v/>
      </c>
      <c r="N255" s="205" t="str">
        <f t="shared" si="22"/>
        <v/>
      </c>
      <c r="O255" s="206" t="str">
        <f t="shared" si="18"/>
        <v/>
      </c>
      <c r="P255" s="207" t="str">
        <f t="shared" si="23"/>
        <v/>
      </c>
    </row>
    <row r="256" spans="3:16">
      <c r="C256" s="200"/>
      <c r="D256" s="201"/>
      <c r="E256" s="202"/>
      <c r="F256" s="200"/>
      <c r="H256" s="203"/>
      <c r="I256" s="186" t="str">
        <f t="shared" si="19"/>
        <v/>
      </c>
      <c r="J256" s="204" t="str">
        <f>IF($H256="USD",IF(OR($I256="",$I256="-"),"",VLOOKUP($G256,為替!$A:$AX,$I256,FALSE))+$J$3,IF(OR($I256="",$I256="-"),"",VLOOKUP($G256,為替!$A:$AX,$I256,FALSE)))</f>
        <v/>
      </c>
      <c r="K256" s="205" t="str">
        <f t="shared" si="20"/>
        <v/>
      </c>
      <c r="L256" s="189" t="str">
        <f t="shared" si="21"/>
        <v/>
      </c>
      <c r="M256" s="204" t="str">
        <f>IF($H256="USD",IF(OR($L256="",$L256="-"),"",VLOOKUP($G256,為替!$A:$AX,$L256,FALSE))+$K$3,IF(OR($L256="",$L256="-"),"",VLOOKUP($G256,為替!$A:$AX,$L256,FALSE)))</f>
        <v/>
      </c>
      <c r="N256" s="205" t="str">
        <f t="shared" si="22"/>
        <v/>
      </c>
      <c r="O256" s="206" t="str">
        <f t="shared" si="18"/>
        <v/>
      </c>
      <c r="P256" s="207" t="str">
        <f t="shared" si="23"/>
        <v/>
      </c>
    </row>
    <row r="257" spans="3:16">
      <c r="C257" s="200"/>
      <c r="D257" s="201"/>
      <c r="E257" s="202"/>
      <c r="F257" s="200"/>
      <c r="H257" s="203"/>
      <c r="I257" s="186" t="str">
        <f t="shared" si="19"/>
        <v/>
      </c>
      <c r="J257" s="204" t="str">
        <f>IF($H257="USD",IF(OR($I257="",$I257="-"),"",VLOOKUP($G257,為替!$A:$AX,$I257,FALSE))+$J$3,IF(OR($I257="",$I257="-"),"",VLOOKUP($G257,為替!$A:$AX,$I257,FALSE)))</f>
        <v/>
      </c>
      <c r="K257" s="205" t="str">
        <f t="shared" si="20"/>
        <v/>
      </c>
      <c r="L257" s="189" t="str">
        <f t="shared" si="21"/>
        <v/>
      </c>
      <c r="M257" s="204" t="str">
        <f>IF($H257="USD",IF(OR($L257="",$L257="-"),"",VLOOKUP($G257,為替!$A:$AX,$L257,FALSE))+$K$3,IF(OR($L257="",$L257="-"),"",VLOOKUP($G257,為替!$A:$AX,$L257,FALSE)))</f>
        <v/>
      </c>
      <c r="N257" s="205" t="str">
        <f t="shared" si="22"/>
        <v/>
      </c>
      <c r="O257" s="206" t="str">
        <f t="shared" si="18"/>
        <v/>
      </c>
      <c r="P257" s="207" t="str">
        <f t="shared" si="23"/>
        <v/>
      </c>
    </row>
    <row r="258" spans="3:16">
      <c r="C258" s="200"/>
      <c r="D258" s="201"/>
      <c r="E258" s="202"/>
      <c r="F258" s="200"/>
      <c r="H258" s="203"/>
      <c r="I258" s="186" t="str">
        <f t="shared" si="19"/>
        <v/>
      </c>
      <c r="J258" s="204" t="str">
        <f>IF($H258="USD",IF(OR($I258="",$I258="-"),"",VLOOKUP($G258,為替!$A:$AX,$I258,FALSE))+$J$3,IF(OR($I258="",$I258="-"),"",VLOOKUP($G258,為替!$A:$AX,$I258,FALSE)))</f>
        <v/>
      </c>
      <c r="K258" s="205" t="str">
        <f t="shared" si="20"/>
        <v/>
      </c>
      <c r="L258" s="189" t="str">
        <f t="shared" si="21"/>
        <v/>
      </c>
      <c r="M258" s="204" t="str">
        <f>IF($H258="USD",IF(OR($L258="",$L258="-"),"",VLOOKUP($G258,為替!$A:$AX,$L258,FALSE))+$K$3,IF(OR($L258="",$L258="-"),"",VLOOKUP($G258,為替!$A:$AX,$L258,FALSE)))</f>
        <v/>
      </c>
      <c r="N258" s="205" t="str">
        <f t="shared" si="22"/>
        <v/>
      </c>
      <c r="O258" s="206" t="str">
        <f t="shared" si="18"/>
        <v/>
      </c>
      <c r="P258" s="207" t="str">
        <f t="shared" si="23"/>
        <v/>
      </c>
    </row>
    <row r="259" spans="3:16">
      <c r="C259" s="200"/>
      <c r="D259" s="201"/>
      <c r="E259" s="202"/>
      <c r="F259" s="200"/>
      <c r="H259" s="203"/>
      <c r="I259" s="186" t="str">
        <f t="shared" si="19"/>
        <v/>
      </c>
      <c r="J259" s="204" t="str">
        <f>IF($H259="USD",IF(OR($I259="",$I259="-"),"",VLOOKUP($G259,為替!$A:$AX,$I259,FALSE))+$J$3,IF(OR($I259="",$I259="-"),"",VLOOKUP($G259,為替!$A:$AX,$I259,FALSE)))</f>
        <v/>
      </c>
      <c r="K259" s="205" t="str">
        <f t="shared" si="20"/>
        <v/>
      </c>
      <c r="L259" s="189" t="str">
        <f t="shared" si="21"/>
        <v/>
      </c>
      <c r="M259" s="204" t="str">
        <f>IF($H259="USD",IF(OR($L259="",$L259="-"),"",VLOOKUP($G259,為替!$A:$AX,$L259,FALSE))+$K$3,IF(OR($L259="",$L259="-"),"",VLOOKUP($G259,為替!$A:$AX,$L259,FALSE)))</f>
        <v/>
      </c>
      <c r="N259" s="205" t="str">
        <f t="shared" si="22"/>
        <v/>
      </c>
      <c r="O259" s="206" t="str">
        <f t="shared" si="18"/>
        <v/>
      </c>
      <c r="P259" s="207" t="str">
        <f t="shared" si="23"/>
        <v/>
      </c>
    </row>
    <row r="260" spans="3:16">
      <c r="C260" s="200"/>
      <c r="D260" s="201"/>
      <c r="E260" s="202"/>
      <c r="F260" s="200"/>
      <c r="H260" s="203"/>
      <c r="I260" s="186" t="str">
        <f t="shared" si="19"/>
        <v/>
      </c>
      <c r="J260" s="204" t="str">
        <f>IF($H260="USD",IF(OR($I260="",$I260="-"),"",VLOOKUP($G260,為替!$A:$AX,$I260,FALSE))+$J$3,IF(OR($I260="",$I260="-"),"",VLOOKUP($G260,為替!$A:$AX,$I260,FALSE)))</f>
        <v/>
      </c>
      <c r="K260" s="205" t="str">
        <f t="shared" si="20"/>
        <v/>
      </c>
      <c r="L260" s="189" t="str">
        <f t="shared" si="21"/>
        <v/>
      </c>
      <c r="M260" s="204" t="str">
        <f>IF($H260="USD",IF(OR($L260="",$L260="-"),"",VLOOKUP($G260,為替!$A:$AX,$L260,FALSE))+$K$3,IF(OR($L260="",$L260="-"),"",VLOOKUP($G260,為替!$A:$AX,$L260,FALSE)))</f>
        <v/>
      </c>
      <c r="N260" s="205" t="str">
        <f t="shared" si="22"/>
        <v/>
      </c>
      <c r="O260" s="206" t="str">
        <f t="shared" si="18"/>
        <v/>
      </c>
      <c r="P260" s="207" t="str">
        <f t="shared" si="23"/>
        <v/>
      </c>
    </row>
    <row r="261" spans="3:16">
      <c r="C261" s="200"/>
      <c r="D261" s="201"/>
      <c r="E261" s="202"/>
      <c r="F261" s="200"/>
      <c r="H261" s="203"/>
      <c r="I261" s="186" t="str">
        <f t="shared" si="19"/>
        <v/>
      </c>
      <c r="J261" s="204" t="str">
        <f>IF($H261="USD",IF(OR($I261="",$I261="-"),"",VLOOKUP($G261,為替!$A:$AX,$I261,FALSE))+$J$3,IF(OR($I261="",$I261="-"),"",VLOOKUP($G261,為替!$A:$AX,$I261,FALSE)))</f>
        <v/>
      </c>
      <c r="K261" s="205" t="str">
        <f t="shared" si="20"/>
        <v/>
      </c>
      <c r="L261" s="189" t="str">
        <f t="shared" si="21"/>
        <v/>
      </c>
      <c r="M261" s="204" t="str">
        <f>IF($H261="USD",IF(OR($L261="",$L261="-"),"",VLOOKUP($G261,為替!$A:$AX,$L261,FALSE))+$K$3,IF(OR($L261="",$L261="-"),"",VLOOKUP($G261,為替!$A:$AX,$L261,FALSE)))</f>
        <v/>
      </c>
      <c r="N261" s="205" t="str">
        <f t="shared" si="22"/>
        <v/>
      </c>
      <c r="O261" s="206" t="str">
        <f t="shared" si="18"/>
        <v/>
      </c>
      <c r="P261" s="207" t="str">
        <f t="shared" si="23"/>
        <v/>
      </c>
    </row>
    <row r="262" spans="3:16">
      <c r="C262" s="200"/>
      <c r="D262" s="201"/>
      <c r="E262" s="202"/>
      <c r="F262" s="200"/>
      <c r="H262" s="203"/>
      <c r="I262" s="186" t="str">
        <f t="shared" si="19"/>
        <v/>
      </c>
      <c r="J262" s="204" t="str">
        <f>IF($H262="USD",IF(OR($I262="",$I262="-"),"",VLOOKUP($G262,為替!$A:$AX,$I262,FALSE))+$J$3,IF(OR($I262="",$I262="-"),"",VLOOKUP($G262,為替!$A:$AX,$I262,FALSE)))</f>
        <v/>
      </c>
      <c r="K262" s="205" t="str">
        <f t="shared" si="20"/>
        <v/>
      </c>
      <c r="L262" s="189" t="str">
        <f t="shared" si="21"/>
        <v/>
      </c>
      <c r="M262" s="204" t="str">
        <f>IF($H262="USD",IF(OR($L262="",$L262="-"),"",VLOOKUP($G262,為替!$A:$AX,$L262,FALSE))+$K$3,IF(OR($L262="",$L262="-"),"",VLOOKUP($G262,為替!$A:$AX,$L262,FALSE)))</f>
        <v/>
      </c>
      <c r="N262" s="205" t="str">
        <f t="shared" si="22"/>
        <v/>
      </c>
      <c r="O262" s="206" t="str">
        <f t="shared" ref="O262:O325" si="24">IF(OR(K262="",N262=""),"",K262-N262)</f>
        <v/>
      </c>
      <c r="P262" s="207" t="str">
        <f t="shared" si="23"/>
        <v/>
      </c>
    </row>
    <row r="263" spans="3:16">
      <c r="C263" s="200"/>
      <c r="D263" s="201"/>
      <c r="E263" s="202"/>
      <c r="F263" s="200"/>
      <c r="H263" s="203"/>
      <c r="I263" s="186" t="str">
        <f t="shared" ref="I263:I326" si="25">IF(H263="","",IF(H263="JPY","",IF($H263="USD",4, IF(H263="EUR",7,IF(H263="CNY",47,IF(H263="HKD",34))))))</f>
        <v/>
      </c>
      <c r="J263" s="204" t="str">
        <f>IF($H263="USD",IF(OR($I263="",$I263="-"),"",VLOOKUP($G263,為替!$A:$AX,$I263,FALSE))+$J$3,IF(OR($I263="",$I263="-"),"",VLOOKUP($G263,為替!$A:$AX,$I263,FALSE)))</f>
        <v/>
      </c>
      <c r="K263" s="205" t="str">
        <f t="shared" ref="K263:K326" si="26">IF($H263="JPY",$F263,IF($H263="","",$F263*$J263))</f>
        <v/>
      </c>
      <c r="L263" s="189" t="str">
        <f t="shared" ref="L263:L326" si="27">IF(H263="","",IF(H263="JPY","",IF($H263="USD",3, IF(H263="EUR",6,IF(H263="CNY",46,IF(H263="HKD",33))))))</f>
        <v/>
      </c>
      <c r="M263" s="204" t="str">
        <f>IF($H263="USD",IF(OR($L263="",$L263="-"),"",VLOOKUP($G263,為替!$A:$AX,$L263,FALSE))+$K$3,IF(OR($L263="",$L263="-"),"",VLOOKUP($G263,為替!$A:$AX,$L263,FALSE)))</f>
        <v/>
      </c>
      <c r="N263" s="205" t="str">
        <f t="shared" ref="N263:N326" si="28">IF($E263="JPY",($C263+$D263),IF($E263="","",($C263+$D263)*$M263))</f>
        <v/>
      </c>
      <c r="O263" s="206" t="str">
        <f t="shared" si="24"/>
        <v/>
      </c>
      <c r="P263" s="207" t="str">
        <f t="shared" ref="P263:P326" si="29">IF(OR(K263="",O263=""),"",O263/K263)</f>
        <v/>
      </c>
    </row>
    <row r="264" spans="3:16">
      <c r="C264" s="200"/>
      <c r="D264" s="201"/>
      <c r="E264" s="202"/>
      <c r="F264" s="200"/>
      <c r="H264" s="203"/>
      <c r="I264" s="186" t="str">
        <f t="shared" si="25"/>
        <v/>
      </c>
      <c r="J264" s="204" t="str">
        <f>IF($H264="USD",IF(OR($I264="",$I264="-"),"",VLOOKUP($G264,為替!$A:$AX,$I264,FALSE))+$J$3,IF(OR($I264="",$I264="-"),"",VLOOKUP($G264,為替!$A:$AX,$I264,FALSE)))</f>
        <v/>
      </c>
      <c r="K264" s="205" t="str">
        <f t="shared" si="26"/>
        <v/>
      </c>
      <c r="L264" s="189" t="str">
        <f t="shared" si="27"/>
        <v/>
      </c>
      <c r="M264" s="204" t="str">
        <f>IF($H264="USD",IF(OR($L264="",$L264="-"),"",VLOOKUP($G264,為替!$A:$AX,$L264,FALSE))+$K$3,IF(OR($L264="",$L264="-"),"",VLOOKUP($G264,為替!$A:$AX,$L264,FALSE)))</f>
        <v/>
      </c>
      <c r="N264" s="205" t="str">
        <f t="shared" si="28"/>
        <v/>
      </c>
      <c r="O264" s="206" t="str">
        <f t="shared" si="24"/>
        <v/>
      </c>
      <c r="P264" s="207" t="str">
        <f t="shared" si="29"/>
        <v/>
      </c>
    </row>
    <row r="265" spans="3:16">
      <c r="C265" s="200"/>
      <c r="D265" s="201"/>
      <c r="E265" s="202"/>
      <c r="F265" s="200"/>
      <c r="H265" s="203"/>
      <c r="I265" s="186" t="str">
        <f t="shared" si="25"/>
        <v/>
      </c>
      <c r="J265" s="204" t="str">
        <f>IF($H265="USD",IF(OR($I265="",$I265="-"),"",VLOOKUP($G265,為替!$A:$AX,$I265,FALSE))+$J$3,IF(OR($I265="",$I265="-"),"",VLOOKUP($G265,為替!$A:$AX,$I265,FALSE)))</f>
        <v/>
      </c>
      <c r="K265" s="205" t="str">
        <f t="shared" si="26"/>
        <v/>
      </c>
      <c r="L265" s="189" t="str">
        <f t="shared" si="27"/>
        <v/>
      </c>
      <c r="M265" s="204" t="str">
        <f>IF($H265="USD",IF(OR($L265="",$L265="-"),"",VLOOKUP($G265,為替!$A:$AX,$L265,FALSE))+$K$3,IF(OR($L265="",$L265="-"),"",VLOOKUP($G265,為替!$A:$AX,$L265,FALSE)))</f>
        <v/>
      </c>
      <c r="N265" s="205" t="str">
        <f t="shared" si="28"/>
        <v/>
      </c>
      <c r="O265" s="206" t="str">
        <f t="shared" si="24"/>
        <v/>
      </c>
      <c r="P265" s="207" t="str">
        <f t="shared" si="29"/>
        <v/>
      </c>
    </row>
    <row r="266" spans="3:16">
      <c r="C266" s="200"/>
      <c r="D266" s="201"/>
      <c r="E266" s="202"/>
      <c r="F266" s="200"/>
      <c r="H266" s="203"/>
      <c r="I266" s="186" t="str">
        <f t="shared" si="25"/>
        <v/>
      </c>
      <c r="J266" s="204" t="str">
        <f>IF($H266="USD",IF(OR($I266="",$I266="-"),"",VLOOKUP($G266,為替!$A:$AX,$I266,FALSE))+$J$3,IF(OR($I266="",$I266="-"),"",VLOOKUP($G266,為替!$A:$AX,$I266,FALSE)))</f>
        <v/>
      </c>
      <c r="K266" s="205" t="str">
        <f t="shared" si="26"/>
        <v/>
      </c>
      <c r="L266" s="189" t="str">
        <f t="shared" si="27"/>
        <v/>
      </c>
      <c r="M266" s="204" t="str">
        <f>IF($H266="USD",IF(OR($L266="",$L266="-"),"",VLOOKUP($G266,為替!$A:$AX,$L266,FALSE))+$K$3,IF(OR($L266="",$L266="-"),"",VLOOKUP($G266,為替!$A:$AX,$L266,FALSE)))</f>
        <v/>
      </c>
      <c r="N266" s="205" t="str">
        <f t="shared" si="28"/>
        <v/>
      </c>
      <c r="O266" s="206" t="str">
        <f t="shared" si="24"/>
        <v/>
      </c>
      <c r="P266" s="207" t="str">
        <f t="shared" si="29"/>
        <v/>
      </c>
    </row>
    <row r="267" spans="3:16">
      <c r="C267" s="200"/>
      <c r="D267" s="201"/>
      <c r="E267" s="202"/>
      <c r="F267" s="200"/>
      <c r="H267" s="203"/>
      <c r="I267" s="186" t="str">
        <f t="shared" si="25"/>
        <v/>
      </c>
      <c r="J267" s="204" t="str">
        <f>IF($H267="USD",IF(OR($I267="",$I267="-"),"",VLOOKUP($G267,為替!$A:$AX,$I267,FALSE))+$J$3,IF(OR($I267="",$I267="-"),"",VLOOKUP($G267,為替!$A:$AX,$I267,FALSE)))</f>
        <v/>
      </c>
      <c r="K267" s="205" t="str">
        <f t="shared" si="26"/>
        <v/>
      </c>
      <c r="L267" s="189" t="str">
        <f t="shared" si="27"/>
        <v/>
      </c>
      <c r="M267" s="204" t="str">
        <f>IF($H267="USD",IF(OR($L267="",$L267="-"),"",VLOOKUP($G267,為替!$A:$AX,$L267,FALSE))+$K$3,IF(OR($L267="",$L267="-"),"",VLOOKUP($G267,為替!$A:$AX,$L267,FALSE)))</f>
        <v/>
      </c>
      <c r="N267" s="205" t="str">
        <f t="shared" si="28"/>
        <v/>
      </c>
      <c r="O267" s="206" t="str">
        <f t="shared" si="24"/>
        <v/>
      </c>
      <c r="P267" s="207" t="str">
        <f t="shared" si="29"/>
        <v/>
      </c>
    </row>
    <row r="268" spans="3:16">
      <c r="C268" s="200"/>
      <c r="D268" s="201"/>
      <c r="E268" s="202"/>
      <c r="F268" s="200"/>
      <c r="H268" s="203"/>
      <c r="I268" s="186" t="str">
        <f t="shared" si="25"/>
        <v/>
      </c>
      <c r="J268" s="204" t="str">
        <f>IF($H268="USD",IF(OR($I268="",$I268="-"),"",VLOOKUP($G268,為替!$A:$AX,$I268,FALSE))+$J$3,IF(OR($I268="",$I268="-"),"",VLOOKUP($G268,為替!$A:$AX,$I268,FALSE)))</f>
        <v/>
      </c>
      <c r="K268" s="205" t="str">
        <f t="shared" si="26"/>
        <v/>
      </c>
      <c r="L268" s="189" t="str">
        <f t="shared" si="27"/>
        <v/>
      </c>
      <c r="M268" s="204" t="str">
        <f>IF($H268="USD",IF(OR($L268="",$L268="-"),"",VLOOKUP($G268,為替!$A:$AX,$L268,FALSE))+$K$3,IF(OR($L268="",$L268="-"),"",VLOOKUP($G268,為替!$A:$AX,$L268,FALSE)))</f>
        <v/>
      </c>
      <c r="N268" s="205" t="str">
        <f t="shared" si="28"/>
        <v/>
      </c>
      <c r="O268" s="206" t="str">
        <f t="shared" si="24"/>
        <v/>
      </c>
      <c r="P268" s="207" t="str">
        <f t="shared" si="29"/>
        <v/>
      </c>
    </row>
    <row r="269" spans="3:16">
      <c r="C269" s="200"/>
      <c r="D269" s="201"/>
      <c r="E269" s="202"/>
      <c r="F269" s="200"/>
      <c r="H269" s="203"/>
      <c r="I269" s="186" t="str">
        <f t="shared" si="25"/>
        <v/>
      </c>
      <c r="J269" s="204" t="str">
        <f>IF($H269="USD",IF(OR($I269="",$I269="-"),"",VLOOKUP($G269,為替!$A:$AX,$I269,FALSE))+$J$3,IF(OR($I269="",$I269="-"),"",VLOOKUP($G269,為替!$A:$AX,$I269,FALSE)))</f>
        <v/>
      </c>
      <c r="K269" s="205" t="str">
        <f t="shared" si="26"/>
        <v/>
      </c>
      <c r="L269" s="189" t="str">
        <f t="shared" si="27"/>
        <v/>
      </c>
      <c r="M269" s="204" t="str">
        <f>IF($H269="USD",IF(OR($L269="",$L269="-"),"",VLOOKUP($G269,為替!$A:$AX,$L269,FALSE))+$K$3,IF(OR($L269="",$L269="-"),"",VLOOKUP($G269,為替!$A:$AX,$L269,FALSE)))</f>
        <v/>
      </c>
      <c r="N269" s="205" t="str">
        <f t="shared" si="28"/>
        <v/>
      </c>
      <c r="O269" s="206" t="str">
        <f t="shared" si="24"/>
        <v/>
      </c>
      <c r="P269" s="207" t="str">
        <f t="shared" si="29"/>
        <v/>
      </c>
    </row>
    <row r="270" spans="3:16">
      <c r="C270" s="200"/>
      <c r="D270" s="201"/>
      <c r="E270" s="202"/>
      <c r="F270" s="200"/>
      <c r="H270" s="203"/>
      <c r="I270" s="186" t="str">
        <f t="shared" si="25"/>
        <v/>
      </c>
      <c r="J270" s="204" t="str">
        <f>IF($H270="USD",IF(OR($I270="",$I270="-"),"",VLOOKUP($G270,為替!$A:$AX,$I270,FALSE))+$J$3,IF(OR($I270="",$I270="-"),"",VLOOKUP($G270,為替!$A:$AX,$I270,FALSE)))</f>
        <v/>
      </c>
      <c r="K270" s="205" t="str">
        <f t="shared" si="26"/>
        <v/>
      </c>
      <c r="L270" s="189" t="str">
        <f t="shared" si="27"/>
        <v/>
      </c>
      <c r="M270" s="204" t="str">
        <f>IF($H270="USD",IF(OR($L270="",$L270="-"),"",VLOOKUP($G270,為替!$A:$AX,$L270,FALSE))+$K$3,IF(OR($L270="",$L270="-"),"",VLOOKUP($G270,為替!$A:$AX,$L270,FALSE)))</f>
        <v/>
      </c>
      <c r="N270" s="205" t="str">
        <f t="shared" si="28"/>
        <v/>
      </c>
      <c r="O270" s="206" t="str">
        <f t="shared" si="24"/>
        <v/>
      </c>
      <c r="P270" s="207" t="str">
        <f t="shared" si="29"/>
        <v/>
      </c>
    </row>
    <row r="271" spans="3:16">
      <c r="C271" s="200"/>
      <c r="D271" s="201"/>
      <c r="E271" s="202"/>
      <c r="F271" s="200"/>
      <c r="H271" s="203"/>
      <c r="I271" s="186" t="str">
        <f t="shared" si="25"/>
        <v/>
      </c>
      <c r="J271" s="204" t="str">
        <f>IF($H271="USD",IF(OR($I271="",$I271="-"),"",VLOOKUP($G271,為替!$A:$AX,$I271,FALSE))+$J$3,IF(OR($I271="",$I271="-"),"",VLOOKUP($G271,為替!$A:$AX,$I271,FALSE)))</f>
        <v/>
      </c>
      <c r="K271" s="205" t="str">
        <f t="shared" si="26"/>
        <v/>
      </c>
      <c r="L271" s="189" t="str">
        <f t="shared" si="27"/>
        <v/>
      </c>
      <c r="M271" s="204" t="str">
        <f>IF($H271="USD",IF(OR($L271="",$L271="-"),"",VLOOKUP($G271,為替!$A:$AX,$L271,FALSE))+$K$3,IF(OR($L271="",$L271="-"),"",VLOOKUP($G271,為替!$A:$AX,$L271,FALSE)))</f>
        <v/>
      </c>
      <c r="N271" s="205" t="str">
        <f t="shared" si="28"/>
        <v/>
      </c>
      <c r="O271" s="206" t="str">
        <f t="shared" si="24"/>
        <v/>
      </c>
      <c r="P271" s="207" t="str">
        <f t="shared" si="29"/>
        <v/>
      </c>
    </row>
    <row r="272" spans="3:16">
      <c r="C272" s="200"/>
      <c r="D272" s="201"/>
      <c r="E272" s="202"/>
      <c r="F272" s="200"/>
      <c r="H272" s="203"/>
      <c r="I272" s="186" t="str">
        <f t="shared" si="25"/>
        <v/>
      </c>
      <c r="J272" s="204" t="str">
        <f>IF($H272="USD",IF(OR($I272="",$I272="-"),"",VLOOKUP($G272,為替!$A:$AX,$I272,FALSE))+$J$3,IF(OR($I272="",$I272="-"),"",VLOOKUP($G272,為替!$A:$AX,$I272,FALSE)))</f>
        <v/>
      </c>
      <c r="K272" s="205" t="str">
        <f t="shared" si="26"/>
        <v/>
      </c>
      <c r="L272" s="189" t="str">
        <f t="shared" si="27"/>
        <v/>
      </c>
      <c r="M272" s="204" t="str">
        <f>IF($H272="USD",IF(OR($L272="",$L272="-"),"",VLOOKUP($G272,為替!$A:$AX,$L272,FALSE))+$K$3,IF(OR($L272="",$L272="-"),"",VLOOKUP($G272,為替!$A:$AX,$L272,FALSE)))</f>
        <v/>
      </c>
      <c r="N272" s="205" t="str">
        <f t="shared" si="28"/>
        <v/>
      </c>
      <c r="O272" s="206" t="str">
        <f t="shared" si="24"/>
        <v/>
      </c>
      <c r="P272" s="207" t="str">
        <f t="shared" si="29"/>
        <v/>
      </c>
    </row>
    <row r="273" spans="3:16">
      <c r="C273" s="200"/>
      <c r="D273" s="201"/>
      <c r="E273" s="202"/>
      <c r="F273" s="200"/>
      <c r="H273" s="203"/>
      <c r="I273" s="186" t="str">
        <f t="shared" si="25"/>
        <v/>
      </c>
      <c r="J273" s="204" t="str">
        <f>IF($H273="USD",IF(OR($I273="",$I273="-"),"",VLOOKUP($G273,為替!$A:$AX,$I273,FALSE))+$J$3,IF(OR($I273="",$I273="-"),"",VLOOKUP($G273,為替!$A:$AX,$I273,FALSE)))</f>
        <v/>
      </c>
      <c r="K273" s="205" t="str">
        <f t="shared" si="26"/>
        <v/>
      </c>
      <c r="L273" s="189" t="str">
        <f t="shared" si="27"/>
        <v/>
      </c>
      <c r="M273" s="204" t="str">
        <f>IF($H273="USD",IF(OR($L273="",$L273="-"),"",VLOOKUP($G273,為替!$A:$AX,$L273,FALSE))+$K$3,IF(OR($L273="",$L273="-"),"",VLOOKUP($G273,為替!$A:$AX,$L273,FALSE)))</f>
        <v/>
      </c>
      <c r="N273" s="205" t="str">
        <f t="shared" si="28"/>
        <v/>
      </c>
      <c r="O273" s="206" t="str">
        <f t="shared" si="24"/>
        <v/>
      </c>
      <c r="P273" s="207" t="str">
        <f t="shared" si="29"/>
        <v/>
      </c>
    </row>
    <row r="274" spans="3:16">
      <c r="C274" s="200"/>
      <c r="D274" s="201"/>
      <c r="E274" s="202"/>
      <c r="F274" s="200"/>
      <c r="H274" s="203"/>
      <c r="I274" s="186" t="str">
        <f t="shared" si="25"/>
        <v/>
      </c>
      <c r="J274" s="204" t="str">
        <f>IF($H274="USD",IF(OR($I274="",$I274="-"),"",VLOOKUP($G274,為替!$A:$AX,$I274,FALSE))+$J$3,IF(OR($I274="",$I274="-"),"",VLOOKUP($G274,為替!$A:$AX,$I274,FALSE)))</f>
        <v/>
      </c>
      <c r="K274" s="205" t="str">
        <f t="shared" si="26"/>
        <v/>
      </c>
      <c r="L274" s="189" t="str">
        <f t="shared" si="27"/>
        <v/>
      </c>
      <c r="M274" s="204" t="str">
        <f>IF($H274="USD",IF(OR($L274="",$L274="-"),"",VLOOKUP($G274,為替!$A:$AX,$L274,FALSE))+$K$3,IF(OR($L274="",$L274="-"),"",VLOOKUP($G274,為替!$A:$AX,$L274,FALSE)))</f>
        <v/>
      </c>
      <c r="N274" s="205" t="str">
        <f t="shared" si="28"/>
        <v/>
      </c>
      <c r="O274" s="206" t="str">
        <f t="shared" si="24"/>
        <v/>
      </c>
      <c r="P274" s="207" t="str">
        <f t="shared" si="29"/>
        <v/>
      </c>
    </row>
    <row r="275" spans="3:16">
      <c r="C275" s="200"/>
      <c r="D275" s="201"/>
      <c r="E275" s="202"/>
      <c r="F275" s="200"/>
      <c r="H275" s="203"/>
      <c r="I275" s="186" t="str">
        <f t="shared" si="25"/>
        <v/>
      </c>
      <c r="J275" s="204" t="str">
        <f>IF($H275="USD",IF(OR($I275="",$I275="-"),"",VLOOKUP($G275,為替!$A:$AX,$I275,FALSE))+$J$3,IF(OR($I275="",$I275="-"),"",VLOOKUP($G275,為替!$A:$AX,$I275,FALSE)))</f>
        <v/>
      </c>
      <c r="K275" s="205" t="str">
        <f t="shared" si="26"/>
        <v/>
      </c>
      <c r="L275" s="189" t="str">
        <f t="shared" si="27"/>
        <v/>
      </c>
      <c r="M275" s="204" t="str">
        <f>IF($H275="USD",IF(OR($L275="",$L275="-"),"",VLOOKUP($G275,為替!$A:$AX,$L275,FALSE))+$K$3,IF(OR($L275="",$L275="-"),"",VLOOKUP($G275,為替!$A:$AX,$L275,FALSE)))</f>
        <v/>
      </c>
      <c r="N275" s="205" t="str">
        <f t="shared" si="28"/>
        <v/>
      </c>
      <c r="O275" s="206" t="str">
        <f t="shared" si="24"/>
        <v/>
      </c>
      <c r="P275" s="207" t="str">
        <f t="shared" si="29"/>
        <v/>
      </c>
    </row>
    <row r="276" spans="3:16">
      <c r="C276" s="200"/>
      <c r="D276" s="201"/>
      <c r="E276" s="202"/>
      <c r="F276" s="200"/>
      <c r="H276" s="203"/>
      <c r="I276" s="186" t="str">
        <f t="shared" si="25"/>
        <v/>
      </c>
      <c r="J276" s="204" t="str">
        <f>IF($H276="USD",IF(OR($I276="",$I276="-"),"",VLOOKUP($G276,為替!$A:$AX,$I276,FALSE))+$J$3,IF(OR($I276="",$I276="-"),"",VLOOKUP($G276,為替!$A:$AX,$I276,FALSE)))</f>
        <v/>
      </c>
      <c r="K276" s="205" t="str">
        <f t="shared" si="26"/>
        <v/>
      </c>
      <c r="L276" s="189" t="str">
        <f t="shared" si="27"/>
        <v/>
      </c>
      <c r="M276" s="204" t="str">
        <f>IF($H276="USD",IF(OR($L276="",$L276="-"),"",VLOOKUP($G276,為替!$A:$AX,$L276,FALSE))+$K$3,IF(OR($L276="",$L276="-"),"",VLOOKUP($G276,為替!$A:$AX,$L276,FALSE)))</f>
        <v/>
      </c>
      <c r="N276" s="205" t="str">
        <f t="shared" si="28"/>
        <v/>
      </c>
      <c r="O276" s="206" t="str">
        <f t="shared" si="24"/>
        <v/>
      </c>
      <c r="P276" s="207" t="str">
        <f t="shared" si="29"/>
        <v/>
      </c>
    </row>
    <row r="277" spans="3:16">
      <c r="C277" s="200"/>
      <c r="D277" s="201"/>
      <c r="E277" s="202"/>
      <c r="F277" s="200"/>
      <c r="H277" s="203"/>
      <c r="I277" s="186" t="str">
        <f t="shared" si="25"/>
        <v/>
      </c>
      <c r="J277" s="204" t="str">
        <f>IF($H277="USD",IF(OR($I277="",$I277="-"),"",VLOOKUP($G277,為替!$A:$AX,$I277,FALSE))+$J$3,IF(OR($I277="",$I277="-"),"",VLOOKUP($G277,為替!$A:$AX,$I277,FALSE)))</f>
        <v/>
      </c>
      <c r="K277" s="205" t="str">
        <f t="shared" si="26"/>
        <v/>
      </c>
      <c r="L277" s="189" t="str">
        <f t="shared" si="27"/>
        <v/>
      </c>
      <c r="M277" s="204" t="str">
        <f>IF($H277="USD",IF(OR($L277="",$L277="-"),"",VLOOKUP($G277,為替!$A:$AX,$L277,FALSE))+$K$3,IF(OR($L277="",$L277="-"),"",VLOOKUP($G277,為替!$A:$AX,$L277,FALSE)))</f>
        <v/>
      </c>
      <c r="N277" s="205" t="str">
        <f t="shared" si="28"/>
        <v/>
      </c>
      <c r="O277" s="206" t="str">
        <f t="shared" si="24"/>
        <v/>
      </c>
      <c r="P277" s="207" t="str">
        <f t="shared" si="29"/>
        <v/>
      </c>
    </row>
    <row r="278" spans="3:16">
      <c r="C278" s="200"/>
      <c r="D278" s="201"/>
      <c r="E278" s="202"/>
      <c r="F278" s="200"/>
      <c r="H278" s="203"/>
      <c r="I278" s="186" t="str">
        <f t="shared" si="25"/>
        <v/>
      </c>
      <c r="J278" s="204" t="str">
        <f>IF($H278="USD",IF(OR($I278="",$I278="-"),"",VLOOKUP($G278,為替!$A:$AX,$I278,FALSE))+$J$3,IF(OR($I278="",$I278="-"),"",VLOOKUP($G278,為替!$A:$AX,$I278,FALSE)))</f>
        <v/>
      </c>
      <c r="K278" s="205" t="str">
        <f t="shared" si="26"/>
        <v/>
      </c>
      <c r="L278" s="189" t="str">
        <f t="shared" si="27"/>
        <v/>
      </c>
      <c r="M278" s="204" t="str">
        <f>IF($H278="USD",IF(OR($L278="",$L278="-"),"",VLOOKUP($G278,為替!$A:$AX,$L278,FALSE))+$K$3,IF(OR($L278="",$L278="-"),"",VLOOKUP($G278,為替!$A:$AX,$L278,FALSE)))</f>
        <v/>
      </c>
      <c r="N278" s="205" t="str">
        <f t="shared" si="28"/>
        <v/>
      </c>
      <c r="O278" s="206" t="str">
        <f t="shared" si="24"/>
        <v/>
      </c>
      <c r="P278" s="207" t="str">
        <f t="shared" si="29"/>
        <v/>
      </c>
    </row>
    <row r="279" spans="3:16">
      <c r="C279" s="200"/>
      <c r="D279" s="201"/>
      <c r="E279" s="202"/>
      <c r="F279" s="200"/>
      <c r="H279" s="203"/>
      <c r="I279" s="186" t="str">
        <f t="shared" si="25"/>
        <v/>
      </c>
      <c r="J279" s="204" t="str">
        <f>IF($H279="USD",IF(OR($I279="",$I279="-"),"",VLOOKUP($G279,為替!$A:$AX,$I279,FALSE))+$J$3,IF(OR($I279="",$I279="-"),"",VLOOKUP($G279,為替!$A:$AX,$I279,FALSE)))</f>
        <v/>
      </c>
      <c r="K279" s="205" t="str">
        <f t="shared" si="26"/>
        <v/>
      </c>
      <c r="L279" s="189" t="str">
        <f t="shared" si="27"/>
        <v/>
      </c>
      <c r="M279" s="204" t="str">
        <f>IF($H279="USD",IF(OR($L279="",$L279="-"),"",VLOOKUP($G279,為替!$A:$AX,$L279,FALSE))+$K$3,IF(OR($L279="",$L279="-"),"",VLOOKUP($G279,為替!$A:$AX,$L279,FALSE)))</f>
        <v/>
      </c>
      <c r="N279" s="205" t="str">
        <f t="shared" si="28"/>
        <v/>
      </c>
      <c r="O279" s="206" t="str">
        <f t="shared" si="24"/>
        <v/>
      </c>
      <c r="P279" s="207" t="str">
        <f t="shared" si="29"/>
        <v/>
      </c>
    </row>
    <row r="280" spans="3:16">
      <c r="C280" s="200"/>
      <c r="D280" s="201"/>
      <c r="E280" s="202"/>
      <c r="F280" s="200"/>
      <c r="H280" s="203"/>
      <c r="I280" s="186" t="str">
        <f t="shared" si="25"/>
        <v/>
      </c>
      <c r="J280" s="204" t="str">
        <f>IF($H280="USD",IF(OR($I280="",$I280="-"),"",VLOOKUP($G280,為替!$A:$AX,$I280,FALSE))+$J$3,IF(OR($I280="",$I280="-"),"",VLOOKUP($G280,為替!$A:$AX,$I280,FALSE)))</f>
        <v/>
      </c>
      <c r="K280" s="205" t="str">
        <f t="shared" si="26"/>
        <v/>
      </c>
      <c r="L280" s="189" t="str">
        <f t="shared" si="27"/>
        <v/>
      </c>
      <c r="M280" s="204" t="str">
        <f>IF($H280="USD",IF(OR($L280="",$L280="-"),"",VLOOKUP($G280,為替!$A:$AX,$L280,FALSE))+$K$3,IF(OR($L280="",$L280="-"),"",VLOOKUP($G280,為替!$A:$AX,$L280,FALSE)))</f>
        <v/>
      </c>
      <c r="N280" s="205" t="str">
        <f t="shared" si="28"/>
        <v/>
      </c>
      <c r="O280" s="206" t="str">
        <f t="shared" si="24"/>
        <v/>
      </c>
      <c r="P280" s="207" t="str">
        <f t="shared" si="29"/>
        <v/>
      </c>
    </row>
    <row r="281" spans="3:16">
      <c r="C281" s="200"/>
      <c r="D281" s="201"/>
      <c r="E281" s="202"/>
      <c r="F281" s="200"/>
      <c r="H281" s="203"/>
      <c r="I281" s="186" t="str">
        <f t="shared" si="25"/>
        <v/>
      </c>
      <c r="J281" s="204" t="str">
        <f>IF($H281="USD",IF(OR($I281="",$I281="-"),"",VLOOKUP($G281,為替!$A:$AX,$I281,FALSE))+$J$3,IF(OR($I281="",$I281="-"),"",VLOOKUP($G281,為替!$A:$AX,$I281,FALSE)))</f>
        <v/>
      </c>
      <c r="K281" s="205" t="str">
        <f t="shared" si="26"/>
        <v/>
      </c>
      <c r="L281" s="189" t="str">
        <f t="shared" si="27"/>
        <v/>
      </c>
      <c r="M281" s="204" t="str">
        <f>IF($H281="USD",IF(OR($L281="",$L281="-"),"",VLOOKUP($G281,為替!$A:$AX,$L281,FALSE))+$K$3,IF(OR($L281="",$L281="-"),"",VLOOKUP($G281,為替!$A:$AX,$L281,FALSE)))</f>
        <v/>
      </c>
      <c r="N281" s="205" t="str">
        <f t="shared" si="28"/>
        <v/>
      </c>
      <c r="O281" s="206" t="str">
        <f t="shared" si="24"/>
        <v/>
      </c>
      <c r="P281" s="207" t="str">
        <f t="shared" si="29"/>
        <v/>
      </c>
    </row>
    <row r="282" spans="3:16">
      <c r="C282" s="200"/>
      <c r="D282" s="201"/>
      <c r="E282" s="202"/>
      <c r="F282" s="200"/>
      <c r="H282" s="203"/>
      <c r="I282" s="186" t="str">
        <f t="shared" si="25"/>
        <v/>
      </c>
      <c r="J282" s="204" t="str">
        <f>IF($H282="USD",IF(OR($I282="",$I282="-"),"",VLOOKUP($G282,為替!$A:$AX,$I282,FALSE))+$J$3,IF(OR($I282="",$I282="-"),"",VLOOKUP($G282,為替!$A:$AX,$I282,FALSE)))</f>
        <v/>
      </c>
      <c r="K282" s="205" t="str">
        <f t="shared" si="26"/>
        <v/>
      </c>
      <c r="L282" s="189" t="str">
        <f t="shared" si="27"/>
        <v/>
      </c>
      <c r="M282" s="204" t="str">
        <f>IF($H282="USD",IF(OR($L282="",$L282="-"),"",VLOOKUP($G282,為替!$A:$AX,$L282,FALSE))+$K$3,IF(OR($L282="",$L282="-"),"",VLOOKUP($G282,為替!$A:$AX,$L282,FALSE)))</f>
        <v/>
      </c>
      <c r="N282" s="205" t="str">
        <f t="shared" si="28"/>
        <v/>
      </c>
      <c r="O282" s="206" t="str">
        <f t="shared" si="24"/>
        <v/>
      </c>
      <c r="P282" s="207" t="str">
        <f t="shared" si="29"/>
        <v/>
      </c>
    </row>
    <row r="283" spans="3:16">
      <c r="C283" s="200"/>
      <c r="D283" s="201"/>
      <c r="E283" s="202"/>
      <c r="F283" s="200"/>
      <c r="H283" s="203"/>
      <c r="I283" s="186" t="str">
        <f t="shared" si="25"/>
        <v/>
      </c>
      <c r="J283" s="204" t="str">
        <f>IF($H283="USD",IF(OR($I283="",$I283="-"),"",VLOOKUP($G283,為替!$A:$AX,$I283,FALSE))+$J$3,IF(OR($I283="",$I283="-"),"",VLOOKUP($G283,為替!$A:$AX,$I283,FALSE)))</f>
        <v/>
      </c>
      <c r="K283" s="205" t="str">
        <f t="shared" si="26"/>
        <v/>
      </c>
      <c r="L283" s="189" t="str">
        <f t="shared" si="27"/>
        <v/>
      </c>
      <c r="M283" s="204" t="str">
        <f>IF($H283="USD",IF(OR($L283="",$L283="-"),"",VLOOKUP($G283,為替!$A:$AX,$L283,FALSE))+$K$3,IF(OR($L283="",$L283="-"),"",VLOOKUP($G283,為替!$A:$AX,$L283,FALSE)))</f>
        <v/>
      </c>
      <c r="N283" s="205" t="str">
        <f t="shared" si="28"/>
        <v/>
      </c>
      <c r="O283" s="206" t="str">
        <f t="shared" si="24"/>
        <v/>
      </c>
      <c r="P283" s="207" t="str">
        <f t="shared" si="29"/>
        <v/>
      </c>
    </row>
    <row r="284" spans="3:16">
      <c r="C284" s="200"/>
      <c r="D284" s="201"/>
      <c r="E284" s="202"/>
      <c r="F284" s="200"/>
      <c r="H284" s="203"/>
      <c r="I284" s="186" t="str">
        <f t="shared" si="25"/>
        <v/>
      </c>
      <c r="J284" s="204" t="str">
        <f>IF($H284="USD",IF(OR($I284="",$I284="-"),"",VLOOKUP($G284,為替!$A:$AX,$I284,FALSE))+$J$3,IF(OR($I284="",$I284="-"),"",VLOOKUP($G284,為替!$A:$AX,$I284,FALSE)))</f>
        <v/>
      </c>
      <c r="K284" s="205" t="str">
        <f t="shared" si="26"/>
        <v/>
      </c>
      <c r="L284" s="189" t="str">
        <f t="shared" si="27"/>
        <v/>
      </c>
      <c r="M284" s="204" t="str">
        <f>IF($H284="USD",IF(OR($L284="",$L284="-"),"",VLOOKUP($G284,為替!$A:$AX,$L284,FALSE))+$K$3,IF(OR($L284="",$L284="-"),"",VLOOKUP($G284,為替!$A:$AX,$L284,FALSE)))</f>
        <v/>
      </c>
      <c r="N284" s="205" t="str">
        <f t="shared" si="28"/>
        <v/>
      </c>
      <c r="O284" s="206" t="str">
        <f t="shared" si="24"/>
        <v/>
      </c>
      <c r="P284" s="207" t="str">
        <f t="shared" si="29"/>
        <v/>
      </c>
    </row>
    <row r="285" spans="3:16">
      <c r="C285" s="200"/>
      <c r="D285" s="201"/>
      <c r="E285" s="202"/>
      <c r="F285" s="200"/>
      <c r="H285" s="203"/>
      <c r="I285" s="186" t="str">
        <f t="shared" si="25"/>
        <v/>
      </c>
      <c r="J285" s="204" t="str">
        <f>IF($H285="USD",IF(OR($I285="",$I285="-"),"",VLOOKUP($G285,為替!$A:$AX,$I285,FALSE))+$J$3,IF(OR($I285="",$I285="-"),"",VLOOKUP($G285,為替!$A:$AX,$I285,FALSE)))</f>
        <v/>
      </c>
      <c r="K285" s="205" t="str">
        <f t="shared" si="26"/>
        <v/>
      </c>
      <c r="L285" s="189" t="str">
        <f t="shared" si="27"/>
        <v/>
      </c>
      <c r="M285" s="204" t="str">
        <f>IF($H285="USD",IF(OR($L285="",$L285="-"),"",VLOOKUP($G285,為替!$A:$AX,$L285,FALSE))+$K$3,IF(OR($L285="",$L285="-"),"",VLOOKUP($G285,為替!$A:$AX,$L285,FALSE)))</f>
        <v/>
      </c>
      <c r="N285" s="205" t="str">
        <f t="shared" si="28"/>
        <v/>
      </c>
      <c r="O285" s="206" t="str">
        <f t="shared" si="24"/>
        <v/>
      </c>
      <c r="P285" s="207" t="str">
        <f t="shared" si="29"/>
        <v/>
      </c>
    </row>
    <row r="286" spans="3:16">
      <c r="C286" s="200"/>
      <c r="D286" s="201"/>
      <c r="E286" s="202"/>
      <c r="F286" s="200"/>
      <c r="H286" s="203"/>
      <c r="I286" s="186" t="str">
        <f t="shared" si="25"/>
        <v/>
      </c>
      <c r="J286" s="204" t="str">
        <f>IF($H286="USD",IF(OR($I286="",$I286="-"),"",VLOOKUP($G286,為替!$A:$AX,$I286,FALSE))+$J$3,IF(OR($I286="",$I286="-"),"",VLOOKUP($G286,為替!$A:$AX,$I286,FALSE)))</f>
        <v/>
      </c>
      <c r="K286" s="205" t="str">
        <f t="shared" si="26"/>
        <v/>
      </c>
      <c r="L286" s="189" t="str">
        <f t="shared" si="27"/>
        <v/>
      </c>
      <c r="M286" s="204" t="str">
        <f>IF($H286="USD",IF(OR($L286="",$L286="-"),"",VLOOKUP($G286,為替!$A:$AX,$L286,FALSE))+$K$3,IF(OR($L286="",$L286="-"),"",VLOOKUP($G286,為替!$A:$AX,$L286,FALSE)))</f>
        <v/>
      </c>
      <c r="N286" s="205" t="str">
        <f t="shared" si="28"/>
        <v/>
      </c>
      <c r="O286" s="206" t="str">
        <f t="shared" si="24"/>
        <v/>
      </c>
      <c r="P286" s="207" t="str">
        <f t="shared" si="29"/>
        <v/>
      </c>
    </row>
    <row r="287" spans="3:16">
      <c r="C287" s="200"/>
      <c r="D287" s="201"/>
      <c r="E287" s="202"/>
      <c r="F287" s="200"/>
      <c r="H287" s="203"/>
      <c r="I287" s="186" t="str">
        <f t="shared" si="25"/>
        <v/>
      </c>
      <c r="J287" s="204" t="str">
        <f>IF($H287="USD",IF(OR($I287="",$I287="-"),"",VLOOKUP($G287,為替!$A:$AX,$I287,FALSE))+$J$3,IF(OR($I287="",$I287="-"),"",VLOOKUP($G287,為替!$A:$AX,$I287,FALSE)))</f>
        <v/>
      </c>
      <c r="K287" s="205" t="str">
        <f t="shared" si="26"/>
        <v/>
      </c>
      <c r="L287" s="189" t="str">
        <f t="shared" si="27"/>
        <v/>
      </c>
      <c r="M287" s="204" t="str">
        <f>IF($H287="USD",IF(OR($L287="",$L287="-"),"",VLOOKUP($G287,為替!$A:$AX,$L287,FALSE))+$K$3,IF(OR($L287="",$L287="-"),"",VLOOKUP($G287,為替!$A:$AX,$L287,FALSE)))</f>
        <v/>
      </c>
      <c r="N287" s="205" t="str">
        <f t="shared" si="28"/>
        <v/>
      </c>
      <c r="O287" s="206" t="str">
        <f t="shared" si="24"/>
        <v/>
      </c>
      <c r="P287" s="207" t="str">
        <f t="shared" si="29"/>
        <v/>
      </c>
    </row>
    <row r="288" spans="3:16">
      <c r="C288" s="200"/>
      <c r="D288" s="201"/>
      <c r="E288" s="202"/>
      <c r="F288" s="200"/>
      <c r="H288" s="203"/>
      <c r="I288" s="186" t="str">
        <f t="shared" si="25"/>
        <v/>
      </c>
      <c r="J288" s="204" t="str">
        <f>IF($H288="USD",IF(OR($I288="",$I288="-"),"",VLOOKUP($G288,為替!$A:$AX,$I288,FALSE))+$J$3,IF(OR($I288="",$I288="-"),"",VLOOKUP($G288,為替!$A:$AX,$I288,FALSE)))</f>
        <v/>
      </c>
      <c r="K288" s="205" t="str">
        <f t="shared" si="26"/>
        <v/>
      </c>
      <c r="L288" s="189" t="str">
        <f t="shared" si="27"/>
        <v/>
      </c>
      <c r="M288" s="204" t="str">
        <f>IF($H288="USD",IF(OR($L288="",$L288="-"),"",VLOOKUP($G288,為替!$A:$AX,$L288,FALSE))+$K$3,IF(OR($L288="",$L288="-"),"",VLOOKUP($G288,為替!$A:$AX,$L288,FALSE)))</f>
        <v/>
      </c>
      <c r="N288" s="205" t="str">
        <f t="shared" si="28"/>
        <v/>
      </c>
      <c r="O288" s="206" t="str">
        <f t="shared" si="24"/>
        <v/>
      </c>
      <c r="P288" s="207" t="str">
        <f t="shared" si="29"/>
        <v/>
      </c>
    </row>
    <row r="289" spans="3:16">
      <c r="C289" s="200"/>
      <c r="D289" s="201"/>
      <c r="E289" s="202"/>
      <c r="F289" s="200"/>
      <c r="H289" s="203"/>
      <c r="I289" s="186" t="str">
        <f t="shared" si="25"/>
        <v/>
      </c>
      <c r="J289" s="204" t="str">
        <f>IF($H289="USD",IF(OR($I289="",$I289="-"),"",VLOOKUP($G289,為替!$A:$AX,$I289,FALSE))+$J$3,IF(OR($I289="",$I289="-"),"",VLOOKUP($G289,為替!$A:$AX,$I289,FALSE)))</f>
        <v/>
      </c>
      <c r="K289" s="205" t="str">
        <f t="shared" si="26"/>
        <v/>
      </c>
      <c r="L289" s="189" t="str">
        <f t="shared" si="27"/>
        <v/>
      </c>
      <c r="M289" s="204" t="str">
        <f>IF($H289="USD",IF(OR($L289="",$L289="-"),"",VLOOKUP($G289,為替!$A:$AX,$L289,FALSE))+$K$3,IF(OR($L289="",$L289="-"),"",VLOOKUP($G289,為替!$A:$AX,$L289,FALSE)))</f>
        <v/>
      </c>
      <c r="N289" s="205" t="str">
        <f t="shared" si="28"/>
        <v/>
      </c>
      <c r="O289" s="206" t="str">
        <f t="shared" si="24"/>
        <v/>
      </c>
      <c r="P289" s="207" t="str">
        <f t="shared" si="29"/>
        <v/>
      </c>
    </row>
    <row r="290" spans="3:16">
      <c r="C290" s="200"/>
      <c r="D290" s="201"/>
      <c r="E290" s="202"/>
      <c r="F290" s="200"/>
      <c r="H290" s="203"/>
      <c r="I290" s="186" t="str">
        <f t="shared" si="25"/>
        <v/>
      </c>
      <c r="J290" s="204" t="str">
        <f>IF($H290="USD",IF(OR($I290="",$I290="-"),"",VLOOKUP($G290,為替!$A:$AX,$I290,FALSE))+$J$3,IF(OR($I290="",$I290="-"),"",VLOOKUP($G290,為替!$A:$AX,$I290,FALSE)))</f>
        <v/>
      </c>
      <c r="K290" s="205" t="str">
        <f t="shared" si="26"/>
        <v/>
      </c>
      <c r="L290" s="189" t="str">
        <f t="shared" si="27"/>
        <v/>
      </c>
      <c r="M290" s="204" t="str">
        <f>IF($H290="USD",IF(OR($L290="",$L290="-"),"",VLOOKUP($G290,為替!$A:$AX,$L290,FALSE))+$K$3,IF(OR($L290="",$L290="-"),"",VLOOKUP($G290,為替!$A:$AX,$L290,FALSE)))</f>
        <v/>
      </c>
      <c r="N290" s="205" t="str">
        <f t="shared" si="28"/>
        <v/>
      </c>
      <c r="O290" s="206" t="str">
        <f t="shared" si="24"/>
        <v/>
      </c>
      <c r="P290" s="207" t="str">
        <f t="shared" si="29"/>
        <v/>
      </c>
    </row>
    <row r="291" spans="3:16">
      <c r="C291" s="200"/>
      <c r="D291" s="201"/>
      <c r="E291" s="202"/>
      <c r="F291" s="200"/>
      <c r="H291" s="203"/>
      <c r="I291" s="186" t="str">
        <f t="shared" si="25"/>
        <v/>
      </c>
      <c r="J291" s="204" t="str">
        <f>IF($H291="USD",IF(OR($I291="",$I291="-"),"",VLOOKUP($G291,為替!$A:$AX,$I291,FALSE))+$J$3,IF(OR($I291="",$I291="-"),"",VLOOKUP($G291,為替!$A:$AX,$I291,FALSE)))</f>
        <v/>
      </c>
      <c r="K291" s="205" t="str">
        <f t="shared" si="26"/>
        <v/>
      </c>
      <c r="L291" s="189" t="str">
        <f t="shared" si="27"/>
        <v/>
      </c>
      <c r="M291" s="204" t="str">
        <f>IF($H291="USD",IF(OR($L291="",$L291="-"),"",VLOOKUP($G291,為替!$A:$AX,$L291,FALSE))+$K$3,IF(OR($L291="",$L291="-"),"",VLOOKUP($G291,為替!$A:$AX,$L291,FALSE)))</f>
        <v/>
      </c>
      <c r="N291" s="205" t="str">
        <f t="shared" si="28"/>
        <v/>
      </c>
      <c r="O291" s="206" t="str">
        <f t="shared" si="24"/>
        <v/>
      </c>
      <c r="P291" s="207" t="str">
        <f t="shared" si="29"/>
        <v/>
      </c>
    </row>
    <row r="292" spans="3:16">
      <c r="C292" s="200"/>
      <c r="D292" s="201"/>
      <c r="E292" s="202"/>
      <c r="F292" s="200"/>
      <c r="H292" s="203"/>
      <c r="I292" s="186" t="str">
        <f t="shared" si="25"/>
        <v/>
      </c>
      <c r="J292" s="204" t="str">
        <f>IF($H292="USD",IF(OR($I292="",$I292="-"),"",VLOOKUP($G292,為替!$A:$AX,$I292,FALSE))+$J$3,IF(OR($I292="",$I292="-"),"",VLOOKUP($G292,為替!$A:$AX,$I292,FALSE)))</f>
        <v/>
      </c>
      <c r="K292" s="205" t="str">
        <f t="shared" si="26"/>
        <v/>
      </c>
      <c r="L292" s="189" t="str">
        <f t="shared" si="27"/>
        <v/>
      </c>
      <c r="M292" s="204" t="str">
        <f>IF($H292="USD",IF(OR($L292="",$L292="-"),"",VLOOKUP($G292,為替!$A:$AX,$L292,FALSE))+$K$3,IF(OR($L292="",$L292="-"),"",VLOOKUP($G292,為替!$A:$AX,$L292,FALSE)))</f>
        <v/>
      </c>
      <c r="N292" s="205" t="str">
        <f t="shared" si="28"/>
        <v/>
      </c>
      <c r="O292" s="206" t="str">
        <f t="shared" si="24"/>
        <v/>
      </c>
      <c r="P292" s="207" t="str">
        <f t="shared" si="29"/>
        <v/>
      </c>
    </row>
    <row r="293" spans="3:16">
      <c r="C293" s="200"/>
      <c r="D293" s="201"/>
      <c r="E293" s="202"/>
      <c r="F293" s="200"/>
      <c r="H293" s="203"/>
      <c r="I293" s="186" t="str">
        <f t="shared" si="25"/>
        <v/>
      </c>
      <c r="J293" s="204" t="str">
        <f>IF($H293="USD",IF(OR($I293="",$I293="-"),"",VLOOKUP($G293,為替!$A:$AX,$I293,FALSE))+$J$3,IF(OR($I293="",$I293="-"),"",VLOOKUP($G293,為替!$A:$AX,$I293,FALSE)))</f>
        <v/>
      </c>
      <c r="K293" s="205" t="str">
        <f t="shared" si="26"/>
        <v/>
      </c>
      <c r="L293" s="189" t="str">
        <f t="shared" si="27"/>
        <v/>
      </c>
      <c r="M293" s="204" t="str">
        <f>IF($H293="USD",IF(OR($L293="",$L293="-"),"",VLOOKUP($G293,為替!$A:$AX,$L293,FALSE))+$K$3,IF(OR($L293="",$L293="-"),"",VLOOKUP($G293,為替!$A:$AX,$L293,FALSE)))</f>
        <v/>
      </c>
      <c r="N293" s="205" t="str">
        <f t="shared" si="28"/>
        <v/>
      </c>
      <c r="O293" s="206" t="str">
        <f t="shared" si="24"/>
        <v/>
      </c>
      <c r="P293" s="207" t="str">
        <f t="shared" si="29"/>
        <v/>
      </c>
    </row>
    <row r="294" spans="3:16">
      <c r="C294" s="200"/>
      <c r="D294" s="201"/>
      <c r="E294" s="202"/>
      <c r="F294" s="200"/>
      <c r="H294" s="203"/>
      <c r="I294" s="186" t="str">
        <f t="shared" si="25"/>
        <v/>
      </c>
      <c r="J294" s="204" t="str">
        <f>IF($H294="USD",IF(OR($I294="",$I294="-"),"",VLOOKUP($G294,為替!$A:$AX,$I294,FALSE))+$J$3,IF(OR($I294="",$I294="-"),"",VLOOKUP($G294,為替!$A:$AX,$I294,FALSE)))</f>
        <v/>
      </c>
      <c r="K294" s="205" t="str">
        <f t="shared" si="26"/>
        <v/>
      </c>
      <c r="L294" s="189" t="str">
        <f t="shared" si="27"/>
        <v/>
      </c>
      <c r="M294" s="204" t="str">
        <f>IF($H294="USD",IF(OR($L294="",$L294="-"),"",VLOOKUP($G294,為替!$A:$AX,$L294,FALSE))+$K$3,IF(OR($L294="",$L294="-"),"",VLOOKUP($G294,為替!$A:$AX,$L294,FALSE)))</f>
        <v/>
      </c>
      <c r="N294" s="205" t="str">
        <f t="shared" si="28"/>
        <v/>
      </c>
      <c r="O294" s="206" t="str">
        <f t="shared" si="24"/>
        <v/>
      </c>
      <c r="P294" s="207" t="str">
        <f t="shared" si="29"/>
        <v/>
      </c>
    </row>
    <row r="295" spans="3:16">
      <c r="C295" s="200"/>
      <c r="D295" s="201"/>
      <c r="E295" s="202"/>
      <c r="F295" s="200"/>
      <c r="H295" s="203"/>
      <c r="I295" s="186" t="str">
        <f t="shared" si="25"/>
        <v/>
      </c>
      <c r="J295" s="204" t="str">
        <f>IF($H295="USD",IF(OR($I295="",$I295="-"),"",VLOOKUP($G295,為替!$A:$AX,$I295,FALSE))+$J$3,IF(OR($I295="",$I295="-"),"",VLOOKUP($G295,為替!$A:$AX,$I295,FALSE)))</f>
        <v/>
      </c>
      <c r="K295" s="205" t="str">
        <f t="shared" si="26"/>
        <v/>
      </c>
      <c r="L295" s="189" t="str">
        <f t="shared" si="27"/>
        <v/>
      </c>
      <c r="M295" s="204" t="str">
        <f>IF($H295="USD",IF(OR($L295="",$L295="-"),"",VLOOKUP($G295,為替!$A:$AX,$L295,FALSE))+$K$3,IF(OR($L295="",$L295="-"),"",VLOOKUP($G295,為替!$A:$AX,$L295,FALSE)))</f>
        <v/>
      </c>
      <c r="N295" s="205" t="str">
        <f t="shared" si="28"/>
        <v/>
      </c>
      <c r="O295" s="206" t="str">
        <f t="shared" si="24"/>
        <v/>
      </c>
      <c r="P295" s="207" t="str">
        <f t="shared" si="29"/>
        <v/>
      </c>
    </row>
    <row r="296" spans="3:16">
      <c r="C296" s="200"/>
      <c r="D296" s="201"/>
      <c r="E296" s="202"/>
      <c r="F296" s="200"/>
      <c r="H296" s="203"/>
      <c r="I296" s="186" t="str">
        <f t="shared" si="25"/>
        <v/>
      </c>
      <c r="J296" s="204" t="str">
        <f>IF($H296="USD",IF(OR($I296="",$I296="-"),"",VLOOKUP($G296,為替!$A:$AX,$I296,FALSE))+$J$3,IF(OR($I296="",$I296="-"),"",VLOOKUP($G296,為替!$A:$AX,$I296,FALSE)))</f>
        <v/>
      </c>
      <c r="K296" s="205" t="str">
        <f t="shared" si="26"/>
        <v/>
      </c>
      <c r="L296" s="189" t="str">
        <f t="shared" si="27"/>
        <v/>
      </c>
      <c r="M296" s="204" t="str">
        <f>IF($H296="USD",IF(OR($L296="",$L296="-"),"",VLOOKUP($G296,為替!$A:$AX,$L296,FALSE))+$K$3,IF(OR($L296="",$L296="-"),"",VLOOKUP($G296,為替!$A:$AX,$L296,FALSE)))</f>
        <v/>
      </c>
      <c r="N296" s="205" t="str">
        <f t="shared" si="28"/>
        <v/>
      </c>
      <c r="O296" s="206" t="str">
        <f t="shared" si="24"/>
        <v/>
      </c>
      <c r="P296" s="207" t="str">
        <f t="shared" si="29"/>
        <v/>
      </c>
    </row>
    <row r="297" spans="3:16">
      <c r="C297" s="200"/>
      <c r="D297" s="201"/>
      <c r="E297" s="202"/>
      <c r="F297" s="200"/>
      <c r="H297" s="203"/>
      <c r="I297" s="186" t="str">
        <f t="shared" si="25"/>
        <v/>
      </c>
      <c r="J297" s="204" t="str">
        <f>IF($H297="USD",IF(OR($I297="",$I297="-"),"",VLOOKUP($G297,為替!$A:$AX,$I297,FALSE))+$J$3,IF(OR($I297="",$I297="-"),"",VLOOKUP($G297,為替!$A:$AX,$I297,FALSE)))</f>
        <v/>
      </c>
      <c r="K297" s="205" t="str">
        <f t="shared" si="26"/>
        <v/>
      </c>
      <c r="L297" s="189" t="str">
        <f t="shared" si="27"/>
        <v/>
      </c>
      <c r="M297" s="204" t="str">
        <f>IF($H297="USD",IF(OR($L297="",$L297="-"),"",VLOOKUP($G297,為替!$A:$AX,$L297,FALSE))+$K$3,IF(OR($L297="",$L297="-"),"",VLOOKUP($G297,為替!$A:$AX,$L297,FALSE)))</f>
        <v/>
      </c>
      <c r="N297" s="205" t="str">
        <f t="shared" si="28"/>
        <v/>
      </c>
      <c r="O297" s="206" t="str">
        <f t="shared" si="24"/>
        <v/>
      </c>
      <c r="P297" s="207" t="str">
        <f t="shared" si="29"/>
        <v/>
      </c>
    </row>
    <row r="298" spans="3:16">
      <c r="C298" s="200"/>
      <c r="D298" s="201"/>
      <c r="E298" s="202"/>
      <c r="F298" s="200"/>
      <c r="H298" s="203"/>
      <c r="I298" s="186" t="str">
        <f t="shared" si="25"/>
        <v/>
      </c>
      <c r="J298" s="204" t="str">
        <f>IF($H298="USD",IF(OR($I298="",$I298="-"),"",VLOOKUP($G298,為替!$A:$AX,$I298,FALSE))+$J$3,IF(OR($I298="",$I298="-"),"",VLOOKUP($G298,為替!$A:$AX,$I298,FALSE)))</f>
        <v/>
      </c>
      <c r="K298" s="205" t="str">
        <f t="shared" si="26"/>
        <v/>
      </c>
      <c r="L298" s="189" t="str">
        <f t="shared" si="27"/>
        <v/>
      </c>
      <c r="M298" s="204" t="str">
        <f>IF($H298="USD",IF(OR($L298="",$L298="-"),"",VLOOKUP($G298,為替!$A:$AX,$L298,FALSE))+$K$3,IF(OR($L298="",$L298="-"),"",VLOOKUP($G298,為替!$A:$AX,$L298,FALSE)))</f>
        <v/>
      </c>
      <c r="N298" s="205" t="str">
        <f t="shared" si="28"/>
        <v/>
      </c>
      <c r="O298" s="206" t="str">
        <f t="shared" si="24"/>
        <v/>
      </c>
      <c r="P298" s="207" t="str">
        <f t="shared" si="29"/>
        <v/>
      </c>
    </row>
    <row r="299" spans="3:16">
      <c r="C299" s="200"/>
      <c r="D299" s="201"/>
      <c r="E299" s="202"/>
      <c r="F299" s="200"/>
      <c r="H299" s="203"/>
      <c r="I299" s="186" t="str">
        <f t="shared" si="25"/>
        <v/>
      </c>
      <c r="J299" s="204" t="str">
        <f>IF($H299="USD",IF(OR($I299="",$I299="-"),"",VLOOKUP($G299,為替!$A:$AX,$I299,FALSE))+$J$3,IF(OR($I299="",$I299="-"),"",VLOOKUP($G299,為替!$A:$AX,$I299,FALSE)))</f>
        <v/>
      </c>
      <c r="K299" s="205" t="str">
        <f t="shared" si="26"/>
        <v/>
      </c>
      <c r="L299" s="189" t="str">
        <f t="shared" si="27"/>
        <v/>
      </c>
      <c r="M299" s="204" t="str">
        <f>IF($H299="USD",IF(OR($L299="",$L299="-"),"",VLOOKUP($G299,為替!$A:$AX,$L299,FALSE))+$K$3,IF(OR($L299="",$L299="-"),"",VLOOKUP($G299,為替!$A:$AX,$L299,FALSE)))</f>
        <v/>
      </c>
      <c r="N299" s="205" t="str">
        <f t="shared" si="28"/>
        <v/>
      </c>
      <c r="O299" s="206" t="str">
        <f t="shared" si="24"/>
        <v/>
      </c>
      <c r="P299" s="207" t="str">
        <f t="shared" si="29"/>
        <v/>
      </c>
    </row>
    <row r="300" spans="3:16">
      <c r="C300" s="200"/>
      <c r="D300" s="201"/>
      <c r="E300" s="202"/>
      <c r="F300" s="200"/>
      <c r="H300" s="203"/>
      <c r="I300" s="186" t="str">
        <f t="shared" si="25"/>
        <v/>
      </c>
      <c r="J300" s="204" t="str">
        <f>IF($H300="USD",IF(OR($I300="",$I300="-"),"",VLOOKUP($G300,為替!$A:$AX,$I300,FALSE))+$J$3,IF(OR($I300="",$I300="-"),"",VLOOKUP($G300,為替!$A:$AX,$I300,FALSE)))</f>
        <v/>
      </c>
      <c r="K300" s="205" t="str">
        <f t="shared" si="26"/>
        <v/>
      </c>
      <c r="L300" s="189" t="str">
        <f t="shared" si="27"/>
        <v/>
      </c>
      <c r="M300" s="204" t="str">
        <f>IF($H300="USD",IF(OR($L300="",$L300="-"),"",VLOOKUP($G300,為替!$A:$AX,$L300,FALSE))+$K$3,IF(OR($L300="",$L300="-"),"",VLOOKUP($G300,為替!$A:$AX,$L300,FALSE)))</f>
        <v/>
      </c>
      <c r="N300" s="205" t="str">
        <f t="shared" si="28"/>
        <v/>
      </c>
      <c r="O300" s="206" t="str">
        <f t="shared" si="24"/>
        <v/>
      </c>
      <c r="P300" s="207" t="str">
        <f t="shared" si="29"/>
        <v/>
      </c>
    </row>
    <row r="301" spans="3:16">
      <c r="C301" s="200"/>
      <c r="D301" s="201"/>
      <c r="E301" s="202"/>
      <c r="F301" s="200"/>
      <c r="H301" s="203"/>
      <c r="I301" s="186" t="str">
        <f t="shared" si="25"/>
        <v/>
      </c>
      <c r="J301" s="204" t="str">
        <f>IF($H301="USD",IF(OR($I301="",$I301="-"),"",VLOOKUP($G301,為替!$A:$AX,$I301,FALSE))+$J$3,IF(OR($I301="",$I301="-"),"",VLOOKUP($G301,為替!$A:$AX,$I301,FALSE)))</f>
        <v/>
      </c>
      <c r="K301" s="205" t="str">
        <f t="shared" si="26"/>
        <v/>
      </c>
      <c r="L301" s="189" t="str">
        <f t="shared" si="27"/>
        <v/>
      </c>
      <c r="M301" s="204" t="str">
        <f>IF($H301="USD",IF(OR($L301="",$L301="-"),"",VLOOKUP($G301,為替!$A:$AX,$L301,FALSE))+$K$3,IF(OR($L301="",$L301="-"),"",VLOOKUP($G301,為替!$A:$AX,$L301,FALSE)))</f>
        <v/>
      </c>
      <c r="N301" s="205" t="str">
        <f t="shared" si="28"/>
        <v/>
      </c>
      <c r="O301" s="206" t="str">
        <f t="shared" si="24"/>
        <v/>
      </c>
      <c r="P301" s="207" t="str">
        <f t="shared" si="29"/>
        <v/>
      </c>
    </row>
    <row r="302" spans="3:16">
      <c r="C302" s="200"/>
      <c r="D302" s="201"/>
      <c r="E302" s="202"/>
      <c r="F302" s="200"/>
      <c r="H302" s="203"/>
      <c r="I302" s="186" t="str">
        <f t="shared" si="25"/>
        <v/>
      </c>
      <c r="J302" s="204" t="str">
        <f>IF($H302="USD",IF(OR($I302="",$I302="-"),"",VLOOKUP($G302,為替!$A:$AX,$I302,FALSE))+$J$3,IF(OR($I302="",$I302="-"),"",VLOOKUP($G302,為替!$A:$AX,$I302,FALSE)))</f>
        <v/>
      </c>
      <c r="K302" s="205" t="str">
        <f t="shared" si="26"/>
        <v/>
      </c>
      <c r="L302" s="189" t="str">
        <f t="shared" si="27"/>
        <v/>
      </c>
      <c r="M302" s="204" t="str">
        <f>IF($H302="USD",IF(OR($L302="",$L302="-"),"",VLOOKUP($G302,為替!$A:$AX,$L302,FALSE))+$K$3,IF(OR($L302="",$L302="-"),"",VLOOKUP($G302,為替!$A:$AX,$L302,FALSE)))</f>
        <v/>
      </c>
      <c r="N302" s="205" t="str">
        <f t="shared" si="28"/>
        <v/>
      </c>
      <c r="O302" s="206" t="str">
        <f t="shared" si="24"/>
        <v/>
      </c>
      <c r="P302" s="207" t="str">
        <f t="shared" si="29"/>
        <v/>
      </c>
    </row>
    <row r="303" spans="3:16">
      <c r="C303" s="200"/>
      <c r="D303" s="201"/>
      <c r="E303" s="202"/>
      <c r="F303" s="200"/>
      <c r="H303" s="203"/>
      <c r="I303" s="186" t="str">
        <f t="shared" si="25"/>
        <v/>
      </c>
      <c r="J303" s="204" t="str">
        <f>IF($H303="USD",IF(OR($I303="",$I303="-"),"",VLOOKUP($G303,為替!$A:$AX,$I303,FALSE))+$J$3,IF(OR($I303="",$I303="-"),"",VLOOKUP($G303,為替!$A:$AX,$I303,FALSE)))</f>
        <v/>
      </c>
      <c r="K303" s="205" t="str">
        <f t="shared" si="26"/>
        <v/>
      </c>
      <c r="L303" s="189" t="str">
        <f t="shared" si="27"/>
        <v/>
      </c>
      <c r="M303" s="204" t="str">
        <f>IF($H303="USD",IF(OR($L303="",$L303="-"),"",VLOOKUP($G303,為替!$A:$AX,$L303,FALSE))+$K$3,IF(OR($L303="",$L303="-"),"",VLOOKUP($G303,為替!$A:$AX,$L303,FALSE)))</f>
        <v/>
      </c>
      <c r="N303" s="205" t="str">
        <f t="shared" si="28"/>
        <v/>
      </c>
      <c r="O303" s="206" t="str">
        <f t="shared" si="24"/>
        <v/>
      </c>
      <c r="P303" s="207" t="str">
        <f t="shared" si="29"/>
        <v/>
      </c>
    </row>
    <row r="304" spans="3:16">
      <c r="C304" s="200"/>
      <c r="D304" s="201"/>
      <c r="E304" s="202"/>
      <c r="F304" s="200"/>
      <c r="H304" s="203"/>
      <c r="I304" s="186" t="str">
        <f t="shared" si="25"/>
        <v/>
      </c>
      <c r="J304" s="204" t="str">
        <f>IF($H304="USD",IF(OR($I304="",$I304="-"),"",VLOOKUP($G304,為替!$A:$AX,$I304,FALSE))+$J$3,IF(OR($I304="",$I304="-"),"",VLOOKUP($G304,為替!$A:$AX,$I304,FALSE)))</f>
        <v/>
      </c>
      <c r="K304" s="205" t="str">
        <f t="shared" si="26"/>
        <v/>
      </c>
      <c r="L304" s="189" t="str">
        <f t="shared" si="27"/>
        <v/>
      </c>
      <c r="M304" s="204" t="str">
        <f>IF($H304="USD",IF(OR($L304="",$L304="-"),"",VLOOKUP($G304,為替!$A:$AX,$L304,FALSE))+$K$3,IF(OR($L304="",$L304="-"),"",VLOOKUP($G304,為替!$A:$AX,$L304,FALSE)))</f>
        <v/>
      </c>
      <c r="N304" s="205" t="str">
        <f t="shared" si="28"/>
        <v/>
      </c>
      <c r="O304" s="206" t="str">
        <f t="shared" si="24"/>
        <v/>
      </c>
      <c r="P304" s="207" t="str">
        <f t="shared" si="29"/>
        <v/>
      </c>
    </row>
    <row r="305" spans="3:16">
      <c r="C305" s="200"/>
      <c r="D305" s="201"/>
      <c r="E305" s="202"/>
      <c r="F305" s="200"/>
      <c r="H305" s="203"/>
      <c r="I305" s="186" t="str">
        <f t="shared" si="25"/>
        <v/>
      </c>
      <c r="J305" s="204" t="str">
        <f>IF($H305="USD",IF(OR($I305="",$I305="-"),"",VLOOKUP($G305,為替!$A:$AX,$I305,FALSE))+$J$3,IF(OR($I305="",$I305="-"),"",VLOOKUP($G305,為替!$A:$AX,$I305,FALSE)))</f>
        <v/>
      </c>
      <c r="K305" s="205" t="str">
        <f t="shared" si="26"/>
        <v/>
      </c>
      <c r="L305" s="189" t="str">
        <f t="shared" si="27"/>
        <v/>
      </c>
      <c r="M305" s="204" t="str">
        <f>IF($H305="USD",IF(OR($L305="",$L305="-"),"",VLOOKUP($G305,為替!$A:$AX,$L305,FALSE))+$K$3,IF(OR($L305="",$L305="-"),"",VLOOKUP($G305,為替!$A:$AX,$L305,FALSE)))</f>
        <v/>
      </c>
      <c r="N305" s="205" t="str">
        <f t="shared" si="28"/>
        <v/>
      </c>
      <c r="O305" s="206" t="str">
        <f t="shared" si="24"/>
        <v/>
      </c>
      <c r="P305" s="207" t="str">
        <f t="shared" si="29"/>
        <v/>
      </c>
    </row>
    <row r="306" spans="3:16">
      <c r="C306" s="200"/>
      <c r="D306" s="201"/>
      <c r="E306" s="202"/>
      <c r="F306" s="200"/>
      <c r="H306" s="203"/>
      <c r="I306" s="186" t="str">
        <f t="shared" si="25"/>
        <v/>
      </c>
      <c r="J306" s="204" t="str">
        <f>IF($H306="USD",IF(OR($I306="",$I306="-"),"",VLOOKUP($G306,為替!$A:$AX,$I306,FALSE))+$J$3,IF(OR($I306="",$I306="-"),"",VLOOKUP($G306,為替!$A:$AX,$I306,FALSE)))</f>
        <v/>
      </c>
      <c r="K306" s="205" t="str">
        <f t="shared" si="26"/>
        <v/>
      </c>
      <c r="L306" s="189" t="str">
        <f t="shared" si="27"/>
        <v/>
      </c>
      <c r="M306" s="204" t="str">
        <f>IF($H306="USD",IF(OR($L306="",$L306="-"),"",VLOOKUP($G306,為替!$A:$AX,$L306,FALSE))+$K$3,IF(OR($L306="",$L306="-"),"",VLOOKUP($G306,為替!$A:$AX,$L306,FALSE)))</f>
        <v/>
      </c>
      <c r="N306" s="205" t="str">
        <f t="shared" si="28"/>
        <v/>
      </c>
      <c r="O306" s="206" t="str">
        <f t="shared" si="24"/>
        <v/>
      </c>
      <c r="P306" s="207" t="str">
        <f t="shared" si="29"/>
        <v/>
      </c>
    </row>
    <row r="307" spans="3:16">
      <c r="C307" s="200"/>
      <c r="D307" s="201"/>
      <c r="E307" s="202"/>
      <c r="F307" s="200"/>
      <c r="H307" s="203"/>
      <c r="I307" s="186" t="str">
        <f t="shared" si="25"/>
        <v/>
      </c>
      <c r="J307" s="204" t="str">
        <f>IF($H307="USD",IF(OR($I307="",$I307="-"),"",VLOOKUP($G307,為替!$A:$AX,$I307,FALSE))+$J$3,IF(OR($I307="",$I307="-"),"",VLOOKUP($G307,為替!$A:$AX,$I307,FALSE)))</f>
        <v/>
      </c>
      <c r="K307" s="205" t="str">
        <f t="shared" si="26"/>
        <v/>
      </c>
      <c r="L307" s="189" t="str">
        <f t="shared" si="27"/>
        <v/>
      </c>
      <c r="M307" s="204" t="str">
        <f>IF($H307="USD",IF(OR($L307="",$L307="-"),"",VLOOKUP($G307,為替!$A:$AX,$L307,FALSE))+$K$3,IF(OR($L307="",$L307="-"),"",VLOOKUP($G307,為替!$A:$AX,$L307,FALSE)))</f>
        <v/>
      </c>
      <c r="N307" s="205" t="str">
        <f t="shared" si="28"/>
        <v/>
      </c>
      <c r="O307" s="206" t="str">
        <f t="shared" si="24"/>
        <v/>
      </c>
      <c r="P307" s="207" t="str">
        <f t="shared" si="29"/>
        <v/>
      </c>
    </row>
    <row r="308" spans="3:16">
      <c r="C308" s="200"/>
      <c r="D308" s="201"/>
      <c r="E308" s="202"/>
      <c r="F308" s="200"/>
      <c r="H308" s="203"/>
      <c r="I308" s="186" t="str">
        <f t="shared" si="25"/>
        <v/>
      </c>
      <c r="J308" s="204" t="str">
        <f>IF($H308="USD",IF(OR($I308="",$I308="-"),"",VLOOKUP($G308,為替!$A:$AX,$I308,FALSE))+$J$3,IF(OR($I308="",$I308="-"),"",VLOOKUP($G308,為替!$A:$AX,$I308,FALSE)))</f>
        <v/>
      </c>
      <c r="K308" s="205" t="str">
        <f t="shared" si="26"/>
        <v/>
      </c>
      <c r="L308" s="189" t="str">
        <f t="shared" si="27"/>
        <v/>
      </c>
      <c r="M308" s="204" t="str">
        <f>IF($H308="USD",IF(OR($L308="",$L308="-"),"",VLOOKUP($G308,為替!$A:$AX,$L308,FALSE))+$K$3,IF(OR($L308="",$L308="-"),"",VLOOKUP($G308,為替!$A:$AX,$L308,FALSE)))</f>
        <v/>
      </c>
      <c r="N308" s="205" t="str">
        <f t="shared" si="28"/>
        <v/>
      </c>
      <c r="O308" s="206" t="str">
        <f t="shared" si="24"/>
        <v/>
      </c>
      <c r="P308" s="207" t="str">
        <f t="shared" si="29"/>
        <v/>
      </c>
    </row>
    <row r="309" spans="3:16">
      <c r="C309" s="200"/>
      <c r="D309" s="201"/>
      <c r="E309" s="202"/>
      <c r="F309" s="200"/>
      <c r="H309" s="203"/>
      <c r="I309" s="186" t="str">
        <f t="shared" si="25"/>
        <v/>
      </c>
      <c r="J309" s="204" t="str">
        <f>IF($H309="USD",IF(OR($I309="",$I309="-"),"",VLOOKUP($G309,為替!$A:$AX,$I309,FALSE))+$J$3,IF(OR($I309="",$I309="-"),"",VLOOKUP($G309,為替!$A:$AX,$I309,FALSE)))</f>
        <v/>
      </c>
      <c r="K309" s="205" t="str">
        <f t="shared" si="26"/>
        <v/>
      </c>
      <c r="L309" s="189" t="str">
        <f t="shared" si="27"/>
        <v/>
      </c>
      <c r="M309" s="204" t="str">
        <f>IF($H309="USD",IF(OR($L309="",$L309="-"),"",VLOOKUP($G309,為替!$A:$AX,$L309,FALSE))+$K$3,IF(OR($L309="",$L309="-"),"",VLOOKUP($G309,為替!$A:$AX,$L309,FALSE)))</f>
        <v/>
      </c>
      <c r="N309" s="205" t="str">
        <f t="shared" si="28"/>
        <v/>
      </c>
      <c r="O309" s="206" t="str">
        <f t="shared" si="24"/>
        <v/>
      </c>
      <c r="P309" s="207" t="str">
        <f t="shared" si="29"/>
        <v/>
      </c>
    </row>
    <row r="310" spans="3:16">
      <c r="C310" s="200"/>
      <c r="D310" s="201"/>
      <c r="E310" s="202"/>
      <c r="F310" s="200"/>
      <c r="H310" s="203"/>
      <c r="I310" s="186" t="str">
        <f t="shared" si="25"/>
        <v/>
      </c>
      <c r="J310" s="204" t="str">
        <f>IF($H310="USD",IF(OR($I310="",$I310="-"),"",VLOOKUP($G310,為替!$A:$AX,$I310,FALSE))+$J$3,IF(OR($I310="",$I310="-"),"",VLOOKUP($G310,為替!$A:$AX,$I310,FALSE)))</f>
        <v/>
      </c>
      <c r="K310" s="205" t="str">
        <f t="shared" si="26"/>
        <v/>
      </c>
      <c r="L310" s="189" t="str">
        <f t="shared" si="27"/>
        <v/>
      </c>
      <c r="M310" s="204" t="str">
        <f>IF($H310="USD",IF(OR($L310="",$L310="-"),"",VLOOKUP($G310,為替!$A:$AX,$L310,FALSE))+$K$3,IF(OR($L310="",$L310="-"),"",VLOOKUP($G310,為替!$A:$AX,$L310,FALSE)))</f>
        <v/>
      </c>
      <c r="N310" s="205" t="str">
        <f t="shared" si="28"/>
        <v/>
      </c>
      <c r="O310" s="206" t="str">
        <f t="shared" si="24"/>
        <v/>
      </c>
      <c r="P310" s="207" t="str">
        <f t="shared" si="29"/>
        <v/>
      </c>
    </row>
    <row r="311" spans="3:16">
      <c r="C311" s="200"/>
      <c r="D311" s="201"/>
      <c r="E311" s="202"/>
      <c r="F311" s="200"/>
      <c r="H311" s="203"/>
      <c r="I311" s="186" t="str">
        <f t="shared" si="25"/>
        <v/>
      </c>
      <c r="J311" s="204" t="str">
        <f>IF($H311="USD",IF(OR($I311="",$I311="-"),"",VLOOKUP($G311,為替!$A:$AX,$I311,FALSE))+$J$3,IF(OR($I311="",$I311="-"),"",VLOOKUP($G311,為替!$A:$AX,$I311,FALSE)))</f>
        <v/>
      </c>
      <c r="K311" s="205" t="str">
        <f t="shared" si="26"/>
        <v/>
      </c>
      <c r="L311" s="189" t="str">
        <f t="shared" si="27"/>
        <v/>
      </c>
      <c r="M311" s="204" t="str">
        <f>IF($H311="USD",IF(OR($L311="",$L311="-"),"",VLOOKUP($G311,為替!$A:$AX,$L311,FALSE))+$K$3,IF(OR($L311="",$L311="-"),"",VLOOKUP($G311,為替!$A:$AX,$L311,FALSE)))</f>
        <v/>
      </c>
      <c r="N311" s="205" t="str">
        <f t="shared" si="28"/>
        <v/>
      </c>
      <c r="O311" s="206" t="str">
        <f t="shared" si="24"/>
        <v/>
      </c>
      <c r="P311" s="207" t="str">
        <f t="shared" si="29"/>
        <v/>
      </c>
    </row>
    <row r="312" spans="3:16">
      <c r="C312" s="200"/>
      <c r="D312" s="201"/>
      <c r="E312" s="202"/>
      <c r="F312" s="200"/>
      <c r="H312" s="203"/>
      <c r="I312" s="186" t="str">
        <f t="shared" si="25"/>
        <v/>
      </c>
      <c r="J312" s="204" t="str">
        <f>IF($H312="USD",IF(OR($I312="",$I312="-"),"",VLOOKUP($G312,為替!$A:$AX,$I312,FALSE))+$J$3,IF(OR($I312="",$I312="-"),"",VLOOKUP($G312,為替!$A:$AX,$I312,FALSE)))</f>
        <v/>
      </c>
      <c r="K312" s="205" t="str">
        <f t="shared" si="26"/>
        <v/>
      </c>
      <c r="L312" s="189" t="str">
        <f t="shared" si="27"/>
        <v/>
      </c>
      <c r="M312" s="204" t="str">
        <f>IF($H312="USD",IF(OR($L312="",$L312="-"),"",VLOOKUP($G312,為替!$A:$AX,$L312,FALSE))+$K$3,IF(OR($L312="",$L312="-"),"",VLOOKUP($G312,為替!$A:$AX,$L312,FALSE)))</f>
        <v/>
      </c>
      <c r="N312" s="205" t="str">
        <f t="shared" si="28"/>
        <v/>
      </c>
      <c r="O312" s="206" t="str">
        <f t="shared" si="24"/>
        <v/>
      </c>
      <c r="P312" s="207" t="str">
        <f t="shared" si="29"/>
        <v/>
      </c>
    </row>
    <row r="313" spans="3:16">
      <c r="C313" s="200"/>
      <c r="D313" s="201"/>
      <c r="E313" s="202"/>
      <c r="F313" s="200"/>
      <c r="H313" s="203"/>
      <c r="I313" s="186" t="str">
        <f t="shared" si="25"/>
        <v/>
      </c>
      <c r="J313" s="204" t="str">
        <f>IF($H313="USD",IF(OR($I313="",$I313="-"),"",VLOOKUP($G313,為替!$A:$AX,$I313,FALSE))+$J$3,IF(OR($I313="",$I313="-"),"",VLOOKUP($G313,為替!$A:$AX,$I313,FALSE)))</f>
        <v/>
      </c>
      <c r="K313" s="205" t="str">
        <f t="shared" si="26"/>
        <v/>
      </c>
      <c r="L313" s="189" t="str">
        <f t="shared" si="27"/>
        <v/>
      </c>
      <c r="M313" s="204" t="str">
        <f>IF($H313="USD",IF(OR($L313="",$L313="-"),"",VLOOKUP($G313,為替!$A:$AX,$L313,FALSE))+$K$3,IF(OR($L313="",$L313="-"),"",VLOOKUP($G313,為替!$A:$AX,$L313,FALSE)))</f>
        <v/>
      </c>
      <c r="N313" s="205" t="str">
        <f t="shared" si="28"/>
        <v/>
      </c>
      <c r="O313" s="206" t="str">
        <f t="shared" si="24"/>
        <v/>
      </c>
      <c r="P313" s="207" t="str">
        <f t="shared" si="29"/>
        <v/>
      </c>
    </row>
    <row r="314" spans="3:16">
      <c r="C314" s="200"/>
      <c r="D314" s="201"/>
      <c r="E314" s="202"/>
      <c r="F314" s="200"/>
      <c r="H314" s="203"/>
      <c r="I314" s="186" t="str">
        <f t="shared" si="25"/>
        <v/>
      </c>
      <c r="J314" s="204" t="str">
        <f>IF($H314="USD",IF(OR($I314="",$I314="-"),"",VLOOKUP($G314,為替!$A:$AX,$I314,FALSE))+$J$3,IF(OR($I314="",$I314="-"),"",VLOOKUP($G314,為替!$A:$AX,$I314,FALSE)))</f>
        <v/>
      </c>
      <c r="K314" s="205" t="str">
        <f t="shared" si="26"/>
        <v/>
      </c>
      <c r="L314" s="189" t="str">
        <f t="shared" si="27"/>
        <v/>
      </c>
      <c r="M314" s="204" t="str">
        <f>IF($H314="USD",IF(OR($L314="",$L314="-"),"",VLOOKUP($G314,為替!$A:$AX,$L314,FALSE))+$K$3,IF(OR($L314="",$L314="-"),"",VLOOKUP($G314,為替!$A:$AX,$L314,FALSE)))</f>
        <v/>
      </c>
      <c r="N314" s="205" t="str">
        <f t="shared" si="28"/>
        <v/>
      </c>
      <c r="O314" s="206" t="str">
        <f t="shared" si="24"/>
        <v/>
      </c>
      <c r="P314" s="207" t="str">
        <f t="shared" si="29"/>
        <v/>
      </c>
    </row>
    <row r="315" spans="3:16">
      <c r="C315" s="200"/>
      <c r="D315" s="201"/>
      <c r="E315" s="202"/>
      <c r="F315" s="200"/>
      <c r="H315" s="203"/>
      <c r="I315" s="186" t="str">
        <f t="shared" si="25"/>
        <v/>
      </c>
      <c r="J315" s="204" t="str">
        <f>IF($H315="USD",IF(OR($I315="",$I315="-"),"",VLOOKUP($G315,為替!$A:$AX,$I315,FALSE))+$J$3,IF(OR($I315="",$I315="-"),"",VLOOKUP($G315,為替!$A:$AX,$I315,FALSE)))</f>
        <v/>
      </c>
      <c r="K315" s="205" t="str">
        <f t="shared" si="26"/>
        <v/>
      </c>
      <c r="L315" s="189" t="str">
        <f t="shared" si="27"/>
        <v/>
      </c>
      <c r="M315" s="204" t="str">
        <f>IF($H315="USD",IF(OR($L315="",$L315="-"),"",VLOOKUP($G315,為替!$A:$AX,$L315,FALSE))+$K$3,IF(OR($L315="",$L315="-"),"",VLOOKUP($G315,為替!$A:$AX,$L315,FALSE)))</f>
        <v/>
      </c>
      <c r="N315" s="205" t="str">
        <f t="shared" si="28"/>
        <v/>
      </c>
      <c r="O315" s="206" t="str">
        <f t="shared" si="24"/>
        <v/>
      </c>
      <c r="P315" s="207" t="str">
        <f t="shared" si="29"/>
        <v/>
      </c>
    </row>
    <row r="316" spans="3:16">
      <c r="C316" s="200"/>
      <c r="D316" s="201"/>
      <c r="E316" s="202"/>
      <c r="F316" s="200"/>
      <c r="H316" s="203"/>
      <c r="I316" s="186" t="str">
        <f t="shared" si="25"/>
        <v/>
      </c>
      <c r="J316" s="204" t="str">
        <f>IF($H316="USD",IF(OR($I316="",$I316="-"),"",VLOOKUP($G316,為替!$A:$AX,$I316,FALSE))+$J$3,IF(OR($I316="",$I316="-"),"",VLOOKUP($G316,為替!$A:$AX,$I316,FALSE)))</f>
        <v/>
      </c>
      <c r="K316" s="205" t="str">
        <f t="shared" si="26"/>
        <v/>
      </c>
      <c r="L316" s="189" t="str">
        <f t="shared" si="27"/>
        <v/>
      </c>
      <c r="M316" s="204" t="str">
        <f>IF($H316="USD",IF(OR($L316="",$L316="-"),"",VLOOKUP($G316,為替!$A:$AX,$L316,FALSE))+$K$3,IF(OR($L316="",$L316="-"),"",VLOOKUP($G316,為替!$A:$AX,$L316,FALSE)))</f>
        <v/>
      </c>
      <c r="N316" s="205" t="str">
        <f t="shared" si="28"/>
        <v/>
      </c>
      <c r="O316" s="206" t="str">
        <f t="shared" si="24"/>
        <v/>
      </c>
      <c r="P316" s="207" t="str">
        <f t="shared" si="29"/>
        <v/>
      </c>
    </row>
    <row r="317" spans="3:16">
      <c r="C317" s="200"/>
      <c r="D317" s="201"/>
      <c r="E317" s="202"/>
      <c r="F317" s="200"/>
      <c r="H317" s="203"/>
      <c r="I317" s="186" t="str">
        <f t="shared" si="25"/>
        <v/>
      </c>
      <c r="J317" s="204" t="str">
        <f>IF($H317="USD",IF(OR($I317="",$I317="-"),"",VLOOKUP($G317,為替!$A:$AX,$I317,FALSE))+$J$3,IF(OR($I317="",$I317="-"),"",VLOOKUP($G317,為替!$A:$AX,$I317,FALSE)))</f>
        <v/>
      </c>
      <c r="K317" s="205" t="str">
        <f t="shared" si="26"/>
        <v/>
      </c>
      <c r="L317" s="189" t="str">
        <f t="shared" si="27"/>
        <v/>
      </c>
      <c r="M317" s="204" t="str">
        <f>IF($H317="USD",IF(OR($L317="",$L317="-"),"",VLOOKUP($G317,為替!$A:$AX,$L317,FALSE))+$K$3,IF(OR($L317="",$L317="-"),"",VLOOKUP($G317,為替!$A:$AX,$L317,FALSE)))</f>
        <v/>
      </c>
      <c r="N317" s="205" t="str">
        <f t="shared" si="28"/>
        <v/>
      </c>
      <c r="O317" s="206" t="str">
        <f t="shared" si="24"/>
        <v/>
      </c>
      <c r="P317" s="207" t="str">
        <f t="shared" si="29"/>
        <v/>
      </c>
    </row>
    <row r="318" spans="3:16">
      <c r="C318" s="200"/>
      <c r="D318" s="201"/>
      <c r="E318" s="202"/>
      <c r="F318" s="200"/>
      <c r="H318" s="203"/>
      <c r="I318" s="186" t="str">
        <f t="shared" si="25"/>
        <v/>
      </c>
      <c r="J318" s="204" t="str">
        <f>IF($H318="USD",IF(OR($I318="",$I318="-"),"",VLOOKUP($G318,為替!$A:$AX,$I318,FALSE))+$J$3,IF(OR($I318="",$I318="-"),"",VLOOKUP($G318,為替!$A:$AX,$I318,FALSE)))</f>
        <v/>
      </c>
      <c r="K318" s="205" t="str">
        <f t="shared" si="26"/>
        <v/>
      </c>
      <c r="L318" s="189" t="str">
        <f t="shared" si="27"/>
        <v/>
      </c>
      <c r="M318" s="204" t="str">
        <f>IF($H318="USD",IF(OR($L318="",$L318="-"),"",VLOOKUP($G318,為替!$A:$AX,$L318,FALSE))+$K$3,IF(OR($L318="",$L318="-"),"",VLOOKUP($G318,為替!$A:$AX,$L318,FALSE)))</f>
        <v/>
      </c>
      <c r="N318" s="205" t="str">
        <f t="shared" si="28"/>
        <v/>
      </c>
      <c r="O318" s="206" t="str">
        <f t="shared" si="24"/>
        <v/>
      </c>
      <c r="P318" s="207" t="str">
        <f t="shared" si="29"/>
        <v/>
      </c>
    </row>
    <row r="319" spans="3:16">
      <c r="C319" s="200"/>
      <c r="D319" s="201"/>
      <c r="E319" s="202"/>
      <c r="F319" s="200"/>
      <c r="H319" s="203"/>
      <c r="I319" s="186" t="str">
        <f t="shared" si="25"/>
        <v/>
      </c>
      <c r="J319" s="204" t="str">
        <f>IF($H319="USD",IF(OR($I319="",$I319="-"),"",VLOOKUP($G319,為替!$A:$AX,$I319,FALSE))+$J$3,IF(OR($I319="",$I319="-"),"",VLOOKUP($G319,為替!$A:$AX,$I319,FALSE)))</f>
        <v/>
      </c>
      <c r="K319" s="205" t="str">
        <f t="shared" si="26"/>
        <v/>
      </c>
      <c r="L319" s="189" t="str">
        <f t="shared" si="27"/>
        <v/>
      </c>
      <c r="M319" s="204" t="str">
        <f>IF($H319="USD",IF(OR($L319="",$L319="-"),"",VLOOKUP($G319,為替!$A:$AX,$L319,FALSE))+$K$3,IF(OR($L319="",$L319="-"),"",VLOOKUP($G319,為替!$A:$AX,$L319,FALSE)))</f>
        <v/>
      </c>
      <c r="N319" s="205" t="str">
        <f t="shared" si="28"/>
        <v/>
      </c>
      <c r="O319" s="206" t="str">
        <f t="shared" si="24"/>
        <v/>
      </c>
      <c r="P319" s="207" t="str">
        <f t="shared" si="29"/>
        <v/>
      </c>
    </row>
    <row r="320" spans="3:16">
      <c r="C320" s="200"/>
      <c r="D320" s="201"/>
      <c r="E320" s="202"/>
      <c r="F320" s="200"/>
      <c r="H320" s="203"/>
      <c r="I320" s="186" t="str">
        <f t="shared" si="25"/>
        <v/>
      </c>
      <c r="J320" s="204" t="str">
        <f>IF($H320="USD",IF(OR($I320="",$I320="-"),"",VLOOKUP($G320,為替!$A:$AX,$I320,FALSE))+$J$3,IF(OR($I320="",$I320="-"),"",VLOOKUP($G320,為替!$A:$AX,$I320,FALSE)))</f>
        <v/>
      </c>
      <c r="K320" s="205" t="str">
        <f t="shared" si="26"/>
        <v/>
      </c>
      <c r="L320" s="189" t="str">
        <f t="shared" si="27"/>
        <v/>
      </c>
      <c r="M320" s="204" t="str">
        <f>IF($H320="USD",IF(OR($L320="",$L320="-"),"",VLOOKUP($G320,為替!$A:$AX,$L320,FALSE))+$K$3,IF(OR($L320="",$L320="-"),"",VLOOKUP($G320,為替!$A:$AX,$L320,FALSE)))</f>
        <v/>
      </c>
      <c r="N320" s="205" t="str">
        <f t="shared" si="28"/>
        <v/>
      </c>
      <c r="O320" s="206" t="str">
        <f t="shared" si="24"/>
        <v/>
      </c>
      <c r="P320" s="207" t="str">
        <f t="shared" si="29"/>
        <v/>
      </c>
    </row>
    <row r="321" spans="3:16">
      <c r="C321" s="200"/>
      <c r="D321" s="201"/>
      <c r="E321" s="202"/>
      <c r="F321" s="200"/>
      <c r="H321" s="203"/>
      <c r="I321" s="186" t="str">
        <f t="shared" si="25"/>
        <v/>
      </c>
      <c r="J321" s="204" t="str">
        <f>IF($H321="USD",IF(OR($I321="",$I321="-"),"",VLOOKUP($G321,為替!$A:$AX,$I321,FALSE))+$J$3,IF(OR($I321="",$I321="-"),"",VLOOKUP($G321,為替!$A:$AX,$I321,FALSE)))</f>
        <v/>
      </c>
      <c r="K321" s="205" t="str">
        <f t="shared" si="26"/>
        <v/>
      </c>
      <c r="L321" s="189" t="str">
        <f t="shared" si="27"/>
        <v/>
      </c>
      <c r="M321" s="204" t="str">
        <f>IF($H321="USD",IF(OR($L321="",$L321="-"),"",VLOOKUP($G321,為替!$A:$AX,$L321,FALSE))+$K$3,IF(OR($L321="",$L321="-"),"",VLOOKUP($G321,為替!$A:$AX,$L321,FALSE)))</f>
        <v/>
      </c>
      <c r="N321" s="205" t="str">
        <f t="shared" si="28"/>
        <v/>
      </c>
      <c r="O321" s="206" t="str">
        <f t="shared" si="24"/>
        <v/>
      </c>
      <c r="P321" s="207" t="str">
        <f t="shared" si="29"/>
        <v/>
      </c>
    </row>
    <row r="322" spans="3:16">
      <c r="C322" s="200"/>
      <c r="D322" s="201"/>
      <c r="E322" s="202"/>
      <c r="F322" s="200"/>
      <c r="H322" s="203"/>
      <c r="I322" s="186" t="str">
        <f t="shared" si="25"/>
        <v/>
      </c>
      <c r="J322" s="204" t="str">
        <f>IF($H322="USD",IF(OR($I322="",$I322="-"),"",VLOOKUP($G322,為替!$A:$AX,$I322,FALSE))+$J$3,IF(OR($I322="",$I322="-"),"",VLOOKUP($G322,為替!$A:$AX,$I322,FALSE)))</f>
        <v/>
      </c>
      <c r="K322" s="205" t="str">
        <f t="shared" si="26"/>
        <v/>
      </c>
      <c r="L322" s="189" t="str">
        <f t="shared" si="27"/>
        <v/>
      </c>
      <c r="M322" s="204" t="str">
        <f>IF($H322="USD",IF(OR($L322="",$L322="-"),"",VLOOKUP($G322,為替!$A:$AX,$L322,FALSE))+$K$3,IF(OR($L322="",$L322="-"),"",VLOOKUP($G322,為替!$A:$AX,$L322,FALSE)))</f>
        <v/>
      </c>
      <c r="N322" s="205" t="str">
        <f t="shared" si="28"/>
        <v/>
      </c>
      <c r="O322" s="206" t="str">
        <f t="shared" si="24"/>
        <v/>
      </c>
      <c r="P322" s="207" t="str">
        <f t="shared" si="29"/>
        <v/>
      </c>
    </row>
    <row r="323" spans="3:16">
      <c r="C323" s="200"/>
      <c r="D323" s="201"/>
      <c r="E323" s="202"/>
      <c r="F323" s="200"/>
      <c r="H323" s="203"/>
      <c r="I323" s="186" t="str">
        <f t="shared" si="25"/>
        <v/>
      </c>
      <c r="J323" s="204" t="str">
        <f>IF($H323="USD",IF(OR($I323="",$I323="-"),"",VLOOKUP($G323,為替!$A:$AX,$I323,FALSE))+$J$3,IF(OR($I323="",$I323="-"),"",VLOOKUP($G323,為替!$A:$AX,$I323,FALSE)))</f>
        <v/>
      </c>
      <c r="K323" s="205" t="str">
        <f t="shared" si="26"/>
        <v/>
      </c>
      <c r="L323" s="189" t="str">
        <f t="shared" si="27"/>
        <v/>
      </c>
      <c r="M323" s="204" t="str">
        <f>IF($H323="USD",IF(OR($L323="",$L323="-"),"",VLOOKUP($G323,為替!$A:$AX,$L323,FALSE))+$K$3,IF(OR($L323="",$L323="-"),"",VLOOKUP($G323,為替!$A:$AX,$L323,FALSE)))</f>
        <v/>
      </c>
      <c r="N323" s="205" t="str">
        <f t="shared" si="28"/>
        <v/>
      </c>
      <c r="O323" s="206" t="str">
        <f t="shared" si="24"/>
        <v/>
      </c>
      <c r="P323" s="207" t="str">
        <f t="shared" si="29"/>
        <v/>
      </c>
    </row>
    <row r="324" spans="3:16">
      <c r="C324" s="200"/>
      <c r="D324" s="201"/>
      <c r="E324" s="202"/>
      <c r="F324" s="200"/>
      <c r="H324" s="203"/>
      <c r="I324" s="186" t="str">
        <f t="shared" si="25"/>
        <v/>
      </c>
      <c r="J324" s="204" t="str">
        <f>IF($H324="USD",IF(OR($I324="",$I324="-"),"",VLOOKUP($G324,為替!$A:$AX,$I324,FALSE))+$J$3,IF(OR($I324="",$I324="-"),"",VLOOKUP($G324,為替!$A:$AX,$I324,FALSE)))</f>
        <v/>
      </c>
      <c r="K324" s="205" t="str">
        <f t="shared" si="26"/>
        <v/>
      </c>
      <c r="L324" s="189" t="str">
        <f t="shared" si="27"/>
        <v/>
      </c>
      <c r="M324" s="204" t="str">
        <f>IF($H324="USD",IF(OR($L324="",$L324="-"),"",VLOOKUP($G324,為替!$A:$AX,$L324,FALSE))+$K$3,IF(OR($L324="",$L324="-"),"",VLOOKUP($G324,為替!$A:$AX,$L324,FALSE)))</f>
        <v/>
      </c>
      <c r="N324" s="205" t="str">
        <f t="shared" si="28"/>
        <v/>
      </c>
      <c r="O324" s="206" t="str">
        <f t="shared" si="24"/>
        <v/>
      </c>
      <c r="P324" s="207" t="str">
        <f t="shared" si="29"/>
        <v/>
      </c>
    </row>
    <row r="325" spans="3:16">
      <c r="C325" s="200"/>
      <c r="D325" s="201"/>
      <c r="E325" s="202"/>
      <c r="F325" s="200"/>
      <c r="H325" s="203"/>
      <c r="I325" s="186" t="str">
        <f t="shared" si="25"/>
        <v/>
      </c>
      <c r="J325" s="204" t="str">
        <f>IF($H325="USD",IF(OR($I325="",$I325="-"),"",VLOOKUP($G325,為替!$A:$AX,$I325,FALSE))+$J$3,IF(OR($I325="",$I325="-"),"",VLOOKUP($G325,為替!$A:$AX,$I325,FALSE)))</f>
        <v/>
      </c>
      <c r="K325" s="205" t="str">
        <f t="shared" si="26"/>
        <v/>
      </c>
      <c r="L325" s="189" t="str">
        <f t="shared" si="27"/>
        <v/>
      </c>
      <c r="M325" s="204" t="str">
        <f>IF($H325="USD",IF(OR($L325="",$L325="-"),"",VLOOKUP($G325,為替!$A:$AX,$L325,FALSE))+$K$3,IF(OR($L325="",$L325="-"),"",VLOOKUP($G325,為替!$A:$AX,$L325,FALSE)))</f>
        <v/>
      </c>
      <c r="N325" s="205" t="str">
        <f t="shared" si="28"/>
        <v/>
      </c>
      <c r="O325" s="206" t="str">
        <f t="shared" si="24"/>
        <v/>
      </c>
      <c r="P325" s="207" t="str">
        <f t="shared" si="29"/>
        <v/>
      </c>
    </row>
    <row r="326" spans="3:16">
      <c r="C326" s="200"/>
      <c r="D326" s="201"/>
      <c r="E326" s="202"/>
      <c r="F326" s="200"/>
      <c r="H326" s="203"/>
      <c r="I326" s="186" t="str">
        <f t="shared" si="25"/>
        <v/>
      </c>
      <c r="J326" s="204" t="str">
        <f>IF($H326="USD",IF(OR($I326="",$I326="-"),"",VLOOKUP($G326,為替!$A:$AX,$I326,FALSE))+$J$3,IF(OR($I326="",$I326="-"),"",VLOOKUP($G326,為替!$A:$AX,$I326,FALSE)))</f>
        <v/>
      </c>
      <c r="K326" s="205" t="str">
        <f t="shared" si="26"/>
        <v/>
      </c>
      <c r="L326" s="189" t="str">
        <f t="shared" si="27"/>
        <v/>
      </c>
      <c r="M326" s="204" t="str">
        <f>IF($H326="USD",IF(OR($L326="",$L326="-"),"",VLOOKUP($G326,為替!$A:$AX,$L326,FALSE))+$K$3,IF(OR($L326="",$L326="-"),"",VLOOKUP($G326,為替!$A:$AX,$L326,FALSE)))</f>
        <v/>
      </c>
      <c r="N326" s="205" t="str">
        <f t="shared" si="28"/>
        <v/>
      </c>
      <c r="O326" s="206" t="str">
        <f t="shared" ref="O326:O389" si="30">IF(OR(K326="",N326=""),"",K326-N326)</f>
        <v/>
      </c>
      <c r="P326" s="207" t="str">
        <f t="shared" si="29"/>
        <v/>
      </c>
    </row>
    <row r="327" spans="3:16">
      <c r="C327" s="200"/>
      <c r="D327" s="201"/>
      <c r="E327" s="202"/>
      <c r="F327" s="200"/>
      <c r="H327" s="203"/>
      <c r="I327" s="186" t="str">
        <f t="shared" ref="I327:I390" si="31">IF(H327="","",IF(H327="JPY","",IF($H327="USD",4, IF(H327="EUR",7,IF(H327="CNY",47,IF(H327="HKD",34))))))</f>
        <v/>
      </c>
      <c r="J327" s="204" t="str">
        <f>IF($H327="USD",IF(OR($I327="",$I327="-"),"",VLOOKUP($G327,為替!$A:$AX,$I327,FALSE))+$J$3,IF(OR($I327="",$I327="-"),"",VLOOKUP($G327,為替!$A:$AX,$I327,FALSE)))</f>
        <v/>
      </c>
      <c r="K327" s="205" t="str">
        <f t="shared" ref="K327:K390" si="32">IF($H327="JPY",$F327,IF($H327="","",$F327*$J327))</f>
        <v/>
      </c>
      <c r="L327" s="189" t="str">
        <f t="shared" ref="L327:L390" si="33">IF(H327="","",IF(H327="JPY","",IF($H327="USD",3, IF(H327="EUR",6,IF(H327="CNY",46,IF(H327="HKD",33))))))</f>
        <v/>
      </c>
      <c r="M327" s="204" t="str">
        <f>IF($H327="USD",IF(OR($L327="",$L327="-"),"",VLOOKUP($G327,為替!$A:$AX,$L327,FALSE))+$K$3,IF(OR($L327="",$L327="-"),"",VLOOKUP($G327,為替!$A:$AX,$L327,FALSE)))</f>
        <v/>
      </c>
      <c r="N327" s="205" t="str">
        <f t="shared" ref="N327:N390" si="34">IF($E327="JPY",($C327+$D327),IF($E327="","",($C327+$D327)*$M327))</f>
        <v/>
      </c>
      <c r="O327" s="206" t="str">
        <f t="shared" si="30"/>
        <v/>
      </c>
      <c r="P327" s="207" t="str">
        <f t="shared" ref="P327:P390" si="35">IF(OR(K327="",O327=""),"",O327/K327)</f>
        <v/>
      </c>
    </row>
    <row r="328" spans="3:16">
      <c r="C328" s="200"/>
      <c r="D328" s="201"/>
      <c r="E328" s="202"/>
      <c r="F328" s="200"/>
      <c r="H328" s="203"/>
      <c r="I328" s="186" t="str">
        <f t="shared" si="31"/>
        <v/>
      </c>
      <c r="J328" s="204" t="str">
        <f>IF($H328="USD",IF(OR($I328="",$I328="-"),"",VLOOKUP($G328,為替!$A:$AX,$I328,FALSE))+$J$3,IF(OR($I328="",$I328="-"),"",VLOOKUP($G328,為替!$A:$AX,$I328,FALSE)))</f>
        <v/>
      </c>
      <c r="K328" s="205" t="str">
        <f t="shared" si="32"/>
        <v/>
      </c>
      <c r="L328" s="189" t="str">
        <f t="shared" si="33"/>
        <v/>
      </c>
      <c r="M328" s="204" t="str">
        <f>IF($H328="USD",IF(OR($L328="",$L328="-"),"",VLOOKUP($G328,為替!$A:$AX,$L328,FALSE))+$K$3,IF(OR($L328="",$L328="-"),"",VLOOKUP($G328,為替!$A:$AX,$L328,FALSE)))</f>
        <v/>
      </c>
      <c r="N328" s="205" t="str">
        <f t="shared" si="34"/>
        <v/>
      </c>
      <c r="O328" s="206" t="str">
        <f t="shared" si="30"/>
        <v/>
      </c>
      <c r="P328" s="207" t="str">
        <f t="shared" si="35"/>
        <v/>
      </c>
    </row>
    <row r="329" spans="3:16">
      <c r="C329" s="200"/>
      <c r="D329" s="201"/>
      <c r="E329" s="202"/>
      <c r="F329" s="200"/>
      <c r="H329" s="203"/>
      <c r="I329" s="186" t="str">
        <f t="shared" si="31"/>
        <v/>
      </c>
      <c r="J329" s="204" t="str">
        <f>IF($H329="USD",IF(OR($I329="",$I329="-"),"",VLOOKUP($G329,為替!$A:$AX,$I329,FALSE))+$J$3,IF(OR($I329="",$I329="-"),"",VLOOKUP($G329,為替!$A:$AX,$I329,FALSE)))</f>
        <v/>
      </c>
      <c r="K329" s="205" t="str">
        <f t="shared" si="32"/>
        <v/>
      </c>
      <c r="L329" s="189" t="str">
        <f t="shared" si="33"/>
        <v/>
      </c>
      <c r="M329" s="204" t="str">
        <f>IF($H329="USD",IF(OR($L329="",$L329="-"),"",VLOOKUP($G329,為替!$A:$AX,$L329,FALSE))+$K$3,IF(OR($L329="",$L329="-"),"",VLOOKUP($G329,為替!$A:$AX,$L329,FALSE)))</f>
        <v/>
      </c>
      <c r="N329" s="205" t="str">
        <f t="shared" si="34"/>
        <v/>
      </c>
      <c r="O329" s="206" t="str">
        <f t="shared" si="30"/>
        <v/>
      </c>
      <c r="P329" s="207" t="str">
        <f t="shared" si="35"/>
        <v/>
      </c>
    </row>
    <row r="330" spans="3:16">
      <c r="C330" s="200"/>
      <c r="D330" s="201"/>
      <c r="E330" s="202"/>
      <c r="F330" s="200"/>
      <c r="H330" s="203"/>
      <c r="I330" s="186" t="str">
        <f t="shared" si="31"/>
        <v/>
      </c>
      <c r="J330" s="204" t="str">
        <f>IF($H330="USD",IF(OR($I330="",$I330="-"),"",VLOOKUP($G330,為替!$A:$AX,$I330,FALSE))+$J$3,IF(OR($I330="",$I330="-"),"",VLOOKUP($G330,為替!$A:$AX,$I330,FALSE)))</f>
        <v/>
      </c>
      <c r="K330" s="205" t="str">
        <f t="shared" si="32"/>
        <v/>
      </c>
      <c r="L330" s="189" t="str">
        <f t="shared" si="33"/>
        <v/>
      </c>
      <c r="M330" s="204" t="str">
        <f>IF($H330="USD",IF(OR($L330="",$L330="-"),"",VLOOKUP($G330,為替!$A:$AX,$L330,FALSE))+$K$3,IF(OR($L330="",$L330="-"),"",VLOOKUP($G330,為替!$A:$AX,$L330,FALSE)))</f>
        <v/>
      </c>
      <c r="N330" s="205" t="str">
        <f t="shared" si="34"/>
        <v/>
      </c>
      <c r="O330" s="206" t="str">
        <f t="shared" si="30"/>
        <v/>
      </c>
      <c r="P330" s="207" t="str">
        <f t="shared" si="35"/>
        <v/>
      </c>
    </row>
    <row r="331" spans="3:16">
      <c r="C331" s="200"/>
      <c r="D331" s="201"/>
      <c r="E331" s="202"/>
      <c r="F331" s="200"/>
      <c r="H331" s="203"/>
      <c r="I331" s="186" t="str">
        <f t="shared" si="31"/>
        <v/>
      </c>
      <c r="J331" s="204" t="str">
        <f>IF($H331="USD",IF(OR($I331="",$I331="-"),"",VLOOKUP($G331,為替!$A:$AX,$I331,FALSE))+$J$3,IF(OR($I331="",$I331="-"),"",VLOOKUP($G331,為替!$A:$AX,$I331,FALSE)))</f>
        <v/>
      </c>
      <c r="K331" s="205" t="str">
        <f t="shared" si="32"/>
        <v/>
      </c>
      <c r="L331" s="189" t="str">
        <f t="shared" si="33"/>
        <v/>
      </c>
      <c r="M331" s="204" t="str">
        <f>IF($H331="USD",IF(OR($L331="",$L331="-"),"",VLOOKUP($G331,為替!$A:$AX,$L331,FALSE))+$K$3,IF(OR($L331="",$L331="-"),"",VLOOKUP($G331,為替!$A:$AX,$L331,FALSE)))</f>
        <v/>
      </c>
      <c r="N331" s="205" t="str">
        <f t="shared" si="34"/>
        <v/>
      </c>
      <c r="O331" s="206" t="str">
        <f t="shared" si="30"/>
        <v/>
      </c>
      <c r="P331" s="207" t="str">
        <f t="shared" si="35"/>
        <v/>
      </c>
    </row>
    <row r="332" spans="3:16">
      <c r="C332" s="200"/>
      <c r="D332" s="201"/>
      <c r="E332" s="202"/>
      <c r="F332" s="200"/>
      <c r="H332" s="203"/>
      <c r="I332" s="186" t="str">
        <f t="shared" si="31"/>
        <v/>
      </c>
      <c r="J332" s="204" t="str">
        <f>IF($H332="USD",IF(OR($I332="",$I332="-"),"",VLOOKUP($G332,為替!$A:$AX,$I332,FALSE))+$J$3,IF(OR($I332="",$I332="-"),"",VLOOKUP($G332,為替!$A:$AX,$I332,FALSE)))</f>
        <v/>
      </c>
      <c r="K332" s="205" t="str">
        <f t="shared" si="32"/>
        <v/>
      </c>
      <c r="L332" s="189" t="str">
        <f t="shared" si="33"/>
        <v/>
      </c>
      <c r="M332" s="204" t="str">
        <f>IF($H332="USD",IF(OR($L332="",$L332="-"),"",VLOOKUP($G332,為替!$A:$AX,$L332,FALSE))+$K$3,IF(OR($L332="",$L332="-"),"",VLOOKUP($G332,為替!$A:$AX,$L332,FALSE)))</f>
        <v/>
      </c>
      <c r="N332" s="205" t="str">
        <f t="shared" si="34"/>
        <v/>
      </c>
      <c r="O332" s="206" t="str">
        <f t="shared" si="30"/>
        <v/>
      </c>
      <c r="P332" s="207" t="str">
        <f t="shared" si="35"/>
        <v/>
      </c>
    </row>
    <row r="333" spans="3:16">
      <c r="C333" s="200"/>
      <c r="D333" s="201"/>
      <c r="E333" s="202"/>
      <c r="F333" s="200"/>
      <c r="H333" s="203"/>
      <c r="I333" s="186" t="str">
        <f t="shared" si="31"/>
        <v/>
      </c>
      <c r="J333" s="204" t="str">
        <f>IF($H333="USD",IF(OR($I333="",$I333="-"),"",VLOOKUP($G333,為替!$A:$AX,$I333,FALSE))+$J$3,IF(OR($I333="",$I333="-"),"",VLOOKUP($G333,為替!$A:$AX,$I333,FALSE)))</f>
        <v/>
      </c>
      <c r="K333" s="205" t="str">
        <f t="shared" si="32"/>
        <v/>
      </c>
      <c r="L333" s="189" t="str">
        <f t="shared" si="33"/>
        <v/>
      </c>
      <c r="M333" s="204" t="str">
        <f>IF($H333="USD",IF(OR($L333="",$L333="-"),"",VLOOKUP($G333,為替!$A:$AX,$L333,FALSE))+$K$3,IF(OR($L333="",$L333="-"),"",VLOOKUP($G333,為替!$A:$AX,$L333,FALSE)))</f>
        <v/>
      </c>
      <c r="N333" s="205" t="str">
        <f t="shared" si="34"/>
        <v/>
      </c>
      <c r="O333" s="206" t="str">
        <f t="shared" si="30"/>
        <v/>
      </c>
      <c r="P333" s="207" t="str">
        <f t="shared" si="35"/>
        <v/>
      </c>
    </row>
    <row r="334" spans="3:16">
      <c r="C334" s="200"/>
      <c r="D334" s="201"/>
      <c r="E334" s="202"/>
      <c r="F334" s="200"/>
      <c r="H334" s="203"/>
      <c r="I334" s="186" t="str">
        <f t="shared" si="31"/>
        <v/>
      </c>
      <c r="J334" s="204" t="str">
        <f>IF($H334="USD",IF(OR($I334="",$I334="-"),"",VLOOKUP($G334,為替!$A:$AX,$I334,FALSE))+$J$3,IF(OR($I334="",$I334="-"),"",VLOOKUP($G334,為替!$A:$AX,$I334,FALSE)))</f>
        <v/>
      </c>
      <c r="K334" s="205" t="str">
        <f t="shared" si="32"/>
        <v/>
      </c>
      <c r="L334" s="189" t="str">
        <f t="shared" si="33"/>
        <v/>
      </c>
      <c r="M334" s="204" t="str">
        <f>IF($H334="USD",IF(OR($L334="",$L334="-"),"",VLOOKUP($G334,為替!$A:$AX,$L334,FALSE))+$K$3,IF(OR($L334="",$L334="-"),"",VLOOKUP($G334,為替!$A:$AX,$L334,FALSE)))</f>
        <v/>
      </c>
      <c r="N334" s="205" t="str">
        <f t="shared" si="34"/>
        <v/>
      </c>
      <c r="O334" s="206" t="str">
        <f t="shared" si="30"/>
        <v/>
      </c>
      <c r="P334" s="207" t="str">
        <f t="shared" si="35"/>
        <v/>
      </c>
    </row>
    <row r="335" spans="3:16">
      <c r="C335" s="200"/>
      <c r="D335" s="201"/>
      <c r="E335" s="202"/>
      <c r="F335" s="200"/>
      <c r="H335" s="203"/>
      <c r="I335" s="186" t="str">
        <f t="shared" si="31"/>
        <v/>
      </c>
      <c r="J335" s="204" t="str">
        <f>IF($H335="USD",IF(OR($I335="",$I335="-"),"",VLOOKUP($G335,為替!$A:$AX,$I335,FALSE))+$J$3,IF(OR($I335="",$I335="-"),"",VLOOKUP($G335,為替!$A:$AX,$I335,FALSE)))</f>
        <v/>
      </c>
      <c r="K335" s="205" t="str">
        <f t="shared" si="32"/>
        <v/>
      </c>
      <c r="L335" s="189" t="str">
        <f t="shared" si="33"/>
        <v/>
      </c>
      <c r="M335" s="204" t="str">
        <f>IF($H335="USD",IF(OR($L335="",$L335="-"),"",VLOOKUP($G335,為替!$A:$AX,$L335,FALSE))+$K$3,IF(OR($L335="",$L335="-"),"",VLOOKUP($G335,為替!$A:$AX,$L335,FALSE)))</f>
        <v/>
      </c>
      <c r="N335" s="205" t="str">
        <f t="shared" si="34"/>
        <v/>
      </c>
      <c r="O335" s="206" t="str">
        <f t="shared" si="30"/>
        <v/>
      </c>
      <c r="P335" s="207" t="str">
        <f t="shared" si="35"/>
        <v/>
      </c>
    </row>
    <row r="336" spans="3:16">
      <c r="C336" s="200"/>
      <c r="D336" s="201"/>
      <c r="E336" s="202"/>
      <c r="F336" s="200"/>
      <c r="H336" s="203"/>
      <c r="I336" s="186" t="str">
        <f t="shared" si="31"/>
        <v/>
      </c>
      <c r="J336" s="204" t="str">
        <f>IF($H336="USD",IF(OR($I336="",$I336="-"),"",VLOOKUP($G336,為替!$A:$AX,$I336,FALSE))+$J$3,IF(OR($I336="",$I336="-"),"",VLOOKUP($G336,為替!$A:$AX,$I336,FALSE)))</f>
        <v/>
      </c>
      <c r="K336" s="205" t="str">
        <f t="shared" si="32"/>
        <v/>
      </c>
      <c r="L336" s="189" t="str">
        <f t="shared" si="33"/>
        <v/>
      </c>
      <c r="M336" s="204" t="str">
        <f>IF($H336="USD",IF(OR($L336="",$L336="-"),"",VLOOKUP($G336,為替!$A:$AX,$L336,FALSE))+$K$3,IF(OR($L336="",$L336="-"),"",VLOOKUP($G336,為替!$A:$AX,$L336,FALSE)))</f>
        <v/>
      </c>
      <c r="N336" s="205" t="str">
        <f t="shared" si="34"/>
        <v/>
      </c>
      <c r="O336" s="206" t="str">
        <f t="shared" si="30"/>
        <v/>
      </c>
      <c r="P336" s="207" t="str">
        <f t="shared" si="35"/>
        <v/>
      </c>
    </row>
    <row r="337" spans="3:16">
      <c r="C337" s="200"/>
      <c r="D337" s="201"/>
      <c r="E337" s="202"/>
      <c r="F337" s="200"/>
      <c r="H337" s="203"/>
      <c r="I337" s="186" t="str">
        <f t="shared" si="31"/>
        <v/>
      </c>
      <c r="J337" s="204" t="str">
        <f>IF($H337="USD",IF(OR($I337="",$I337="-"),"",VLOOKUP($G337,為替!$A:$AX,$I337,FALSE))+$J$3,IF(OR($I337="",$I337="-"),"",VLOOKUP($G337,為替!$A:$AX,$I337,FALSE)))</f>
        <v/>
      </c>
      <c r="K337" s="205" t="str">
        <f t="shared" si="32"/>
        <v/>
      </c>
      <c r="L337" s="189" t="str">
        <f t="shared" si="33"/>
        <v/>
      </c>
      <c r="M337" s="204" t="str">
        <f>IF($H337="USD",IF(OR($L337="",$L337="-"),"",VLOOKUP($G337,為替!$A:$AX,$L337,FALSE))+$K$3,IF(OR($L337="",$L337="-"),"",VLOOKUP($G337,為替!$A:$AX,$L337,FALSE)))</f>
        <v/>
      </c>
      <c r="N337" s="205" t="str">
        <f t="shared" si="34"/>
        <v/>
      </c>
      <c r="O337" s="206" t="str">
        <f t="shared" si="30"/>
        <v/>
      </c>
      <c r="P337" s="207" t="str">
        <f t="shared" si="35"/>
        <v/>
      </c>
    </row>
    <row r="338" spans="3:16">
      <c r="C338" s="200"/>
      <c r="D338" s="201"/>
      <c r="E338" s="202"/>
      <c r="F338" s="200"/>
      <c r="H338" s="203"/>
      <c r="I338" s="186" t="str">
        <f t="shared" si="31"/>
        <v/>
      </c>
      <c r="J338" s="204" t="str">
        <f>IF($H338="USD",IF(OR($I338="",$I338="-"),"",VLOOKUP($G338,為替!$A:$AX,$I338,FALSE))+$J$3,IF(OR($I338="",$I338="-"),"",VLOOKUP($G338,為替!$A:$AX,$I338,FALSE)))</f>
        <v/>
      </c>
      <c r="K338" s="205" t="str">
        <f t="shared" si="32"/>
        <v/>
      </c>
      <c r="L338" s="189" t="str">
        <f t="shared" si="33"/>
        <v/>
      </c>
      <c r="M338" s="204" t="str">
        <f>IF($H338="USD",IF(OR($L338="",$L338="-"),"",VLOOKUP($G338,為替!$A:$AX,$L338,FALSE))+$K$3,IF(OR($L338="",$L338="-"),"",VLOOKUP($G338,為替!$A:$AX,$L338,FALSE)))</f>
        <v/>
      </c>
      <c r="N338" s="205" t="str">
        <f t="shared" si="34"/>
        <v/>
      </c>
      <c r="O338" s="206" t="str">
        <f t="shared" si="30"/>
        <v/>
      </c>
      <c r="P338" s="207" t="str">
        <f t="shared" si="35"/>
        <v/>
      </c>
    </row>
    <row r="339" spans="3:16">
      <c r="C339" s="200"/>
      <c r="D339" s="201"/>
      <c r="E339" s="202"/>
      <c r="F339" s="200"/>
      <c r="H339" s="203"/>
      <c r="I339" s="186" t="str">
        <f t="shared" si="31"/>
        <v/>
      </c>
      <c r="J339" s="204" t="str">
        <f>IF($H339="USD",IF(OR($I339="",$I339="-"),"",VLOOKUP($G339,為替!$A:$AX,$I339,FALSE))+$J$3,IF(OR($I339="",$I339="-"),"",VLOOKUP($G339,為替!$A:$AX,$I339,FALSE)))</f>
        <v/>
      </c>
      <c r="K339" s="205" t="str">
        <f t="shared" si="32"/>
        <v/>
      </c>
      <c r="L339" s="189" t="str">
        <f t="shared" si="33"/>
        <v/>
      </c>
      <c r="M339" s="204" t="str">
        <f>IF($H339="USD",IF(OR($L339="",$L339="-"),"",VLOOKUP($G339,為替!$A:$AX,$L339,FALSE))+$K$3,IF(OR($L339="",$L339="-"),"",VLOOKUP($G339,為替!$A:$AX,$L339,FALSE)))</f>
        <v/>
      </c>
      <c r="N339" s="205" t="str">
        <f t="shared" si="34"/>
        <v/>
      </c>
      <c r="O339" s="206" t="str">
        <f t="shared" si="30"/>
        <v/>
      </c>
      <c r="P339" s="207" t="str">
        <f t="shared" si="35"/>
        <v/>
      </c>
    </row>
    <row r="340" spans="3:16">
      <c r="C340" s="200"/>
      <c r="D340" s="201"/>
      <c r="E340" s="202"/>
      <c r="F340" s="200"/>
      <c r="H340" s="203"/>
      <c r="I340" s="186" t="str">
        <f t="shared" si="31"/>
        <v/>
      </c>
      <c r="J340" s="204" t="str">
        <f>IF($H340="USD",IF(OR($I340="",$I340="-"),"",VLOOKUP($G340,為替!$A:$AX,$I340,FALSE))+$J$3,IF(OR($I340="",$I340="-"),"",VLOOKUP($G340,為替!$A:$AX,$I340,FALSE)))</f>
        <v/>
      </c>
      <c r="K340" s="205" t="str">
        <f t="shared" si="32"/>
        <v/>
      </c>
      <c r="L340" s="189" t="str">
        <f t="shared" si="33"/>
        <v/>
      </c>
      <c r="M340" s="204" t="str">
        <f>IF($H340="USD",IF(OR($L340="",$L340="-"),"",VLOOKUP($G340,為替!$A:$AX,$L340,FALSE))+$K$3,IF(OR($L340="",$L340="-"),"",VLOOKUP($G340,為替!$A:$AX,$L340,FALSE)))</f>
        <v/>
      </c>
      <c r="N340" s="205" t="str">
        <f t="shared" si="34"/>
        <v/>
      </c>
      <c r="O340" s="206" t="str">
        <f t="shared" si="30"/>
        <v/>
      </c>
      <c r="P340" s="207" t="str">
        <f t="shared" si="35"/>
        <v/>
      </c>
    </row>
    <row r="341" spans="3:16">
      <c r="C341" s="200"/>
      <c r="D341" s="201"/>
      <c r="E341" s="202"/>
      <c r="F341" s="200"/>
      <c r="H341" s="203"/>
      <c r="I341" s="186" t="str">
        <f t="shared" si="31"/>
        <v/>
      </c>
      <c r="J341" s="204" t="str">
        <f>IF($H341="USD",IF(OR($I341="",$I341="-"),"",VLOOKUP($G341,為替!$A:$AX,$I341,FALSE))+$J$3,IF(OR($I341="",$I341="-"),"",VLOOKUP($G341,為替!$A:$AX,$I341,FALSE)))</f>
        <v/>
      </c>
      <c r="K341" s="205" t="str">
        <f t="shared" si="32"/>
        <v/>
      </c>
      <c r="L341" s="189" t="str">
        <f t="shared" si="33"/>
        <v/>
      </c>
      <c r="M341" s="204" t="str">
        <f>IF($H341="USD",IF(OR($L341="",$L341="-"),"",VLOOKUP($G341,為替!$A:$AX,$L341,FALSE))+$K$3,IF(OR($L341="",$L341="-"),"",VLOOKUP($G341,為替!$A:$AX,$L341,FALSE)))</f>
        <v/>
      </c>
      <c r="N341" s="205" t="str">
        <f t="shared" si="34"/>
        <v/>
      </c>
      <c r="O341" s="206" t="str">
        <f t="shared" si="30"/>
        <v/>
      </c>
      <c r="P341" s="207" t="str">
        <f t="shared" si="35"/>
        <v/>
      </c>
    </row>
    <row r="342" spans="3:16">
      <c r="C342" s="200"/>
      <c r="D342" s="201"/>
      <c r="E342" s="202"/>
      <c r="F342" s="200"/>
      <c r="H342" s="203"/>
      <c r="I342" s="186" t="str">
        <f t="shared" si="31"/>
        <v/>
      </c>
      <c r="J342" s="204" t="str">
        <f>IF($H342="USD",IF(OR($I342="",$I342="-"),"",VLOOKUP($G342,為替!$A:$AX,$I342,FALSE))+$J$3,IF(OR($I342="",$I342="-"),"",VLOOKUP($G342,為替!$A:$AX,$I342,FALSE)))</f>
        <v/>
      </c>
      <c r="K342" s="205" t="str">
        <f t="shared" si="32"/>
        <v/>
      </c>
      <c r="L342" s="189" t="str">
        <f t="shared" si="33"/>
        <v/>
      </c>
      <c r="M342" s="204" t="str">
        <f>IF($H342="USD",IF(OR($L342="",$L342="-"),"",VLOOKUP($G342,為替!$A:$AX,$L342,FALSE))+$K$3,IF(OR($L342="",$L342="-"),"",VLOOKUP($G342,為替!$A:$AX,$L342,FALSE)))</f>
        <v/>
      </c>
      <c r="N342" s="205" t="str">
        <f t="shared" si="34"/>
        <v/>
      </c>
      <c r="O342" s="206" t="str">
        <f t="shared" si="30"/>
        <v/>
      </c>
      <c r="P342" s="207" t="str">
        <f t="shared" si="35"/>
        <v/>
      </c>
    </row>
    <row r="343" spans="3:16">
      <c r="C343" s="200"/>
      <c r="D343" s="201"/>
      <c r="E343" s="202"/>
      <c r="F343" s="200"/>
      <c r="H343" s="203"/>
      <c r="I343" s="186" t="str">
        <f t="shared" si="31"/>
        <v/>
      </c>
      <c r="J343" s="204" t="str">
        <f>IF($H343="USD",IF(OR($I343="",$I343="-"),"",VLOOKUP($G343,為替!$A:$AX,$I343,FALSE))+$J$3,IF(OR($I343="",$I343="-"),"",VLOOKUP($G343,為替!$A:$AX,$I343,FALSE)))</f>
        <v/>
      </c>
      <c r="K343" s="205" t="str">
        <f t="shared" si="32"/>
        <v/>
      </c>
      <c r="L343" s="189" t="str">
        <f t="shared" si="33"/>
        <v/>
      </c>
      <c r="M343" s="204" t="str">
        <f>IF($H343="USD",IF(OR($L343="",$L343="-"),"",VLOOKUP($G343,為替!$A:$AX,$L343,FALSE))+$K$3,IF(OR($L343="",$L343="-"),"",VLOOKUP($G343,為替!$A:$AX,$L343,FALSE)))</f>
        <v/>
      </c>
      <c r="N343" s="205" t="str">
        <f t="shared" si="34"/>
        <v/>
      </c>
      <c r="O343" s="206" t="str">
        <f t="shared" si="30"/>
        <v/>
      </c>
      <c r="P343" s="207" t="str">
        <f t="shared" si="35"/>
        <v/>
      </c>
    </row>
    <row r="344" spans="3:16">
      <c r="C344" s="200"/>
      <c r="D344" s="201"/>
      <c r="E344" s="202"/>
      <c r="F344" s="200"/>
      <c r="H344" s="203"/>
      <c r="I344" s="186" t="str">
        <f t="shared" si="31"/>
        <v/>
      </c>
      <c r="J344" s="204" t="str">
        <f>IF($H344="USD",IF(OR($I344="",$I344="-"),"",VLOOKUP($G344,為替!$A:$AX,$I344,FALSE))+$J$3,IF(OR($I344="",$I344="-"),"",VLOOKUP($G344,為替!$A:$AX,$I344,FALSE)))</f>
        <v/>
      </c>
      <c r="K344" s="205" t="str">
        <f t="shared" si="32"/>
        <v/>
      </c>
      <c r="L344" s="189" t="str">
        <f t="shared" si="33"/>
        <v/>
      </c>
      <c r="M344" s="204" t="str">
        <f>IF($H344="USD",IF(OR($L344="",$L344="-"),"",VLOOKUP($G344,為替!$A:$AX,$L344,FALSE))+$K$3,IF(OR($L344="",$L344="-"),"",VLOOKUP($G344,為替!$A:$AX,$L344,FALSE)))</f>
        <v/>
      </c>
      <c r="N344" s="205" t="str">
        <f t="shared" si="34"/>
        <v/>
      </c>
      <c r="O344" s="206" t="str">
        <f t="shared" si="30"/>
        <v/>
      </c>
      <c r="P344" s="207" t="str">
        <f t="shared" si="35"/>
        <v/>
      </c>
    </row>
    <row r="345" spans="3:16">
      <c r="C345" s="200"/>
      <c r="D345" s="201"/>
      <c r="E345" s="202"/>
      <c r="F345" s="200"/>
      <c r="H345" s="203"/>
      <c r="I345" s="186" t="str">
        <f t="shared" si="31"/>
        <v/>
      </c>
      <c r="J345" s="204" t="str">
        <f>IF($H345="USD",IF(OR($I345="",$I345="-"),"",VLOOKUP($G345,為替!$A:$AX,$I345,FALSE))+$J$3,IF(OR($I345="",$I345="-"),"",VLOOKUP($G345,為替!$A:$AX,$I345,FALSE)))</f>
        <v/>
      </c>
      <c r="K345" s="205" t="str">
        <f t="shared" si="32"/>
        <v/>
      </c>
      <c r="L345" s="189" t="str">
        <f t="shared" si="33"/>
        <v/>
      </c>
      <c r="M345" s="204" t="str">
        <f>IF($H345="USD",IF(OR($L345="",$L345="-"),"",VLOOKUP($G345,為替!$A:$AX,$L345,FALSE))+$K$3,IF(OR($L345="",$L345="-"),"",VLOOKUP($G345,為替!$A:$AX,$L345,FALSE)))</f>
        <v/>
      </c>
      <c r="N345" s="205" t="str">
        <f t="shared" si="34"/>
        <v/>
      </c>
      <c r="O345" s="206" t="str">
        <f t="shared" si="30"/>
        <v/>
      </c>
      <c r="P345" s="207" t="str">
        <f t="shared" si="35"/>
        <v/>
      </c>
    </row>
    <row r="346" spans="3:16">
      <c r="C346" s="200"/>
      <c r="D346" s="201"/>
      <c r="E346" s="202"/>
      <c r="F346" s="200"/>
      <c r="H346" s="203"/>
      <c r="I346" s="186" t="str">
        <f t="shared" si="31"/>
        <v/>
      </c>
      <c r="J346" s="204" t="str">
        <f>IF($H346="USD",IF(OR($I346="",$I346="-"),"",VLOOKUP($G346,為替!$A:$AX,$I346,FALSE))+$J$3,IF(OR($I346="",$I346="-"),"",VLOOKUP($G346,為替!$A:$AX,$I346,FALSE)))</f>
        <v/>
      </c>
      <c r="K346" s="205" t="str">
        <f t="shared" si="32"/>
        <v/>
      </c>
      <c r="L346" s="189" t="str">
        <f t="shared" si="33"/>
        <v/>
      </c>
      <c r="M346" s="204" t="str">
        <f>IF($H346="USD",IF(OR($L346="",$L346="-"),"",VLOOKUP($G346,為替!$A:$AX,$L346,FALSE))+$K$3,IF(OR($L346="",$L346="-"),"",VLOOKUP($G346,為替!$A:$AX,$L346,FALSE)))</f>
        <v/>
      </c>
      <c r="N346" s="205" t="str">
        <f t="shared" si="34"/>
        <v/>
      </c>
      <c r="O346" s="206" t="str">
        <f t="shared" si="30"/>
        <v/>
      </c>
      <c r="P346" s="207" t="str">
        <f t="shared" si="35"/>
        <v/>
      </c>
    </row>
    <row r="347" spans="3:16">
      <c r="C347" s="200"/>
      <c r="D347" s="201"/>
      <c r="E347" s="202"/>
      <c r="F347" s="200"/>
      <c r="H347" s="203"/>
      <c r="I347" s="186" t="str">
        <f t="shared" si="31"/>
        <v/>
      </c>
      <c r="J347" s="204" t="str">
        <f>IF($H347="USD",IF(OR($I347="",$I347="-"),"",VLOOKUP($G347,為替!$A:$AX,$I347,FALSE))+$J$3,IF(OR($I347="",$I347="-"),"",VLOOKUP($G347,為替!$A:$AX,$I347,FALSE)))</f>
        <v/>
      </c>
      <c r="K347" s="205" t="str">
        <f t="shared" si="32"/>
        <v/>
      </c>
      <c r="L347" s="189" t="str">
        <f t="shared" si="33"/>
        <v/>
      </c>
      <c r="M347" s="204" t="str">
        <f>IF($H347="USD",IF(OR($L347="",$L347="-"),"",VLOOKUP($G347,為替!$A:$AX,$L347,FALSE))+$K$3,IF(OR($L347="",$L347="-"),"",VLOOKUP($G347,為替!$A:$AX,$L347,FALSE)))</f>
        <v/>
      </c>
      <c r="N347" s="205" t="str">
        <f t="shared" si="34"/>
        <v/>
      </c>
      <c r="O347" s="206" t="str">
        <f t="shared" si="30"/>
        <v/>
      </c>
      <c r="P347" s="207" t="str">
        <f t="shared" si="35"/>
        <v/>
      </c>
    </row>
    <row r="348" spans="3:16">
      <c r="C348" s="200"/>
      <c r="D348" s="201"/>
      <c r="E348" s="202"/>
      <c r="F348" s="200"/>
      <c r="H348" s="203"/>
      <c r="I348" s="186" t="str">
        <f t="shared" si="31"/>
        <v/>
      </c>
      <c r="J348" s="204" t="str">
        <f>IF($H348="USD",IF(OR($I348="",$I348="-"),"",VLOOKUP($G348,為替!$A:$AX,$I348,FALSE))+$J$3,IF(OR($I348="",$I348="-"),"",VLOOKUP($G348,為替!$A:$AX,$I348,FALSE)))</f>
        <v/>
      </c>
      <c r="K348" s="205" t="str">
        <f t="shared" si="32"/>
        <v/>
      </c>
      <c r="L348" s="189" t="str">
        <f t="shared" si="33"/>
        <v/>
      </c>
      <c r="M348" s="204" t="str">
        <f>IF($H348="USD",IF(OR($L348="",$L348="-"),"",VLOOKUP($G348,為替!$A:$AX,$L348,FALSE))+$K$3,IF(OR($L348="",$L348="-"),"",VLOOKUP($G348,為替!$A:$AX,$L348,FALSE)))</f>
        <v/>
      </c>
      <c r="N348" s="205" t="str">
        <f t="shared" si="34"/>
        <v/>
      </c>
      <c r="O348" s="206" t="str">
        <f t="shared" si="30"/>
        <v/>
      </c>
      <c r="P348" s="207" t="str">
        <f t="shared" si="35"/>
        <v/>
      </c>
    </row>
    <row r="349" spans="3:16">
      <c r="C349" s="200"/>
      <c r="D349" s="201"/>
      <c r="E349" s="202"/>
      <c r="F349" s="200"/>
      <c r="H349" s="203"/>
      <c r="I349" s="186" t="str">
        <f t="shared" si="31"/>
        <v/>
      </c>
      <c r="J349" s="204" t="str">
        <f>IF($H349="USD",IF(OR($I349="",$I349="-"),"",VLOOKUP($G349,為替!$A:$AX,$I349,FALSE))+$J$3,IF(OR($I349="",$I349="-"),"",VLOOKUP($G349,為替!$A:$AX,$I349,FALSE)))</f>
        <v/>
      </c>
      <c r="K349" s="205" t="str">
        <f t="shared" si="32"/>
        <v/>
      </c>
      <c r="L349" s="189" t="str">
        <f t="shared" si="33"/>
        <v/>
      </c>
      <c r="M349" s="204" t="str">
        <f>IF($H349="USD",IF(OR($L349="",$L349="-"),"",VLOOKUP($G349,為替!$A:$AX,$L349,FALSE))+$K$3,IF(OR($L349="",$L349="-"),"",VLOOKUP($G349,為替!$A:$AX,$L349,FALSE)))</f>
        <v/>
      </c>
      <c r="N349" s="205" t="str">
        <f t="shared" si="34"/>
        <v/>
      </c>
      <c r="O349" s="206" t="str">
        <f t="shared" si="30"/>
        <v/>
      </c>
      <c r="P349" s="207" t="str">
        <f t="shared" si="35"/>
        <v/>
      </c>
    </row>
    <row r="350" spans="3:16">
      <c r="C350" s="200"/>
      <c r="D350" s="201"/>
      <c r="E350" s="202"/>
      <c r="F350" s="200"/>
      <c r="H350" s="203"/>
      <c r="I350" s="186" t="str">
        <f t="shared" si="31"/>
        <v/>
      </c>
      <c r="J350" s="204" t="str">
        <f>IF($H350="USD",IF(OR($I350="",$I350="-"),"",VLOOKUP($G350,為替!$A:$AX,$I350,FALSE))+$J$3,IF(OR($I350="",$I350="-"),"",VLOOKUP($G350,為替!$A:$AX,$I350,FALSE)))</f>
        <v/>
      </c>
      <c r="K350" s="205" t="str">
        <f t="shared" si="32"/>
        <v/>
      </c>
      <c r="L350" s="189" t="str">
        <f t="shared" si="33"/>
        <v/>
      </c>
      <c r="M350" s="204" t="str">
        <f>IF($H350="USD",IF(OR($L350="",$L350="-"),"",VLOOKUP($G350,為替!$A:$AX,$L350,FALSE))+$K$3,IF(OR($L350="",$L350="-"),"",VLOOKUP($G350,為替!$A:$AX,$L350,FALSE)))</f>
        <v/>
      </c>
      <c r="N350" s="205" t="str">
        <f t="shared" si="34"/>
        <v/>
      </c>
      <c r="O350" s="206" t="str">
        <f t="shared" si="30"/>
        <v/>
      </c>
      <c r="P350" s="207" t="str">
        <f t="shared" si="35"/>
        <v/>
      </c>
    </row>
    <row r="351" spans="3:16">
      <c r="C351" s="200"/>
      <c r="D351" s="201"/>
      <c r="E351" s="202"/>
      <c r="F351" s="200"/>
      <c r="H351" s="203"/>
      <c r="I351" s="186" t="str">
        <f t="shared" si="31"/>
        <v/>
      </c>
      <c r="J351" s="204" t="str">
        <f>IF($H351="USD",IF(OR($I351="",$I351="-"),"",VLOOKUP($G351,為替!$A:$AX,$I351,FALSE))+$J$3,IF(OR($I351="",$I351="-"),"",VLOOKUP($G351,為替!$A:$AX,$I351,FALSE)))</f>
        <v/>
      </c>
      <c r="K351" s="205" t="str">
        <f t="shared" si="32"/>
        <v/>
      </c>
      <c r="L351" s="189" t="str">
        <f t="shared" si="33"/>
        <v/>
      </c>
      <c r="M351" s="204" t="str">
        <f>IF($H351="USD",IF(OR($L351="",$L351="-"),"",VLOOKUP($G351,為替!$A:$AX,$L351,FALSE))+$K$3,IF(OR($L351="",$L351="-"),"",VLOOKUP($G351,為替!$A:$AX,$L351,FALSE)))</f>
        <v/>
      </c>
      <c r="N351" s="205" t="str">
        <f t="shared" si="34"/>
        <v/>
      </c>
      <c r="O351" s="206" t="str">
        <f t="shared" si="30"/>
        <v/>
      </c>
      <c r="P351" s="207" t="str">
        <f t="shared" si="35"/>
        <v/>
      </c>
    </row>
    <row r="352" spans="3:16">
      <c r="C352" s="200"/>
      <c r="D352" s="201"/>
      <c r="E352" s="202"/>
      <c r="F352" s="200"/>
      <c r="H352" s="203"/>
      <c r="I352" s="186" t="str">
        <f t="shared" si="31"/>
        <v/>
      </c>
      <c r="J352" s="204" t="str">
        <f>IF($H352="USD",IF(OR($I352="",$I352="-"),"",VLOOKUP($G352,為替!$A:$AX,$I352,FALSE))+$J$3,IF(OR($I352="",$I352="-"),"",VLOOKUP($G352,為替!$A:$AX,$I352,FALSE)))</f>
        <v/>
      </c>
      <c r="K352" s="205" t="str">
        <f t="shared" si="32"/>
        <v/>
      </c>
      <c r="L352" s="189" t="str">
        <f t="shared" si="33"/>
        <v/>
      </c>
      <c r="M352" s="204" t="str">
        <f>IF($H352="USD",IF(OR($L352="",$L352="-"),"",VLOOKUP($G352,為替!$A:$AX,$L352,FALSE))+$K$3,IF(OR($L352="",$L352="-"),"",VLOOKUP($G352,為替!$A:$AX,$L352,FALSE)))</f>
        <v/>
      </c>
      <c r="N352" s="205" t="str">
        <f t="shared" si="34"/>
        <v/>
      </c>
      <c r="O352" s="206" t="str">
        <f t="shared" si="30"/>
        <v/>
      </c>
      <c r="P352" s="207" t="str">
        <f t="shared" si="35"/>
        <v/>
      </c>
    </row>
    <row r="353" spans="3:16">
      <c r="C353" s="200"/>
      <c r="D353" s="201"/>
      <c r="E353" s="202"/>
      <c r="F353" s="200"/>
      <c r="H353" s="203"/>
      <c r="I353" s="186" t="str">
        <f t="shared" si="31"/>
        <v/>
      </c>
      <c r="J353" s="204" t="str">
        <f>IF($H353="USD",IF(OR($I353="",$I353="-"),"",VLOOKUP($G353,為替!$A:$AX,$I353,FALSE))+$J$3,IF(OR($I353="",$I353="-"),"",VLOOKUP($G353,為替!$A:$AX,$I353,FALSE)))</f>
        <v/>
      </c>
      <c r="K353" s="205" t="str">
        <f t="shared" si="32"/>
        <v/>
      </c>
      <c r="L353" s="189" t="str">
        <f t="shared" si="33"/>
        <v/>
      </c>
      <c r="M353" s="204" t="str">
        <f>IF($H353="USD",IF(OR($L353="",$L353="-"),"",VLOOKUP($G353,為替!$A:$AX,$L353,FALSE))+$K$3,IF(OR($L353="",$L353="-"),"",VLOOKUP($G353,為替!$A:$AX,$L353,FALSE)))</f>
        <v/>
      </c>
      <c r="N353" s="205" t="str">
        <f t="shared" si="34"/>
        <v/>
      </c>
      <c r="O353" s="206" t="str">
        <f t="shared" si="30"/>
        <v/>
      </c>
      <c r="P353" s="207" t="str">
        <f t="shared" si="35"/>
        <v/>
      </c>
    </row>
    <row r="354" spans="3:16">
      <c r="C354" s="200"/>
      <c r="D354" s="201"/>
      <c r="E354" s="202"/>
      <c r="F354" s="200"/>
      <c r="H354" s="203"/>
      <c r="I354" s="186" t="str">
        <f t="shared" si="31"/>
        <v/>
      </c>
      <c r="J354" s="204" t="str">
        <f>IF($H354="USD",IF(OR($I354="",$I354="-"),"",VLOOKUP($G354,為替!$A:$AX,$I354,FALSE))+$J$3,IF(OR($I354="",$I354="-"),"",VLOOKUP($G354,為替!$A:$AX,$I354,FALSE)))</f>
        <v/>
      </c>
      <c r="K354" s="205" t="str">
        <f t="shared" si="32"/>
        <v/>
      </c>
      <c r="L354" s="189" t="str">
        <f t="shared" si="33"/>
        <v/>
      </c>
      <c r="M354" s="204" t="str">
        <f>IF($H354="USD",IF(OR($L354="",$L354="-"),"",VLOOKUP($G354,為替!$A:$AX,$L354,FALSE))+$K$3,IF(OR($L354="",$L354="-"),"",VLOOKUP($G354,為替!$A:$AX,$L354,FALSE)))</f>
        <v/>
      </c>
      <c r="N354" s="205" t="str">
        <f t="shared" si="34"/>
        <v/>
      </c>
      <c r="O354" s="206" t="str">
        <f t="shared" si="30"/>
        <v/>
      </c>
      <c r="P354" s="207" t="str">
        <f t="shared" si="35"/>
        <v/>
      </c>
    </row>
    <row r="355" spans="3:16">
      <c r="C355" s="200"/>
      <c r="D355" s="201"/>
      <c r="E355" s="202"/>
      <c r="F355" s="200"/>
      <c r="H355" s="203"/>
      <c r="I355" s="186" t="str">
        <f t="shared" si="31"/>
        <v/>
      </c>
      <c r="J355" s="204" t="str">
        <f>IF($H355="USD",IF(OR($I355="",$I355="-"),"",VLOOKUP($G355,為替!$A:$AX,$I355,FALSE))+$J$3,IF(OR($I355="",$I355="-"),"",VLOOKUP($G355,為替!$A:$AX,$I355,FALSE)))</f>
        <v/>
      </c>
      <c r="K355" s="205" t="str">
        <f t="shared" si="32"/>
        <v/>
      </c>
      <c r="L355" s="189" t="str">
        <f t="shared" si="33"/>
        <v/>
      </c>
      <c r="M355" s="204" t="str">
        <f>IF($H355="USD",IF(OR($L355="",$L355="-"),"",VLOOKUP($G355,為替!$A:$AX,$L355,FALSE))+$K$3,IF(OR($L355="",$L355="-"),"",VLOOKUP($G355,為替!$A:$AX,$L355,FALSE)))</f>
        <v/>
      </c>
      <c r="N355" s="205" t="str">
        <f t="shared" si="34"/>
        <v/>
      </c>
      <c r="O355" s="206" t="str">
        <f t="shared" si="30"/>
        <v/>
      </c>
      <c r="P355" s="207" t="str">
        <f t="shared" si="35"/>
        <v/>
      </c>
    </row>
    <row r="356" spans="3:16">
      <c r="C356" s="200"/>
      <c r="D356" s="201"/>
      <c r="E356" s="202"/>
      <c r="F356" s="200"/>
      <c r="H356" s="203"/>
      <c r="I356" s="186" t="str">
        <f t="shared" si="31"/>
        <v/>
      </c>
      <c r="J356" s="204" t="str">
        <f>IF($H356="USD",IF(OR($I356="",$I356="-"),"",VLOOKUP($G356,為替!$A:$AX,$I356,FALSE))+$J$3,IF(OR($I356="",$I356="-"),"",VLOOKUP($G356,為替!$A:$AX,$I356,FALSE)))</f>
        <v/>
      </c>
      <c r="K356" s="205" t="str">
        <f t="shared" si="32"/>
        <v/>
      </c>
      <c r="L356" s="189" t="str">
        <f t="shared" si="33"/>
        <v/>
      </c>
      <c r="M356" s="204" t="str">
        <f>IF($H356="USD",IF(OR($L356="",$L356="-"),"",VLOOKUP($G356,為替!$A:$AX,$L356,FALSE))+$K$3,IF(OR($L356="",$L356="-"),"",VLOOKUP($G356,為替!$A:$AX,$L356,FALSE)))</f>
        <v/>
      </c>
      <c r="N356" s="205" t="str">
        <f t="shared" si="34"/>
        <v/>
      </c>
      <c r="O356" s="206" t="str">
        <f t="shared" si="30"/>
        <v/>
      </c>
      <c r="P356" s="207" t="str">
        <f t="shared" si="35"/>
        <v/>
      </c>
    </row>
    <row r="357" spans="3:16">
      <c r="C357" s="200"/>
      <c r="D357" s="201"/>
      <c r="E357" s="202"/>
      <c r="F357" s="200"/>
      <c r="H357" s="203"/>
      <c r="I357" s="186" t="str">
        <f t="shared" si="31"/>
        <v/>
      </c>
      <c r="J357" s="204" t="str">
        <f>IF($H357="USD",IF(OR($I357="",$I357="-"),"",VLOOKUP($G357,為替!$A:$AX,$I357,FALSE))+$J$3,IF(OR($I357="",$I357="-"),"",VLOOKUP($G357,為替!$A:$AX,$I357,FALSE)))</f>
        <v/>
      </c>
      <c r="K357" s="205" t="str">
        <f t="shared" si="32"/>
        <v/>
      </c>
      <c r="L357" s="189" t="str">
        <f t="shared" si="33"/>
        <v/>
      </c>
      <c r="M357" s="204" t="str">
        <f>IF($H357="USD",IF(OR($L357="",$L357="-"),"",VLOOKUP($G357,為替!$A:$AX,$L357,FALSE))+$K$3,IF(OR($L357="",$L357="-"),"",VLOOKUP($G357,為替!$A:$AX,$L357,FALSE)))</f>
        <v/>
      </c>
      <c r="N357" s="205" t="str">
        <f t="shared" si="34"/>
        <v/>
      </c>
      <c r="O357" s="206" t="str">
        <f t="shared" si="30"/>
        <v/>
      </c>
      <c r="P357" s="207" t="str">
        <f t="shared" si="35"/>
        <v/>
      </c>
    </row>
    <row r="358" spans="3:16">
      <c r="C358" s="200"/>
      <c r="D358" s="201"/>
      <c r="E358" s="202"/>
      <c r="F358" s="200"/>
      <c r="H358" s="203"/>
      <c r="I358" s="186" t="str">
        <f t="shared" si="31"/>
        <v/>
      </c>
      <c r="J358" s="204" t="str">
        <f>IF($H358="USD",IF(OR($I358="",$I358="-"),"",VLOOKUP($G358,為替!$A:$AX,$I358,FALSE))+$J$3,IF(OR($I358="",$I358="-"),"",VLOOKUP($G358,為替!$A:$AX,$I358,FALSE)))</f>
        <v/>
      </c>
      <c r="K358" s="205" t="str">
        <f t="shared" si="32"/>
        <v/>
      </c>
      <c r="L358" s="189" t="str">
        <f t="shared" si="33"/>
        <v/>
      </c>
      <c r="M358" s="204" t="str">
        <f>IF($H358="USD",IF(OR($L358="",$L358="-"),"",VLOOKUP($G358,為替!$A:$AX,$L358,FALSE))+$K$3,IF(OR($L358="",$L358="-"),"",VLOOKUP($G358,為替!$A:$AX,$L358,FALSE)))</f>
        <v/>
      </c>
      <c r="N358" s="205" t="str">
        <f t="shared" si="34"/>
        <v/>
      </c>
      <c r="O358" s="206" t="str">
        <f t="shared" si="30"/>
        <v/>
      </c>
      <c r="P358" s="207" t="str">
        <f t="shared" si="35"/>
        <v/>
      </c>
    </row>
    <row r="359" spans="3:16">
      <c r="C359" s="200"/>
      <c r="D359" s="201"/>
      <c r="E359" s="202"/>
      <c r="F359" s="200"/>
      <c r="H359" s="203"/>
      <c r="I359" s="186" t="str">
        <f t="shared" si="31"/>
        <v/>
      </c>
      <c r="J359" s="204" t="str">
        <f>IF($H359="USD",IF(OR($I359="",$I359="-"),"",VLOOKUP($G359,為替!$A:$AX,$I359,FALSE))+$J$3,IF(OR($I359="",$I359="-"),"",VLOOKUP($G359,為替!$A:$AX,$I359,FALSE)))</f>
        <v/>
      </c>
      <c r="K359" s="205" t="str">
        <f t="shared" si="32"/>
        <v/>
      </c>
      <c r="L359" s="189" t="str">
        <f t="shared" si="33"/>
        <v/>
      </c>
      <c r="M359" s="204" t="str">
        <f>IF($H359="USD",IF(OR($L359="",$L359="-"),"",VLOOKUP($G359,為替!$A:$AX,$L359,FALSE))+$K$3,IF(OR($L359="",$L359="-"),"",VLOOKUP($G359,為替!$A:$AX,$L359,FALSE)))</f>
        <v/>
      </c>
      <c r="N359" s="205" t="str">
        <f t="shared" si="34"/>
        <v/>
      </c>
      <c r="O359" s="206" t="str">
        <f t="shared" si="30"/>
        <v/>
      </c>
      <c r="P359" s="207" t="str">
        <f t="shared" si="35"/>
        <v/>
      </c>
    </row>
    <row r="360" spans="3:16">
      <c r="C360" s="200"/>
      <c r="D360" s="201"/>
      <c r="E360" s="202"/>
      <c r="F360" s="200"/>
      <c r="H360" s="203"/>
      <c r="I360" s="186" t="str">
        <f t="shared" si="31"/>
        <v/>
      </c>
      <c r="J360" s="204" t="str">
        <f>IF($H360="USD",IF(OR($I360="",$I360="-"),"",VLOOKUP($G360,為替!$A:$AX,$I360,FALSE))+$J$3,IF(OR($I360="",$I360="-"),"",VLOOKUP($G360,為替!$A:$AX,$I360,FALSE)))</f>
        <v/>
      </c>
      <c r="K360" s="205" t="str">
        <f t="shared" si="32"/>
        <v/>
      </c>
      <c r="L360" s="189" t="str">
        <f t="shared" si="33"/>
        <v/>
      </c>
      <c r="M360" s="204" t="str">
        <f>IF($H360="USD",IF(OR($L360="",$L360="-"),"",VLOOKUP($G360,為替!$A:$AX,$L360,FALSE))+$K$3,IF(OR($L360="",$L360="-"),"",VLOOKUP($G360,為替!$A:$AX,$L360,FALSE)))</f>
        <v/>
      </c>
      <c r="N360" s="205" t="str">
        <f t="shared" si="34"/>
        <v/>
      </c>
      <c r="O360" s="206" t="str">
        <f t="shared" si="30"/>
        <v/>
      </c>
      <c r="P360" s="207" t="str">
        <f t="shared" si="35"/>
        <v/>
      </c>
    </row>
    <row r="361" spans="3:16">
      <c r="C361" s="200"/>
      <c r="D361" s="201"/>
      <c r="E361" s="202"/>
      <c r="F361" s="200"/>
      <c r="H361" s="203"/>
      <c r="I361" s="186" t="str">
        <f t="shared" si="31"/>
        <v/>
      </c>
      <c r="J361" s="204" t="str">
        <f>IF($H361="USD",IF(OR($I361="",$I361="-"),"",VLOOKUP($G361,為替!$A:$AX,$I361,FALSE))+$J$3,IF(OR($I361="",$I361="-"),"",VLOOKUP($G361,為替!$A:$AX,$I361,FALSE)))</f>
        <v/>
      </c>
      <c r="K361" s="205" t="str">
        <f t="shared" si="32"/>
        <v/>
      </c>
      <c r="L361" s="189" t="str">
        <f t="shared" si="33"/>
        <v/>
      </c>
      <c r="M361" s="204" t="str">
        <f>IF($H361="USD",IF(OR($L361="",$L361="-"),"",VLOOKUP($G361,為替!$A:$AX,$L361,FALSE))+$K$3,IF(OR($L361="",$L361="-"),"",VLOOKUP($G361,為替!$A:$AX,$L361,FALSE)))</f>
        <v/>
      </c>
      <c r="N361" s="205" t="str">
        <f t="shared" si="34"/>
        <v/>
      </c>
      <c r="O361" s="206" t="str">
        <f t="shared" si="30"/>
        <v/>
      </c>
      <c r="P361" s="207" t="str">
        <f t="shared" si="35"/>
        <v/>
      </c>
    </row>
    <row r="362" spans="3:16">
      <c r="C362" s="200"/>
      <c r="D362" s="201"/>
      <c r="E362" s="202"/>
      <c r="F362" s="200"/>
      <c r="H362" s="203"/>
      <c r="I362" s="186" t="str">
        <f t="shared" si="31"/>
        <v/>
      </c>
      <c r="J362" s="204" t="str">
        <f>IF($H362="USD",IF(OR($I362="",$I362="-"),"",VLOOKUP($G362,為替!$A:$AX,$I362,FALSE))+$J$3,IF(OR($I362="",$I362="-"),"",VLOOKUP($G362,為替!$A:$AX,$I362,FALSE)))</f>
        <v/>
      </c>
      <c r="K362" s="205" t="str">
        <f t="shared" si="32"/>
        <v/>
      </c>
      <c r="L362" s="189" t="str">
        <f t="shared" si="33"/>
        <v/>
      </c>
      <c r="M362" s="204" t="str">
        <f>IF($H362="USD",IF(OR($L362="",$L362="-"),"",VLOOKUP($G362,為替!$A:$AX,$L362,FALSE))+$K$3,IF(OR($L362="",$L362="-"),"",VLOOKUP($G362,為替!$A:$AX,$L362,FALSE)))</f>
        <v/>
      </c>
      <c r="N362" s="205" t="str">
        <f t="shared" si="34"/>
        <v/>
      </c>
      <c r="O362" s="206" t="str">
        <f t="shared" si="30"/>
        <v/>
      </c>
      <c r="P362" s="207" t="str">
        <f t="shared" si="35"/>
        <v/>
      </c>
    </row>
    <row r="363" spans="3:16">
      <c r="C363" s="200"/>
      <c r="D363" s="201"/>
      <c r="E363" s="202"/>
      <c r="F363" s="200"/>
      <c r="H363" s="203"/>
      <c r="I363" s="186" t="str">
        <f t="shared" si="31"/>
        <v/>
      </c>
      <c r="J363" s="204" t="str">
        <f>IF($H363="USD",IF(OR($I363="",$I363="-"),"",VLOOKUP($G363,為替!$A:$AX,$I363,FALSE))+$J$3,IF(OR($I363="",$I363="-"),"",VLOOKUP($G363,為替!$A:$AX,$I363,FALSE)))</f>
        <v/>
      </c>
      <c r="K363" s="205" t="str">
        <f t="shared" si="32"/>
        <v/>
      </c>
      <c r="L363" s="189" t="str">
        <f t="shared" si="33"/>
        <v/>
      </c>
      <c r="M363" s="204" t="str">
        <f>IF($H363="USD",IF(OR($L363="",$L363="-"),"",VLOOKUP($G363,為替!$A:$AX,$L363,FALSE))+$K$3,IF(OR($L363="",$L363="-"),"",VLOOKUP($G363,為替!$A:$AX,$L363,FALSE)))</f>
        <v/>
      </c>
      <c r="N363" s="205" t="str">
        <f t="shared" si="34"/>
        <v/>
      </c>
      <c r="O363" s="206" t="str">
        <f t="shared" si="30"/>
        <v/>
      </c>
      <c r="P363" s="207" t="str">
        <f t="shared" si="35"/>
        <v/>
      </c>
    </row>
    <row r="364" spans="3:16">
      <c r="C364" s="200"/>
      <c r="D364" s="201"/>
      <c r="E364" s="202"/>
      <c r="F364" s="200"/>
      <c r="H364" s="203"/>
      <c r="I364" s="186" t="str">
        <f t="shared" si="31"/>
        <v/>
      </c>
      <c r="J364" s="204" t="str">
        <f>IF($H364="USD",IF(OR($I364="",$I364="-"),"",VLOOKUP($G364,為替!$A:$AX,$I364,FALSE))+$J$3,IF(OR($I364="",$I364="-"),"",VLOOKUP($G364,為替!$A:$AX,$I364,FALSE)))</f>
        <v/>
      </c>
      <c r="K364" s="205" t="str">
        <f t="shared" si="32"/>
        <v/>
      </c>
      <c r="L364" s="189" t="str">
        <f t="shared" si="33"/>
        <v/>
      </c>
      <c r="M364" s="204" t="str">
        <f>IF($H364="USD",IF(OR($L364="",$L364="-"),"",VLOOKUP($G364,為替!$A:$AX,$L364,FALSE))+$K$3,IF(OR($L364="",$L364="-"),"",VLOOKUP($G364,為替!$A:$AX,$L364,FALSE)))</f>
        <v/>
      </c>
      <c r="N364" s="205" t="str">
        <f t="shared" si="34"/>
        <v/>
      </c>
      <c r="O364" s="206" t="str">
        <f t="shared" si="30"/>
        <v/>
      </c>
      <c r="P364" s="207" t="str">
        <f t="shared" si="35"/>
        <v/>
      </c>
    </row>
    <row r="365" spans="3:16">
      <c r="C365" s="200"/>
      <c r="D365" s="201"/>
      <c r="E365" s="202"/>
      <c r="F365" s="200"/>
      <c r="H365" s="203"/>
      <c r="I365" s="186" t="str">
        <f t="shared" si="31"/>
        <v/>
      </c>
      <c r="J365" s="204" t="str">
        <f>IF($H365="USD",IF(OR($I365="",$I365="-"),"",VLOOKUP($G365,為替!$A:$AX,$I365,FALSE))+$J$3,IF(OR($I365="",$I365="-"),"",VLOOKUP($G365,為替!$A:$AX,$I365,FALSE)))</f>
        <v/>
      </c>
      <c r="K365" s="205" t="str">
        <f t="shared" si="32"/>
        <v/>
      </c>
      <c r="L365" s="189" t="str">
        <f t="shared" si="33"/>
        <v/>
      </c>
      <c r="M365" s="204" t="str">
        <f>IF($H365="USD",IF(OR($L365="",$L365="-"),"",VLOOKUP($G365,為替!$A:$AX,$L365,FALSE))+$K$3,IF(OR($L365="",$L365="-"),"",VLOOKUP($G365,為替!$A:$AX,$L365,FALSE)))</f>
        <v/>
      </c>
      <c r="N365" s="205" t="str">
        <f t="shared" si="34"/>
        <v/>
      </c>
      <c r="O365" s="206" t="str">
        <f t="shared" si="30"/>
        <v/>
      </c>
      <c r="P365" s="207" t="str">
        <f t="shared" si="35"/>
        <v/>
      </c>
    </row>
    <row r="366" spans="3:16">
      <c r="C366" s="200"/>
      <c r="D366" s="201"/>
      <c r="E366" s="202"/>
      <c r="F366" s="200"/>
      <c r="H366" s="203"/>
      <c r="I366" s="186" t="str">
        <f t="shared" si="31"/>
        <v/>
      </c>
      <c r="J366" s="204" t="str">
        <f>IF($H366="USD",IF(OR($I366="",$I366="-"),"",VLOOKUP($G366,為替!$A:$AX,$I366,FALSE))+$J$3,IF(OR($I366="",$I366="-"),"",VLOOKUP($G366,為替!$A:$AX,$I366,FALSE)))</f>
        <v/>
      </c>
      <c r="K366" s="205" t="str">
        <f t="shared" si="32"/>
        <v/>
      </c>
      <c r="L366" s="189" t="str">
        <f t="shared" si="33"/>
        <v/>
      </c>
      <c r="M366" s="204" t="str">
        <f>IF($H366="USD",IF(OR($L366="",$L366="-"),"",VLOOKUP($G366,為替!$A:$AX,$L366,FALSE))+$K$3,IF(OR($L366="",$L366="-"),"",VLOOKUP($G366,為替!$A:$AX,$L366,FALSE)))</f>
        <v/>
      </c>
      <c r="N366" s="205" t="str">
        <f t="shared" si="34"/>
        <v/>
      </c>
      <c r="O366" s="206" t="str">
        <f t="shared" si="30"/>
        <v/>
      </c>
      <c r="P366" s="207" t="str">
        <f t="shared" si="35"/>
        <v/>
      </c>
    </row>
    <row r="367" spans="3:16">
      <c r="C367" s="200"/>
      <c r="D367" s="201"/>
      <c r="E367" s="202"/>
      <c r="F367" s="200"/>
      <c r="H367" s="203"/>
      <c r="I367" s="186" t="str">
        <f t="shared" si="31"/>
        <v/>
      </c>
      <c r="J367" s="204" t="str">
        <f>IF($H367="USD",IF(OR($I367="",$I367="-"),"",VLOOKUP($G367,為替!$A:$AX,$I367,FALSE))+$J$3,IF(OR($I367="",$I367="-"),"",VLOOKUP($G367,為替!$A:$AX,$I367,FALSE)))</f>
        <v/>
      </c>
      <c r="K367" s="205" t="str">
        <f t="shared" si="32"/>
        <v/>
      </c>
      <c r="L367" s="189" t="str">
        <f t="shared" si="33"/>
        <v/>
      </c>
      <c r="M367" s="204" t="str">
        <f>IF($H367="USD",IF(OR($L367="",$L367="-"),"",VLOOKUP($G367,為替!$A:$AX,$L367,FALSE))+$K$3,IF(OR($L367="",$L367="-"),"",VLOOKUP($G367,為替!$A:$AX,$L367,FALSE)))</f>
        <v/>
      </c>
      <c r="N367" s="205" t="str">
        <f t="shared" si="34"/>
        <v/>
      </c>
      <c r="O367" s="206" t="str">
        <f t="shared" si="30"/>
        <v/>
      </c>
      <c r="P367" s="207" t="str">
        <f t="shared" si="35"/>
        <v/>
      </c>
    </row>
    <row r="368" spans="3:16">
      <c r="C368" s="200"/>
      <c r="D368" s="201"/>
      <c r="E368" s="202"/>
      <c r="F368" s="200"/>
      <c r="H368" s="203"/>
      <c r="I368" s="186" t="str">
        <f t="shared" si="31"/>
        <v/>
      </c>
      <c r="J368" s="204" t="str">
        <f>IF($H368="USD",IF(OR($I368="",$I368="-"),"",VLOOKUP($G368,為替!$A:$AX,$I368,FALSE))+$J$3,IF(OR($I368="",$I368="-"),"",VLOOKUP($G368,為替!$A:$AX,$I368,FALSE)))</f>
        <v/>
      </c>
      <c r="K368" s="205" t="str">
        <f t="shared" si="32"/>
        <v/>
      </c>
      <c r="L368" s="189" t="str">
        <f t="shared" si="33"/>
        <v/>
      </c>
      <c r="M368" s="204" t="str">
        <f>IF($H368="USD",IF(OR($L368="",$L368="-"),"",VLOOKUP($G368,為替!$A:$AX,$L368,FALSE))+$K$3,IF(OR($L368="",$L368="-"),"",VLOOKUP($G368,為替!$A:$AX,$L368,FALSE)))</f>
        <v/>
      </c>
      <c r="N368" s="205" t="str">
        <f t="shared" si="34"/>
        <v/>
      </c>
      <c r="O368" s="206" t="str">
        <f t="shared" si="30"/>
        <v/>
      </c>
      <c r="P368" s="207" t="str">
        <f t="shared" si="35"/>
        <v/>
      </c>
    </row>
    <row r="369" spans="3:16">
      <c r="C369" s="200"/>
      <c r="D369" s="201"/>
      <c r="E369" s="202"/>
      <c r="F369" s="200"/>
      <c r="H369" s="203"/>
      <c r="I369" s="186" t="str">
        <f t="shared" si="31"/>
        <v/>
      </c>
      <c r="J369" s="204" t="str">
        <f>IF($H369="USD",IF(OR($I369="",$I369="-"),"",VLOOKUP($G369,為替!$A:$AX,$I369,FALSE))+$J$3,IF(OR($I369="",$I369="-"),"",VLOOKUP($G369,為替!$A:$AX,$I369,FALSE)))</f>
        <v/>
      </c>
      <c r="K369" s="205" t="str">
        <f t="shared" si="32"/>
        <v/>
      </c>
      <c r="L369" s="189" t="str">
        <f t="shared" si="33"/>
        <v/>
      </c>
      <c r="M369" s="204" t="str">
        <f>IF($H369="USD",IF(OR($L369="",$L369="-"),"",VLOOKUP($G369,為替!$A:$AX,$L369,FALSE))+$K$3,IF(OR($L369="",$L369="-"),"",VLOOKUP($G369,為替!$A:$AX,$L369,FALSE)))</f>
        <v/>
      </c>
      <c r="N369" s="205" t="str">
        <f t="shared" si="34"/>
        <v/>
      </c>
      <c r="O369" s="206" t="str">
        <f t="shared" si="30"/>
        <v/>
      </c>
      <c r="P369" s="207" t="str">
        <f t="shared" si="35"/>
        <v/>
      </c>
    </row>
    <row r="370" spans="3:16">
      <c r="C370" s="200"/>
      <c r="D370" s="201"/>
      <c r="E370" s="202"/>
      <c r="F370" s="200"/>
      <c r="H370" s="203"/>
      <c r="I370" s="186" t="str">
        <f t="shared" si="31"/>
        <v/>
      </c>
      <c r="J370" s="204" t="str">
        <f>IF($H370="USD",IF(OR($I370="",$I370="-"),"",VLOOKUP($G370,為替!$A:$AX,$I370,FALSE))+$J$3,IF(OR($I370="",$I370="-"),"",VLOOKUP($G370,為替!$A:$AX,$I370,FALSE)))</f>
        <v/>
      </c>
      <c r="K370" s="205" t="str">
        <f t="shared" si="32"/>
        <v/>
      </c>
      <c r="L370" s="189" t="str">
        <f t="shared" si="33"/>
        <v/>
      </c>
      <c r="M370" s="204" t="str">
        <f>IF($H370="USD",IF(OR($L370="",$L370="-"),"",VLOOKUP($G370,為替!$A:$AX,$L370,FALSE))+$K$3,IF(OR($L370="",$L370="-"),"",VLOOKUP($G370,為替!$A:$AX,$L370,FALSE)))</f>
        <v/>
      </c>
      <c r="N370" s="205" t="str">
        <f t="shared" si="34"/>
        <v/>
      </c>
      <c r="O370" s="206" t="str">
        <f t="shared" si="30"/>
        <v/>
      </c>
      <c r="P370" s="207" t="str">
        <f t="shared" si="35"/>
        <v/>
      </c>
    </row>
    <row r="371" spans="3:16">
      <c r="C371" s="200"/>
      <c r="D371" s="201"/>
      <c r="E371" s="202"/>
      <c r="F371" s="200"/>
      <c r="H371" s="203"/>
      <c r="I371" s="186" t="str">
        <f t="shared" si="31"/>
        <v/>
      </c>
      <c r="J371" s="204" t="str">
        <f>IF($H371="USD",IF(OR($I371="",$I371="-"),"",VLOOKUP($G371,為替!$A:$AX,$I371,FALSE))+$J$3,IF(OR($I371="",$I371="-"),"",VLOOKUP($G371,為替!$A:$AX,$I371,FALSE)))</f>
        <v/>
      </c>
      <c r="K371" s="205" t="str">
        <f t="shared" si="32"/>
        <v/>
      </c>
      <c r="L371" s="189" t="str">
        <f t="shared" si="33"/>
        <v/>
      </c>
      <c r="M371" s="204" t="str">
        <f>IF($H371="USD",IF(OR($L371="",$L371="-"),"",VLOOKUP($G371,為替!$A:$AX,$L371,FALSE))+$K$3,IF(OR($L371="",$L371="-"),"",VLOOKUP($G371,為替!$A:$AX,$L371,FALSE)))</f>
        <v/>
      </c>
      <c r="N371" s="205" t="str">
        <f t="shared" si="34"/>
        <v/>
      </c>
      <c r="O371" s="206" t="str">
        <f t="shared" si="30"/>
        <v/>
      </c>
      <c r="P371" s="207" t="str">
        <f t="shared" si="35"/>
        <v/>
      </c>
    </row>
    <row r="372" spans="3:16">
      <c r="C372" s="200"/>
      <c r="D372" s="201"/>
      <c r="E372" s="202"/>
      <c r="F372" s="200"/>
      <c r="H372" s="203"/>
      <c r="I372" s="186" t="str">
        <f t="shared" si="31"/>
        <v/>
      </c>
      <c r="J372" s="204" t="str">
        <f>IF($H372="USD",IF(OR($I372="",$I372="-"),"",VLOOKUP($G372,為替!$A:$AX,$I372,FALSE))+$J$3,IF(OR($I372="",$I372="-"),"",VLOOKUP($G372,為替!$A:$AX,$I372,FALSE)))</f>
        <v/>
      </c>
      <c r="K372" s="205" t="str">
        <f t="shared" si="32"/>
        <v/>
      </c>
      <c r="L372" s="189" t="str">
        <f t="shared" si="33"/>
        <v/>
      </c>
      <c r="M372" s="204" t="str">
        <f>IF($H372="USD",IF(OR($L372="",$L372="-"),"",VLOOKUP($G372,為替!$A:$AX,$L372,FALSE))+$K$3,IF(OR($L372="",$L372="-"),"",VLOOKUP($G372,為替!$A:$AX,$L372,FALSE)))</f>
        <v/>
      </c>
      <c r="N372" s="205" t="str">
        <f t="shared" si="34"/>
        <v/>
      </c>
      <c r="O372" s="206" t="str">
        <f t="shared" si="30"/>
        <v/>
      </c>
      <c r="P372" s="207" t="str">
        <f t="shared" si="35"/>
        <v/>
      </c>
    </row>
    <row r="373" spans="3:16">
      <c r="C373" s="200"/>
      <c r="D373" s="201"/>
      <c r="E373" s="202"/>
      <c r="F373" s="200"/>
      <c r="H373" s="203"/>
      <c r="I373" s="186" t="str">
        <f t="shared" si="31"/>
        <v/>
      </c>
      <c r="J373" s="204" t="str">
        <f>IF($H373="USD",IF(OR($I373="",$I373="-"),"",VLOOKUP($G373,為替!$A:$AX,$I373,FALSE))+$J$3,IF(OR($I373="",$I373="-"),"",VLOOKUP($G373,為替!$A:$AX,$I373,FALSE)))</f>
        <v/>
      </c>
      <c r="K373" s="205" t="str">
        <f t="shared" si="32"/>
        <v/>
      </c>
      <c r="L373" s="189" t="str">
        <f t="shared" si="33"/>
        <v/>
      </c>
      <c r="M373" s="204" t="str">
        <f>IF($H373="USD",IF(OR($L373="",$L373="-"),"",VLOOKUP($G373,為替!$A:$AX,$L373,FALSE))+$K$3,IF(OR($L373="",$L373="-"),"",VLOOKUP($G373,為替!$A:$AX,$L373,FALSE)))</f>
        <v/>
      </c>
      <c r="N373" s="205" t="str">
        <f t="shared" si="34"/>
        <v/>
      </c>
      <c r="O373" s="206" t="str">
        <f t="shared" si="30"/>
        <v/>
      </c>
      <c r="P373" s="207" t="str">
        <f t="shared" si="35"/>
        <v/>
      </c>
    </row>
    <row r="374" spans="3:16">
      <c r="C374" s="200"/>
      <c r="D374" s="201"/>
      <c r="E374" s="202"/>
      <c r="F374" s="200"/>
      <c r="H374" s="203"/>
      <c r="I374" s="186" t="str">
        <f t="shared" si="31"/>
        <v/>
      </c>
      <c r="J374" s="204" t="str">
        <f>IF($H374="USD",IF(OR($I374="",$I374="-"),"",VLOOKUP($G374,為替!$A:$AX,$I374,FALSE))+$J$3,IF(OR($I374="",$I374="-"),"",VLOOKUP($G374,為替!$A:$AX,$I374,FALSE)))</f>
        <v/>
      </c>
      <c r="K374" s="205" t="str">
        <f t="shared" si="32"/>
        <v/>
      </c>
      <c r="L374" s="189" t="str">
        <f t="shared" si="33"/>
        <v/>
      </c>
      <c r="M374" s="204" t="str">
        <f>IF($H374="USD",IF(OR($L374="",$L374="-"),"",VLOOKUP($G374,為替!$A:$AX,$L374,FALSE))+$K$3,IF(OR($L374="",$L374="-"),"",VLOOKUP($G374,為替!$A:$AX,$L374,FALSE)))</f>
        <v/>
      </c>
      <c r="N374" s="205" t="str">
        <f t="shared" si="34"/>
        <v/>
      </c>
      <c r="O374" s="206" t="str">
        <f t="shared" si="30"/>
        <v/>
      </c>
      <c r="P374" s="207" t="str">
        <f t="shared" si="35"/>
        <v/>
      </c>
    </row>
    <row r="375" spans="3:16">
      <c r="C375" s="200"/>
      <c r="D375" s="201"/>
      <c r="E375" s="202"/>
      <c r="F375" s="200"/>
      <c r="H375" s="203"/>
      <c r="I375" s="186" t="str">
        <f t="shared" si="31"/>
        <v/>
      </c>
      <c r="J375" s="204" t="str">
        <f>IF($H375="USD",IF(OR($I375="",$I375="-"),"",VLOOKUP($G375,為替!$A:$AX,$I375,FALSE))+$J$3,IF(OR($I375="",$I375="-"),"",VLOOKUP($G375,為替!$A:$AX,$I375,FALSE)))</f>
        <v/>
      </c>
      <c r="K375" s="205" t="str">
        <f t="shared" si="32"/>
        <v/>
      </c>
      <c r="L375" s="189" t="str">
        <f t="shared" si="33"/>
        <v/>
      </c>
      <c r="M375" s="204" t="str">
        <f>IF($H375="USD",IF(OR($L375="",$L375="-"),"",VLOOKUP($G375,為替!$A:$AX,$L375,FALSE))+$K$3,IF(OR($L375="",$L375="-"),"",VLOOKUP($G375,為替!$A:$AX,$L375,FALSE)))</f>
        <v/>
      </c>
      <c r="N375" s="205" t="str">
        <f t="shared" si="34"/>
        <v/>
      </c>
      <c r="O375" s="206" t="str">
        <f t="shared" si="30"/>
        <v/>
      </c>
      <c r="P375" s="207" t="str">
        <f t="shared" si="35"/>
        <v/>
      </c>
    </row>
    <row r="376" spans="3:16">
      <c r="C376" s="200"/>
      <c r="D376" s="201"/>
      <c r="E376" s="202"/>
      <c r="F376" s="200"/>
      <c r="H376" s="203"/>
      <c r="I376" s="186" t="str">
        <f t="shared" si="31"/>
        <v/>
      </c>
      <c r="J376" s="204" t="str">
        <f>IF($H376="USD",IF(OR($I376="",$I376="-"),"",VLOOKUP($G376,為替!$A:$AX,$I376,FALSE))+$J$3,IF(OR($I376="",$I376="-"),"",VLOOKUP($G376,為替!$A:$AX,$I376,FALSE)))</f>
        <v/>
      </c>
      <c r="K376" s="205" t="str">
        <f t="shared" si="32"/>
        <v/>
      </c>
      <c r="L376" s="189" t="str">
        <f t="shared" si="33"/>
        <v/>
      </c>
      <c r="M376" s="204" t="str">
        <f>IF($H376="USD",IF(OR($L376="",$L376="-"),"",VLOOKUP($G376,為替!$A:$AX,$L376,FALSE))+$K$3,IF(OR($L376="",$L376="-"),"",VLOOKUP($G376,為替!$A:$AX,$L376,FALSE)))</f>
        <v/>
      </c>
      <c r="N376" s="205" t="str">
        <f t="shared" si="34"/>
        <v/>
      </c>
      <c r="O376" s="206" t="str">
        <f t="shared" si="30"/>
        <v/>
      </c>
      <c r="P376" s="207" t="str">
        <f t="shared" si="35"/>
        <v/>
      </c>
    </row>
    <row r="377" spans="3:16">
      <c r="C377" s="200"/>
      <c r="D377" s="201"/>
      <c r="E377" s="202"/>
      <c r="F377" s="200"/>
      <c r="H377" s="203"/>
      <c r="I377" s="186" t="str">
        <f t="shared" si="31"/>
        <v/>
      </c>
      <c r="J377" s="204" t="str">
        <f>IF($H377="USD",IF(OR($I377="",$I377="-"),"",VLOOKUP($G377,為替!$A:$AX,$I377,FALSE))+$J$3,IF(OR($I377="",$I377="-"),"",VLOOKUP($G377,為替!$A:$AX,$I377,FALSE)))</f>
        <v/>
      </c>
      <c r="K377" s="205" t="str">
        <f t="shared" si="32"/>
        <v/>
      </c>
      <c r="L377" s="189" t="str">
        <f t="shared" si="33"/>
        <v/>
      </c>
      <c r="M377" s="204" t="str">
        <f>IF($H377="USD",IF(OR($L377="",$L377="-"),"",VLOOKUP($G377,為替!$A:$AX,$L377,FALSE))+$K$3,IF(OR($L377="",$L377="-"),"",VLOOKUP($G377,為替!$A:$AX,$L377,FALSE)))</f>
        <v/>
      </c>
      <c r="N377" s="205" t="str">
        <f t="shared" si="34"/>
        <v/>
      </c>
      <c r="O377" s="206" t="str">
        <f t="shared" si="30"/>
        <v/>
      </c>
      <c r="P377" s="207" t="str">
        <f t="shared" si="35"/>
        <v/>
      </c>
    </row>
    <row r="378" spans="3:16">
      <c r="C378" s="200"/>
      <c r="D378" s="201"/>
      <c r="E378" s="202"/>
      <c r="F378" s="200"/>
      <c r="H378" s="203"/>
      <c r="I378" s="186" t="str">
        <f t="shared" si="31"/>
        <v/>
      </c>
      <c r="J378" s="204" t="str">
        <f>IF($H378="USD",IF(OR($I378="",$I378="-"),"",VLOOKUP($G378,為替!$A:$AX,$I378,FALSE))+$J$3,IF(OR($I378="",$I378="-"),"",VLOOKUP($G378,為替!$A:$AX,$I378,FALSE)))</f>
        <v/>
      </c>
      <c r="K378" s="205" t="str">
        <f t="shared" si="32"/>
        <v/>
      </c>
      <c r="L378" s="189" t="str">
        <f t="shared" si="33"/>
        <v/>
      </c>
      <c r="M378" s="204" t="str">
        <f>IF($H378="USD",IF(OR($L378="",$L378="-"),"",VLOOKUP($G378,為替!$A:$AX,$L378,FALSE))+$K$3,IF(OR($L378="",$L378="-"),"",VLOOKUP($G378,為替!$A:$AX,$L378,FALSE)))</f>
        <v/>
      </c>
      <c r="N378" s="205" t="str">
        <f t="shared" si="34"/>
        <v/>
      </c>
      <c r="O378" s="206" t="str">
        <f t="shared" si="30"/>
        <v/>
      </c>
      <c r="P378" s="207" t="str">
        <f t="shared" si="35"/>
        <v/>
      </c>
    </row>
    <row r="379" spans="3:16">
      <c r="C379" s="200"/>
      <c r="D379" s="201"/>
      <c r="E379" s="202"/>
      <c r="F379" s="200"/>
      <c r="H379" s="203"/>
      <c r="I379" s="186" t="str">
        <f t="shared" si="31"/>
        <v/>
      </c>
      <c r="J379" s="204" t="str">
        <f>IF($H379="USD",IF(OR($I379="",$I379="-"),"",VLOOKUP($G379,為替!$A:$AX,$I379,FALSE))+$J$3,IF(OR($I379="",$I379="-"),"",VLOOKUP($G379,為替!$A:$AX,$I379,FALSE)))</f>
        <v/>
      </c>
      <c r="K379" s="205" t="str">
        <f t="shared" si="32"/>
        <v/>
      </c>
      <c r="L379" s="189" t="str">
        <f t="shared" si="33"/>
        <v/>
      </c>
      <c r="M379" s="204" t="str">
        <f>IF($H379="USD",IF(OR($L379="",$L379="-"),"",VLOOKUP($G379,為替!$A:$AX,$L379,FALSE))+$K$3,IF(OR($L379="",$L379="-"),"",VLOOKUP($G379,為替!$A:$AX,$L379,FALSE)))</f>
        <v/>
      </c>
      <c r="N379" s="205" t="str">
        <f t="shared" si="34"/>
        <v/>
      </c>
      <c r="O379" s="206" t="str">
        <f t="shared" si="30"/>
        <v/>
      </c>
      <c r="P379" s="207" t="str">
        <f t="shared" si="35"/>
        <v/>
      </c>
    </row>
    <row r="380" spans="3:16">
      <c r="C380" s="200"/>
      <c r="D380" s="201"/>
      <c r="E380" s="202"/>
      <c r="F380" s="200"/>
      <c r="H380" s="203"/>
      <c r="I380" s="186" t="str">
        <f t="shared" si="31"/>
        <v/>
      </c>
      <c r="J380" s="204" t="str">
        <f>IF($H380="USD",IF(OR($I380="",$I380="-"),"",VLOOKUP($G380,為替!$A:$AX,$I380,FALSE))+$J$3,IF(OR($I380="",$I380="-"),"",VLOOKUP($G380,為替!$A:$AX,$I380,FALSE)))</f>
        <v/>
      </c>
      <c r="K380" s="205" t="str">
        <f t="shared" si="32"/>
        <v/>
      </c>
      <c r="L380" s="189" t="str">
        <f t="shared" si="33"/>
        <v/>
      </c>
      <c r="M380" s="204" t="str">
        <f>IF($H380="USD",IF(OR($L380="",$L380="-"),"",VLOOKUP($G380,為替!$A:$AX,$L380,FALSE))+$K$3,IF(OR($L380="",$L380="-"),"",VLOOKUP($G380,為替!$A:$AX,$L380,FALSE)))</f>
        <v/>
      </c>
      <c r="N380" s="205" t="str">
        <f t="shared" si="34"/>
        <v/>
      </c>
      <c r="O380" s="206" t="str">
        <f t="shared" si="30"/>
        <v/>
      </c>
      <c r="P380" s="207" t="str">
        <f t="shared" si="35"/>
        <v/>
      </c>
    </row>
    <row r="381" spans="3:16">
      <c r="C381" s="200"/>
      <c r="D381" s="201"/>
      <c r="E381" s="202"/>
      <c r="F381" s="200"/>
      <c r="H381" s="203"/>
      <c r="I381" s="186" t="str">
        <f t="shared" si="31"/>
        <v/>
      </c>
      <c r="J381" s="204" t="str">
        <f>IF($H381="USD",IF(OR($I381="",$I381="-"),"",VLOOKUP($G381,為替!$A:$AX,$I381,FALSE))+$J$3,IF(OR($I381="",$I381="-"),"",VLOOKUP($G381,為替!$A:$AX,$I381,FALSE)))</f>
        <v/>
      </c>
      <c r="K381" s="205" t="str">
        <f t="shared" si="32"/>
        <v/>
      </c>
      <c r="L381" s="189" t="str">
        <f t="shared" si="33"/>
        <v/>
      </c>
      <c r="M381" s="204" t="str">
        <f>IF($H381="USD",IF(OR($L381="",$L381="-"),"",VLOOKUP($G381,為替!$A:$AX,$L381,FALSE))+$K$3,IF(OR($L381="",$L381="-"),"",VLOOKUP($G381,為替!$A:$AX,$L381,FALSE)))</f>
        <v/>
      </c>
      <c r="N381" s="205" t="str">
        <f t="shared" si="34"/>
        <v/>
      </c>
      <c r="O381" s="206" t="str">
        <f t="shared" si="30"/>
        <v/>
      </c>
      <c r="P381" s="207" t="str">
        <f t="shared" si="35"/>
        <v/>
      </c>
    </row>
    <row r="382" spans="3:16">
      <c r="C382" s="200"/>
      <c r="D382" s="201"/>
      <c r="E382" s="202"/>
      <c r="F382" s="200"/>
      <c r="H382" s="203"/>
      <c r="I382" s="186" t="str">
        <f t="shared" si="31"/>
        <v/>
      </c>
      <c r="J382" s="204" t="str">
        <f>IF($H382="USD",IF(OR($I382="",$I382="-"),"",VLOOKUP($G382,為替!$A:$AX,$I382,FALSE))+$J$3,IF(OR($I382="",$I382="-"),"",VLOOKUP($G382,為替!$A:$AX,$I382,FALSE)))</f>
        <v/>
      </c>
      <c r="K382" s="205" t="str">
        <f t="shared" si="32"/>
        <v/>
      </c>
      <c r="L382" s="189" t="str">
        <f t="shared" si="33"/>
        <v/>
      </c>
      <c r="M382" s="204" t="str">
        <f>IF($H382="USD",IF(OR($L382="",$L382="-"),"",VLOOKUP($G382,為替!$A:$AX,$L382,FALSE))+$K$3,IF(OR($L382="",$L382="-"),"",VLOOKUP($G382,為替!$A:$AX,$L382,FALSE)))</f>
        <v/>
      </c>
      <c r="N382" s="205" t="str">
        <f t="shared" si="34"/>
        <v/>
      </c>
      <c r="O382" s="206" t="str">
        <f t="shared" si="30"/>
        <v/>
      </c>
      <c r="P382" s="207" t="str">
        <f t="shared" si="35"/>
        <v/>
      </c>
    </row>
    <row r="383" spans="3:16">
      <c r="C383" s="200"/>
      <c r="D383" s="201"/>
      <c r="E383" s="202"/>
      <c r="F383" s="200"/>
      <c r="H383" s="203"/>
      <c r="I383" s="186" t="str">
        <f t="shared" si="31"/>
        <v/>
      </c>
      <c r="J383" s="204" t="str">
        <f>IF($H383="USD",IF(OR($I383="",$I383="-"),"",VLOOKUP($G383,為替!$A:$AX,$I383,FALSE))+$J$3,IF(OR($I383="",$I383="-"),"",VLOOKUP($G383,為替!$A:$AX,$I383,FALSE)))</f>
        <v/>
      </c>
      <c r="K383" s="205" t="str">
        <f t="shared" si="32"/>
        <v/>
      </c>
      <c r="L383" s="189" t="str">
        <f t="shared" si="33"/>
        <v/>
      </c>
      <c r="M383" s="204" t="str">
        <f>IF($H383="USD",IF(OR($L383="",$L383="-"),"",VLOOKUP($G383,為替!$A:$AX,$L383,FALSE))+$K$3,IF(OR($L383="",$L383="-"),"",VLOOKUP($G383,為替!$A:$AX,$L383,FALSE)))</f>
        <v/>
      </c>
      <c r="N383" s="205" t="str">
        <f t="shared" si="34"/>
        <v/>
      </c>
      <c r="O383" s="206" t="str">
        <f t="shared" si="30"/>
        <v/>
      </c>
      <c r="P383" s="207" t="str">
        <f t="shared" si="35"/>
        <v/>
      </c>
    </row>
    <row r="384" spans="3:16">
      <c r="C384" s="200"/>
      <c r="D384" s="201"/>
      <c r="E384" s="202"/>
      <c r="F384" s="200"/>
      <c r="H384" s="203"/>
      <c r="I384" s="186" t="str">
        <f t="shared" si="31"/>
        <v/>
      </c>
      <c r="J384" s="204" t="str">
        <f>IF($H384="USD",IF(OR($I384="",$I384="-"),"",VLOOKUP($G384,為替!$A:$AX,$I384,FALSE))+$J$3,IF(OR($I384="",$I384="-"),"",VLOOKUP($G384,為替!$A:$AX,$I384,FALSE)))</f>
        <v/>
      </c>
      <c r="K384" s="205" t="str">
        <f t="shared" si="32"/>
        <v/>
      </c>
      <c r="L384" s="189" t="str">
        <f t="shared" si="33"/>
        <v/>
      </c>
      <c r="M384" s="204" t="str">
        <f>IF($H384="USD",IF(OR($L384="",$L384="-"),"",VLOOKUP($G384,為替!$A:$AX,$L384,FALSE))+$K$3,IF(OR($L384="",$L384="-"),"",VLOOKUP($G384,為替!$A:$AX,$L384,FALSE)))</f>
        <v/>
      </c>
      <c r="N384" s="205" t="str">
        <f t="shared" si="34"/>
        <v/>
      </c>
      <c r="O384" s="206" t="str">
        <f t="shared" si="30"/>
        <v/>
      </c>
      <c r="P384" s="207" t="str">
        <f t="shared" si="35"/>
        <v/>
      </c>
    </row>
    <row r="385" spans="3:16">
      <c r="C385" s="200"/>
      <c r="D385" s="201"/>
      <c r="E385" s="202"/>
      <c r="F385" s="200"/>
      <c r="H385" s="203"/>
      <c r="I385" s="186" t="str">
        <f t="shared" si="31"/>
        <v/>
      </c>
      <c r="J385" s="204" t="str">
        <f>IF($H385="USD",IF(OR($I385="",$I385="-"),"",VLOOKUP($G385,為替!$A:$AX,$I385,FALSE))+$J$3,IF(OR($I385="",$I385="-"),"",VLOOKUP($G385,為替!$A:$AX,$I385,FALSE)))</f>
        <v/>
      </c>
      <c r="K385" s="205" t="str">
        <f t="shared" si="32"/>
        <v/>
      </c>
      <c r="L385" s="189" t="str">
        <f t="shared" si="33"/>
        <v/>
      </c>
      <c r="M385" s="204" t="str">
        <f>IF($H385="USD",IF(OR($L385="",$L385="-"),"",VLOOKUP($G385,為替!$A:$AX,$L385,FALSE))+$K$3,IF(OR($L385="",$L385="-"),"",VLOOKUP($G385,為替!$A:$AX,$L385,FALSE)))</f>
        <v/>
      </c>
      <c r="N385" s="205" t="str">
        <f t="shared" si="34"/>
        <v/>
      </c>
      <c r="O385" s="206" t="str">
        <f t="shared" si="30"/>
        <v/>
      </c>
      <c r="P385" s="207" t="str">
        <f t="shared" si="35"/>
        <v/>
      </c>
    </row>
    <row r="386" spans="3:16">
      <c r="C386" s="200"/>
      <c r="D386" s="201"/>
      <c r="E386" s="202"/>
      <c r="F386" s="200"/>
      <c r="H386" s="203"/>
      <c r="I386" s="186" t="str">
        <f t="shared" si="31"/>
        <v/>
      </c>
      <c r="J386" s="204" t="str">
        <f>IF($H386="USD",IF(OR($I386="",$I386="-"),"",VLOOKUP($G386,為替!$A:$AX,$I386,FALSE))+$J$3,IF(OR($I386="",$I386="-"),"",VLOOKUP($G386,為替!$A:$AX,$I386,FALSE)))</f>
        <v/>
      </c>
      <c r="K386" s="205" t="str">
        <f t="shared" si="32"/>
        <v/>
      </c>
      <c r="L386" s="189" t="str">
        <f t="shared" si="33"/>
        <v/>
      </c>
      <c r="M386" s="204" t="str">
        <f>IF($H386="USD",IF(OR($L386="",$L386="-"),"",VLOOKUP($G386,為替!$A:$AX,$L386,FALSE))+$K$3,IF(OR($L386="",$L386="-"),"",VLOOKUP($G386,為替!$A:$AX,$L386,FALSE)))</f>
        <v/>
      </c>
      <c r="N386" s="205" t="str">
        <f t="shared" si="34"/>
        <v/>
      </c>
      <c r="O386" s="206" t="str">
        <f t="shared" si="30"/>
        <v/>
      </c>
      <c r="P386" s="207" t="str">
        <f t="shared" si="35"/>
        <v/>
      </c>
    </row>
    <row r="387" spans="3:16">
      <c r="C387" s="200"/>
      <c r="D387" s="201"/>
      <c r="E387" s="202"/>
      <c r="F387" s="200"/>
      <c r="H387" s="203"/>
      <c r="I387" s="186" t="str">
        <f t="shared" si="31"/>
        <v/>
      </c>
      <c r="J387" s="204" t="str">
        <f>IF($H387="USD",IF(OR($I387="",$I387="-"),"",VLOOKUP($G387,為替!$A:$AX,$I387,FALSE))+$J$3,IF(OR($I387="",$I387="-"),"",VLOOKUP($G387,為替!$A:$AX,$I387,FALSE)))</f>
        <v/>
      </c>
      <c r="K387" s="205" t="str">
        <f t="shared" si="32"/>
        <v/>
      </c>
      <c r="L387" s="189" t="str">
        <f t="shared" si="33"/>
        <v/>
      </c>
      <c r="M387" s="204" t="str">
        <f>IF($H387="USD",IF(OR($L387="",$L387="-"),"",VLOOKUP($G387,為替!$A:$AX,$L387,FALSE))+$K$3,IF(OR($L387="",$L387="-"),"",VLOOKUP($G387,為替!$A:$AX,$L387,FALSE)))</f>
        <v/>
      </c>
      <c r="N387" s="205" t="str">
        <f t="shared" si="34"/>
        <v/>
      </c>
      <c r="O387" s="206" t="str">
        <f t="shared" si="30"/>
        <v/>
      </c>
      <c r="P387" s="207" t="str">
        <f t="shared" si="35"/>
        <v/>
      </c>
    </row>
    <row r="388" spans="3:16">
      <c r="C388" s="200"/>
      <c r="D388" s="201"/>
      <c r="E388" s="202"/>
      <c r="F388" s="200"/>
      <c r="H388" s="203"/>
      <c r="I388" s="186" t="str">
        <f t="shared" si="31"/>
        <v/>
      </c>
      <c r="J388" s="204" t="str">
        <f>IF($H388="USD",IF(OR($I388="",$I388="-"),"",VLOOKUP($G388,為替!$A:$AX,$I388,FALSE))+$J$3,IF(OR($I388="",$I388="-"),"",VLOOKUP($G388,為替!$A:$AX,$I388,FALSE)))</f>
        <v/>
      </c>
      <c r="K388" s="205" t="str">
        <f t="shared" si="32"/>
        <v/>
      </c>
      <c r="L388" s="189" t="str">
        <f t="shared" si="33"/>
        <v/>
      </c>
      <c r="M388" s="204" t="str">
        <f>IF($H388="USD",IF(OR($L388="",$L388="-"),"",VLOOKUP($G388,為替!$A:$AX,$L388,FALSE))+$K$3,IF(OR($L388="",$L388="-"),"",VLOOKUP($G388,為替!$A:$AX,$L388,FALSE)))</f>
        <v/>
      </c>
      <c r="N388" s="205" t="str">
        <f t="shared" si="34"/>
        <v/>
      </c>
      <c r="O388" s="206" t="str">
        <f t="shared" si="30"/>
        <v/>
      </c>
      <c r="P388" s="207" t="str">
        <f t="shared" si="35"/>
        <v/>
      </c>
    </row>
    <row r="389" spans="3:16">
      <c r="C389" s="200"/>
      <c r="D389" s="201"/>
      <c r="E389" s="202"/>
      <c r="F389" s="200"/>
      <c r="H389" s="203"/>
      <c r="I389" s="186" t="str">
        <f t="shared" si="31"/>
        <v/>
      </c>
      <c r="J389" s="204" t="str">
        <f>IF($H389="USD",IF(OR($I389="",$I389="-"),"",VLOOKUP($G389,為替!$A:$AX,$I389,FALSE))+$J$3,IF(OR($I389="",$I389="-"),"",VLOOKUP($G389,為替!$A:$AX,$I389,FALSE)))</f>
        <v/>
      </c>
      <c r="K389" s="205" t="str">
        <f t="shared" si="32"/>
        <v/>
      </c>
      <c r="L389" s="189" t="str">
        <f t="shared" si="33"/>
        <v/>
      </c>
      <c r="M389" s="204" t="str">
        <f>IF($H389="USD",IF(OR($L389="",$L389="-"),"",VLOOKUP($G389,為替!$A:$AX,$L389,FALSE))+$K$3,IF(OR($L389="",$L389="-"),"",VLOOKUP($G389,為替!$A:$AX,$L389,FALSE)))</f>
        <v/>
      </c>
      <c r="N389" s="205" t="str">
        <f t="shared" si="34"/>
        <v/>
      </c>
      <c r="O389" s="206" t="str">
        <f t="shared" si="30"/>
        <v/>
      </c>
      <c r="P389" s="207" t="str">
        <f t="shared" si="35"/>
        <v/>
      </c>
    </row>
    <row r="390" spans="3:16">
      <c r="C390" s="200"/>
      <c r="D390" s="201"/>
      <c r="E390" s="202"/>
      <c r="F390" s="200"/>
      <c r="H390" s="203"/>
      <c r="I390" s="186" t="str">
        <f t="shared" si="31"/>
        <v/>
      </c>
      <c r="J390" s="204" t="str">
        <f>IF($H390="USD",IF(OR($I390="",$I390="-"),"",VLOOKUP($G390,為替!$A:$AX,$I390,FALSE))+$J$3,IF(OR($I390="",$I390="-"),"",VLOOKUP($G390,為替!$A:$AX,$I390,FALSE)))</f>
        <v/>
      </c>
      <c r="K390" s="205" t="str">
        <f t="shared" si="32"/>
        <v/>
      </c>
      <c r="L390" s="189" t="str">
        <f t="shared" si="33"/>
        <v/>
      </c>
      <c r="M390" s="204" t="str">
        <f>IF($H390="USD",IF(OR($L390="",$L390="-"),"",VLOOKUP($G390,為替!$A:$AX,$L390,FALSE))+$K$3,IF(OR($L390="",$L390="-"),"",VLOOKUP($G390,為替!$A:$AX,$L390,FALSE)))</f>
        <v/>
      </c>
      <c r="N390" s="205" t="str">
        <f t="shared" si="34"/>
        <v/>
      </c>
      <c r="O390" s="206" t="str">
        <f t="shared" ref="O390:O400" si="36">IF(OR(K390="",N390=""),"",K390-N390)</f>
        <v/>
      </c>
      <c r="P390" s="207" t="str">
        <f t="shared" si="35"/>
        <v/>
      </c>
    </row>
    <row r="391" spans="3:16">
      <c r="C391" s="200"/>
      <c r="D391" s="201"/>
      <c r="E391" s="202"/>
      <c r="F391" s="200"/>
      <c r="H391" s="203"/>
      <c r="I391" s="186" t="str">
        <f t="shared" ref="I391:I400" si="37">IF(H391="","",IF(H391="JPY","",IF($H391="USD",4, IF(H391="EUR",7,IF(H391="CNY",47,IF(H391="HKD",34))))))</f>
        <v/>
      </c>
      <c r="J391" s="204" t="str">
        <f>IF($H391="USD",IF(OR($I391="",$I391="-"),"",VLOOKUP($G391,為替!$A:$AX,$I391,FALSE))+$J$3,IF(OR($I391="",$I391="-"),"",VLOOKUP($G391,為替!$A:$AX,$I391,FALSE)))</f>
        <v/>
      </c>
      <c r="K391" s="205" t="str">
        <f t="shared" ref="K391:K400" si="38">IF($H391="JPY",$F391,IF($H391="","",$F391*$J391))</f>
        <v/>
      </c>
      <c r="L391" s="189" t="str">
        <f t="shared" ref="L391:L400" si="39">IF(H391="","",IF(H391="JPY","",IF($H391="USD",3, IF(H391="EUR",6,IF(H391="CNY",46,IF(H391="HKD",33))))))</f>
        <v/>
      </c>
      <c r="M391" s="204" t="str">
        <f>IF($H391="USD",IF(OR($L391="",$L391="-"),"",VLOOKUP($G391,為替!$A:$AX,$L391,FALSE))+$K$3,IF(OR($L391="",$L391="-"),"",VLOOKUP($G391,為替!$A:$AX,$L391,FALSE)))</f>
        <v/>
      </c>
      <c r="N391" s="205" t="str">
        <f t="shared" ref="N391:N400" si="40">IF($E391="JPY",($C391+$D391),IF($E391="","",($C391+$D391)*$M391))</f>
        <v/>
      </c>
      <c r="O391" s="206" t="str">
        <f t="shared" si="36"/>
        <v/>
      </c>
      <c r="P391" s="207" t="str">
        <f t="shared" ref="P391:P400" si="41">IF(OR(K391="",O391=""),"",O391/K391)</f>
        <v/>
      </c>
    </row>
    <row r="392" spans="3:16">
      <c r="C392" s="200"/>
      <c r="D392" s="201"/>
      <c r="E392" s="202"/>
      <c r="F392" s="200"/>
      <c r="H392" s="203"/>
      <c r="I392" s="186" t="str">
        <f t="shared" si="37"/>
        <v/>
      </c>
      <c r="J392" s="204" t="str">
        <f>IF($H392="USD",IF(OR($I392="",$I392="-"),"",VLOOKUP($G392,為替!$A:$AX,$I392,FALSE))+$J$3,IF(OR($I392="",$I392="-"),"",VLOOKUP($G392,為替!$A:$AX,$I392,FALSE)))</f>
        <v/>
      </c>
      <c r="K392" s="205" t="str">
        <f t="shared" si="38"/>
        <v/>
      </c>
      <c r="L392" s="189" t="str">
        <f t="shared" si="39"/>
        <v/>
      </c>
      <c r="M392" s="204" t="str">
        <f>IF($H392="USD",IF(OR($L392="",$L392="-"),"",VLOOKUP($G392,為替!$A:$AX,$L392,FALSE))+$K$3,IF(OR($L392="",$L392="-"),"",VLOOKUP($G392,為替!$A:$AX,$L392,FALSE)))</f>
        <v/>
      </c>
      <c r="N392" s="205" t="str">
        <f t="shared" si="40"/>
        <v/>
      </c>
      <c r="O392" s="206" t="str">
        <f t="shared" si="36"/>
        <v/>
      </c>
      <c r="P392" s="207" t="str">
        <f t="shared" si="41"/>
        <v/>
      </c>
    </row>
    <row r="393" spans="3:16">
      <c r="C393" s="200"/>
      <c r="D393" s="201"/>
      <c r="E393" s="202"/>
      <c r="F393" s="200"/>
      <c r="H393" s="203"/>
      <c r="I393" s="186" t="str">
        <f t="shared" si="37"/>
        <v/>
      </c>
      <c r="J393" s="204" t="str">
        <f>IF($H393="USD",IF(OR($I393="",$I393="-"),"",VLOOKUP($G393,為替!$A:$AX,$I393,FALSE))+$J$3,IF(OR($I393="",$I393="-"),"",VLOOKUP($G393,為替!$A:$AX,$I393,FALSE)))</f>
        <v/>
      </c>
      <c r="K393" s="205" t="str">
        <f t="shared" si="38"/>
        <v/>
      </c>
      <c r="L393" s="189" t="str">
        <f t="shared" si="39"/>
        <v/>
      </c>
      <c r="M393" s="204" t="str">
        <f>IF($H393="USD",IF(OR($L393="",$L393="-"),"",VLOOKUP($G393,為替!$A:$AX,$L393,FALSE))+$K$3,IF(OR($L393="",$L393="-"),"",VLOOKUP($G393,為替!$A:$AX,$L393,FALSE)))</f>
        <v/>
      </c>
      <c r="N393" s="205" t="str">
        <f t="shared" si="40"/>
        <v/>
      </c>
      <c r="O393" s="206" t="str">
        <f t="shared" si="36"/>
        <v/>
      </c>
      <c r="P393" s="207" t="str">
        <f t="shared" si="41"/>
        <v/>
      </c>
    </row>
    <row r="394" spans="3:16">
      <c r="C394" s="200"/>
      <c r="D394" s="201"/>
      <c r="E394" s="202"/>
      <c r="F394" s="200"/>
      <c r="H394" s="203"/>
      <c r="I394" s="186" t="str">
        <f t="shared" si="37"/>
        <v/>
      </c>
      <c r="J394" s="204" t="str">
        <f>IF($H394="USD",IF(OR($I394="",$I394="-"),"",VLOOKUP($G394,為替!$A:$AX,$I394,FALSE))+$J$3,IF(OR($I394="",$I394="-"),"",VLOOKUP($G394,為替!$A:$AX,$I394,FALSE)))</f>
        <v/>
      </c>
      <c r="K394" s="205" t="str">
        <f t="shared" si="38"/>
        <v/>
      </c>
      <c r="L394" s="189" t="str">
        <f t="shared" si="39"/>
        <v/>
      </c>
      <c r="M394" s="204" t="str">
        <f>IF($H394="USD",IF(OR($L394="",$L394="-"),"",VLOOKUP($G394,為替!$A:$AX,$L394,FALSE))+$K$3,IF(OR($L394="",$L394="-"),"",VLOOKUP($G394,為替!$A:$AX,$L394,FALSE)))</f>
        <v/>
      </c>
      <c r="N394" s="205" t="str">
        <f t="shared" si="40"/>
        <v/>
      </c>
      <c r="O394" s="206" t="str">
        <f t="shared" si="36"/>
        <v/>
      </c>
      <c r="P394" s="207" t="str">
        <f t="shared" si="41"/>
        <v/>
      </c>
    </row>
    <row r="395" spans="3:16">
      <c r="C395" s="200"/>
      <c r="D395" s="201"/>
      <c r="E395" s="202"/>
      <c r="F395" s="200"/>
      <c r="H395" s="203"/>
      <c r="I395" s="186" t="str">
        <f t="shared" si="37"/>
        <v/>
      </c>
      <c r="J395" s="204" t="str">
        <f>IF($H395="USD",IF(OR($I395="",$I395="-"),"",VLOOKUP($G395,為替!$A:$AX,$I395,FALSE))+$J$3,IF(OR($I395="",$I395="-"),"",VLOOKUP($G395,為替!$A:$AX,$I395,FALSE)))</f>
        <v/>
      </c>
      <c r="K395" s="205" t="str">
        <f t="shared" si="38"/>
        <v/>
      </c>
      <c r="L395" s="189" t="str">
        <f t="shared" si="39"/>
        <v/>
      </c>
      <c r="M395" s="204" t="str">
        <f>IF($H395="USD",IF(OR($L395="",$L395="-"),"",VLOOKUP($G395,為替!$A:$AX,$L395,FALSE))+$K$3,IF(OR($L395="",$L395="-"),"",VLOOKUP($G395,為替!$A:$AX,$L395,FALSE)))</f>
        <v/>
      </c>
      <c r="N395" s="205" t="str">
        <f t="shared" si="40"/>
        <v/>
      </c>
      <c r="O395" s="206" t="str">
        <f t="shared" si="36"/>
        <v/>
      </c>
      <c r="P395" s="207" t="str">
        <f t="shared" si="41"/>
        <v/>
      </c>
    </row>
    <row r="396" spans="3:16">
      <c r="C396" s="200"/>
      <c r="D396" s="201"/>
      <c r="E396" s="202"/>
      <c r="F396" s="200"/>
      <c r="H396" s="203"/>
      <c r="I396" s="186" t="str">
        <f t="shared" si="37"/>
        <v/>
      </c>
      <c r="J396" s="204" t="str">
        <f>IF($H396="USD",IF(OR($I396="",$I396="-"),"",VLOOKUP($G396,為替!$A:$AX,$I396,FALSE))+$J$3,IF(OR($I396="",$I396="-"),"",VLOOKUP($G396,為替!$A:$AX,$I396,FALSE)))</f>
        <v/>
      </c>
      <c r="K396" s="205" t="str">
        <f t="shared" si="38"/>
        <v/>
      </c>
      <c r="L396" s="189" t="str">
        <f t="shared" si="39"/>
        <v/>
      </c>
      <c r="M396" s="204" t="str">
        <f>IF($H396="USD",IF(OR($L396="",$L396="-"),"",VLOOKUP($G396,為替!$A:$AX,$L396,FALSE))+$K$3,IF(OR($L396="",$L396="-"),"",VLOOKUP($G396,為替!$A:$AX,$L396,FALSE)))</f>
        <v/>
      </c>
      <c r="N396" s="205" t="str">
        <f t="shared" si="40"/>
        <v/>
      </c>
      <c r="O396" s="206" t="str">
        <f t="shared" si="36"/>
        <v/>
      </c>
      <c r="P396" s="207" t="str">
        <f t="shared" si="41"/>
        <v/>
      </c>
    </row>
    <row r="397" spans="3:16">
      <c r="C397" s="200"/>
      <c r="D397" s="201"/>
      <c r="E397" s="202"/>
      <c r="F397" s="200"/>
      <c r="H397" s="203"/>
      <c r="I397" s="186" t="str">
        <f t="shared" si="37"/>
        <v/>
      </c>
      <c r="J397" s="204" t="str">
        <f>IF($H397="USD",IF(OR($I397="",$I397="-"),"",VLOOKUP($G397,為替!$A:$AX,$I397,FALSE))+$J$3,IF(OR($I397="",$I397="-"),"",VLOOKUP($G397,為替!$A:$AX,$I397,FALSE)))</f>
        <v/>
      </c>
      <c r="K397" s="205" t="str">
        <f t="shared" si="38"/>
        <v/>
      </c>
      <c r="L397" s="189" t="str">
        <f t="shared" si="39"/>
        <v/>
      </c>
      <c r="M397" s="204" t="str">
        <f>IF($H397="USD",IF(OR($L397="",$L397="-"),"",VLOOKUP($G397,為替!$A:$AX,$L397,FALSE))+$K$3,IF(OR($L397="",$L397="-"),"",VLOOKUP($G397,為替!$A:$AX,$L397,FALSE)))</f>
        <v/>
      </c>
      <c r="N397" s="205" t="str">
        <f t="shared" si="40"/>
        <v/>
      </c>
      <c r="O397" s="206" t="str">
        <f t="shared" si="36"/>
        <v/>
      </c>
      <c r="P397" s="207" t="str">
        <f t="shared" si="41"/>
        <v/>
      </c>
    </row>
    <row r="398" spans="3:16">
      <c r="C398" s="200"/>
      <c r="D398" s="201"/>
      <c r="E398" s="202"/>
      <c r="F398" s="200"/>
      <c r="H398" s="203"/>
      <c r="I398" s="186" t="str">
        <f t="shared" si="37"/>
        <v/>
      </c>
      <c r="J398" s="204" t="str">
        <f>IF($H398="USD",IF(OR($I398="",$I398="-"),"",VLOOKUP($G398,為替!$A:$AX,$I398,FALSE))+$J$3,IF(OR($I398="",$I398="-"),"",VLOOKUP($G398,為替!$A:$AX,$I398,FALSE)))</f>
        <v/>
      </c>
      <c r="K398" s="205" t="str">
        <f t="shared" si="38"/>
        <v/>
      </c>
      <c r="L398" s="189" t="str">
        <f t="shared" si="39"/>
        <v/>
      </c>
      <c r="M398" s="204" t="str">
        <f>IF($H398="USD",IF(OR($L398="",$L398="-"),"",VLOOKUP($G398,為替!$A:$AX,$L398,FALSE))+$K$3,IF(OR($L398="",$L398="-"),"",VLOOKUP($G398,為替!$A:$AX,$L398,FALSE)))</f>
        <v/>
      </c>
      <c r="N398" s="205" t="str">
        <f t="shared" si="40"/>
        <v/>
      </c>
      <c r="O398" s="206" t="str">
        <f t="shared" si="36"/>
        <v/>
      </c>
      <c r="P398" s="207" t="str">
        <f t="shared" si="41"/>
        <v/>
      </c>
    </row>
    <row r="399" spans="3:16">
      <c r="C399" s="200"/>
      <c r="D399" s="201"/>
      <c r="E399" s="202"/>
      <c r="F399" s="200"/>
      <c r="H399" s="203"/>
      <c r="I399" s="186" t="str">
        <f t="shared" si="37"/>
        <v/>
      </c>
      <c r="J399" s="204" t="str">
        <f>IF($H399="USD",IF(OR($I399="",$I399="-"),"",VLOOKUP($G399,為替!$A:$AX,$I399,FALSE))+$J$3,IF(OR($I399="",$I399="-"),"",VLOOKUP($G399,為替!$A:$AX,$I399,FALSE)))</f>
        <v/>
      </c>
      <c r="K399" s="205" t="str">
        <f t="shared" si="38"/>
        <v/>
      </c>
      <c r="L399" s="189" t="str">
        <f t="shared" si="39"/>
        <v/>
      </c>
      <c r="M399" s="204" t="str">
        <f>IF($H399="USD",IF(OR($L399="",$L399="-"),"",VLOOKUP($G399,為替!$A:$AX,$L399,FALSE))+$K$3,IF(OR($L399="",$L399="-"),"",VLOOKUP($G399,為替!$A:$AX,$L399,FALSE)))</f>
        <v/>
      </c>
      <c r="N399" s="205" t="str">
        <f t="shared" si="40"/>
        <v/>
      </c>
      <c r="O399" s="206" t="str">
        <f t="shared" si="36"/>
        <v/>
      </c>
      <c r="P399" s="207" t="str">
        <f t="shared" si="41"/>
        <v/>
      </c>
    </row>
    <row r="400" spans="3:16">
      <c r="C400" s="200"/>
      <c r="D400" s="201"/>
      <c r="E400" s="202"/>
      <c r="F400" s="200"/>
      <c r="H400" s="203"/>
      <c r="I400" s="186" t="str">
        <f t="shared" si="37"/>
        <v/>
      </c>
      <c r="J400" s="204" t="str">
        <f>IF($H400="USD",IF(OR($I400="",$I400="-"),"",VLOOKUP($G400,為替!$A:$AX,$I400,FALSE))+$J$3,IF(OR($I400="",$I400="-"),"",VLOOKUP($G400,為替!$A:$AX,$I400,FALSE)))</f>
        <v/>
      </c>
      <c r="K400" s="205" t="str">
        <f t="shared" si="38"/>
        <v/>
      </c>
      <c r="L400" s="189" t="str">
        <f t="shared" si="39"/>
        <v/>
      </c>
      <c r="M400" s="204" t="str">
        <f>IF($H400="USD",IF(OR($L400="",$L400="-"),"",VLOOKUP($G400,為替!$A:$AX,$L400,FALSE))+$K$3,IF(OR($L400="",$L400="-"),"",VLOOKUP($G400,為替!$A:$AX,$L400,FALSE)))</f>
        <v/>
      </c>
      <c r="N400" s="205" t="str">
        <f t="shared" si="40"/>
        <v/>
      </c>
      <c r="O400" s="206" t="str">
        <f t="shared" si="36"/>
        <v/>
      </c>
      <c r="P400" s="207" t="str">
        <f t="shared" si="41"/>
        <v/>
      </c>
    </row>
  </sheetData>
  <mergeCells count="1">
    <mergeCell ref="A1:E2"/>
  </mergeCells>
  <phoneticPr fontId="2"/>
  <conditionalFormatting sqref="P6:P400">
    <cfRule type="cellIs" dxfId="0" priority="1" operator="greaterThan">
      <formula>$P$3</formula>
    </cfRule>
  </conditionalFormatting>
  <dataValidations count="2">
    <dataValidation type="list" allowBlank="1" showInputMessage="1" showErrorMessage="1" sqref="E6:E400 H6:H400" xr:uid="{0E60D7E1-0269-4798-A9F2-34885F209771}">
      <formula1>"JPY,USD,EUR,CNY,HKD"</formula1>
    </dataValidation>
    <dataValidation type="list" allowBlank="1" showInputMessage="1" showErrorMessage="1" sqref="A6:A400" xr:uid="{E178F7BB-15AA-4D37-9ACE-5F8A42B1BCB9}">
      <formula1>$M$3:$O$3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3A862-EF7B-441E-B385-FF16AEEAB8D0}">
  <sheetPr codeName="Sheet19"/>
  <dimension ref="A1:CS834"/>
  <sheetViews>
    <sheetView topLeftCell="A797" workbookViewId="0">
      <selection activeCell="J804" sqref="J804"/>
    </sheetView>
  </sheetViews>
  <sheetFormatPr defaultRowHeight="18.75"/>
  <cols>
    <col min="1" max="1" width="11.375" style="424" bestFit="1" customWidth="1"/>
  </cols>
  <sheetData>
    <row r="1" spans="1:97">
      <c r="C1" s="210"/>
      <c r="D1" s="211"/>
      <c r="E1" s="212"/>
      <c r="H1" s="212"/>
      <c r="K1" s="212"/>
      <c r="N1" s="212"/>
      <c r="Q1" s="212"/>
      <c r="T1" s="212"/>
      <c r="W1" s="212"/>
      <c r="Z1" s="212"/>
      <c r="AC1" s="212"/>
      <c r="AF1" s="212"/>
      <c r="AI1" s="212"/>
      <c r="AL1" s="212"/>
      <c r="AO1" s="212"/>
      <c r="AR1" s="212"/>
      <c r="AU1" s="212"/>
      <c r="AX1" s="212"/>
      <c r="BA1" s="212"/>
      <c r="BD1" s="212"/>
      <c r="BG1" s="212"/>
      <c r="BJ1" s="212"/>
      <c r="BM1" s="212"/>
      <c r="BP1" s="212"/>
      <c r="BS1" s="212"/>
      <c r="BV1" s="212"/>
      <c r="BY1" s="212"/>
      <c r="CB1" s="212"/>
      <c r="CE1" s="212"/>
      <c r="CH1" s="212"/>
      <c r="CK1" s="212"/>
      <c r="CN1" s="212"/>
    </row>
    <row r="2" spans="1:97">
      <c r="C2" s="210"/>
      <c r="D2" s="211"/>
      <c r="AX2" s="212"/>
      <c r="BD2" s="212"/>
      <c r="BG2" s="212"/>
      <c r="BP2" s="212"/>
      <c r="BV2" s="212"/>
      <c r="BY2" s="212"/>
    </row>
    <row r="3" spans="1:97">
      <c r="A3" s="424" t="s">
        <v>205</v>
      </c>
      <c r="B3" s="211"/>
      <c r="C3" s="212" t="s">
        <v>206</v>
      </c>
      <c r="F3" s="212" t="s">
        <v>207</v>
      </c>
      <c r="I3" s="212" t="s">
        <v>208</v>
      </c>
      <c r="L3" s="212" t="s">
        <v>209</v>
      </c>
      <c r="O3" s="212" t="s">
        <v>210</v>
      </c>
      <c r="R3" s="212" t="s">
        <v>211</v>
      </c>
      <c r="U3" s="212" t="s">
        <v>212</v>
      </c>
      <c r="X3" s="212" t="s">
        <v>213</v>
      </c>
      <c r="AA3" s="212" t="s">
        <v>214</v>
      </c>
      <c r="AD3" s="212" t="s">
        <v>215</v>
      </c>
      <c r="AG3" s="212" t="s">
        <v>216</v>
      </c>
      <c r="AJ3" s="212" t="s">
        <v>217</v>
      </c>
      <c r="AM3" s="212" t="s">
        <v>218</v>
      </c>
      <c r="AP3" s="212" t="s">
        <v>219</v>
      </c>
      <c r="AS3" s="212" t="s">
        <v>220</v>
      </c>
      <c r="AV3" s="212" t="s">
        <v>221</v>
      </c>
      <c r="AY3" s="212" t="s">
        <v>222</v>
      </c>
      <c r="BB3" s="212" t="s">
        <v>223</v>
      </c>
      <c r="BE3" s="212" t="s">
        <v>224</v>
      </c>
      <c r="BH3" s="212" t="s">
        <v>225</v>
      </c>
      <c r="BK3" s="212" t="s">
        <v>226</v>
      </c>
      <c r="BN3" s="212" t="s">
        <v>227</v>
      </c>
      <c r="BQ3" s="212" t="s">
        <v>228</v>
      </c>
      <c r="BT3" s="212" t="s">
        <v>229</v>
      </c>
      <c r="BW3" s="212" t="s">
        <v>230</v>
      </c>
      <c r="BZ3" s="212" t="s">
        <v>231</v>
      </c>
      <c r="CC3" s="212" t="s">
        <v>232</v>
      </c>
      <c r="CF3" s="212" t="s">
        <v>233</v>
      </c>
      <c r="CI3" s="212" t="s">
        <v>234</v>
      </c>
      <c r="CL3" s="212" t="s">
        <v>235</v>
      </c>
      <c r="CO3" t="s">
        <v>236</v>
      </c>
      <c r="CR3" s="212"/>
      <c r="CS3" s="212"/>
    </row>
    <row r="4" spans="1:97">
      <c r="B4" s="211"/>
      <c r="AV4" s="212" t="s">
        <v>237</v>
      </c>
      <c r="BB4" s="212" t="s">
        <v>238</v>
      </c>
      <c r="BE4" s="212" t="s">
        <v>238</v>
      </c>
      <c r="BN4" s="212" t="s">
        <v>239</v>
      </c>
      <c r="BT4" s="212" t="s">
        <v>240</v>
      </c>
      <c r="BW4" s="212" t="s">
        <v>238</v>
      </c>
      <c r="CC4" t="s">
        <v>241</v>
      </c>
      <c r="CF4" t="s">
        <v>241</v>
      </c>
      <c r="CI4" t="s">
        <v>241</v>
      </c>
      <c r="CL4" t="s">
        <v>241</v>
      </c>
      <c r="CR4" s="213"/>
      <c r="CS4" s="213"/>
    </row>
    <row r="5" spans="1:97">
      <c r="A5" s="424" t="s">
        <v>242</v>
      </c>
      <c r="B5" s="211" t="s">
        <v>243</v>
      </c>
      <c r="C5" s="212" t="s">
        <v>244</v>
      </c>
      <c r="D5" s="212" t="s">
        <v>245</v>
      </c>
      <c r="E5" s="212" t="s">
        <v>246</v>
      </c>
      <c r="F5" s="212" t="s">
        <v>244</v>
      </c>
      <c r="G5" s="212" t="s">
        <v>245</v>
      </c>
      <c r="H5" s="212" t="s">
        <v>246</v>
      </c>
      <c r="I5" s="212" t="s">
        <v>244</v>
      </c>
      <c r="J5" s="212" t="s">
        <v>245</v>
      </c>
      <c r="K5" s="212" t="s">
        <v>246</v>
      </c>
      <c r="L5" s="212" t="s">
        <v>244</v>
      </c>
      <c r="M5" s="212" t="s">
        <v>245</v>
      </c>
      <c r="N5" s="212" t="s">
        <v>246</v>
      </c>
      <c r="O5" s="212" t="s">
        <v>244</v>
      </c>
      <c r="P5" s="212" t="s">
        <v>245</v>
      </c>
      <c r="Q5" s="212" t="s">
        <v>246</v>
      </c>
      <c r="R5" s="212" t="s">
        <v>244</v>
      </c>
      <c r="S5" s="212" t="s">
        <v>245</v>
      </c>
      <c r="T5" s="212" t="s">
        <v>246</v>
      </c>
      <c r="U5" s="212" t="s">
        <v>244</v>
      </c>
      <c r="V5" s="212" t="s">
        <v>245</v>
      </c>
      <c r="W5" s="212" t="s">
        <v>246</v>
      </c>
      <c r="X5" s="212" t="s">
        <v>244</v>
      </c>
      <c r="Y5" s="212" t="s">
        <v>245</v>
      </c>
      <c r="Z5" s="212" t="s">
        <v>246</v>
      </c>
      <c r="AA5" s="212" t="s">
        <v>244</v>
      </c>
      <c r="AB5" s="212" t="s">
        <v>245</v>
      </c>
      <c r="AC5" s="212" t="s">
        <v>246</v>
      </c>
      <c r="AD5" s="212" t="s">
        <v>244</v>
      </c>
      <c r="AE5" s="212" t="s">
        <v>245</v>
      </c>
      <c r="AF5" s="212" t="s">
        <v>246</v>
      </c>
      <c r="AG5" s="212" t="s">
        <v>244</v>
      </c>
      <c r="AH5" s="212" t="s">
        <v>245</v>
      </c>
      <c r="AI5" s="212" t="s">
        <v>246</v>
      </c>
      <c r="AJ5" s="212" t="s">
        <v>244</v>
      </c>
      <c r="AK5" s="212" t="s">
        <v>245</v>
      </c>
      <c r="AL5" s="212" t="s">
        <v>246</v>
      </c>
      <c r="AM5" s="212" t="s">
        <v>244</v>
      </c>
      <c r="AN5" s="212" t="s">
        <v>245</v>
      </c>
      <c r="AO5" s="212" t="s">
        <v>246</v>
      </c>
      <c r="AP5" s="212" t="s">
        <v>244</v>
      </c>
      <c r="AQ5" s="212" t="s">
        <v>245</v>
      </c>
      <c r="AR5" s="212" t="s">
        <v>246</v>
      </c>
      <c r="AS5" s="212" t="s">
        <v>244</v>
      </c>
      <c r="AT5" s="212" t="s">
        <v>245</v>
      </c>
      <c r="AU5" s="212" t="s">
        <v>246</v>
      </c>
      <c r="AV5" s="212" t="s">
        <v>244</v>
      </c>
      <c r="AW5" s="212" t="s">
        <v>245</v>
      </c>
      <c r="AX5" s="212" t="s">
        <v>246</v>
      </c>
      <c r="AY5" s="212" t="s">
        <v>244</v>
      </c>
      <c r="AZ5" s="212" t="s">
        <v>245</v>
      </c>
      <c r="BA5" s="212" t="s">
        <v>246</v>
      </c>
      <c r="BB5" s="212" t="s">
        <v>244</v>
      </c>
      <c r="BC5" s="212" t="s">
        <v>245</v>
      </c>
      <c r="BD5" s="212" t="s">
        <v>246</v>
      </c>
      <c r="BE5" s="212" t="s">
        <v>244</v>
      </c>
      <c r="BF5" s="212" t="s">
        <v>245</v>
      </c>
      <c r="BG5" s="212" t="s">
        <v>246</v>
      </c>
      <c r="BH5" s="212" t="s">
        <v>244</v>
      </c>
      <c r="BI5" s="212" t="s">
        <v>245</v>
      </c>
      <c r="BJ5" s="212" t="s">
        <v>246</v>
      </c>
      <c r="BK5" s="212" t="s">
        <v>244</v>
      </c>
      <c r="BL5" s="212" t="s">
        <v>245</v>
      </c>
      <c r="BM5" s="212" t="s">
        <v>246</v>
      </c>
      <c r="BN5" s="212" t="s">
        <v>244</v>
      </c>
      <c r="BO5" s="212" t="s">
        <v>245</v>
      </c>
      <c r="BP5" s="212" t="s">
        <v>246</v>
      </c>
      <c r="BQ5" s="212" t="s">
        <v>244</v>
      </c>
      <c r="BR5" s="212" t="s">
        <v>245</v>
      </c>
      <c r="BS5" s="212" t="s">
        <v>246</v>
      </c>
      <c r="BT5" s="212" t="s">
        <v>244</v>
      </c>
      <c r="BU5" s="212" t="s">
        <v>245</v>
      </c>
      <c r="BV5" s="212" t="s">
        <v>246</v>
      </c>
      <c r="BW5" s="212" t="s">
        <v>244</v>
      </c>
      <c r="BX5" s="212" t="s">
        <v>245</v>
      </c>
      <c r="BY5" s="212" t="s">
        <v>246</v>
      </c>
      <c r="BZ5" s="212" t="s">
        <v>244</v>
      </c>
      <c r="CA5" s="212" t="s">
        <v>245</v>
      </c>
      <c r="CB5" s="212" t="s">
        <v>246</v>
      </c>
      <c r="CC5" s="212" t="s">
        <v>244</v>
      </c>
      <c r="CD5" s="212" t="s">
        <v>245</v>
      </c>
      <c r="CE5" s="212" t="s">
        <v>246</v>
      </c>
      <c r="CF5" s="212" t="s">
        <v>244</v>
      </c>
      <c r="CG5" s="212" t="s">
        <v>245</v>
      </c>
      <c r="CH5" s="212" t="s">
        <v>246</v>
      </c>
      <c r="CI5" s="212" t="s">
        <v>244</v>
      </c>
      <c r="CJ5" s="212" t="s">
        <v>245</v>
      </c>
      <c r="CK5" s="212" t="s">
        <v>246</v>
      </c>
      <c r="CL5" s="212" t="s">
        <v>244</v>
      </c>
      <c r="CM5" s="212" t="s">
        <v>245</v>
      </c>
      <c r="CN5" s="212" t="s">
        <v>246</v>
      </c>
      <c r="CO5" s="212" t="s">
        <v>244</v>
      </c>
      <c r="CP5" s="212" t="s">
        <v>245</v>
      </c>
      <c r="CQ5" s="212" t="s">
        <v>246</v>
      </c>
      <c r="CR5" s="213"/>
      <c r="CS5" s="213"/>
    </row>
    <row r="6" spans="1:97">
      <c r="A6" s="424">
        <v>45292</v>
      </c>
      <c r="B6" s="211" t="s">
        <v>247</v>
      </c>
      <c r="C6" s="213"/>
      <c r="D6" s="213"/>
      <c r="E6" s="213"/>
      <c r="F6" s="213"/>
      <c r="G6" s="213"/>
      <c r="H6" s="213"/>
      <c r="I6" s="213"/>
      <c r="J6" s="213"/>
      <c r="K6" s="213"/>
      <c r="L6" s="213"/>
      <c r="M6" s="213"/>
      <c r="N6" s="213"/>
      <c r="O6" s="213"/>
      <c r="P6" s="213"/>
      <c r="Q6" s="213"/>
      <c r="R6" s="213"/>
      <c r="S6" s="213"/>
      <c r="T6" s="213"/>
      <c r="U6" s="213"/>
      <c r="V6" s="213"/>
      <c r="W6" s="213"/>
      <c r="X6" s="213"/>
      <c r="Y6" s="213"/>
      <c r="Z6" s="213"/>
      <c r="AA6" s="213"/>
      <c r="AB6" s="213"/>
      <c r="AC6" s="213"/>
      <c r="AD6" s="213"/>
      <c r="AE6" s="213"/>
      <c r="AF6" s="213"/>
      <c r="AG6" s="213"/>
      <c r="AH6" s="213"/>
      <c r="AI6" s="213"/>
      <c r="AJ6" s="213"/>
      <c r="AK6" s="213"/>
      <c r="AL6" s="213"/>
      <c r="AM6" s="213"/>
      <c r="AN6" s="213"/>
      <c r="AO6" s="213"/>
      <c r="AP6" s="213"/>
      <c r="AQ6" s="213"/>
      <c r="AR6" s="213"/>
      <c r="AS6" s="213"/>
      <c r="AT6" s="213"/>
      <c r="AU6" s="213"/>
      <c r="AV6" s="213"/>
      <c r="AW6" s="213"/>
      <c r="AX6" s="213"/>
      <c r="AY6" s="213"/>
      <c r="AZ6" s="213"/>
      <c r="BA6" s="213"/>
      <c r="BB6" s="213"/>
      <c r="BC6" s="213"/>
      <c r="BD6" s="213"/>
      <c r="BE6" s="213"/>
      <c r="BF6" s="213"/>
      <c r="BG6" s="213"/>
      <c r="BH6" s="213"/>
      <c r="BI6" s="213"/>
      <c r="BJ6" s="213"/>
      <c r="BK6" s="213"/>
      <c r="BL6" s="213"/>
      <c r="BM6" s="213"/>
      <c r="BN6" s="213"/>
      <c r="BO6" s="213"/>
      <c r="BP6" s="213"/>
      <c r="BQ6" s="213"/>
      <c r="BR6" s="213"/>
      <c r="BS6" s="213"/>
      <c r="BT6" s="213"/>
      <c r="BU6" s="213"/>
      <c r="BV6" s="213"/>
      <c r="BW6" s="213"/>
      <c r="BX6" s="213"/>
      <c r="BY6" s="213"/>
      <c r="BZ6" s="213"/>
      <c r="CA6" s="213"/>
      <c r="CB6" s="213"/>
      <c r="CC6" s="213"/>
      <c r="CD6" s="213"/>
      <c r="CE6" s="213"/>
      <c r="CF6" s="213"/>
      <c r="CG6" s="213"/>
      <c r="CH6" s="213"/>
      <c r="CI6" s="213"/>
      <c r="CJ6" s="213"/>
      <c r="CK6" s="213"/>
      <c r="CL6" s="213"/>
      <c r="CM6" s="213"/>
      <c r="CN6" s="213"/>
      <c r="CO6" s="213"/>
      <c r="CP6" s="213"/>
      <c r="CQ6" s="213"/>
      <c r="CR6" s="213"/>
      <c r="CS6" s="213"/>
    </row>
    <row r="7" spans="1:97">
      <c r="A7" s="424">
        <v>45293</v>
      </c>
      <c r="B7" s="211" t="s">
        <v>248</v>
      </c>
      <c r="C7" s="213"/>
      <c r="D7" s="213"/>
      <c r="E7" s="213"/>
      <c r="F7" s="213"/>
      <c r="G7" s="213"/>
      <c r="H7" s="213"/>
      <c r="I7" s="213"/>
      <c r="J7" s="213"/>
      <c r="K7" s="213"/>
      <c r="L7" s="213"/>
      <c r="M7" s="213"/>
      <c r="N7" s="213"/>
      <c r="O7" s="213"/>
      <c r="P7" s="213"/>
      <c r="Q7" s="213"/>
      <c r="R7" s="213"/>
      <c r="S7" s="213"/>
      <c r="T7" s="213"/>
      <c r="U7" s="213"/>
      <c r="V7" s="213"/>
      <c r="W7" s="213"/>
      <c r="X7" s="213"/>
      <c r="Y7" s="213"/>
      <c r="Z7" s="213"/>
      <c r="AA7" s="213"/>
      <c r="AB7" s="213"/>
      <c r="AC7" s="213"/>
      <c r="AD7" s="213"/>
      <c r="AE7" s="213"/>
      <c r="AF7" s="213"/>
      <c r="AG7" s="213"/>
      <c r="AH7" s="213"/>
      <c r="AI7" s="213"/>
      <c r="AJ7" s="213"/>
      <c r="AK7" s="213"/>
      <c r="AL7" s="213"/>
      <c r="AM7" s="213"/>
      <c r="AN7" s="213"/>
      <c r="AO7" s="213"/>
      <c r="AP7" s="213"/>
      <c r="AQ7" s="213"/>
      <c r="AR7" s="213"/>
      <c r="AS7" s="213"/>
      <c r="AT7" s="213"/>
      <c r="AU7" s="213"/>
      <c r="AV7" s="213"/>
      <c r="AW7" s="213"/>
      <c r="AX7" s="213"/>
      <c r="AY7" s="213"/>
      <c r="AZ7" s="213"/>
      <c r="BA7" s="213"/>
      <c r="BB7" s="213"/>
      <c r="BC7" s="213"/>
      <c r="BD7" s="213"/>
      <c r="BE7" s="213"/>
      <c r="BF7" s="213"/>
      <c r="BG7" s="213"/>
      <c r="BH7" s="213"/>
      <c r="BI7" s="213"/>
      <c r="BJ7" s="213"/>
      <c r="BK7" s="213"/>
      <c r="BL7" s="213"/>
      <c r="BM7" s="213"/>
      <c r="BN7" s="213"/>
      <c r="BO7" s="213"/>
      <c r="BP7" s="213"/>
      <c r="BQ7" s="213"/>
      <c r="BR7" s="213"/>
      <c r="BS7" s="213"/>
      <c r="BT7" s="213"/>
      <c r="BU7" s="213"/>
      <c r="BV7" s="213"/>
      <c r="BW7" s="213"/>
      <c r="BX7" s="213"/>
      <c r="BY7" s="213"/>
      <c r="BZ7" s="213"/>
      <c r="CA7" s="213"/>
      <c r="CB7" s="213"/>
      <c r="CC7" s="213"/>
      <c r="CD7" s="213"/>
      <c r="CE7" s="213"/>
      <c r="CF7" s="213"/>
      <c r="CG7" s="213"/>
      <c r="CH7" s="213"/>
      <c r="CI7" s="213"/>
      <c r="CJ7" s="213"/>
      <c r="CK7" s="213"/>
      <c r="CL7" s="213"/>
      <c r="CM7" s="213"/>
      <c r="CN7" s="213"/>
      <c r="CO7" s="213"/>
      <c r="CP7" s="213"/>
      <c r="CQ7" s="213"/>
      <c r="CR7" s="213"/>
      <c r="CS7" s="213"/>
    </row>
    <row r="8" spans="1:97">
      <c r="A8" s="424">
        <v>45294</v>
      </c>
      <c r="B8" s="211" t="s">
        <v>249</v>
      </c>
      <c r="C8" s="213"/>
      <c r="D8" s="213"/>
      <c r="E8" s="213"/>
      <c r="F8" s="213"/>
      <c r="G8" s="213"/>
      <c r="H8" s="213"/>
      <c r="I8" s="213"/>
      <c r="J8" s="213"/>
      <c r="K8" s="213"/>
      <c r="L8" s="213"/>
      <c r="M8" s="213"/>
      <c r="N8" s="213"/>
      <c r="O8" s="213"/>
      <c r="P8" s="213"/>
      <c r="Q8" s="213"/>
      <c r="R8" s="213"/>
      <c r="S8" s="213"/>
      <c r="T8" s="213"/>
      <c r="U8" s="213"/>
      <c r="V8" s="213"/>
      <c r="W8" s="213"/>
      <c r="X8" s="213"/>
      <c r="Y8" s="213"/>
      <c r="Z8" s="213"/>
      <c r="AA8" s="213"/>
      <c r="AB8" s="213"/>
      <c r="AC8" s="213"/>
      <c r="AD8" s="213"/>
      <c r="AE8" s="213"/>
      <c r="AF8" s="213"/>
      <c r="AG8" s="213"/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213"/>
      <c r="AS8" s="213"/>
      <c r="AT8" s="213"/>
      <c r="AU8" s="213"/>
      <c r="AV8" s="213"/>
      <c r="AW8" s="213"/>
      <c r="AX8" s="213"/>
      <c r="AY8" s="213"/>
      <c r="AZ8" s="213"/>
      <c r="BA8" s="213"/>
      <c r="BB8" s="213"/>
      <c r="BC8" s="213"/>
      <c r="BD8" s="213"/>
      <c r="BE8" s="213"/>
      <c r="BF8" s="213"/>
      <c r="BG8" s="213"/>
      <c r="BH8" s="213"/>
      <c r="BI8" s="213"/>
      <c r="BJ8" s="213"/>
      <c r="BK8" s="213"/>
      <c r="BL8" s="213"/>
      <c r="BM8" s="213"/>
      <c r="BN8" s="213"/>
      <c r="BO8" s="213"/>
      <c r="BP8" s="213"/>
      <c r="BQ8" s="213"/>
      <c r="BR8" s="213"/>
      <c r="BS8" s="213"/>
      <c r="BT8" s="213"/>
      <c r="BU8" s="213"/>
      <c r="BV8" s="213"/>
      <c r="BW8" s="213"/>
      <c r="BX8" s="213"/>
      <c r="BY8" s="213"/>
      <c r="BZ8" s="213"/>
      <c r="CA8" s="213"/>
      <c r="CB8" s="213"/>
      <c r="CC8" s="213"/>
      <c r="CD8" s="213"/>
      <c r="CE8" s="213"/>
      <c r="CF8" s="213"/>
      <c r="CG8" s="213"/>
      <c r="CH8" s="213"/>
      <c r="CI8" s="213"/>
      <c r="CJ8" s="213"/>
      <c r="CK8" s="213"/>
      <c r="CL8" s="213"/>
      <c r="CM8" s="213"/>
      <c r="CN8" s="213"/>
      <c r="CO8" s="213"/>
      <c r="CP8" s="213"/>
      <c r="CQ8" s="213"/>
      <c r="CR8" s="213"/>
      <c r="CS8" s="213"/>
    </row>
    <row r="9" spans="1:97">
      <c r="A9" s="424">
        <v>45295</v>
      </c>
      <c r="B9" s="211" t="s">
        <v>250</v>
      </c>
      <c r="C9" s="213">
        <v>144.44</v>
      </c>
      <c r="D9" s="213">
        <v>142.44</v>
      </c>
      <c r="E9" s="213">
        <v>143.44</v>
      </c>
      <c r="F9" s="213">
        <v>158.09</v>
      </c>
      <c r="G9" s="213">
        <v>155.09</v>
      </c>
      <c r="H9" s="213">
        <v>156.59</v>
      </c>
      <c r="I9" s="213">
        <v>109.04</v>
      </c>
      <c r="J9" s="213">
        <v>105.84</v>
      </c>
      <c r="K9" s="213">
        <v>107.44</v>
      </c>
      <c r="L9" s="213">
        <v>185.71</v>
      </c>
      <c r="M9" s="213">
        <v>177.71</v>
      </c>
      <c r="N9" s="213">
        <v>181.71</v>
      </c>
      <c r="O9" s="213">
        <v>169.57</v>
      </c>
      <c r="P9" s="213">
        <v>167.76999999999998</v>
      </c>
      <c r="Q9" s="213">
        <v>168.67</v>
      </c>
      <c r="R9" s="213">
        <v>21.3</v>
      </c>
      <c r="S9" s="213">
        <v>20.7</v>
      </c>
      <c r="T9" s="213">
        <v>21</v>
      </c>
      <c r="U9" s="213">
        <v>14.17</v>
      </c>
      <c r="V9" s="213">
        <v>13.57</v>
      </c>
      <c r="W9" s="213">
        <v>13.870000000000001</v>
      </c>
      <c r="X9" s="213">
        <v>14.35</v>
      </c>
      <c r="Y9" s="213">
        <v>13.549999999999999</v>
      </c>
      <c r="Z9" s="213">
        <v>13.95</v>
      </c>
      <c r="AA9" s="213">
        <v>98.48</v>
      </c>
      <c r="AB9" s="213">
        <v>94.48</v>
      </c>
      <c r="AC9" s="213">
        <v>96.48</v>
      </c>
      <c r="AD9" s="213">
        <v>91.51</v>
      </c>
      <c r="AE9" s="213">
        <v>87.51</v>
      </c>
      <c r="AF9" s="213">
        <v>89.51</v>
      </c>
      <c r="AG9" s="213">
        <v>18.8</v>
      </c>
      <c r="AH9" s="213">
        <v>17.940000000000001</v>
      </c>
      <c r="AI9" s="213">
        <v>18.37</v>
      </c>
      <c r="AJ9" s="213"/>
      <c r="AK9" s="213"/>
      <c r="AL9" s="213"/>
      <c r="AM9" s="213">
        <v>108.76</v>
      </c>
      <c r="AN9" s="213">
        <v>107.10000000000001</v>
      </c>
      <c r="AO9" s="213">
        <v>107.93</v>
      </c>
      <c r="AP9" s="213">
        <v>39.11</v>
      </c>
      <c r="AQ9" s="213">
        <v>37.51</v>
      </c>
      <c r="AR9" s="213">
        <v>38.31</v>
      </c>
      <c r="AS9" s="213">
        <v>39.81</v>
      </c>
      <c r="AT9" s="213">
        <v>38.450000000000003</v>
      </c>
      <c r="AU9" s="213">
        <v>39.130000000000003</v>
      </c>
      <c r="AV9" s="213">
        <v>20.329999999999998</v>
      </c>
      <c r="AW9" s="213">
        <v>19.729999999999997</v>
      </c>
      <c r="AX9" s="213">
        <v>20.029999999999998</v>
      </c>
      <c r="AY9" s="213">
        <v>4.24</v>
      </c>
      <c r="AZ9" s="213">
        <v>4.08</v>
      </c>
      <c r="BA9" s="213">
        <v>4.16</v>
      </c>
      <c r="BB9" s="213">
        <v>1.88</v>
      </c>
      <c r="BC9" s="213">
        <v>1.5799999999999998</v>
      </c>
      <c r="BD9" s="213">
        <v>1.73</v>
      </c>
      <c r="BE9" s="213">
        <v>0.66</v>
      </c>
      <c r="BF9" s="213">
        <v>0.36000000000000004</v>
      </c>
      <c r="BG9" s="213">
        <v>0.51</v>
      </c>
      <c r="BH9" s="213">
        <v>475.23</v>
      </c>
      <c r="BI9" s="213">
        <v>459.23</v>
      </c>
      <c r="BJ9" s="213">
        <v>467.23</v>
      </c>
      <c r="BK9" s="213">
        <v>39.99</v>
      </c>
      <c r="BL9" s="213">
        <v>38.630000000000003</v>
      </c>
      <c r="BM9" s="213">
        <v>39.31</v>
      </c>
      <c r="BN9" s="213">
        <v>1.05</v>
      </c>
      <c r="BO9" s="213">
        <v>0.81</v>
      </c>
      <c r="BP9" s="213">
        <v>0.93</v>
      </c>
      <c r="BQ9" s="213">
        <v>9.43</v>
      </c>
      <c r="BR9" s="213">
        <v>7.43</v>
      </c>
      <c r="BS9" s="213">
        <v>8.43</v>
      </c>
      <c r="BT9" s="213">
        <v>11.17</v>
      </c>
      <c r="BU9" s="213">
        <v>10.77</v>
      </c>
      <c r="BV9" s="213">
        <v>10.969999999999999</v>
      </c>
      <c r="BW9" s="213">
        <v>2.74</v>
      </c>
      <c r="BX9" s="213">
        <v>2.46</v>
      </c>
      <c r="BY9" s="213">
        <v>2.6</v>
      </c>
      <c r="BZ9" s="213">
        <v>9.16</v>
      </c>
      <c r="CA9" s="213">
        <v>6.16</v>
      </c>
      <c r="CB9" s="213">
        <v>7.66</v>
      </c>
      <c r="CC9" s="213">
        <v>6.48</v>
      </c>
      <c r="CD9" s="213">
        <v>6.24</v>
      </c>
      <c r="CE9" s="213">
        <v>6.36</v>
      </c>
      <c r="CF9" s="213">
        <v>1.81</v>
      </c>
      <c r="CG9" s="213">
        <v>1.31</v>
      </c>
      <c r="CH9" s="213">
        <v>1.56</v>
      </c>
      <c r="CI9" s="213">
        <v>0.43</v>
      </c>
      <c r="CJ9" s="213">
        <v>0.39</v>
      </c>
      <c r="CK9" s="213">
        <v>0.41000000000000003</v>
      </c>
      <c r="CL9" s="213">
        <v>37.200000000000003</v>
      </c>
      <c r="CM9" s="213">
        <v>34.800000000000004</v>
      </c>
      <c r="CN9" s="213">
        <v>36</v>
      </c>
      <c r="CO9" s="213">
        <v>7.32</v>
      </c>
      <c r="CP9" s="213">
        <v>2.3200000000000003</v>
      </c>
      <c r="CQ9" s="213">
        <v>4.82</v>
      </c>
      <c r="CR9" s="213"/>
      <c r="CS9" s="213"/>
    </row>
    <row r="10" spans="1:97">
      <c r="A10" s="424">
        <v>45296</v>
      </c>
      <c r="B10" s="211" t="s">
        <v>251</v>
      </c>
      <c r="C10" s="213">
        <v>146.02000000000001</v>
      </c>
      <c r="D10" s="213">
        <v>144.02000000000001</v>
      </c>
      <c r="E10" s="213">
        <v>145.02000000000001</v>
      </c>
      <c r="F10" s="213">
        <v>160.31</v>
      </c>
      <c r="G10" s="213">
        <v>157.31</v>
      </c>
      <c r="H10" s="213">
        <v>158.81</v>
      </c>
      <c r="I10" s="213">
        <v>110.23</v>
      </c>
      <c r="J10" s="213">
        <v>107.03</v>
      </c>
      <c r="K10" s="213">
        <v>108.63</v>
      </c>
      <c r="L10" s="213">
        <v>188.06</v>
      </c>
      <c r="M10" s="213">
        <v>180.06</v>
      </c>
      <c r="N10" s="213">
        <v>184.06</v>
      </c>
      <c r="O10" s="213">
        <v>171.53</v>
      </c>
      <c r="P10" s="213">
        <v>169.73</v>
      </c>
      <c r="Q10" s="213">
        <v>170.63</v>
      </c>
      <c r="R10" s="213">
        <v>21.59</v>
      </c>
      <c r="S10" s="213">
        <v>20.99</v>
      </c>
      <c r="T10" s="213">
        <v>21.29</v>
      </c>
      <c r="U10" s="213">
        <v>14.4</v>
      </c>
      <c r="V10" s="213">
        <v>13.8</v>
      </c>
      <c r="W10" s="213">
        <v>14.100000000000001</v>
      </c>
      <c r="X10" s="213">
        <v>14.61</v>
      </c>
      <c r="Y10" s="213">
        <v>13.809999999999999</v>
      </c>
      <c r="Z10" s="213">
        <v>14.209999999999999</v>
      </c>
      <c r="AA10" s="213">
        <v>99.31</v>
      </c>
      <c r="AB10" s="213">
        <v>95.31</v>
      </c>
      <c r="AC10" s="213">
        <v>97.31</v>
      </c>
      <c r="AD10" s="213">
        <v>92.45</v>
      </c>
      <c r="AE10" s="213">
        <v>88.45</v>
      </c>
      <c r="AF10" s="213">
        <v>90.45</v>
      </c>
      <c r="AG10" s="213">
        <v>19</v>
      </c>
      <c r="AH10" s="213">
        <v>18.14</v>
      </c>
      <c r="AI10" s="213">
        <v>18.57</v>
      </c>
      <c r="AJ10" s="213"/>
      <c r="AK10" s="213"/>
      <c r="AL10" s="213"/>
      <c r="AM10" s="213">
        <v>109.95</v>
      </c>
      <c r="AN10" s="213">
        <v>108.29</v>
      </c>
      <c r="AO10" s="213">
        <v>109.12</v>
      </c>
      <c r="AP10" s="213">
        <v>39.53</v>
      </c>
      <c r="AQ10" s="213">
        <v>37.93</v>
      </c>
      <c r="AR10" s="213">
        <v>38.730000000000004</v>
      </c>
      <c r="AS10" s="213">
        <v>40.1</v>
      </c>
      <c r="AT10" s="213">
        <v>38.74</v>
      </c>
      <c r="AU10" s="213">
        <v>39.42</v>
      </c>
      <c r="AV10" s="213">
        <v>20.51</v>
      </c>
      <c r="AW10" s="213">
        <v>19.91</v>
      </c>
      <c r="AX10" s="213">
        <v>20.21</v>
      </c>
      <c r="AY10" s="213">
        <v>4.28</v>
      </c>
      <c r="AZ10" s="213">
        <v>4.12</v>
      </c>
      <c r="BA10" s="213">
        <v>4.2</v>
      </c>
      <c r="BB10" s="213">
        <v>1.9</v>
      </c>
      <c r="BC10" s="213">
        <v>1.5999999999999999</v>
      </c>
      <c r="BD10" s="213">
        <v>1.75</v>
      </c>
      <c r="BE10" s="213">
        <v>0.67</v>
      </c>
      <c r="BF10" s="213">
        <v>0.37000000000000005</v>
      </c>
      <c r="BG10" s="213">
        <v>0.52</v>
      </c>
      <c r="BH10" s="213">
        <v>480.38</v>
      </c>
      <c r="BI10" s="213">
        <v>464.38</v>
      </c>
      <c r="BJ10" s="213">
        <v>472.38</v>
      </c>
      <c r="BK10" s="213">
        <v>40.54</v>
      </c>
      <c r="BL10" s="213">
        <v>39.18</v>
      </c>
      <c r="BM10" s="213">
        <v>39.86</v>
      </c>
      <c r="BN10" s="213">
        <v>1.06</v>
      </c>
      <c r="BO10" s="213">
        <v>0.82000000000000006</v>
      </c>
      <c r="BP10" s="213">
        <v>0.94000000000000006</v>
      </c>
      <c r="BQ10" s="213">
        <v>9.5299999999999994</v>
      </c>
      <c r="BR10" s="213">
        <v>7.5299999999999994</v>
      </c>
      <c r="BS10" s="213">
        <v>8.5299999999999994</v>
      </c>
      <c r="BT10" s="213">
        <v>11.26</v>
      </c>
      <c r="BU10" s="213">
        <v>10.86</v>
      </c>
      <c r="BV10" s="213">
        <v>11.059999999999999</v>
      </c>
      <c r="BW10" s="213">
        <v>2.77</v>
      </c>
      <c r="BX10" s="213">
        <v>2.4900000000000002</v>
      </c>
      <c r="BY10" s="213">
        <v>2.63</v>
      </c>
      <c r="BZ10" s="213">
        <v>9.25</v>
      </c>
      <c r="CA10" s="213">
        <v>6.25</v>
      </c>
      <c r="CB10" s="213">
        <v>7.75</v>
      </c>
      <c r="CC10" s="213">
        <v>6.56</v>
      </c>
      <c r="CD10" s="213">
        <v>6.3199999999999994</v>
      </c>
      <c r="CE10" s="213">
        <v>6.4399999999999995</v>
      </c>
      <c r="CF10" s="213">
        <v>1.84</v>
      </c>
      <c r="CG10" s="213">
        <v>1.34</v>
      </c>
      <c r="CH10" s="213">
        <v>1.59</v>
      </c>
      <c r="CI10" s="213">
        <v>0.44</v>
      </c>
      <c r="CJ10" s="213">
        <v>0.4</v>
      </c>
      <c r="CK10" s="213">
        <v>0.42000000000000004</v>
      </c>
      <c r="CL10" s="213">
        <v>37.74</v>
      </c>
      <c r="CM10" s="213">
        <v>35.340000000000003</v>
      </c>
      <c r="CN10" s="213">
        <v>36.540000000000006</v>
      </c>
      <c r="CO10" s="213">
        <v>7.38</v>
      </c>
      <c r="CP10" s="213">
        <v>2.38</v>
      </c>
      <c r="CQ10" s="213">
        <v>4.88</v>
      </c>
      <c r="CR10" s="213"/>
      <c r="CS10" s="213"/>
    </row>
    <row r="11" spans="1:97">
      <c r="A11" s="424">
        <v>45297</v>
      </c>
      <c r="B11" s="211" t="s">
        <v>252</v>
      </c>
      <c r="C11" s="213"/>
      <c r="D11" s="213"/>
      <c r="E11" s="213"/>
      <c r="F11" s="213"/>
      <c r="G11" s="213"/>
      <c r="H11" s="213"/>
      <c r="I11" s="213"/>
      <c r="J11" s="213"/>
      <c r="K11" s="213"/>
      <c r="L11" s="213"/>
      <c r="M11" s="213"/>
      <c r="N11" s="213"/>
      <c r="O11" s="213"/>
      <c r="P11" s="213"/>
      <c r="Q11" s="213"/>
      <c r="R11" s="213"/>
      <c r="S11" s="213"/>
      <c r="T11" s="213"/>
      <c r="U11" s="213"/>
      <c r="V11" s="213"/>
      <c r="W11" s="213"/>
      <c r="X11" s="213"/>
      <c r="Y11" s="213"/>
      <c r="Z11" s="213"/>
      <c r="AA11" s="213"/>
      <c r="AB11" s="213"/>
      <c r="AC11" s="213"/>
      <c r="AD11" s="213"/>
      <c r="AE11" s="213"/>
      <c r="AF11" s="213"/>
      <c r="AG11" s="213"/>
      <c r="AH11" s="213"/>
      <c r="AI11" s="213"/>
      <c r="AJ11" s="213"/>
      <c r="AK11" s="213"/>
      <c r="AL11" s="213"/>
      <c r="AM11" s="213"/>
      <c r="AN11" s="213"/>
      <c r="AO11" s="213"/>
      <c r="AP11" s="213"/>
      <c r="AQ11" s="213"/>
      <c r="AR11" s="213"/>
      <c r="AS11" s="213"/>
      <c r="AT11" s="213"/>
      <c r="AU11" s="213"/>
      <c r="AV11" s="213"/>
      <c r="AW11" s="213"/>
      <c r="AX11" s="213"/>
      <c r="AY11" s="213"/>
      <c r="AZ11" s="213"/>
      <c r="BA11" s="213"/>
      <c r="BB11" s="213"/>
      <c r="BC11" s="213"/>
      <c r="BD11" s="213"/>
      <c r="BE11" s="213"/>
      <c r="BF11" s="213"/>
      <c r="BG11" s="213"/>
      <c r="BH11" s="213"/>
      <c r="BI11" s="213"/>
      <c r="BJ11" s="213"/>
      <c r="BK11" s="213"/>
      <c r="BL11" s="213"/>
      <c r="BM11" s="213"/>
      <c r="BN11" s="213"/>
      <c r="BO11" s="213"/>
      <c r="BP11" s="213"/>
      <c r="BQ11" s="213"/>
      <c r="BR11" s="213"/>
      <c r="BS11" s="213"/>
      <c r="BT11" s="213"/>
      <c r="BU11" s="213"/>
      <c r="BV11" s="213"/>
      <c r="BW11" s="213"/>
      <c r="BX11" s="213"/>
      <c r="BY11" s="213"/>
      <c r="BZ11" s="213"/>
      <c r="CA11" s="213"/>
      <c r="CB11" s="213"/>
      <c r="CC11" s="213"/>
      <c r="CD11" s="213"/>
      <c r="CE11" s="213"/>
      <c r="CF11" s="213"/>
      <c r="CG11" s="213"/>
      <c r="CH11" s="213"/>
      <c r="CI11" s="213"/>
      <c r="CJ11" s="213"/>
      <c r="CK11" s="213"/>
      <c r="CL11" s="213"/>
      <c r="CM11" s="213"/>
      <c r="CN11" s="213"/>
      <c r="CO11" s="213"/>
      <c r="CP11" s="213"/>
      <c r="CQ11" s="213"/>
      <c r="CR11" s="213"/>
      <c r="CS11" s="213"/>
    </row>
    <row r="12" spans="1:97">
      <c r="A12" s="424">
        <v>45298</v>
      </c>
      <c r="B12" s="211" t="s">
        <v>253</v>
      </c>
      <c r="C12" s="213"/>
      <c r="D12" s="213"/>
      <c r="E12" s="213"/>
      <c r="F12" s="213"/>
      <c r="G12" s="213"/>
      <c r="H12" s="213"/>
      <c r="I12" s="213"/>
      <c r="J12" s="213"/>
      <c r="K12" s="213"/>
      <c r="L12" s="213"/>
      <c r="M12" s="213"/>
      <c r="N12" s="213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213"/>
      <c r="AI12" s="213"/>
      <c r="AJ12" s="213"/>
      <c r="AK12" s="213"/>
      <c r="AL12" s="213"/>
      <c r="AM12" s="213"/>
      <c r="AN12" s="213"/>
      <c r="AO12" s="213"/>
      <c r="AP12" s="213"/>
      <c r="AQ12" s="213"/>
      <c r="AR12" s="213"/>
      <c r="AS12" s="213"/>
      <c r="AT12" s="213"/>
      <c r="AU12" s="213"/>
      <c r="AV12" s="213"/>
      <c r="AW12" s="213"/>
      <c r="AX12" s="213"/>
      <c r="AY12" s="213"/>
      <c r="AZ12" s="213"/>
      <c r="BA12" s="213"/>
      <c r="BB12" s="213"/>
      <c r="BC12" s="213"/>
      <c r="BD12" s="213"/>
      <c r="BE12" s="213"/>
      <c r="BF12" s="213"/>
      <c r="BG12" s="213"/>
      <c r="BH12" s="213"/>
      <c r="BI12" s="213"/>
      <c r="BJ12" s="213"/>
      <c r="BK12" s="213"/>
      <c r="BL12" s="213"/>
      <c r="BM12" s="213"/>
      <c r="BN12" s="213"/>
      <c r="BO12" s="213"/>
      <c r="BP12" s="213"/>
      <c r="BQ12" s="213"/>
      <c r="BR12" s="213"/>
      <c r="BS12" s="213"/>
      <c r="BT12" s="213"/>
      <c r="BU12" s="213"/>
      <c r="BV12" s="213"/>
      <c r="BW12" s="213"/>
      <c r="BX12" s="213"/>
      <c r="BY12" s="213"/>
      <c r="BZ12" s="213"/>
      <c r="CA12" s="213"/>
      <c r="CB12" s="213"/>
      <c r="CC12" s="213"/>
      <c r="CD12" s="213"/>
      <c r="CE12" s="213"/>
      <c r="CF12" s="213"/>
      <c r="CG12" s="213"/>
      <c r="CH12" s="213"/>
      <c r="CI12" s="213"/>
      <c r="CJ12" s="213"/>
      <c r="CK12" s="213"/>
      <c r="CL12" s="213"/>
      <c r="CM12" s="213"/>
      <c r="CN12" s="213"/>
      <c r="CO12" s="213"/>
      <c r="CP12" s="213"/>
      <c r="CQ12" s="213"/>
      <c r="CR12" s="213"/>
      <c r="CS12" s="213"/>
    </row>
    <row r="13" spans="1:97">
      <c r="A13" s="424">
        <v>45299</v>
      </c>
      <c r="B13" s="211" t="s">
        <v>247</v>
      </c>
      <c r="C13" s="213"/>
      <c r="D13" s="213"/>
      <c r="E13" s="213"/>
      <c r="F13" s="213"/>
      <c r="G13" s="213"/>
      <c r="H13" s="213"/>
      <c r="I13" s="213"/>
      <c r="J13" s="213"/>
      <c r="K13" s="213"/>
      <c r="L13" s="213"/>
      <c r="M13" s="213"/>
      <c r="N13" s="213"/>
      <c r="O13" s="213"/>
      <c r="P13" s="213"/>
      <c r="Q13" s="213"/>
      <c r="R13" s="213"/>
      <c r="S13" s="213"/>
      <c r="T13" s="213"/>
      <c r="U13" s="213"/>
      <c r="V13" s="213"/>
      <c r="W13" s="213"/>
      <c r="X13" s="213"/>
      <c r="Y13" s="213"/>
      <c r="Z13" s="213"/>
      <c r="AA13" s="213"/>
      <c r="AB13" s="213"/>
      <c r="AC13" s="213"/>
      <c r="AD13" s="213"/>
      <c r="AE13" s="213"/>
      <c r="AF13" s="213"/>
      <c r="AG13" s="213"/>
      <c r="AH13" s="213"/>
      <c r="AI13" s="213"/>
      <c r="AJ13" s="213"/>
      <c r="AK13" s="213"/>
      <c r="AL13" s="213"/>
      <c r="AM13" s="213"/>
      <c r="AN13" s="213"/>
      <c r="AO13" s="213"/>
      <c r="AP13" s="213"/>
      <c r="AQ13" s="213"/>
      <c r="AR13" s="213"/>
      <c r="AS13" s="213"/>
      <c r="AT13" s="213"/>
      <c r="AU13" s="213"/>
      <c r="AV13" s="213"/>
      <c r="AW13" s="213"/>
      <c r="AX13" s="213"/>
      <c r="AY13" s="213"/>
      <c r="AZ13" s="213"/>
      <c r="BA13" s="213"/>
      <c r="BB13" s="213"/>
      <c r="BC13" s="213"/>
      <c r="BD13" s="213"/>
      <c r="BE13" s="213"/>
      <c r="BF13" s="213"/>
      <c r="BG13" s="213"/>
      <c r="BH13" s="213"/>
      <c r="BI13" s="213"/>
      <c r="BJ13" s="213"/>
      <c r="BK13" s="213"/>
      <c r="BL13" s="213"/>
      <c r="BM13" s="213"/>
      <c r="BN13" s="213"/>
      <c r="BO13" s="213"/>
      <c r="BP13" s="213"/>
      <c r="BQ13" s="213"/>
      <c r="BR13" s="213"/>
      <c r="BS13" s="213"/>
      <c r="BT13" s="213"/>
      <c r="BU13" s="213"/>
      <c r="BV13" s="213"/>
      <c r="BW13" s="213"/>
      <c r="BX13" s="213"/>
      <c r="BY13" s="213"/>
      <c r="BZ13" s="213"/>
      <c r="CA13" s="213"/>
      <c r="CB13" s="213"/>
      <c r="CC13" s="213"/>
      <c r="CD13" s="213"/>
      <c r="CE13" s="213"/>
      <c r="CF13" s="213"/>
      <c r="CG13" s="213"/>
      <c r="CH13" s="213"/>
      <c r="CI13" s="213"/>
      <c r="CJ13" s="213"/>
      <c r="CK13" s="213"/>
      <c r="CL13" s="213"/>
      <c r="CM13" s="213"/>
      <c r="CN13" s="213"/>
      <c r="CO13" s="213"/>
      <c r="CP13" s="213"/>
      <c r="CQ13" s="213"/>
      <c r="CR13" s="213"/>
      <c r="CS13" s="213"/>
    </row>
    <row r="14" spans="1:97">
      <c r="A14" s="424">
        <v>45300</v>
      </c>
      <c r="B14" s="211" t="s">
        <v>248</v>
      </c>
      <c r="C14" s="213">
        <v>144.97999999999999</v>
      </c>
      <c r="D14" s="213">
        <v>142.97999999999999</v>
      </c>
      <c r="E14" s="213">
        <v>143.97999999999999</v>
      </c>
      <c r="F14" s="213">
        <v>159.19999999999999</v>
      </c>
      <c r="G14" s="213">
        <v>156.19999999999999</v>
      </c>
      <c r="H14" s="213">
        <v>157.69999999999999</v>
      </c>
      <c r="I14" s="213">
        <v>109.44</v>
      </c>
      <c r="J14" s="213">
        <v>106.24</v>
      </c>
      <c r="K14" s="213">
        <v>107.84</v>
      </c>
      <c r="L14" s="213">
        <v>187.68</v>
      </c>
      <c r="M14" s="213">
        <v>179.68</v>
      </c>
      <c r="N14" s="213">
        <v>183.68</v>
      </c>
      <c r="O14" s="213">
        <v>170.75</v>
      </c>
      <c r="P14" s="213">
        <v>168.95</v>
      </c>
      <c r="Q14" s="213">
        <v>169.85</v>
      </c>
      <c r="R14" s="213">
        <v>21.44</v>
      </c>
      <c r="S14" s="213">
        <v>20.84</v>
      </c>
      <c r="T14" s="213">
        <v>21.14</v>
      </c>
      <c r="U14" s="213">
        <v>14.18</v>
      </c>
      <c r="V14" s="213">
        <v>13.58</v>
      </c>
      <c r="W14" s="213">
        <v>13.879999999999999</v>
      </c>
      <c r="X14" s="213">
        <v>14.5</v>
      </c>
      <c r="Y14" s="213">
        <v>13.7</v>
      </c>
      <c r="Z14" s="213">
        <v>14.1</v>
      </c>
      <c r="AA14" s="213">
        <v>98.81</v>
      </c>
      <c r="AB14" s="213">
        <v>94.81</v>
      </c>
      <c r="AC14" s="213">
        <v>96.81</v>
      </c>
      <c r="AD14" s="213">
        <v>92.05</v>
      </c>
      <c r="AE14" s="213">
        <v>88.05</v>
      </c>
      <c r="AF14" s="213">
        <v>90.05</v>
      </c>
      <c r="AG14" s="213">
        <v>18.87</v>
      </c>
      <c r="AH14" s="213">
        <v>18.010000000000002</v>
      </c>
      <c r="AI14" s="213">
        <v>18.440000000000001</v>
      </c>
      <c r="AJ14" s="213"/>
      <c r="AK14" s="213"/>
      <c r="AL14" s="213"/>
      <c r="AM14" s="213">
        <v>109.22</v>
      </c>
      <c r="AN14" s="213">
        <v>107.56</v>
      </c>
      <c r="AO14" s="213">
        <v>108.39</v>
      </c>
      <c r="AP14" s="213">
        <v>39.26</v>
      </c>
      <c r="AQ14" s="213">
        <v>37.659999999999997</v>
      </c>
      <c r="AR14" s="213">
        <v>38.459999999999994</v>
      </c>
      <c r="AS14" s="213">
        <v>39.950000000000003</v>
      </c>
      <c r="AT14" s="213">
        <v>38.590000000000003</v>
      </c>
      <c r="AU14" s="213">
        <v>39.270000000000003</v>
      </c>
      <c r="AV14" s="213">
        <v>20.399999999999999</v>
      </c>
      <c r="AW14" s="213">
        <v>19.799999999999997</v>
      </c>
      <c r="AX14" s="213">
        <v>20.099999999999998</v>
      </c>
      <c r="AY14" s="213">
        <v>4.2</v>
      </c>
      <c r="AZ14" s="213">
        <v>4.04</v>
      </c>
      <c r="BA14" s="213">
        <v>4.12</v>
      </c>
      <c r="BB14" s="213">
        <v>1.89</v>
      </c>
      <c r="BC14" s="213">
        <v>1.5899999999999999</v>
      </c>
      <c r="BD14" s="213">
        <v>1.7399999999999998</v>
      </c>
      <c r="BE14" s="213">
        <v>0.66</v>
      </c>
      <c r="BF14" s="213">
        <v>0.36000000000000004</v>
      </c>
      <c r="BG14" s="213">
        <v>0.51</v>
      </c>
      <c r="BH14" s="213">
        <v>475.92</v>
      </c>
      <c r="BI14" s="213">
        <v>459.92</v>
      </c>
      <c r="BJ14" s="213">
        <v>467.92</v>
      </c>
      <c r="BK14" s="213">
        <v>40.26</v>
      </c>
      <c r="BL14" s="213">
        <v>38.9</v>
      </c>
      <c r="BM14" s="213">
        <v>39.58</v>
      </c>
      <c r="BN14" s="213">
        <v>1.05</v>
      </c>
      <c r="BO14" s="213">
        <v>0.81</v>
      </c>
      <c r="BP14" s="213">
        <v>0.93</v>
      </c>
      <c r="BQ14" s="213">
        <v>9.56</v>
      </c>
      <c r="BR14" s="213">
        <v>7.5600000000000005</v>
      </c>
      <c r="BS14" s="213">
        <v>8.56</v>
      </c>
      <c r="BT14" s="213">
        <v>11.19</v>
      </c>
      <c r="BU14" s="213">
        <v>10.79</v>
      </c>
      <c r="BV14" s="213">
        <v>10.989999999999998</v>
      </c>
      <c r="BW14" s="213">
        <v>2.75</v>
      </c>
      <c r="BX14" s="213">
        <v>2.4699999999999998</v>
      </c>
      <c r="BY14" s="213">
        <v>2.61</v>
      </c>
      <c r="BZ14" s="213">
        <v>9.24</v>
      </c>
      <c r="CA14" s="213">
        <v>6.24</v>
      </c>
      <c r="CB14" s="213">
        <v>7.74</v>
      </c>
      <c r="CC14" s="213">
        <v>6.54</v>
      </c>
      <c r="CD14" s="213">
        <v>6.3</v>
      </c>
      <c r="CE14" s="213">
        <v>6.42</v>
      </c>
      <c r="CF14" s="213">
        <v>1.83</v>
      </c>
      <c r="CG14" s="213">
        <v>1.33</v>
      </c>
      <c r="CH14" s="213">
        <v>1.58</v>
      </c>
      <c r="CI14" s="213">
        <v>0.44</v>
      </c>
      <c r="CJ14" s="213">
        <v>0.4</v>
      </c>
      <c r="CK14" s="213">
        <v>0.42000000000000004</v>
      </c>
      <c r="CL14" s="213">
        <v>37.590000000000003</v>
      </c>
      <c r="CM14" s="213">
        <v>35.190000000000005</v>
      </c>
      <c r="CN14" s="213">
        <v>36.39</v>
      </c>
      <c r="CO14" s="213">
        <v>7.32</v>
      </c>
      <c r="CP14" s="213">
        <v>2.3200000000000003</v>
      </c>
      <c r="CQ14" s="213">
        <v>4.82</v>
      </c>
      <c r="CR14" s="213"/>
      <c r="CS14" s="213"/>
    </row>
    <row r="15" spans="1:97">
      <c r="A15" s="424">
        <v>45301</v>
      </c>
      <c r="B15" s="211" t="s">
        <v>249</v>
      </c>
      <c r="C15" s="213">
        <v>145.69</v>
      </c>
      <c r="D15" s="213">
        <v>143.69</v>
      </c>
      <c r="E15" s="213">
        <v>144.69</v>
      </c>
      <c r="F15" s="213">
        <v>159.69999999999999</v>
      </c>
      <c r="G15" s="213">
        <v>156.69999999999999</v>
      </c>
      <c r="H15" s="213">
        <v>158.19999999999999</v>
      </c>
      <c r="I15" s="213">
        <v>109.69</v>
      </c>
      <c r="J15" s="213">
        <v>106.49</v>
      </c>
      <c r="K15" s="213">
        <v>108.09</v>
      </c>
      <c r="L15" s="213">
        <v>187.96</v>
      </c>
      <c r="M15" s="213">
        <v>179.96</v>
      </c>
      <c r="N15" s="213">
        <v>183.96</v>
      </c>
      <c r="O15" s="213">
        <v>170.66</v>
      </c>
      <c r="P15" s="213">
        <v>168.85999999999999</v>
      </c>
      <c r="Q15" s="213">
        <v>169.76</v>
      </c>
      <c r="R15" s="213">
        <v>21.51</v>
      </c>
      <c r="S15" s="213">
        <v>20.91</v>
      </c>
      <c r="T15" s="213">
        <v>21.21</v>
      </c>
      <c r="U15" s="213">
        <v>14.28</v>
      </c>
      <c r="V15" s="213">
        <v>13.68</v>
      </c>
      <c r="W15" s="213">
        <v>13.98</v>
      </c>
      <c r="X15" s="213">
        <v>14.52</v>
      </c>
      <c r="Y15" s="213">
        <v>13.719999999999999</v>
      </c>
      <c r="Z15" s="213">
        <v>14.12</v>
      </c>
      <c r="AA15" s="213">
        <v>98.8</v>
      </c>
      <c r="AB15" s="213">
        <v>94.8</v>
      </c>
      <c r="AC15" s="213">
        <v>96.8</v>
      </c>
      <c r="AD15" s="213">
        <v>92.2</v>
      </c>
      <c r="AE15" s="213">
        <v>88.2</v>
      </c>
      <c r="AF15" s="213">
        <v>90.2</v>
      </c>
      <c r="AG15" s="213">
        <v>18.940000000000001</v>
      </c>
      <c r="AH15" s="213">
        <v>18.080000000000002</v>
      </c>
      <c r="AI15" s="213">
        <v>18.510000000000002</v>
      </c>
      <c r="AJ15" s="213"/>
      <c r="AK15" s="213"/>
      <c r="AL15" s="213"/>
      <c r="AM15" s="213">
        <v>109.55</v>
      </c>
      <c r="AN15" s="213">
        <v>107.89</v>
      </c>
      <c r="AO15" s="213">
        <v>108.72</v>
      </c>
      <c r="AP15" s="213">
        <v>39.450000000000003</v>
      </c>
      <c r="AQ15" s="213">
        <v>37.85</v>
      </c>
      <c r="AR15" s="213">
        <v>38.650000000000006</v>
      </c>
      <c r="AS15" s="213">
        <v>40.14</v>
      </c>
      <c r="AT15" s="213">
        <v>38.78</v>
      </c>
      <c r="AU15" s="213">
        <v>39.46</v>
      </c>
      <c r="AV15" s="213">
        <v>20.45</v>
      </c>
      <c r="AW15" s="213">
        <v>19.849999999999998</v>
      </c>
      <c r="AX15" s="213">
        <v>20.149999999999999</v>
      </c>
      <c r="AY15" s="213">
        <v>4.22</v>
      </c>
      <c r="AZ15" s="213">
        <v>4.0599999999999996</v>
      </c>
      <c r="BA15" s="213">
        <v>4.1399999999999997</v>
      </c>
      <c r="BB15" s="213">
        <v>1.9</v>
      </c>
      <c r="BC15" s="213">
        <v>1.5999999999999999</v>
      </c>
      <c r="BD15" s="213">
        <v>1.75</v>
      </c>
      <c r="BE15" s="213">
        <v>0.67</v>
      </c>
      <c r="BF15" s="213">
        <v>0.37000000000000005</v>
      </c>
      <c r="BG15" s="213">
        <v>0.52</v>
      </c>
      <c r="BH15" s="213">
        <v>479.46</v>
      </c>
      <c r="BI15" s="213">
        <v>463.46</v>
      </c>
      <c r="BJ15" s="213">
        <v>471.46</v>
      </c>
      <c r="BK15" s="213">
        <v>40.450000000000003</v>
      </c>
      <c r="BL15" s="213">
        <v>39.090000000000003</v>
      </c>
      <c r="BM15" s="213">
        <v>39.770000000000003</v>
      </c>
      <c r="BN15" s="213">
        <v>1.05</v>
      </c>
      <c r="BO15" s="213">
        <v>0.81</v>
      </c>
      <c r="BP15" s="213">
        <v>0.93</v>
      </c>
      <c r="BQ15" s="213">
        <v>9.5299999999999994</v>
      </c>
      <c r="BR15" s="213">
        <v>7.5299999999999994</v>
      </c>
      <c r="BS15" s="213">
        <v>8.5299999999999994</v>
      </c>
      <c r="BT15" s="213">
        <v>11.16</v>
      </c>
      <c r="BU15" s="213">
        <v>10.76</v>
      </c>
      <c r="BV15" s="213">
        <v>10.96</v>
      </c>
      <c r="BW15" s="213">
        <v>2.74</v>
      </c>
      <c r="BX15" s="213">
        <v>2.46</v>
      </c>
      <c r="BY15" s="213">
        <v>2.6</v>
      </c>
      <c r="BZ15" s="213">
        <v>9.24</v>
      </c>
      <c r="CA15" s="213">
        <v>6.24</v>
      </c>
      <c r="CB15" s="213">
        <v>7.74</v>
      </c>
      <c r="CC15" s="213">
        <v>6.56</v>
      </c>
      <c r="CD15" s="213">
        <v>6.3199999999999994</v>
      </c>
      <c r="CE15" s="213">
        <v>6.4399999999999995</v>
      </c>
      <c r="CF15" s="213">
        <v>1.87</v>
      </c>
      <c r="CG15" s="213">
        <v>1.37</v>
      </c>
      <c r="CH15" s="213">
        <v>1.62</v>
      </c>
      <c r="CI15" s="213">
        <v>0.44</v>
      </c>
      <c r="CJ15" s="213">
        <v>0.4</v>
      </c>
      <c r="CK15" s="213">
        <v>0.42000000000000004</v>
      </c>
      <c r="CL15" s="213">
        <v>37.619999999999997</v>
      </c>
      <c r="CM15" s="213">
        <v>35.22</v>
      </c>
      <c r="CN15" s="213">
        <v>36.42</v>
      </c>
      <c r="CO15" s="213">
        <v>7.34</v>
      </c>
      <c r="CP15" s="213">
        <v>2.34</v>
      </c>
      <c r="CQ15" s="213">
        <v>4.84</v>
      </c>
      <c r="CR15" s="213"/>
      <c r="CS15" s="213"/>
    </row>
    <row r="16" spans="1:97">
      <c r="A16" s="424">
        <v>45302</v>
      </c>
      <c r="B16" s="211" t="s">
        <v>250</v>
      </c>
      <c r="C16" s="213">
        <v>146.65</v>
      </c>
      <c r="D16" s="213">
        <v>144.65</v>
      </c>
      <c r="E16" s="213">
        <v>145.65</v>
      </c>
      <c r="F16" s="213">
        <v>161.31</v>
      </c>
      <c r="G16" s="213">
        <v>158.31</v>
      </c>
      <c r="H16" s="213">
        <v>159.81</v>
      </c>
      <c r="I16" s="213">
        <v>110.49</v>
      </c>
      <c r="J16" s="213">
        <v>107.28999999999999</v>
      </c>
      <c r="K16" s="213">
        <v>108.88999999999999</v>
      </c>
      <c r="L16" s="213">
        <v>189.67</v>
      </c>
      <c r="M16" s="213">
        <v>181.67</v>
      </c>
      <c r="N16" s="213">
        <v>185.67</v>
      </c>
      <c r="O16" s="213">
        <v>172.15</v>
      </c>
      <c r="P16" s="213">
        <v>170.35</v>
      </c>
      <c r="Q16" s="213">
        <v>171.25</v>
      </c>
      <c r="R16" s="213">
        <v>21.73</v>
      </c>
      <c r="S16" s="213">
        <v>21.13</v>
      </c>
      <c r="T16" s="213">
        <v>21.43</v>
      </c>
      <c r="U16" s="213">
        <v>14.37</v>
      </c>
      <c r="V16" s="213">
        <v>13.77</v>
      </c>
      <c r="W16" s="213">
        <v>14.07</v>
      </c>
      <c r="X16" s="213">
        <v>14.64</v>
      </c>
      <c r="Y16" s="213">
        <v>13.84</v>
      </c>
      <c r="Z16" s="213">
        <v>14.24</v>
      </c>
      <c r="AA16" s="213">
        <v>99.7</v>
      </c>
      <c r="AB16" s="213">
        <v>95.7</v>
      </c>
      <c r="AC16" s="213">
        <v>97.7</v>
      </c>
      <c r="AD16" s="213">
        <v>92.83</v>
      </c>
      <c r="AE16" s="213">
        <v>88.83</v>
      </c>
      <c r="AF16" s="213">
        <v>90.83</v>
      </c>
      <c r="AG16" s="213">
        <v>19.059999999999999</v>
      </c>
      <c r="AH16" s="213">
        <v>18.2</v>
      </c>
      <c r="AI16" s="213">
        <v>18.63</v>
      </c>
      <c r="AJ16" s="213"/>
      <c r="AK16" s="213"/>
      <c r="AL16" s="213"/>
      <c r="AM16" s="213">
        <v>110.28</v>
      </c>
      <c r="AN16" s="213">
        <v>108.62</v>
      </c>
      <c r="AO16" s="213">
        <v>109.45</v>
      </c>
      <c r="AP16" s="213">
        <v>39.700000000000003</v>
      </c>
      <c r="AQ16" s="213">
        <v>38.1</v>
      </c>
      <c r="AR16" s="213">
        <v>38.900000000000006</v>
      </c>
      <c r="AS16" s="213">
        <v>40.409999999999997</v>
      </c>
      <c r="AT16" s="213">
        <v>39.049999999999997</v>
      </c>
      <c r="AU16" s="213">
        <v>39.729999999999997</v>
      </c>
      <c r="AV16" s="213">
        <v>20.58</v>
      </c>
      <c r="AW16" s="213">
        <v>19.979999999999997</v>
      </c>
      <c r="AX16" s="213">
        <v>20.279999999999998</v>
      </c>
      <c r="AY16" s="213">
        <v>4.25</v>
      </c>
      <c r="AZ16" s="213">
        <v>4.09</v>
      </c>
      <c r="BA16" s="213">
        <v>4.17</v>
      </c>
      <c r="BB16" s="213">
        <v>1.92</v>
      </c>
      <c r="BC16" s="213">
        <v>1.6199999999999999</v>
      </c>
      <c r="BD16" s="213">
        <v>1.77</v>
      </c>
      <c r="BE16" s="213">
        <v>0.67</v>
      </c>
      <c r="BF16" s="213">
        <v>0.37000000000000005</v>
      </c>
      <c r="BG16" s="213">
        <v>0.52</v>
      </c>
      <c r="BH16" s="213">
        <v>482.58</v>
      </c>
      <c r="BI16" s="213">
        <v>466.58</v>
      </c>
      <c r="BJ16" s="213">
        <v>474.58</v>
      </c>
      <c r="BK16" s="213">
        <v>40.700000000000003</v>
      </c>
      <c r="BL16" s="213">
        <v>39.340000000000003</v>
      </c>
      <c r="BM16" s="213">
        <v>40.020000000000003</v>
      </c>
      <c r="BN16" s="213">
        <v>1.06</v>
      </c>
      <c r="BO16" s="213">
        <v>0.82000000000000006</v>
      </c>
      <c r="BP16" s="213">
        <v>0.94000000000000006</v>
      </c>
      <c r="BQ16" s="213">
        <v>9.59</v>
      </c>
      <c r="BR16" s="213">
        <v>7.59</v>
      </c>
      <c r="BS16" s="213">
        <v>8.59</v>
      </c>
      <c r="BT16" s="213">
        <v>11.27</v>
      </c>
      <c r="BU16" s="213">
        <v>10.87</v>
      </c>
      <c r="BV16" s="213">
        <v>11.07</v>
      </c>
      <c r="BW16" s="213">
        <v>2.75</v>
      </c>
      <c r="BX16" s="213">
        <v>2.4699999999999998</v>
      </c>
      <c r="BY16" s="213">
        <v>2.61</v>
      </c>
      <c r="BZ16" s="213">
        <v>9.2899999999999991</v>
      </c>
      <c r="CA16" s="213">
        <v>6.2899999999999991</v>
      </c>
      <c r="CB16" s="213">
        <v>7.7899999999999991</v>
      </c>
      <c r="CC16" s="213">
        <v>6.64</v>
      </c>
      <c r="CD16" s="213">
        <v>6.3999999999999995</v>
      </c>
      <c r="CE16" s="213">
        <v>6.52</v>
      </c>
      <c r="CF16" s="213">
        <v>1.88</v>
      </c>
      <c r="CG16" s="213">
        <v>1.38</v>
      </c>
      <c r="CH16" s="213">
        <v>1.63</v>
      </c>
      <c r="CI16" s="213">
        <v>0.44</v>
      </c>
      <c r="CJ16" s="213">
        <v>0.4</v>
      </c>
      <c r="CK16" s="213">
        <v>0.42000000000000004</v>
      </c>
      <c r="CL16" s="213">
        <v>38.1</v>
      </c>
      <c r="CM16" s="213">
        <v>35.700000000000003</v>
      </c>
      <c r="CN16" s="213">
        <v>36.900000000000006</v>
      </c>
      <c r="CO16" s="213">
        <v>7.41</v>
      </c>
      <c r="CP16" s="213">
        <v>2.41</v>
      </c>
      <c r="CQ16" s="213">
        <v>4.91</v>
      </c>
      <c r="CR16" s="213"/>
      <c r="CS16" s="213"/>
    </row>
    <row r="17" spans="1:97">
      <c r="A17" s="424">
        <v>45303</v>
      </c>
      <c r="B17" s="211" t="s">
        <v>251</v>
      </c>
      <c r="C17" s="213">
        <v>146.32</v>
      </c>
      <c r="D17" s="213">
        <v>144.32</v>
      </c>
      <c r="E17" s="213">
        <v>145.32</v>
      </c>
      <c r="F17" s="213">
        <v>161.05000000000001</v>
      </c>
      <c r="G17" s="213">
        <v>158.05000000000001</v>
      </c>
      <c r="H17" s="213">
        <v>159.55000000000001</v>
      </c>
      <c r="I17" s="213">
        <v>110.21</v>
      </c>
      <c r="J17" s="213">
        <v>107.00999999999999</v>
      </c>
      <c r="K17" s="213">
        <v>108.60999999999999</v>
      </c>
      <c r="L17" s="213">
        <v>189.62</v>
      </c>
      <c r="M17" s="213">
        <v>181.62</v>
      </c>
      <c r="N17" s="213">
        <v>185.62</v>
      </c>
      <c r="O17" s="213">
        <v>171.48</v>
      </c>
      <c r="P17" s="213">
        <v>169.67999999999998</v>
      </c>
      <c r="Q17" s="213">
        <v>170.57999999999998</v>
      </c>
      <c r="R17" s="213">
        <v>21.69</v>
      </c>
      <c r="S17" s="213">
        <v>21.09</v>
      </c>
      <c r="T17" s="213">
        <v>21.39</v>
      </c>
      <c r="U17" s="213">
        <v>14.43</v>
      </c>
      <c r="V17" s="213">
        <v>13.83</v>
      </c>
      <c r="W17" s="213">
        <v>14.129999999999999</v>
      </c>
      <c r="X17" s="213">
        <v>14.57</v>
      </c>
      <c r="Y17" s="213">
        <v>13.77</v>
      </c>
      <c r="Z17" s="213">
        <v>14.17</v>
      </c>
      <c r="AA17" s="213">
        <v>99.36</v>
      </c>
      <c r="AB17" s="213">
        <v>95.36</v>
      </c>
      <c r="AC17" s="213">
        <v>97.36</v>
      </c>
      <c r="AD17" s="213">
        <v>92.72</v>
      </c>
      <c r="AE17" s="213">
        <v>88.72</v>
      </c>
      <c r="AF17" s="213">
        <v>90.72</v>
      </c>
      <c r="AG17" s="213">
        <v>19.02</v>
      </c>
      <c r="AH17" s="213">
        <v>18.16</v>
      </c>
      <c r="AI17" s="213">
        <v>18.59</v>
      </c>
      <c r="AJ17" s="213"/>
      <c r="AK17" s="213"/>
      <c r="AL17" s="213"/>
      <c r="AM17" s="213">
        <v>110.09</v>
      </c>
      <c r="AN17" s="213">
        <v>108.43</v>
      </c>
      <c r="AO17" s="213">
        <v>109.26</v>
      </c>
      <c r="AP17" s="213">
        <v>39.61</v>
      </c>
      <c r="AQ17" s="213">
        <v>38.01</v>
      </c>
      <c r="AR17" s="213">
        <v>38.81</v>
      </c>
      <c r="AS17" s="213">
        <v>40.32</v>
      </c>
      <c r="AT17" s="213">
        <v>38.96</v>
      </c>
      <c r="AU17" s="213">
        <v>39.64</v>
      </c>
      <c r="AV17" s="213">
        <v>20.57</v>
      </c>
      <c r="AW17" s="213">
        <v>19.97</v>
      </c>
      <c r="AX17" s="213">
        <v>20.27</v>
      </c>
      <c r="AY17" s="213">
        <v>4.24</v>
      </c>
      <c r="AZ17" s="213">
        <v>4.08</v>
      </c>
      <c r="BA17" s="213">
        <v>4.16</v>
      </c>
      <c r="BB17" s="213">
        <v>1.91</v>
      </c>
      <c r="BC17" s="213">
        <v>1.6099999999999999</v>
      </c>
      <c r="BD17" s="213">
        <v>1.7599999999999998</v>
      </c>
      <c r="BE17" s="213">
        <v>0.67</v>
      </c>
      <c r="BF17" s="213">
        <v>0.37000000000000005</v>
      </c>
      <c r="BG17" s="213">
        <v>0.52</v>
      </c>
      <c r="BH17" s="213">
        <v>480.43</v>
      </c>
      <c r="BI17" s="213">
        <v>464.43</v>
      </c>
      <c r="BJ17" s="213">
        <v>472.43</v>
      </c>
      <c r="BK17" s="213">
        <v>40.61</v>
      </c>
      <c r="BL17" s="213">
        <v>39.25</v>
      </c>
      <c r="BM17" s="213">
        <v>39.93</v>
      </c>
      <c r="BN17" s="213">
        <v>1.06</v>
      </c>
      <c r="BO17" s="213">
        <v>0.82000000000000006</v>
      </c>
      <c r="BP17" s="213">
        <v>0.94000000000000006</v>
      </c>
      <c r="BQ17" s="213">
        <v>9.6</v>
      </c>
      <c r="BR17" s="213">
        <v>7.6</v>
      </c>
      <c r="BS17" s="213">
        <v>8.6</v>
      </c>
      <c r="BT17" s="213">
        <v>11.27</v>
      </c>
      <c r="BU17" s="213">
        <v>10.87</v>
      </c>
      <c r="BV17" s="213">
        <v>11.07</v>
      </c>
      <c r="BW17" s="213">
        <v>2.76</v>
      </c>
      <c r="BX17" s="213">
        <v>2.4799999999999995</v>
      </c>
      <c r="BY17" s="213">
        <v>2.6199999999999997</v>
      </c>
      <c r="BZ17" s="213">
        <v>9.3000000000000007</v>
      </c>
      <c r="CA17" s="213">
        <v>6.3000000000000007</v>
      </c>
      <c r="CB17" s="213">
        <v>7.8000000000000007</v>
      </c>
      <c r="CC17" s="213">
        <v>6.59</v>
      </c>
      <c r="CD17" s="213">
        <v>6.35</v>
      </c>
      <c r="CE17" s="213">
        <v>6.47</v>
      </c>
      <c r="CF17" s="213">
        <v>1.9</v>
      </c>
      <c r="CG17" s="213">
        <v>1.4</v>
      </c>
      <c r="CH17" s="213">
        <v>1.65</v>
      </c>
      <c r="CI17" s="213">
        <v>0.44</v>
      </c>
      <c r="CJ17" s="213">
        <v>0.4</v>
      </c>
      <c r="CK17" s="213">
        <v>0.42000000000000004</v>
      </c>
      <c r="CL17" s="213">
        <v>37.880000000000003</v>
      </c>
      <c r="CM17" s="213">
        <v>35.480000000000004</v>
      </c>
      <c r="CN17" s="213">
        <v>36.680000000000007</v>
      </c>
      <c r="CO17" s="213">
        <v>7.36</v>
      </c>
      <c r="CP17" s="213">
        <v>2.3600000000000003</v>
      </c>
      <c r="CQ17" s="213">
        <v>4.8600000000000003</v>
      </c>
      <c r="CR17" s="213"/>
      <c r="CS17" s="213"/>
    </row>
    <row r="18" spans="1:97">
      <c r="A18" s="424">
        <v>45304</v>
      </c>
      <c r="B18" s="211" t="s">
        <v>252</v>
      </c>
      <c r="C18" s="213"/>
      <c r="D18" s="213"/>
      <c r="E18" s="213"/>
      <c r="F18" s="213"/>
      <c r="G18" s="213"/>
      <c r="H18" s="213"/>
      <c r="I18" s="213"/>
      <c r="J18" s="213"/>
      <c r="K18" s="213"/>
      <c r="L18" s="213"/>
      <c r="M18" s="213"/>
      <c r="N18" s="213"/>
      <c r="O18" s="213"/>
      <c r="P18" s="213"/>
      <c r="Q18" s="213"/>
      <c r="R18" s="213"/>
      <c r="S18" s="213"/>
      <c r="T18" s="213"/>
      <c r="U18" s="213"/>
      <c r="V18" s="213"/>
      <c r="W18" s="213"/>
      <c r="X18" s="213"/>
      <c r="Y18" s="213"/>
      <c r="Z18" s="213"/>
      <c r="AA18" s="213"/>
      <c r="AB18" s="213"/>
      <c r="AC18" s="213"/>
      <c r="AD18" s="213"/>
      <c r="AE18" s="213"/>
      <c r="AF18" s="213"/>
      <c r="AG18" s="213"/>
      <c r="AH18" s="213"/>
      <c r="AI18" s="213"/>
      <c r="AJ18" s="213"/>
      <c r="AK18" s="213"/>
      <c r="AL18" s="213"/>
      <c r="AM18" s="213"/>
      <c r="AN18" s="213"/>
      <c r="AO18" s="213"/>
      <c r="AP18" s="213"/>
      <c r="AQ18" s="213"/>
      <c r="AR18" s="213"/>
      <c r="AS18" s="213"/>
      <c r="AT18" s="213"/>
      <c r="AU18" s="213"/>
      <c r="AV18" s="213"/>
      <c r="AW18" s="213"/>
      <c r="AX18" s="213"/>
      <c r="AY18" s="213"/>
      <c r="AZ18" s="213"/>
      <c r="BA18" s="213"/>
      <c r="BB18" s="213"/>
      <c r="BC18" s="213"/>
      <c r="BD18" s="213"/>
      <c r="BE18" s="213"/>
      <c r="BF18" s="213"/>
      <c r="BG18" s="213"/>
      <c r="BH18" s="213"/>
      <c r="BI18" s="213"/>
      <c r="BJ18" s="213"/>
      <c r="BK18" s="213"/>
      <c r="BL18" s="213"/>
      <c r="BM18" s="213"/>
      <c r="BN18" s="213"/>
      <c r="BO18" s="213"/>
      <c r="BP18" s="213"/>
      <c r="BQ18" s="213"/>
      <c r="BR18" s="213"/>
      <c r="BS18" s="213"/>
      <c r="BT18" s="213"/>
      <c r="BU18" s="213"/>
      <c r="BV18" s="213"/>
      <c r="BW18" s="213"/>
      <c r="BX18" s="213"/>
      <c r="BY18" s="213"/>
      <c r="BZ18" s="213"/>
      <c r="CA18" s="213"/>
      <c r="CB18" s="213"/>
      <c r="CC18" s="213"/>
      <c r="CD18" s="213"/>
      <c r="CE18" s="213"/>
      <c r="CF18" s="213"/>
      <c r="CG18" s="213"/>
      <c r="CH18" s="213"/>
      <c r="CI18" s="213"/>
      <c r="CJ18" s="213"/>
      <c r="CK18" s="213"/>
      <c r="CL18" s="213"/>
      <c r="CM18" s="213"/>
      <c r="CN18" s="213"/>
      <c r="CO18" s="213"/>
      <c r="CP18" s="213"/>
      <c r="CQ18" s="213"/>
      <c r="CR18" s="213"/>
      <c r="CS18" s="213"/>
    </row>
    <row r="19" spans="1:97">
      <c r="A19" s="424">
        <v>45305</v>
      </c>
      <c r="B19" s="211" t="s">
        <v>253</v>
      </c>
      <c r="C19" s="213"/>
      <c r="D19" s="213"/>
      <c r="E19" s="213"/>
      <c r="F19" s="213"/>
      <c r="G19" s="213"/>
      <c r="H19" s="213"/>
      <c r="I19" s="213"/>
      <c r="J19" s="213"/>
      <c r="K19" s="213"/>
      <c r="L19" s="213"/>
      <c r="M19" s="213"/>
      <c r="N19" s="213"/>
      <c r="O19" s="213"/>
      <c r="P19" s="213"/>
      <c r="Q19" s="213"/>
      <c r="R19" s="213"/>
      <c r="S19" s="213"/>
      <c r="T19" s="213"/>
      <c r="U19" s="213"/>
      <c r="V19" s="213"/>
      <c r="W19" s="213"/>
      <c r="X19" s="213"/>
      <c r="Y19" s="213"/>
      <c r="Z19" s="213"/>
      <c r="AA19" s="213"/>
      <c r="AB19" s="213"/>
      <c r="AC19" s="213"/>
      <c r="AD19" s="213"/>
      <c r="AE19" s="213"/>
      <c r="AF19" s="213"/>
      <c r="AG19" s="213"/>
      <c r="AH19" s="213"/>
      <c r="AI19" s="213"/>
      <c r="AJ19" s="213"/>
      <c r="AK19" s="213"/>
      <c r="AL19" s="213"/>
      <c r="AM19" s="213"/>
      <c r="AN19" s="213"/>
      <c r="AO19" s="213"/>
      <c r="AP19" s="213"/>
      <c r="AQ19" s="213"/>
      <c r="AR19" s="213"/>
      <c r="AS19" s="213"/>
      <c r="AT19" s="213"/>
      <c r="AU19" s="213"/>
      <c r="AV19" s="213"/>
      <c r="AW19" s="213"/>
      <c r="AX19" s="213"/>
      <c r="AY19" s="213"/>
      <c r="AZ19" s="213"/>
      <c r="BA19" s="213"/>
      <c r="BB19" s="213"/>
      <c r="BC19" s="213"/>
      <c r="BD19" s="213"/>
      <c r="BE19" s="213"/>
      <c r="BF19" s="213"/>
      <c r="BG19" s="213"/>
      <c r="BH19" s="213"/>
      <c r="BI19" s="213"/>
      <c r="BJ19" s="213"/>
      <c r="BK19" s="213"/>
      <c r="BL19" s="213"/>
      <c r="BM19" s="213"/>
      <c r="BN19" s="213"/>
      <c r="BO19" s="213"/>
      <c r="BP19" s="213"/>
      <c r="BQ19" s="213"/>
      <c r="BR19" s="213"/>
      <c r="BS19" s="213"/>
      <c r="BT19" s="213"/>
      <c r="BU19" s="213"/>
      <c r="BV19" s="213"/>
      <c r="BW19" s="213"/>
      <c r="BX19" s="213"/>
      <c r="BY19" s="213"/>
      <c r="BZ19" s="213"/>
      <c r="CA19" s="213"/>
      <c r="CB19" s="213"/>
      <c r="CC19" s="213"/>
      <c r="CD19" s="213"/>
      <c r="CE19" s="213"/>
      <c r="CF19" s="213"/>
      <c r="CG19" s="213"/>
      <c r="CH19" s="213"/>
      <c r="CI19" s="213"/>
      <c r="CJ19" s="213"/>
      <c r="CK19" s="213"/>
      <c r="CL19" s="213"/>
      <c r="CM19" s="213"/>
      <c r="CN19" s="213"/>
      <c r="CO19" s="213"/>
      <c r="CP19" s="213"/>
      <c r="CQ19" s="213"/>
      <c r="CR19" s="213"/>
      <c r="CS19" s="213"/>
    </row>
    <row r="20" spans="1:97">
      <c r="A20" s="424">
        <v>45306</v>
      </c>
      <c r="B20" s="211" t="s">
        <v>247</v>
      </c>
      <c r="C20" s="213">
        <v>146.16999999999999</v>
      </c>
      <c r="D20" s="213">
        <v>144.16999999999999</v>
      </c>
      <c r="E20" s="213">
        <v>145.16999999999999</v>
      </c>
      <c r="F20" s="213">
        <v>160.52000000000001</v>
      </c>
      <c r="G20" s="213">
        <v>157.52000000000001</v>
      </c>
      <c r="H20" s="213">
        <v>159.02000000000001</v>
      </c>
      <c r="I20" s="213">
        <v>109.92</v>
      </c>
      <c r="J20" s="213">
        <v>106.72</v>
      </c>
      <c r="K20" s="213">
        <v>108.32</v>
      </c>
      <c r="L20" s="213">
        <v>188.92</v>
      </c>
      <c r="M20" s="213">
        <v>180.92</v>
      </c>
      <c r="N20" s="213">
        <v>184.92</v>
      </c>
      <c r="O20" s="213">
        <v>171.03</v>
      </c>
      <c r="P20" s="213">
        <v>169.23</v>
      </c>
      <c r="Q20" s="213">
        <v>170.13</v>
      </c>
      <c r="R20" s="213">
        <v>21.62</v>
      </c>
      <c r="S20" s="213">
        <v>21.02</v>
      </c>
      <c r="T20" s="213">
        <v>21.32</v>
      </c>
      <c r="U20" s="213">
        <v>14.41</v>
      </c>
      <c r="V20" s="213">
        <v>13.81</v>
      </c>
      <c r="W20" s="213">
        <v>14.11</v>
      </c>
      <c r="X20" s="213">
        <v>14.52</v>
      </c>
      <c r="Y20" s="213">
        <v>13.719999999999999</v>
      </c>
      <c r="Z20" s="213">
        <v>14.12</v>
      </c>
      <c r="AA20" s="213">
        <v>99.13</v>
      </c>
      <c r="AB20" s="213">
        <v>95.13</v>
      </c>
      <c r="AC20" s="213">
        <v>97.13</v>
      </c>
      <c r="AD20" s="213">
        <v>92.48</v>
      </c>
      <c r="AE20" s="213">
        <v>88.48</v>
      </c>
      <c r="AF20" s="213">
        <v>90.48</v>
      </c>
      <c r="AG20" s="213">
        <v>18.989999999999998</v>
      </c>
      <c r="AH20" s="213">
        <v>18.13</v>
      </c>
      <c r="AI20" s="213">
        <v>18.559999999999999</v>
      </c>
      <c r="AJ20" s="213"/>
      <c r="AK20" s="213"/>
      <c r="AL20" s="213"/>
      <c r="AM20" s="213">
        <v>109.85</v>
      </c>
      <c r="AN20" s="213">
        <v>108.19</v>
      </c>
      <c r="AO20" s="213">
        <v>109.02</v>
      </c>
      <c r="AP20" s="213">
        <v>39.57</v>
      </c>
      <c r="AQ20" s="213">
        <v>37.97</v>
      </c>
      <c r="AR20" s="213">
        <v>38.769999999999996</v>
      </c>
      <c r="AS20" s="213">
        <v>40.270000000000003</v>
      </c>
      <c r="AT20" s="213">
        <v>38.910000000000004</v>
      </c>
      <c r="AU20" s="213">
        <v>39.590000000000003</v>
      </c>
      <c r="AV20" s="213">
        <v>20.5</v>
      </c>
      <c r="AW20" s="213">
        <v>19.899999999999999</v>
      </c>
      <c r="AX20" s="213">
        <v>20.2</v>
      </c>
      <c r="AY20" s="213">
        <v>4.24</v>
      </c>
      <c r="AZ20" s="213">
        <v>4.08</v>
      </c>
      <c r="BA20" s="213">
        <v>4.16</v>
      </c>
      <c r="BB20" s="213">
        <v>1.91</v>
      </c>
      <c r="BC20" s="213">
        <v>1.6099999999999999</v>
      </c>
      <c r="BD20" s="213">
        <v>1.7599999999999998</v>
      </c>
      <c r="BE20" s="213">
        <v>0.67</v>
      </c>
      <c r="BF20" s="213">
        <v>0.37000000000000005</v>
      </c>
      <c r="BG20" s="213">
        <v>0.52</v>
      </c>
      <c r="BH20" s="213">
        <v>481.33</v>
      </c>
      <c r="BI20" s="213">
        <v>465.33</v>
      </c>
      <c r="BJ20" s="213">
        <v>473.33</v>
      </c>
      <c r="BK20" s="213">
        <v>40.549999999999997</v>
      </c>
      <c r="BL20" s="213">
        <v>39.19</v>
      </c>
      <c r="BM20" s="213">
        <v>39.869999999999997</v>
      </c>
      <c r="BN20" s="213">
        <v>1.06</v>
      </c>
      <c r="BO20" s="213">
        <v>0.82000000000000006</v>
      </c>
      <c r="BP20" s="213">
        <v>0.94000000000000006</v>
      </c>
      <c r="BQ20" s="213">
        <v>9.61</v>
      </c>
      <c r="BR20" s="213">
        <v>7.6099999999999994</v>
      </c>
      <c r="BS20" s="213">
        <v>8.61</v>
      </c>
      <c r="BT20" s="213">
        <v>11.23</v>
      </c>
      <c r="BU20" s="213">
        <v>10.83</v>
      </c>
      <c r="BV20" s="213">
        <v>11.030000000000001</v>
      </c>
      <c r="BW20" s="213">
        <v>2.76</v>
      </c>
      <c r="BX20" s="213">
        <v>2.4799999999999995</v>
      </c>
      <c r="BY20" s="213">
        <v>2.6199999999999997</v>
      </c>
      <c r="BZ20" s="213">
        <v>9.2899999999999991</v>
      </c>
      <c r="CA20" s="213">
        <v>6.2899999999999991</v>
      </c>
      <c r="CB20" s="213">
        <v>7.7899999999999991</v>
      </c>
      <c r="CC20" s="213">
        <v>6.58</v>
      </c>
      <c r="CD20" s="213">
        <v>6.34</v>
      </c>
      <c r="CE20" s="213">
        <v>6.46</v>
      </c>
      <c r="CF20" s="213">
        <v>1.89</v>
      </c>
      <c r="CG20" s="213">
        <v>1.39</v>
      </c>
      <c r="CH20" s="213">
        <v>1.64</v>
      </c>
      <c r="CI20" s="213">
        <v>0.44</v>
      </c>
      <c r="CJ20" s="213">
        <v>0.4</v>
      </c>
      <c r="CK20" s="213">
        <v>0.42000000000000004</v>
      </c>
      <c r="CL20" s="213">
        <v>37.71</v>
      </c>
      <c r="CM20" s="213">
        <v>35.31</v>
      </c>
      <c r="CN20" s="213">
        <v>36.510000000000005</v>
      </c>
      <c r="CO20" s="213">
        <v>7.33</v>
      </c>
      <c r="CP20" s="213">
        <v>2.33</v>
      </c>
      <c r="CQ20" s="213">
        <v>4.83</v>
      </c>
      <c r="CR20" s="213"/>
      <c r="CS20" s="213"/>
    </row>
    <row r="21" spans="1:97">
      <c r="A21" s="424">
        <v>45307</v>
      </c>
      <c r="B21" s="211" t="s">
        <v>248</v>
      </c>
      <c r="C21" s="213">
        <v>146.91</v>
      </c>
      <c r="D21" s="213">
        <v>144.91</v>
      </c>
      <c r="E21" s="213">
        <v>145.91</v>
      </c>
      <c r="F21" s="213">
        <v>160.91999999999999</v>
      </c>
      <c r="G21" s="213">
        <v>157.91999999999999</v>
      </c>
      <c r="H21" s="213">
        <v>159.41999999999999</v>
      </c>
      <c r="I21" s="213">
        <v>110.08</v>
      </c>
      <c r="J21" s="213">
        <v>106.88</v>
      </c>
      <c r="K21" s="213">
        <v>108.47999999999999</v>
      </c>
      <c r="L21" s="213">
        <v>189.26</v>
      </c>
      <c r="M21" s="213">
        <v>181.26</v>
      </c>
      <c r="N21" s="213">
        <v>185.26</v>
      </c>
      <c r="O21" s="213">
        <v>171.08</v>
      </c>
      <c r="P21" s="213">
        <v>169.28</v>
      </c>
      <c r="Q21" s="213">
        <v>170.18</v>
      </c>
      <c r="R21" s="213">
        <v>21.67</v>
      </c>
      <c r="S21" s="213">
        <v>21.07</v>
      </c>
      <c r="T21" s="213">
        <v>21.37</v>
      </c>
      <c r="U21" s="213">
        <v>14.35</v>
      </c>
      <c r="V21" s="213">
        <v>13.75</v>
      </c>
      <c r="W21" s="213">
        <v>14.05</v>
      </c>
      <c r="X21" s="213">
        <v>14.49</v>
      </c>
      <c r="Y21" s="213">
        <v>13.69</v>
      </c>
      <c r="Z21" s="213">
        <v>14.09</v>
      </c>
      <c r="AA21" s="213">
        <v>98.75</v>
      </c>
      <c r="AB21" s="213">
        <v>94.75</v>
      </c>
      <c r="AC21" s="213">
        <v>96.75</v>
      </c>
      <c r="AD21" s="213">
        <v>92.07</v>
      </c>
      <c r="AE21" s="213">
        <v>88.07</v>
      </c>
      <c r="AF21" s="213">
        <v>90.07</v>
      </c>
      <c r="AG21" s="213">
        <v>19.079999999999998</v>
      </c>
      <c r="AH21" s="213">
        <v>18.22</v>
      </c>
      <c r="AI21" s="213">
        <v>18.649999999999999</v>
      </c>
      <c r="AJ21" s="213"/>
      <c r="AK21" s="213"/>
      <c r="AL21" s="213"/>
      <c r="AM21" s="213">
        <v>110.06</v>
      </c>
      <c r="AN21" s="213">
        <v>108.4</v>
      </c>
      <c r="AO21" s="213">
        <v>109.23</v>
      </c>
      <c r="AP21" s="213">
        <v>39.770000000000003</v>
      </c>
      <c r="AQ21" s="213">
        <v>38.17</v>
      </c>
      <c r="AR21" s="213">
        <v>38.97</v>
      </c>
      <c r="AS21" s="213">
        <v>40.47</v>
      </c>
      <c r="AT21" s="213">
        <v>39.11</v>
      </c>
      <c r="AU21" s="213">
        <v>39.79</v>
      </c>
      <c r="AV21" s="213">
        <v>20.59</v>
      </c>
      <c r="AW21" s="213">
        <v>19.989999999999998</v>
      </c>
      <c r="AX21" s="213">
        <v>20.29</v>
      </c>
      <c r="AY21" s="213">
        <v>4.24</v>
      </c>
      <c r="AZ21" s="213">
        <v>4.08</v>
      </c>
      <c r="BA21" s="213">
        <v>4.16</v>
      </c>
      <c r="BB21" s="213">
        <v>1.92</v>
      </c>
      <c r="BC21" s="213">
        <v>1.6199999999999999</v>
      </c>
      <c r="BD21" s="213">
        <v>1.77</v>
      </c>
      <c r="BE21" s="213">
        <v>0.67</v>
      </c>
      <c r="BF21" s="213">
        <v>0.37000000000000005</v>
      </c>
      <c r="BG21" s="213">
        <v>0.52</v>
      </c>
      <c r="BH21" s="213">
        <v>481.73</v>
      </c>
      <c r="BI21" s="213">
        <v>465.73</v>
      </c>
      <c r="BJ21" s="213">
        <v>473.73</v>
      </c>
      <c r="BK21" s="213">
        <v>40.770000000000003</v>
      </c>
      <c r="BL21" s="213">
        <v>39.410000000000004</v>
      </c>
      <c r="BM21" s="213">
        <v>40.090000000000003</v>
      </c>
      <c r="BN21" s="213">
        <v>1.06</v>
      </c>
      <c r="BO21" s="213">
        <v>0.82000000000000006</v>
      </c>
      <c r="BP21" s="213">
        <v>0.94000000000000006</v>
      </c>
      <c r="BQ21" s="213">
        <v>9.6300000000000008</v>
      </c>
      <c r="BR21" s="213">
        <v>7.6300000000000008</v>
      </c>
      <c r="BS21" s="213">
        <v>8.6300000000000008</v>
      </c>
      <c r="BT21" s="213">
        <v>11.19</v>
      </c>
      <c r="BU21" s="213">
        <v>10.79</v>
      </c>
      <c r="BV21" s="213">
        <v>10.989999999999998</v>
      </c>
      <c r="BW21" s="213">
        <v>2.78</v>
      </c>
      <c r="BX21" s="213">
        <v>2.5</v>
      </c>
      <c r="BY21" s="213">
        <v>2.6399999999999997</v>
      </c>
      <c r="BZ21" s="213">
        <v>9.2899999999999991</v>
      </c>
      <c r="CA21" s="213">
        <v>6.2899999999999991</v>
      </c>
      <c r="CB21" s="213">
        <v>7.7899999999999991</v>
      </c>
      <c r="CC21" s="213">
        <v>6.58</v>
      </c>
      <c r="CD21" s="213">
        <v>6.34</v>
      </c>
      <c r="CE21" s="213">
        <v>6.46</v>
      </c>
      <c r="CF21" s="213">
        <v>1.91</v>
      </c>
      <c r="CG21" s="213">
        <v>1.41</v>
      </c>
      <c r="CH21" s="213">
        <v>1.66</v>
      </c>
      <c r="CI21" s="213">
        <v>0.44</v>
      </c>
      <c r="CJ21" s="213">
        <v>0.4</v>
      </c>
      <c r="CK21" s="213">
        <v>0.42000000000000004</v>
      </c>
      <c r="CL21" s="213">
        <v>37.659999999999997</v>
      </c>
      <c r="CM21" s="213">
        <v>35.26</v>
      </c>
      <c r="CN21" s="213">
        <v>36.459999999999994</v>
      </c>
      <c r="CO21" s="213">
        <v>7.35</v>
      </c>
      <c r="CP21" s="213">
        <v>2.3499999999999996</v>
      </c>
      <c r="CQ21" s="213">
        <v>4.8499999999999996</v>
      </c>
      <c r="CR21" s="213"/>
      <c r="CS21" s="213"/>
    </row>
    <row r="22" spans="1:97">
      <c r="A22" s="424">
        <v>45308</v>
      </c>
      <c r="B22" s="211" t="s">
        <v>249</v>
      </c>
      <c r="C22" s="213">
        <v>148.44</v>
      </c>
      <c r="D22" s="213">
        <v>146.44</v>
      </c>
      <c r="E22" s="213">
        <v>147.44</v>
      </c>
      <c r="F22" s="213">
        <v>161.87</v>
      </c>
      <c r="G22" s="213">
        <v>158.87</v>
      </c>
      <c r="H22" s="213">
        <v>160.37</v>
      </c>
      <c r="I22" s="213">
        <v>110.9</v>
      </c>
      <c r="J22" s="213">
        <v>107.7</v>
      </c>
      <c r="K22" s="213">
        <v>109.30000000000001</v>
      </c>
      <c r="L22" s="213">
        <v>190.33</v>
      </c>
      <c r="M22" s="213">
        <v>182.33</v>
      </c>
      <c r="N22" s="213">
        <v>186.33</v>
      </c>
      <c r="O22" s="213">
        <v>172</v>
      </c>
      <c r="P22" s="213">
        <v>170.2</v>
      </c>
      <c r="Q22" s="213">
        <v>171.1</v>
      </c>
      <c r="R22" s="213">
        <v>21.8</v>
      </c>
      <c r="S22" s="213">
        <v>21.2</v>
      </c>
      <c r="T22" s="213">
        <v>21.5</v>
      </c>
      <c r="U22" s="213">
        <v>14.39</v>
      </c>
      <c r="V22" s="213">
        <v>13.790000000000001</v>
      </c>
      <c r="W22" s="213">
        <v>14.09</v>
      </c>
      <c r="X22" s="213">
        <v>14.53</v>
      </c>
      <c r="Y22" s="213">
        <v>13.729999999999999</v>
      </c>
      <c r="Z22" s="213">
        <v>14.129999999999999</v>
      </c>
      <c r="AA22" s="213">
        <v>99.19</v>
      </c>
      <c r="AB22" s="213">
        <v>95.19</v>
      </c>
      <c r="AC22" s="213">
        <v>97.19</v>
      </c>
      <c r="AD22" s="213">
        <v>92.51</v>
      </c>
      <c r="AE22" s="213">
        <v>88.51</v>
      </c>
      <c r="AF22" s="213">
        <v>90.51</v>
      </c>
      <c r="AG22" s="213">
        <v>19.27</v>
      </c>
      <c r="AH22" s="213">
        <v>18.41</v>
      </c>
      <c r="AI22" s="213">
        <v>18.84</v>
      </c>
      <c r="AJ22" s="213"/>
      <c r="AK22" s="213"/>
      <c r="AL22" s="213"/>
      <c r="AM22" s="213">
        <v>110.66</v>
      </c>
      <c r="AN22" s="213">
        <v>109</v>
      </c>
      <c r="AO22" s="213">
        <v>109.83</v>
      </c>
      <c r="AP22" s="213">
        <v>40.18</v>
      </c>
      <c r="AQ22" s="213">
        <v>38.58</v>
      </c>
      <c r="AR22" s="213">
        <v>39.379999999999995</v>
      </c>
      <c r="AS22" s="213">
        <v>40.76</v>
      </c>
      <c r="AT22" s="213">
        <v>39.4</v>
      </c>
      <c r="AU22" s="213">
        <v>40.08</v>
      </c>
      <c r="AV22" s="213">
        <v>20.73</v>
      </c>
      <c r="AW22" s="213">
        <v>20.13</v>
      </c>
      <c r="AX22" s="213">
        <v>20.43</v>
      </c>
      <c r="AY22" s="213">
        <v>4.24</v>
      </c>
      <c r="AZ22" s="213">
        <v>4.08</v>
      </c>
      <c r="BA22" s="213">
        <v>4.16</v>
      </c>
      <c r="BB22" s="213">
        <v>1.93</v>
      </c>
      <c r="BC22" s="213">
        <v>1.63</v>
      </c>
      <c r="BD22" s="213">
        <v>1.7799999999999998</v>
      </c>
      <c r="BE22" s="213">
        <v>0.68</v>
      </c>
      <c r="BF22" s="213">
        <v>0.38000000000000006</v>
      </c>
      <c r="BG22" s="213">
        <v>0.53</v>
      </c>
      <c r="BH22" s="213">
        <v>487.79</v>
      </c>
      <c r="BI22" s="213">
        <v>471.79</v>
      </c>
      <c r="BJ22" s="213">
        <v>479.79</v>
      </c>
      <c r="BK22" s="213">
        <v>41.19</v>
      </c>
      <c r="BL22" s="213">
        <v>39.83</v>
      </c>
      <c r="BM22" s="213">
        <v>40.51</v>
      </c>
      <c r="BN22" s="213">
        <v>1.07</v>
      </c>
      <c r="BO22" s="213">
        <v>0.83000000000000007</v>
      </c>
      <c r="BP22" s="213">
        <v>0.95000000000000007</v>
      </c>
      <c r="BQ22" s="213">
        <v>9.56</v>
      </c>
      <c r="BR22" s="213">
        <v>7.5600000000000005</v>
      </c>
      <c r="BS22" s="213">
        <v>8.56</v>
      </c>
      <c r="BT22" s="213">
        <v>11.23</v>
      </c>
      <c r="BU22" s="213">
        <v>10.83</v>
      </c>
      <c r="BV22" s="213">
        <v>11.030000000000001</v>
      </c>
      <c r="BW22" s="213">
        <v>2.8</v>
      </c>
      <c r="BX22" s="213">
        <v>2.5199999999999996</v>
      </c>
      <c r="BY22" s="213">
        <v>2.6599999999999997</v>
      </c>
      <c r="BZ22" s="213">
        <v>9.2799999999999994</v>
      </c>
      <c r="CA22" s="213">
        <v>6.2799999999999994</v>
      </c>
      <c r="CB22" s="213">
        <v>7.7799999999999994</v>
      </c>
      <c r="CC22" s="213">
        <v>6.61</v>
      </c>
      <c r="CD22" s="213">
        <v>6.37</v>
      </c>
      <c r="CE22" s="213">
        <v>6.49</v>
      </c>
      <c r="CF22" s="213">
        <v>1.92</v>
      </c>
      <c r="CG22" s="213">
        <v>1.42</v>
      </c>
      <c r="CH22" s="213">
        <v>1.67</v>
      </c>
      <c r="CI22" s="213">
        <v>0.44</v>
      </c>
      <c r="CJ22" s="213">
        <v>0.4</v>
      </c>
      <c r="CK22" s="213">
        <v>0.42000000000000004</v>
      </c>
      <c r="CL22" s="213">
        <v>37.74</v>
      </c>
      <c r="CM22" s="213">
        <v>35.340000000000003</v>
      </c>
      <c r="CN22" s="213">
        <v>36.540000000000006</v>
      </c>
      <c r="CO22" s="213">
        <v>7.4</v>
      </c>
      <c r="CP22" s="213">
        <v>2.4000000000000004</v>
      </c>
      <c r="CQ22" s="213">
        <v>4.9000000000000004</v>
      </c>
      <c r="CR22" s="213"/>
      <c r="CS22" s="213"/>
    </row>
    <row r="23" spans="1:97">
      <c r="A23" s="424">
        <v>45309</v>
      </c>
      <c r="B23" s="211" t="s">
        <v>250</v>
      </c>
      <c r="C23" s="213">
        <v>149.26</v>
      </c>
      <c r="D23" s="213">
        <v>147.26</v>
      </c>
      <c r="E23" s="213">
        <v>148.26</v>
      </c>
      <c r="F23" s="213">
        <v>162.91</v>
      </c>
      <c r="G23" s="213">
        <v>159.91</v>
      </c>
      <c r="H23" s="213">
        <v>161.41</v>
      </c>
      <c r="I23" s="213">
        <v>111.42</v>
      </c>
      <c r="J23" s="213">
        <v>108.22</v>
      </c>
      <c r="K23" s="213">
        <v>109.82</v>
      </c>
      <c r="L23" s="213">
        <v>191.92</v>
      </c>
      <c r="M23" s="213">
        <v>183.92</v>
      </c>
      <c r="N23" s="213">
        <v>187.92</v>
      </c>
      <c r="O23" s="213">
        <v>172.34</v>
      </c>
      <c r="P23" s="213">
        <v>170.54</v>
      </c>
      <c r="Q23" s="213">
        <v>171.44</v>
      </c>
      <c r="R23" s="213">
        <v>21.94</v>
      </c>
      <c r="S23" s="213">
        <v>21.34</v>
      </c>
      <c r="T23" s="213">
        <v>21.64</v>
      </c>
      <c r="U23" s="213">
        <v>14.38</v>
      </c>
      <c r="V23" s="213">
        <v>13.780000000000001</v>
      </c>
      <c r="W23" s="213">
        <v>14.080000000000002</v>
      </c>
      <c r="X23" s="213">
        <v>14.59</v>
      </c>
      <c r="Y23" s="213">
        <v>13.79</v>
      </c>
      <c r="Z23" s="213">
        <v>14.19</v>
      </c>
      <c r="AA23" s="213">
        <v>99.1</v>
      </c>
      <c r="AB23" s="213">
        <v>95.1</v>
      </c>
      <c r="AC23" s="213">
        <v>97.1</v>
      </c>
      <c r="AD23" s="213">
        <v>92.68</v>
      </c>
      <c r="AE23" s="213">
        <v>88.68</v>
      </c>
      <c r="AF23" s="213">
        <v>90.68</v>
      </c>
      <c r="AG23" s="213">
        <v>19.39</v>
      </c>
      <c r="AH23" s="213">
        <v>18.53</v>
      </c>
      <c r="AI23" s="213">
        <v>18.96</v>
      </c>
      <c r="AJ23" s="213"/>
      <c r="AK23" s="213"/>
      <c r="AL23" s="213"/>
      <c r="AM23" s="213">
        <v>111.17</v>
      </c>
      <c r="AN23" s="213">
        <v>109.51</v>
      </c>
      <c r="AO23" s="213">
        <v>110.34</v>
      </c>
      <c r="AP23" s="213">
        <v>40.4</v>
      </c>
      <c r="AQ23" s="213">
        <v>38.799999999999997</v>
      </c>
      <c r="AR23" s="213">
        <v>39.599999999999994</v>
      </c>
      <c r="AS23" s="213">
        <v>41.11</v>
      </c>
      <c r="AT23" s="213">
        <v>39.75</v>
      </c>
      <c r="AU23" s="213">
        <v>40.43</v>
      </c>
      <c r="AV23" s="213">
        <v>20.84</v>
      </c>
      <c r="AW23" s="213">
        <v>20.239999999999998</v>
      </c>
      <c r="AX23" s="213">
        <v>20.54</v>
      </c>
      <c r="AY23" s="213">
        <v>4.26</v>
      </c>
      <c r="AZ23" s="213">
        <v>4.0999999999999996</v>
      </c>
      <c r="BA23" s="213">
        <v>4.18</v>
      </c>
      <c r="BB23" s="213">
        <v>1.94</v>
      </c>
      <c r="BC23" s="213">
        <v>1.64</v>
      </c>
      <c r="BD23" s="213">
        <v>1.79</v>
      </c>
      <c r="BE23" s="213">
        <v>0.68</v>
      </c>
      <c r="BF23" s="213">
        <v>0.38000000000000006</v>
      </c>
      <c r="BG23" s="213">
        <v>0.53</v>
      </c>
      <c r="BH23" s="213">
        <v>490.3</v>
      </c>
      <c r="BI23" s="213">
        <v>474.3</v>
      </c>
      <c r="BJ23" s="213">
        <v>482.3</v>
      </c>
      <c r="BK23" s="213">
        <v>41.42</v>
      </c>
      <c r="BL23" s="213">
        <v>40.06</v>
      </c>
      <c r="BM23" s="213">
        <v>40.74</v>
      </c>
      <c r="BN23" s="213">
        <v>1.07</v>
      </c>
      <c r="BO23" s="213">
        <v>0.83000000000000007</v>
      </c>
      <c r="BP23" s="213">
        <v>0.95000000000000007</v>
      </c>
      <c r="BQ23" s="213">
        <v>9.6300000000000008</v>
      </c>
      <c r="BR23" s="213">
        <v>7.6300000000000008</v>
      </c>
      <c r="BS23" s="213">
        <v>8.6300000000000008</v>
      </c>
      <c r="BT23" s="213">
        <v>11.27</v>
      </c>
      <c r="BU23" s="213">
        <v>10.87</v>
      </c>
      <c r="BV23" s="213">
        <v>11.07</v>
      </c>
      <c r="BW23" s="213">
        <v>2.81</v>
      </c>
      <c r="BX23" s="213">
        <v>2.5300000000000002</v>
      </c>
      <c r="BY23" s="213">
        <v>2.67</v>
      </c>
      <c r="BZ23" s="213">
        <v>9.2799999999999994</v>
      </c>
      <c r="CA23" s="213">
        <v>6.2799999999999994</v>
      </c>
      <c r="CB23" s="213">
        <v>7.7799999999999994</v>
      </c>
      <c r="CC23" s="213">
        <v>6.65</v>
      </c>
      <c r="CD23" s="213">
        <v>6.41</v>
      </c>
      <c r="CE23" s="213">
        <v>6.53</v>
      </c>
      <c r="CF23" s="213">
        <v>1.92</v>
      </c>
      <c r="CG23" s="213">
        <v>1.42</v>
      </c>
      <c r="CH23" s="213">
        <v>1.67</v>
      </c>
      <c r="CI23" s="213">
        <v>0.45</v>
      </c>
      <c r="CJ23" s="213">
        <v>0.41000000000000003</v>
      </c>
      <c r="CK23" s="213">
        <v>0.43000000000000005</v>
      </c>
      <c r="CL23" s="213">
        <v>37.82</v>
      </c>
      <c r="CM23" s="213">
        <v>35.42</v>
      </c>
      <c r="CN23" s="213">
        <v>36.620000000000005</v>
      </c>
      <c r="CO23" s="213">
        <v>7.42</v>
      </c>
      <c r="CP23" s="213">
        <v>2.42</v>
      </c>
      <c r="CQ23" s="213">
        <v>4.92</v>
      </c>
      <c r="CR23" s="213"/>
      <c r="CS23" s="213"/>
    </row>
    <row r="24" spans="1:97">
      <c r="A24" s="424">
        <v>45310</v>
      </c>
      <c r="B24" s="211" t="s">
        <v>251</v>
      </c>
      <c r="C24" s="213">
        <v>149.19</v>
      </c>
      <c r="D24" s="213">
        <v>147.19</v>
      </c>
      <c r="E24" s="213">
        <v>148.19</v>
      </c>
      <c r="F24" s="213">
        <v>162.75</v>
      </c>
      <c r="G24" s="213">
        <v>159.75</v>
      </c>
      <c r="H24" s="213">
        <v>161.25</v>
      </c>
      <c r="I24" s="213">
        <v>111.48</v>
      </c>
      <c r="J24" s="213">
        <v>108.28</v>
      </c>
      <c r="K24" s="213">
        <v>109.88</v>
      </c>
      <c r="L24" s="213">
        <v>192.35</v>
      </c>
      <c r="M24" s="213">
        <v>184.35</v>
      </c>
      <c r="N24" s="213">
        <v>188.35</v>
      </c>
      <c r="O24" s="213">
        <v>171.57</v>
      </c>
      <c r="P24" s="213">
        <v>169.76999999999998</v>
      </c>
      <c r="Q24" s="213">
        <v>170.67</v>
      </c>
      <c r="R24" s="213">
        <v>21.92</v>
      </c>
      <c r="S24" s="213">
        <v>21.32</v>
      </c>
      <c r="T24" s="213">
        <v>21.62</v>
      </c>
      <c r="U24" s="213">
        <v>14.39</v>
      </c>
      <c r="V24" s="213">
        <v>13.790000000000001</v>
      </c>
      <c r="W24" s="213">
        <v>14.09</v>
      </c>
      <c r="X24" s="213">
        <v>14.53</v>
      </c>
      <c r="Y24" s="213">
        <v>13.729999999999999</v>
      </c>
      <c r="Z24" s="213">
        <v>14.129999999999999</v>
      </c>
      <c r="AA24" s="213">
        <v>99.57</v>
      </c>
      <c r="AB24" s="213">
        <v>95.57</v>
      </c>
      <c r="AC24" s="213">
        <v>97.57</v>
      </c>
      <c r="AD24" s="213">
        <v>92.75</v>
      </c>
      <c r="AE24" s="213">
        <v>88.75</v>
      </c>
      <c r="AF24" s="213">
        <v>90.75</v>
      </c>
      <c r="AG24" s="213">
        <v>19.38</v>
      </c>
      <c r="AH24" s="213">
        <v>18.52</v>
      </c>
      <c r="AI24" s="213">
        <v>18.95</v>
      </c>
      <c r="AJ24" s="213"/>
      <c r="AK24" s="213"/>
      <c r="AL24" s="213"/>
      <c r="AM24" s="213">
        <v>111.12</v>
      </c>
      <c r="AN24" s="213">
        <v>109.46000000000001</v>
      </c>
      <c r="AO24" s="213">
        <v>110.29</v>
      </c>
      <c r="AP24" s="213">
        <v>40.380000000000003</v>
      </c>
      <c r="AQ24" s="213">
        <v>38.78</v>
      </c>
      <c r="AR24" s="213">
        <v>39.58</v>
      </c>
      <c r="AS24" s="213">
        <v>41.09</v>
      </c>
      <c r="AT24" s="213">
        <v>39.730000000000004</v>
      </c>
      <c r="AU24" s="213">
        <v>40.410000000000004</v>
      </c>
      <c r="AV24" s="213">
        <v>20.85</v>
      </c>
      <c r="AW24" s="213">
        <v>20.25</v>
      </c>
      <c r="AX24" s="213">
        <v>20.55</v>
      </c>
      <c r="AY24" s="213">
        <v>4.26</v>
      </c>
      <c r="AZ24" s="213">
        <v>4.0999999999999996</v>
      </c>
      <c r="BA24" s="213">
        <v>4.18</v>
      </c>
      <c r="BB24" s="213">
        <v>1.94</v>
      </c>
      <c r="BC24" s="213">
        <v>1.64</v>
      </c>
      <c r="BD24" s="213">
        <v>1.79</v>
      </c>
      <c r="BE24" s="213">
        <v>0.69</v>
      </c>
      <c r="BF24" s="213">
        <v>0.38999999999999996</v>
      </c>
      <c r="BG24" s="213">
        <v>0.53999999999999992</v>
      </c>
      <c r="BH24" s="213">
        <v>488.67</v>
      </c>
      <c r="BI24" s="213">
        <v>472.67</v>
      </c>
      <c r="BJ24" s="213">
        <v>480.67</v>
      </c>
      <c r="BK24" s="213">
        <v>41.4</v>
      </c>
      <c r="BL24" s="213">
        <v>40.04</v>
      </c>
      <c r="BM24" s="213">
        <v>40.72</v>
      </c>
      <c r="BN24" s="213">
        <v>1.07</v>
      </c>
      <c r="BO24" s="213">
        <v>0.83000000000000007</v>
      </c>
      <c r="BP24" s="213">
        <v>0.95000000000000007</v>
      </c>
      <c r="BQ24" s="213">
        <v>9.64</v>
      </c>
      <c r="BR24" s="213">
        <v>7.6400000000000006</v>
      </c>
      <c r="BS24" s="213">
        <v>8.64</v>
      </c>
      <c r="BT24" s="213">
        <v>11.32</v>
      </c>
      <c r="BU24" s="213">
        <v>10.92</v>
      </c>
      <c r="BV24" s="213">
        <v>11.120000000000001</v>
      </c>
      <c r="BW24" s="213">
        <v>2.82</v>
      </c>
      <c r="BX24" s="213">
        <v>2.54</v>
      </c>
      <c r="BY24" s="213">
        <v>2.6799999999999997</v>
      </c>
      <c r="BZ24" s="213">
        <v>9.34</v>
      </c>
      <c r="CA24" s="213">
        <v>6.34</v>
      </c>
      <c r="CB24" s="213">
        <v>7.84</v>
      </c>
      <c r="CC24" s="213">
        <v>6.63</v>
      </c>
      <c r="CD24" s="213">
        <v>6.39</v>
      </c>
      <c r="CE24" s="213">
        <v>6.51</v>
      </c>
      <c r="CF24" s="213">
        <v>1.91</v>
      </c>
      <c r="CG24" s="213">
        <v>1.41</v>
      </c>
      <c r="CH24" s="213">
        <v>1.66</v>
      </c>
      <c r="CI24" s="213">
        <v>0.44</v>
      </c>
      <c r="CJ24" s="213">
        <v>0.4</v>
      </c>
      <c r="CK24" s="213">
        <v>0.42000000000000004</v>
      </c>
      <c r="CL24" s="213">
        <v>37.99</v>
      </c>
      <c r="CM24" s="213">
        <v>35.590000000000003</v>
      </c>
      <c r="CN24" s="213">
        <v>36.790000000000006</v>
      </c>
      <c r="CO24" s="213">
        <v>7.43</v>
      </c>
      <c r="CP24" s="213">
        <v>2.4299999999999997</v>
      </c>
      <c r="CQ24" s="213">
        <v>4.93</v>
      </c>
      <c r="CR24" s="213"/>
      <c r="CS24" s="213"/>
    </row>
    <row r="25" spans="1:97">
      <c r="A25" s="424">
        <v>45311</v>
      </c>
      <c r="B25" s="211" t="s">
        <v>252</v>
      </c>
      <c r="C25" s="213"/>
      <c r="D25" s="213"/>
      <c r="E25" s="213"/>
      <c r="F25" s="213"/>
      <c r="G25" s="213"/>
      <c r="H25" s="213"/>
      <c r="I25" s="213"/>
      <c r="J25" s="213"/>
      <c r="K25" s="213"/>
      <c r="L25" s="213"/>
      <c r="M25" s="213"/>
      <c r="N25" s="213"/>
      <c r="O25" s="213"/>
      <c r="P25" s="213"/>
      <c r="Q25" s="213"/>
      <c r="R25" s="213"/>
      <c r="S25" s="213"/>
      <c r="T25" s="213"/>
      <c r="U25" s="213"/>
      <c r="V25" s="213"/>
      <c r="W25" s="213"/>
      <c r="X25" s="213"/>
      <c r="Y25" s="213"/>
      <c r="Z25" s="213"/>
      <c r="AA25" s="213"/>
      <c r="AB25" s="213"/>
      <c r="AC25" s="213"/>
      <c r="AD25" s="213"/>
      <c r="AE25" s="213"/>
      <c r="AF25" s="213"/>
      <c r="AG25" s="213"/>
      <c r="AH25" s="213"/>
      <c r="AI25" s="213"/>
      <c r="AJ25" s="213"/>
      <c r="AK25" s="213"/>
      <c r="AL25" s="213"/>
      <c r="AM25" s="213"/>
      <c r="AN25" s="213"/>
      <c r="AO25" s="213"/>
      <c r="AP25" s="213"/>
      <c r="AQ25" s="213"/>
      <c r="AR25" s="213"/>
      <c r="AS25" s="213"/>
      <c r="AT25" s="213"/>
      <c r="AU25" s="213"/>
      <c r="AV25" s="213"/>
      <c r="AW25" s="213"/>
      <c r="AX25" s="213"/>
      <c r="AY25" s="213"/>
      <c r="AZ25" s="213"/>
      <c r="BA25" s="213"/>
      <c r="BB25" s="213"/>
      <c r="BC25" s="213"/>
      <c r="BD25" s="213"/>
      <c r="BE25" s="213"/>
      <c r="BF25" s="213"/>
      <c r="BG25" s="213"/>
      <c r="BH25" s="213"/>
      <c r="BI25" s="213"/>
      <c r="BJ25" s="213"/>
      <c r="BK25" s="213"/>
      <c r="BL25" s="213"/>
      <c r="BM25" s="213"/>
      <c r="BN25" s="213"/>
      <c r="BO25" s="213"/>
      <c r="BP25" s="213"/>
      <c r="BQ25" s="213"/>
      <c r="BR25" s="213"/>
      <c r="BS25" s="213"/>
      <c r="BT25" s="213"/>
      <c r="BU25" s="213"/>
      <c r="BV25" s="213"/>
      <c r="BW25" s="213"/>
      <c r="BX25" s="213"/>
      <c r="BY25" s="213"/>
      <c r="BZ25" s="213"/>
      <c r="CA25" s="213"/>
      <c r="CB25" s="213"/>
      <c r="CC25" s="213"/>
      <c r="CD25" s="213"/>
      <c r="CE25" s="213"/>
      <c r="CF25" s="213"/>
      <c r="CG25" s="213"/>
      <c r="CH25" s="213"/>
      <c r="CI25" s="213"/>
      <c r="CJ25" s="213"/>
      <c r="CK25" s="213"/>
      <c r="CL25" s="213"/>
      <c r="CM25" s="213"/>
      <c r="CN25" s="213"/>
      <c r="CO25" s="213"/>
      <c r="CP25" s="213"/>
      <c r="CQ25" s="213"/>
      <c r="CR25" s="213"/>
      <c r="CS25" s="213"/>
    </row>
    <row r="26" spans="1:97">
      <c r="A26" s="424">
        <v>45312</v>
      </c>
      <c r="B26" s="211" t="s">
        <v>253</v>
      </c>
      <c r="C26" s="213"/>
      <c r="D26" s="213"/>
      <c r="E26" s="213"/>
      <c r="F26" s="213"/>
      <c r="G26" s="213"/>
      <c r="H26" s="213"/>
      <c r="I26" s="213"/>
      <c r="J26" s="213"/>
      <c r="K26" s="213"/>
      <c r="L26" s="213"/>
      <c r="M26" s="213"/>
      <c r="N26" s="213"/>
      <c r="O26" s="213"/>
      <c r="P26" s="213"/>
      <c r="Q26" s="213"/>
      <c r="R26" s="213"/>
      <c r="S26" s="213"/>
      <c r="T26" s="213"/>
      <c r="U26" s="213"/>
      <c r="V26" s="213"/>
      <c r="W26" s="213"/>
      <c r="X26" s="213"/>
      <c r="Y26" s="213"/>
      <c r="Z26" s="213"/>
      <c r="AA26" s="213"/>
      <c r="AB26" s="213"/>
      <c r="AC26" s="213"/>
      <c r="AD26" s="213"/>
      <c r="AE26" s="213"/>
      <c r="AF26" s="213"/>
      <c r="AG26" s="213"/>
      <c r="AH26" s="213"/>
      <c r="AI26" s="213"/>
      <c r="AJ26" s="213"/>
      <c r="AK26" s="213"/>
      <c r="AL26" s="213"/>
      <c r="AM26" s="213"/>
      <c r="AN26" s="213"/>
      <c r="AO26" s="213"/>
      <c r="AP26" s="213"/>
      <c r="AQ26" s="213"/>
      <c r="AR26" s="213"/>
      <c r="AS26" s="213"/>
      <c r="AT26" s="213"/>
      <c r="AU26" s="213"/>
      <c r="AV26" s="213"/>
      <c r="AW26" s="213"/>
      <c r="AX26" s="213"/>
      <c r="AY26" s="213"/>
      <c r="AZ26" s="213"/>
      <c r="BA26" s="213"/>
      <c r="BB26" s="213"/>
      <c r="BC26" s="213"/>
      <c r="BD26" s="213"/>
      <c r="BE26" s="213"/>
      <c r="BF26" s="213"/>
      <c r="BG26" s="213"/>
      <c r="BH26" s="213"/>
      <c r="BI26" s="213"/>
      <c r="BJ26" s="213"/>
      <c r="BK26" s="213"/>
      <c r="BL26" s="213"/>
      <c r="BM26" s="213"/>
      <c r="BN26" s="213"/>
      <c r="BO26" s="213"/>
      <c r="BP26" s="213"/>
      <c r="BQ26" s="213"/>
      <c r="BR26" s="213"/>
      <c r="BS26" s="213"/>
      <c r="BT26" s="213"/>
      <c r="BU26" s="213"/>
      <c r="BV26" s="213"/>
      <c r="BW26" s="213"/>
      <c r="BX26" s="213"/>
      <c r="BY26" s="213"/>
      <c r="BZ26" s="213"/>
      <c r="CA26" s="213"/>
      <c r="CB26" s="213"/>
      <c r="CC26" s="213"/>
      <c r="CD26" s="213"/>
      <c r="CE26" s="213"/>
      <c r="CF26" s="213"/>
      <c r="CG26" s="213"/>
      <c r="CH26" s="213"/>
      <c r="CI26" s="213"/>
      <c r="CJ26" s="213"/>
      <c r="CK26" s="213"/>
      <c r="CL26" s="213"/>
      <c r="CM26" s="213"/>
      <c r="CN26" s="213"/>
      <c r="CO26" s="213"/>
      <c r="CP26" s="213"/>
      <c r="CQ26" s="213"/>
      <c r="CR26" s="213"/>
      <c r="CS26" s="213"/>
    </row>
    <row r="27" spans="1:97">
      <c r="A27" s="424">
        <v>45313</v>
      </c>
      <c r="B27" s="211" t="s">
        <v>247</v>
      </c>
      <c r="C27" s="213">
        <v>149.19999999999999</v>
      </c>
      <c r="D27" s="213">
        <v>147.19999999999999</v>
      </c>
      <c r="E27" s="213">
        <v>148.19999999999999</v>
      </c>
      <c r="F27" s="213">
        <v>163.02000000000001</v>
      </c>
      <c r="G27" s="213">
        <v>160.02000000000001</v>
      </c>
      <c r="H27" s="213">
        <v>161.52000000000001</v>
      </c>
      <c r="I27" s="213">
        <v>111.95</v>
      </c>
      <c r="J27" s="213">
        <v>108.75</v>
      </c>
      <c r="K27" s="213">
        <v>110.35</v>
      </c>
      <c r="L27" s="213">
        <v>192.35</v>
      </c>
      <c r="M27" s="213">
        <v>184.35</v>
      </c>
      <c r="N27" s="213">
        <v>188.35</v>
      </c>
      <c r="O27" s="213">
        <v>171.58</v>
      </c>
      <c r="P27" s="213">
        <v>169.78</v>
      </c>
      <c r="Q27" s="213">
        <v>170.68</v>
      </c>
      <c r="R27" s="213">
        <v>21.95</v>
      </c>
      <c r="S27" s="213">
        <v>21.349999999999998</v>
      </c>
      <c r="T27" s="213">
        <v>21.65</v>
      </c>
      <c r="U27" s="213">
        <v>14.44</v>
      </c>
      <c r="V27" s="213">
        <v>13.84</v>
      </c>
      <c r="W27" s="213">
        <v>14.14</v>
      </c>
      <c r="X27" s="213">
        <v>14.56</v>
      </c>
      <c r="Y27" s="213">
        <v>13.76</v>
      </c>
      <c r="Z27" s="213">
        <v>14.16</v>
      </c>
      <c r="AA27" s="213">
        <v>99.86</v>
      </c>
      <c r="AB27" s="213">
        <v>95.86</v>
      </c>
      <c r="AC27" s="213">
        <v>97.86</v>
      </c>
      <c r="AD27" s="213">
        <v>92.79</v>
      </c>
      <c r="AE27" s="213">
        <v>88.79</v>
      </c>
      <c r="AF27" s="213">
        <v>90.79</v>
      </c>
      <c r="AG27" s="213">
        <v>19.38</v>
      </c>
      <c r="AH27" s="213">
        <v>18.52</v>
      </c>
      <c r="AI27" s="213">
        <v>18.95</v>
      </c>
      <c r="AJ27" s="213"/>
      <c r="AK27" s="213"/>
      <c r="AL27" s="213"/>
      <c r="AM27" s="213">
        <v>111.47</v>
      </c>
      <c r="AN27" s="213">
        <v>109.81</v>
      </c>
      <c r="AO27" s="213">
        <v>110.64</v>
      </c>
      <c r="AP27" s="213">
        <v>40.369999999999997</v>
      </c>
      <c r="AQ27" s="213">
        <v>38.769999999999996</v>
      </c>
      <c r="AR27" s="213">
        <v>39.569999999999993</v>
      </c>
      <c r="AS27" s="213">
        <v>41.09</v>
      </c>
      <c r="AT27" s="213">
        <v>39.730000000000004</v>
      </c>
      <c r="AU27" s="213">
        <v>40.410000000000004</v>
      </c>
      <c r="AV27" s="213">
        <v>20.89</v>
      </c>
      <c r="AW27" s="213">
        <v>20.29</v>
      </c>
      <c r="AX27" s="213">
        <v>20.59</v>
      </c>
      <c r="AY27" s="213">
        <v>4.26</v>
      </c>
      <c r="AZ27" s="213">
        <v>4.0999999999999996</v>
      </c>
      <c r="BA27" s="213">
        <v>4.18</v>
      </c>
      <c r="BB27" s="213">
        <v>1.94</v>
      </c>
      <c r="BC27" s="213">
        <v>1.64</v>
      </c>
      <c r="BD27" s="213">
        <v>1.79</v>
      </c>
      <c r="BE27" s="213">
        <v>0.69</v>
      </c>
      <c r="BF27" s="213">
        <v>0.38999999999999996</v>
      </c>
      <c r="BG27" s="213">
        <v>0.53999999999999992</v>
      </c>
      <c r="BH27" s="213">
        <v>490.42</v>
      </c>
      <c r="BI27" s="213">
        <v>474.42</v>
      </c>
      <c r="BJ27" s="213">
        <v>482.42</v>
      </c>
      <c r="BK27" s="213">
        <v>41.41</v>
      </c>
      <c r="BL27" s="213">
        <v>40.049999999999997</v>
      </c>
      <c r="BM27" s="213">
        <v>40.729999999999997</v>
      </c>
      <c r="BN27" s="213">
        <v>1.07</v>
      </c>
      <c r="BO27" s="213">
        <v>0.83000000000000007</v>
      </c>
      <c r="BP27" s="213">
        <v>0.95000000000000007</v>
      </c>
      <c r="BQ27" s="213">
        <v>9.67</v>
      </c>
      <c r="BR27" s="213">
        <v>7.67</v>
      </c>
      <c r="BS27" s="213">
        <v>8.67</v>
      </c>
      <c r="BT27" s="213">
        <v>11.31</v>
      </c>
      <c r="BU27" s="213">
        <v>10.91</v>
      </c>
      <c r="BV27" s="213">
        <v>11.11</v>
      </c>
      <c r="BW27" s="213">
        <v>2.81</v>
      </c>
      <c r="BX27" s="213">
        <v>2.5300000000000002</v>
      </c>
      <c r="BY27" s="213">
        <v>2.67</v>
      </c>
      <c r="BZ27" s="213">
        <v>9.2899999999999991</v>
      </c>
      <c r="CA27" s="213">
        <v>6.2899999999999991</v>
      </c>
      <c r="CB27" s="213">
        <v>7.7899999999999991</v>
      </c>
      <c r="CC27" s="213">
        <v>6.64</v>
      </c>
      <c r="CD27" s="213">
        <v>6.3999999999999995</v>
      </c>
      <c r="CE27" s="213">
        <v>6.52</v>
      </c>
      <c r="CF27" s="213">
        <v>1.93</v>
      </c>
      <c r="CG27" s="213">
        <v>1.43</v>
      </c>
      <c r="CH27" s="213">
        <v>1.68</v>
      </c>
      <c r="CI27" s="213">
        <v>0.44</v>
      </c>
      <c r="CJ27" s="213">
        <v>0.4</v>
      </c>
      <c r="CK27" s="213">
        <v>0.42000000000000004</v>
      </c>
      <c r="CL27" s="213">
        <v>38.32</v>
      </c>
      <c r="CM27" s="213">
        <v>35.92</v>
      </c>
      <c r="CN27" s="213">
        <v>37.120000000000005</v>
      </c>
      <c r="CO27" s="213">
        <v>7.41</v>
      </c>
      <c r="CP27" s="213">
        <v>2.41</v>
      </c>
      <c r="CQ27" s="213">
        <v>4.91</v>
      </c>
      <c r="CR27" s="213"/>
      <c r="CS27" s="213"/>
    </row>
    <row r="28" spans="1:97">
      <c r="A28" s="424">
        <v>45314</v>
      </c>
      <c r="B28" s="211" t="s">
        <v>248</v>
      </c>
      <c r="C28" s="213">
        <v>149.15</v>
      </c>
      <c r="D28" s="213">
        <v>147.15</v>
      </c>
      <c r="E28" s="213">
        <v>148.15</v>
      </c>
      <c r="F28" s="213">
        <v>162.72999999999999</v>
      </c>
      <c r="G28" s="213">
        <v>159.72999999999999</v>
      </c>
      <c r="H28" s="213">
        <v>161.22999999999999</v>
      </c>
      <c r="I28" s="213">
        <v>111.56</v>
      </c>
      <c r="J28" s="213">
        <v>108.36</v>
      </c>
      <c r="K28" s="213">
        <v>109.96000000000001</v>
      </c>
      <c r="L28" s="213">
        <v>192.33</v>
      </c>
      <c r="M28" s="213">
        <v>184.33</v>
      </c>
      <c r="N28" s="213">
        <v>188.33</v>
      </c>
      <c r="O28" s="213">
        <v>171.42</v>
      </c>
      <c r="P28" s="213">
        <v>169.61999999999998</v>
      </c>
      <c r="Q28" s="213">
        <v>170.51999999999998</v>
      </c>
      <c r="R28" s="213">
        <v>21.92</v>
      </c>
      <c r="S28" s="213">
        <v>21.32</v>
      </c>
      <c r="T28" s="213">
        <v>21.62</v>
      </c>
      <c r="U28" s="213">
        <v>14.38</v>
      </c>
      <c r="V28" s="213">
        <v>13.780000000000001</v>
      </c>
      <c r="W28" s="213">
        <v>14.080000000000002</v>
      </c>
      <c r="X28" s="213">
        <v>14.57</v>
      </c>
      <c r="Y28" s="213">
        <v>13.77</v>
      </c>
      <c r="Z28" s="213">
        <v>14.17</v>
      </c>
      <c r="AA28" s="213">
        <v>99.51</v>
      </c>
      <c r="AB28" s="213">
        <v>95.51</v>
      </c>
      <c r="AC28" s="213">
        <v>97.51</v>
      </c>
      <c r="AD28" s="213">
        <v>92.1</v>
      </c>
      <c r="AE28" s="213">
        <v>88.1</v>
      </c>
      <c r="AF28" s="213">
        <v>90.1</v>
      </c>
      <c r="AG28" s="213">
        <v>19.38</v>
      </c>
      <c r="AH28" s="213">
        <v>18.52</v>
      </c>
      <c r="AI28" s="213">
        <v>18.95</v>
      </c>
      <c r="AJ28" s="213"/>
      <c r="AK28" s="213"/>
      <c r="AL28" s="213"/>
      <c r="AM28" s="213">
        <v>111.27</v>
      </c>
      <c r="AN28" s="213">
        <v>109.61</v>
      </c>
      <c r="AO28" s="213">
        <v>110.44</v>
      </c>
      <c r="AP28" s="213">
        <v>40.36</v>
      </c>
      <c r="AQ28" s="213">
        <v>38.76</v>
      </c>
      <c r="AR28" s="213">
        <v>39.56</v>
      </c>
      <c r="AS28" s="213">
        <v>41.08</v>
      </c>
      <c r="AT28" s="213">
        <v>39.72</v>
      </c>
      <c r="AU28" s="213">
        <v>40.4</v>
      </c>
      <c r="AV28" s="213">
        <v>20.9</v>
      </c>
      <c r="AW28" s="213">
        <v>20.299999999999997</v>
      </c>
      <c r="AX28" s="213">
        <v>20.599999999999998</v>
      </c>
      <c r="AY28" s="213">
        <v>4.25</v>
      </c>
      <c r="AZ28" s="213">
        <v>4.09</v>
      </c>
      <c r="BA28" s="213">
        <v>4.17</v>
      </c>
      <c r="BB28" s="213">
        <v>1.94</v>
      </c>
      <c r="BC28" s="213">
        <v>1.64</v>
      </c>
      <c r="BD28" s="213">
        <v>1.79</v>
      </c>
      <c r="BE28" s="213">
        <v>0.68</v>
      </c>
      <c r="BF28" s="213">
        <v>0.38000000000000006</v>
      </c>
      <c r="BG28" s="213">
        <v>0.53</v>
      </c>
      <c r="BH28" s="213">
        <v>490.26</v>
      </c>
      <c r="BI28" s="213">
        <v>474.26</v>
      </c>
      <c r="BJ28" s="213">
        <v>482.26</v>
      </c>
      <c r="BK28" s="213">
        <v>41.38</v>
      </c>
      <c r="BL28" s="213">
        <v>40.020000000000003</v>
      </c>
      <c r="BM28" s="213">
        <v>40.700000000000003</v>
      </c>
      <c r="BN28" s="213">
        <v>1.07</v>
      </c>
      <c r="BO28" s="213">
        <v>0.83000000000000007</v>
      </c>
      <c r="BP28" s="213">
        <v>0.95000000000000007</v>
      </c>
      <c r="BQ28" s="213">
        <v>9.6300000000000008</v>
      </c>
      <c r="BR28" s="213">
        <v>7.6300000000000008</v>
      </c>
      <c r="BS28" s="213">
        <v>8.6300000000000008</v>
      </c>
      <c r="BT28" s="213">
        <v>11.29</v>
      </c>
      <c r="BU28" s="213">
        <v>10.889999999999999</v>
      </c>
      <c r="BV28" s="213">
        <v>11.09</v>
      </c>
      <c r="BW28" s="213">
        <v>2.79</v>
      </c>
      <c r="BX28" s="213">
        <v>2.5099999999999998</v>
      </c>
      <c r="BY28" s="213">
        <v>2.65</v>
      </c>
      <c r="BZ28" s="213">
        <v>9.2100000000000009</v>
      </c>
      <c r="CA28" s="213">
        <v>6.2100000000000009</v>
      </c>
      <c r="CB28" s="213">
        <v>7.7100000000000009</v>
      </c>
      <c r="CC28" s="213">
        <v>6.63</v>
      </c>
      <c r="CD28" s="213">
        <v>6.39</v>
      </c>
      <c r="CE28" s="213">
        <v>6.51</v>
      </c>
      <c r="CF28" s="213">
        <v>1.93</v>
      </c>
      <c r="CG28" s="213">
        <v>1.43</v>
      </c>
      <c r="CH28" s="213">
        <v>1.68</v>
      </c>
      <c r="CI28" s="213">
        <v>0.44</v>
      </c>
      <c r="CJ28" s="213">
        <v>0.4</v>
      </c>
      <c r="CK28" s="213">
        <v>0.42000000000000004</v>
      </c>
      <c r="CL28" s="213">
        <v>38.18</v>
      </c>
      <c r="CM28" s="213">
        <v>35.78</v>
      </c>
      <c r="CN28" s="213">
        <v>36.980000000000004</v>
      </c>
      <c r="CO28" s="213">
        <v>7.4</v>
      </c>
      <c r="CP28" s="213">
        <v>2.4000000000000004</v>
      </c>
      <c r="CQ28" s="213">
        <v>4.9000000000000004</v>
      </c>
      <c r="CR28" s="213"/>
      <c r="CS28" s="213"/>
    </row>
    <row r="29" spans="1:97">
      <c r="A29" s="424">
        <v>45315</v>
      </c>
      <c r="B29" s="211" t="s">
        <v>249</v>
      </c>
      <c r="C29" s="213">
        <v>149.16999999999999</v>
      </c>
      <c r="D29" s="213">
        <v>147.16999999999999</v>
      </c>
      <c r="E29" s="213">
        <v>148.16999999999999</v>
      </c>
      <c r="F29" s="213">
        <v>162.4</v>
      </c>
      <c r="G29" s="213">
        <v>159.4</v>
      </c>
      <c r="H29" s="213">
        <v>160.9</v>
      </c>
      <c r="I29" s="213">
        <v>111.66</v>
      </c>
      <c r="J29" s="213">
        <v>108.46</v>
      </c>
      <c r="K29" s="213">
        <v>110.06</v>
      </c>
      <c r="L29" s="213">
        <v>192.18</v>
      </c>
      <c r="M29" s="213">
        <v>184.18</v>
      </c>
      <c r="N29" s="213">
        <v>188.18</v>
      </c>
      <c r="O29" s="213">
        <v>171.27</v>
      </c>
      <c r="P29" s="213">
        <v>169.47</v>
      </c>
      <c r="Q29" s="213">
        <v>170.37</v>
      </c>
      <c r="R29" s="213">
        <v>21.88</v>
      </c>
      <c r="S29" s="213">
        <v>21.279999999999998</v>
      </c>
      <c r="T29" s="213">
        <v>21.58</v>
      </c>
      <c r="U29" s="213">
        <v>14.41</v>
      </c>
      <c r="V29" s="213">
        <v>13.81</v>
      </c>
      <c r="W29" s="213">
        <v>14.11</v>
      </c>
      <c r="X29" s="213">
        <v>14.53</v>
      </c>
      <c r="Y29" s="213">
        <v>13.729999999999999</v>
      </c>
      <c r="Z29" s="213">
        <v>14.129999999999999</v>
      </c>
      <c r="AA29" s="213">
        <v>99.47</v>
      </c>
      <c r="AB29" s="213">
        <v>95.47</v>
      </c>
      <c r="AC29" s="213">
        <v>97.47</v>
      </c>
      <c r="AD29" s="213">
        <v>92.37</v>
      </c>
      <c r="AE29" s="213">
        <v>88.37</v>
      </c>
      <c r="AF29" s="213">
        <v>90.37</v>
      </c>
      <c r="AG29" s="213">
        <v>19.37</v>
      </c>
      <c r="AH29" s="213">
        <v>18.510000000000002</v>
      </c>
      <c r="AI29" s="213">
        <v>18.940000000000001</v>
      </c>
      <c r="AJ29" s="213"/>
      <c r="AK29" s="213"/>
      <c r="AL29" s="213"/>
      <c r="AM29" s="213">
        <v>111.34</v>
      </c>
      <c r="AN29" s="213">
        <v>109.68</v>
      </c>
      <c r="AO29" s="213">
        <v>110.51</v>
      </c>
      <c r="AP29" s="213">
        <v>40.4</v>
      </c>
      <c r="AQ29" s="213">
        <v>38.799999999999997</v>
      </c>
      <c r="AR29" s="213">
        <v>39.599999999999994</v>
      </c>
      <c r="AS29" s="213">
        <v>41.09</v>
      </c>
      <c r="AT29" s="213">
        <v>39.730000000000004</v>
      </c>
      <c r="AU29" s="213">
        <v>40.410000000000004</v>
      </c>
      <c r="AV29" s="213">
        <v>20.98</v>
      </c>
      <c r="AW29" s="213">
        <v>20.38</v>
      </c>
      <c r="AX29" s="213">
        <v>20.68</v>
      </c>
      <c r="AY29" s="213">
        <v>4.22</v>
      </c>
      <c r="AZ29" s="213">
        <v>4.0599999999999996</v>
      </c>
      <c r="BA29" s="213">
        <v>4.1399999999999997</v>
      </c>
      <c r="BB29" s="213">
        <v>1.94</v>
      </c>
      <c r="BC29" s="213">
        <v>1.64</v>
      </c>
      <c r="BD29" s="213">
        <v>1.79</v>
      </c>
      <c r="BE29" s="213">
        <v>0.68</v>
      </c>
      <c r="BF29" s="213">
        <v>0.38000000000000006</v>
      </c>
      <c r="BG29" s="213">
        <v>0.53</v>
      </c>
      <c r="BH29" s="213">
        <v>490.48</v>
      </c>
      <c r="BI29" s="213">
        <v>474.48</v>
      </c>
      <c r="BJ29" s="213">
        <v>482.48</v>
      </c>
      <c r="BK29" s="213">
        <v>41.41</v>
      </c>
      <c r="BL29" s="213">
        <v>40.049999999999997</v>
      </c>
      <c r="BM29" s="213">
        <v>40.729999999999997</v>
      </c>
      <c r="BN29" s="213">
        <v>1.07</v>
      </c>
      <c r="BO29" s="213">
        <v>0.83000000000000007</v>
      </c>
      <c r="BP29" s="213">
        <v>0.95000000000000007</v>
      </c>
      <c r="BQ29" s="213">
        <v>9.56</v>
      </c>
      <c r="BR29" s="213">
        <v>7.5600000000000005</v>
      </c>
      <c r="BS29" s="213">
        <v>8.56</v>
      </c>
      <c r="BT29" s="213">
        <v>11.28</v>
      </c>
      <c r="BU29" s="213">
        <v>10.879999999999999</v>
      </c>
      <c r="BV29" s="213">
        <v>11.079999999999998</v>
      </c>
      <c r="BW29" s="213">
        <v>2.8</v>
      </c>
      <c r="BX29" s="213">
        <v>2.5199999999999996</v>
      </c>
      <c r="BY29" s="213">
        <v>2.6599999999999997</v>
      </c>
      <c r="BZ29" s="213">
        <v>9.2899999999999991</v>
      </c>
      <c r="CA29" s="213">
        <v>6.2899999999999991</v>
      </c>
      <c r="CB29" s="213">
        <v>7.7899999999999991</v>
      </c>
      <c r="CC29" s="213">
        <v>6.59</v>
      </c>
      <c r="CD29" s="213">
        <v>6.35</v>
      </c>
      <c r="CE29" s="213">
        <v>6.47</v>
      </c>
      <c r="CF29" s="213">
        <v>1.92</v>
      </c>
      <c r="CG29" s="213">
        <v>1.42</v>
      </c>
      <c r="CH29" s="213">
        <v>1.67</v>
      </c>
      <c r="CI29" s="213">
        <v>0.44</v>
      </c>
      <c r="CJ29" s="213">
        <v>0.4</v>
      </c>
      <c r="CK29" s="213">
        <v>0.42000000000000004</v>
      </c>
      <c r="CL29" s="213">
        <v>37.840000000000003</v>
      </c>
      <c r="CM29" s="213">
        <v>35.440000000000005</v>
      </c>
      <c r="CN29" s="213">
        <v>36.64</v>
      </c>
      <c r="CO29" s="213">
        <v>7.4</v>
      </c>
      <c r="CP29" s="213">
        <v>2.4000000000000004</v>
      </c>
      <c r="CQ29" s="213">
        <v>4.9000000000000004</v>
      </c>
      <c r="CR29" s="213"/>
      <c r="CS29" s="213"/>
    </row>
    <row r="30" spans="1:97">
      <c r="A30" s="424">
        <v>45316</v>
      </c>
      <c r="B30" s="211" t="s">
        <v>250</v>
      </c>
      <c r="C30" s="213">
        <v>148.86000000000001</v>
      </c>
      <c r="D30" s="213">
        <v>146.86000000000001</v>
      </c>
      <c r="E30" s="213">
        <v>147.86000000000001</v>
      </c>
      <c r="F30" s="213">
        <v>162.31</v>
      </c>
      <c r="G30" s="213">
        <v>159.31</v>
      </c>
      <c r="H30" s="213">
        <v>160.81</v>
      </c>
      <c r="I30" s="213">
        <v>110.9</v>
      </c>
      <c r="J30" s="213">
        <v>107.7</v>
      </c>
      <c r="K30" s="213">
        <v>109.30000000000001</v>
      </c>
      <c r="L30" s="213">
        <v>191.93</v>
      </c>
      <c r="M30" s="213">
        <v>183.93</v>
      </c>
      <c r="N30" s="213">
        <v>187.93</v>
      </c>
      <c r="O30" s="213">
        <v>171.94</v>
      </c>
      <c r="P30" s="213">
        <v>170.14</v>
      </c>
      <c r="Q30" s="213">
        <v>171.04</v>
      </c>
      <c r="R30" s="213">
        <v>21.87</v>
      </c>
      <c r="S30" s="213">
        <v>21.27</v>
      </c>
      <c r="T30" s="213">
        <v>21.57</v>
      </c>
      <c r="U30" s="213">
        <v>14.41</v>
      </c>
      <c r="V30" s="213">
        <v>13.81</v>
      </c>
      <c r="W30" s="213">
        <v>14.11</v>
      </c>
      <c r="X30" s="213">
        <v>14.55</v>
      </c>
      <c r="Y30" s="213">
        <v>13.75</v>
      </c>
      <c r="Z30" s="213">
        <v>14.15</v>
      </c>
      <c r="AA30" s="213">
        <v>99.17</v>
      </c>
      <c r="AB30" s="213">
        <v>95.17</v>
      </c>
      <c r="AC30" s="213">
        <v>97.17</v>
      </c>
      <c r="AD30" s="213">
        <v>92.33</v>
      </c>
      <c r="AE30" s="213">
        <v>88.33</v>
      </c>
      <c r="AF30" s="213">
        <v>90.33</v>
      </c>
      <c r="AG30" s="213">
        <v>19.34</v>
      </c>
      <c r="AH30" s="213">
        <v>18.48</v>
      </c>
      <c r="AI30" s="213">
        <v>18.91</v>
      </c>
      <c r="AJ30" s="213"/>
      <c r="AK30" s="213"/>
      <c r="AL30" s="213"/>
      <c r="AM30" s="213">
        <v>111.21</v>
      </c>
      <c r="AN30" s="213">
        <v>109.55</v>
      </c>
      <c r="AO30" s="213">
        <v>110.38</v>
      </c>
      <c r="AP30" s="213">
        <v>40.29</v>
      </c>
      <c r="AQ30" s="213">
        <v>38.69</v>
      </c>
      <c r="AR30" s="213">
        <v>39.489999999999995</v>
      </c>
      <c r="AS30" s="213">
        <v>41.01</v>
      </c>
      <c r="AT30" s="213">
        <v>39.65</v>
      </c>
      <c r="AU30" s="213">
        <v>40.33</v>
      </c>
      <c r="AV30" s="213">
        <v>20.96</v>
      </c>
      <c r="AW30" s="213">
        <v>20.36</v>
      </c>
      <c r="AX30" s="213">
        <v>20.66</v>
      </c>
      <c r="AY30" s="213">
        <v>4.22</v>
      </c>
      <c r="AZ30" s="213">
        <v>4.0599999999999996</v>
      </c>
      <c r="BA30" s="213">
        <v>4.1399999999999997</v>
      </c>
      <c r="BB30" s="213">
        <v>1.94</v>
      </c>
      <c r="BC30" s="213">
        <v>1.64</v>
      </c>
      <c r="BD30" s="213">
        <v>1.79</v>
      </c>
      <c r="BE30" s="213">
        <v>0.68</v>
      </c>
      <c r="BF30" s="213">
        <v>0.38000000000000006</v>
      </c>
      <c r="BG30" s="213">
        <v>0.53</v>
      </c>
      <c r="BH30" s="213">
        <v>489.47</v>
      </c>
      <c r="BI30" s="213">
        <v>473.47</v>
      </c>
      <c r="BJ30" s="213">
        <v>481.47</v>
      </c>
      <c r="BK30" s="213">
        <v>41.32</v>
      </c>
      <c r="BL30" s="213">
        <v>39.96</v>
      </c>
      <c r="BM30" s="213">
        <v>40.64</v>
      </c>
      <c r="BN30" s="213">
        <v>1.07</v>
      </c>
      <c r="BO30" s="213">
        <v>0.83000000000000007</v>
      </c>
      <c r="BP30" s="213">
        <v>0.95000000000000007</v>
      </c>
      <c r="BQ30" s="213">
        <v>9.58</v>
      </c>
      <c r="BR30" s="213">
        <v>7.58</v>
      </c>
      <c r="BS30" s="213">
        <v>8.58</v>
      </c>
      <c r="BT30" s="213">
        <v>11.3</v>
      </c>
      <c r="BU30" s="213">
        <v>10.9</v>
      </c>
      <c r="BV30" s="213">
        <v>11.100000000000001</v>
      </c>
      <c r="BW30" s="213">
        <v>2.79</v>
      </c>
      <c r="BX30" s="213">
        <v>2.5099999999999998</v>
      </c>
      <c r="BY30" s="213">
        <v>2.65</v>
      </c>
      <c r="BZ30" s="213">
        <v>9.32</v>
      </c>
      <c r="CA30" s="213">
        <v>6.32</v>
      </c>
      <c r="CB30" s="213">
        <v>7.82</v>
      </c>
      <c r="CC30" s="213">
        <v>6.59</v>
      </c>
      <c r="CD30" s="213">
        <v>6.35</v>
      </c>
      <c r="CE30" s="213">
        <v>6.47</v>
      </c>
      <c r="CF30" s="213">
        <v>1.92</v>
      </c>
      <c r="CG30" s="213">
        <v>1.42</v>
      </c>
      <c r="CH30" s="213">
        <v>1.67</v>
      </c>
      <c r="CI30" s="213">
        <v>0.44</v>
      </c>
      <c r="CJ30" s="213">
        <v>0.4</v>
      </c>
      <c r="CK30" s="213">
        <v>0.42000000000000004</v>
      </c>
      <c r="CL30" s="213">
        <v>37.96</v>
      </c>
      <c r="CM30" s="213">
        <v>35.56</v>
      </c>
      <c r="CN30" s="213">
        <v>36.760000000000005</v>
      </c>
      <c r="CO30" s="213">
        <v>7.39</v>
      </c>
      <c r="CP30" s="213">
        <v>2.3899999999999997</v>
      </c>
      <c r="CQ30" s="213">
        <v>4.8899999999999997</v>
      </c>
      <c r="CR30" s="213"/>
      <c r="CS30" s="213"/>
    </row>
    <row r="31" spans="1:97">
      <c r="A31" s="424">
        <v>45317</v>
      </c>
      <c r="B31" s="211" t="s">
        <v>251</v>
      </c>
      <c r="C31" s="213">
        <v>148.69999999999999</v>
      </c>
      <c r="D31" s="213">
        <v>146.69999999999999</v>
      </c>
      <c r="E31" s="213">
        <v>147.69999999999999</v>
      </c>
      <c r="F31" s="213">
        <v>161.66999999999999</v>
      </c>
      <c r="G31" s="213">
        <v>158.66999999999999</v>
      </c>
      <c r="H31" s="213">
        <v>160.16999999999999</v>
      </c>
      <c r="I31" s="213">
        <v>111.2</v>
      </c>
      <c r="J31" s="213">
        <v>108</v>
      </c>
      <c r="K31" s="213">
        <v>109.6</v>
      </c>
      <c r="L31" s="213">
        <v>191.62</v>
      </c>
      <c r="M31" s="213">
        <v>183.62</v>
      </c>
      <c r="N31" s="213">
        <v>187.62</v>
      </c>
      <c r="O31" s="213">
        <v>171.14</v>
      </c>
      <c r="P31" s="213">
        <v>169.33999999999997</v>
      </c>
      <c r="Q31" s="213">
        <v>170.23999999999998</v>
      </c>
      <c r="R31" s="213">
        <v>21.78</v>
      </c>
      <c r="S31" s="213">
        <v>21.18</v>
      </c>
      <c r="T31" s="213">
        <v>21.48</v>
      </c>
      <c r="U31" s="213">
        <v>14.46</v>
      </c>
      <c r="V31" s="213">
        <v>13.860000000000001</v>
      </c>
      <c r="W31" s="213">
        <v>14.16</v>
      </c>
      <c r="X31" s="213">
        <v>14.53</v>
      </c>
      <c r="Y31" s="213">
        <v>13.729999999999999</v>
      </c>
      <c r="Z31" s="213">
        <v>14.129999999999999</v>
      </c>
      <c r="AA31" s="213">
        <v>99.23</v>
      </c>
      <c r="AB31" s="213">
        <v>95.23</v>
      </c>
      <c r="AC31" s="213">
        <v>97.23</v>
      </c>
      <c r="AD31" s="213">
        <v>92.2</v>
      </c>
      <c r="AE31" s="213">
        <v>88.2</v>
      </c>
      <c r="AF31" s="213">
        <v>90.2</v>
      </c>
      <c r="AG31" s="213">
        <v>19.32</v>
      </c>
      <c r="AH31" s="213">
        <v>18.46</v>
      </c>
      <c r="AI31" s="213">
        <v>18.89</v>
      </c>
      <c r="AJ31" s="213"/>
      <c r="AK31" s="213"/>
      <c r="AL31" s="213"/>
      <c r="AM31" s="213">
        <v>111</v>
      </c>
      <c r="AN31" s="213">
        <v>109.34</v>
      </c>
      <c r="AO31" s="213">
        <v>110.17</v>
      </c>
      <c r="AP31" s="213">
        <v>40.25</v>
      </c>
      <c r="AQ31" s="213">
        <v>38.65</v>
      </c>
      <c r="AR31" s="213">
        <v>39.450000000000003</v>
      </c>
      <c r="AS31" s="213">
        <v>40.97</v>
      </c>
      <c r="AT31" s="213">
        <v>39.61</v>
      </c>
      <c r="AU31" s="213">
        <v>40.29</v>
      </c>
      <c r="AV31" s="213">
        <v>20.87</v>
      </c>
      <c r="AW31" s="213">
        <v>20.27</v>
      </c>
      <c r="AX31" s="213">
        <v>20.57</v>
      </c>
      <c r="AY31" s="213">
        <v>4.21</v>
      </c>
      <c r="AZ31" s="213">
        <v>4.05</v>
      </c>
      <c r="BA31" s="213">
        <v>4.13</v>
      </c>
      <c r="BB31" s="213">
        <v>1.94</v>
      </c>
      <c r="BC31" s="213">
        <v>1.64</v>
      </c>
      <c r="BD31" s="213">
        <v>1.79</v>
      </c>
      <c r="BE31" s="213">
        <v>0.68</v>
      </c>
      <c r="BF31" s="213">
        <v>0.38000000000000006</v>
      </c>
      <c r="BG31" s="213">
        <v>0.53</v>
      </c>
      <c r="BH31" s="213">
        <v>488.95</v>
      </c>
      <c r="BI31" s="213">
        <v>472.95</v>
      </c>
      <c r="BJ31" s="213">
        <v>480.95</v>
      </c>
      <c r="BK31" s="213">
        <v>41.27</v>
      </c>
      <c r="BL31" s="213">
        <v>39.910000000000004</v>
      </c>
      <c r="BM31" s="213">
        <v>40.590000000000003</v>
      </c>
      <c r="BN31" s="213">
        <v>1.06</v>
      </c>
      <c r="BO31" s="213">
        <v>0.82000000000000006</v>
      </c>
      <c r="BP31" s="213">
        <v>0.94000000000000006</v>
      </c>
      <c r="BQ31" s="213">
        <v>9.59</v>
      </c>
      <c r="BR31" s="213">
        <v>7.59</v>
      </c>
      <c r="BS31" s="213">
        <v>8.59</v>
      </c>
      <c r="BT31" s="213">
        <v>11.26</v>
      </c>
      <c r="BU31" s="213">
        <v>10.86</v>
      </c>
      <c r="BV31" s="213">
        <v>11.059999999999999</v>
      </c>
      <c r="BW31" s="213">
        <v>2.77</v>
      </c>
      <c r="BX31" s="213">
        <v>2.4900000000000002</v>
      </c>
      <c r="BY31" s="213">
        <v>2.63</v>
      </c>
      <c r="BZ31" s="213">
        <v>9.32</v>
      </c>
      <c r="CA31" s="213">
        <v>6.32</v>
      </c>
      <c r="CB31" s="213">
        <v>7.82</v>
      </c>
      <c r="CC31" s="213">
        <v>6.6</v>
      </c>
      <c r="CD31" s="213">
        <v>6.3599999999999994</v>
      </c>
      <c r="CE31" s="213">
        <v>6.4799999999999995</v>
      </c>
      <c r="CF31" s="213">
        <v>1.91</v>
      </c>
      <c r="CG31" s="213">
        <v>1.41</v>
      </c>
      <c r="CH31" s="213">
        <v>1.66</v>
      </c>
      <c r="CI31" s="213">
        <v>0.44</v>
      </c>
      <c r="CJ31" s="213">
        <v>0.4</v>
      </c>
      <c r="CK31" s="213">
        <v>0.42000000000000004</v>
      </c>
      <c r="CL31" s="213">
        <v>37.840000000000003</v>
      </c>
      <c r="CM31" s="213">
        <v>35.440000000000005</v>
      </c>
      <c r="CN31" s="213">
        <v>36.64</v>
      </c>
      <c r="CO31" s="213">
        <v>7.39</v>
      </c>
      <c r="CP31" s="213">
        <v>2.3899999999999997</v>
      </c>
      <c r="CQ31" s="213">
        <v>4.8899999999999997</v>
      </c>
      <c r="CR31" s="213"/>
      <c r="CS31" s="213"/>
    </row>
    <row r="32" spans="1:97">
      <c r="A32" s="424">
        <v>45318</v>
      </c>
      <c r="B32" s="211" t="s">
        <v>252</v>
      </c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13"/>
      <c r="N32" s="213"/>
      <c r="O32" s="213"/>
      <c r="P32" s="213"/>
      <c r="Q32" s="213"/>
      <c r="R32" s="213"/>
      <c r="S32" s="213"/>
      <c r="T32" s="213"/>
      <c r="U32" s="213"/>
      <c r="V32" s="213"/>
      <c r="W32" s="213"/>
      <c r="X32" s="213"/>
      <c r="Y32" s="213"/>
      <c r="Z32" s="213"/>
      <c r="AA32" s="213"/>
      <c r="AB32" s="213"/>
      <c r="AC32" s="213"/>
      <c r="AD32" s="213"/>
      <c r="AE32" s="213"/>
      <c r="AF32" s="213"/>
      <c r="AG32" s="213"/>
      <c r="AH32" s="213"/>
      <c r="AI32" s="213"/>
      <c r="AJ32" s="213"/>
      <c r="AK32" s="213"/>
      <c r="AL32" s="213"/>
      <c r="AM32" s="213"/>
      <c r="AN32" s="213"/>
      <c r="AO32" s="213"/>
      <c r="AP32" s="213"/>
      <c r="AQ32" s="213"/>
      <c r="AR32" s="213"/>
      <c r="AS32" s="213"/>
      <c r="AT32" s="213"/>
      <c r="AU32" s="213"/>
      <c r="AV32" s="213"/>
      <c r="AW32" s="213"/>
      <c r="AX32" s="213"/>
      <c r="AY32" s="213"/>
      <c r="AZ32" s="213"/>
      <c r="BA32" s="213"/>
      <c r="BB32" s="213"/>
      <c r="BC32" s="213"/>
      <c r="BD32" s="213"/>
      <c r="BE32" s="213"/>
      <c r="BF32" s="213"/>
      <c r="BG32" s="213"/>
      <c r="BH32" s="213"/>
      <c r="BI32" s="213"/>
      <c r="BJ32" s="213"/>
      <c r="BK32" s="213"/>
      <c r="BL32" s="213"/>
      <c r="BM32" s="213"/>
      <c r="BN32" s="213"/>
      <c r="BO32" s="213"/>
      <c r="BP32" s="213"/>
      <c r="BQ32" s="213"/>
      <c r="BR32" s="213"/>
      <c r="BS32" s="213"/>
      <c r="BT32" s="213"/>
      <c r="BU32" s="213"/>
      <c r="BV32" s="213"/>
      <c r="BW32" s="213"/>
      <c r="BX32" s="213"/>
      <c r="BY32" s="213"/>
      <c r="BZ32" s="213"/>
      <c r="CA32" s="213"/>
      <c r="CB32" s="213"/>
      <c r="CC32" s="213"/>
      <c r="CD32" s="213"/>
      <c r="CE32" s="213"/>
      <c r="CF32" s="213"/>
      <c r="CG32" s="213"/>
      <c r="CH32" s="213"/>
      <c r="CI32" s="213"/>
      <c r="CJ32" s="213"/>
      <c r="CK32" s="213"/>
      <c r="CL32" s="213"/>
      <c r="CM32" s="213"/>
      <c r="CN32" s="213"/>
      <c r="CO32" s="213"/>
      <c r="CP32" s="213"/>
      <c r="CQ32" s="213"/>
      <c r="CR32" s="213"/>
      <c r="CS32" s="213"/>
    </row>
    <row r="33" spans="1:97">
      <c r="A33" s="424">
        <v>45319</v>
      </c>
      <c r="B33" s="211" t="s">
        <v>253</v>
      </c>
      <c r="C33" s="213"/>
      <c r="D33" s="213"/>
      <c r="E33" s="213"/>
      <c r="F33" s="213"/>
      <c r="G33" s="213"/>
      <c r="H33" s="213"/>
      <c r="I33" s="213"/>
      <c r="J33" s="213"/>
      <c r="K33" s="213"/>
      <c r="L33" s="213"/>
      <c r="M33" s="213"/>
      <c r="N33" s="213"/>
      <c r="O33" s="213"/>
      <c r="P33" s="213"/>
      <c r="Q33" s="213"/>
      <c r="R33" s="213"/>
      <c r="S33" s="213"/>
      <c r="T33" s="213"/>
      <c r="U33" s="213"/>
      <c r="V33" s="213"/>
      <c r="W33" s="213"/>
      <c r="X33" s="213"/>
      <c r="Y33" s="213"/>
      <c r="Z33" s="213"/>
      <c r="AA33" s="213"/>
      <c r="AB33" s="213"/>
      <c r="AC33" s="213"/>
      <c r="AD33" s="213"/>
      <c r="AE33" s="213"/>
      <c r="AF33" s="213"/>
      <c r="AG33" s="213"/>
      <c r="AH33" s="213"/>
      <c r="AI33" s="213"/>
      <c r="AJ33" s="213"/>
      <c r="AK33" s="213"/>
      <c r="AL33" s="213"/>
      <c r="AM33" s="213"/>
      <c r="AN33" s="213"/>
      <c r="AO33" s="213"/>
      <c r="AP33" s="213"/>
      <c r="AQ33" s="213"/>
      <c r="AR33" s="213"/>
      <c r="AS33" s="213"/>
      <c r="AT33" s="213"/>
      <c r="AU33" s="213"/>
      <c r="AV33" s="213"/>
      <c r="AW33" s="213"/>
      <c r="AX33" s="213"/>
      <c r="AY33" s="213"/>
      <c r="AZ33" s="213"/>
      <c r="BA33" s="213"/>
      <c r="BB33" s="213"/>
      <c r="BC33" s="213"/>
      <c r="BD33" s="213"/>
      <c r="BE33" s="213"/>
      <c r="BF33" s="213"/>
      <c r="BG33" s="213"/>
      <c r="BH33" s="213"/>
      <c r="BI33" s="213"/>
      <c r="BJ33" s="213"/>
      <c r="BK33" s="213"/>
      <c r="BL33" s="213"/>
      <c r="BM33" s="213"/>
      <c r="BN33" s="213"/>
      <c r="BO33" s="213"/>
      <c r="BP33" s="213"/>
      <c r="BQ33" s="213"/>
      <c r="BR33" s="213"/>
      <c r="BS33" s="213"/>
      <c r="BT33" s="213"/>
      <c r="BU33" s="213"/>
      <c r="BV33" s="213"/>
      <c r="BW33" s="213"/>
      <c r="BX33" s="213"/>
      <c r="BY33" s="213"/>
      <c r="BZ33" s="213"/>
      <c r="CA33" s="213"/>
      <c r="CB33" s="213"/>
      <c r="CC33" s="213"/>
      <c r="CD33" s="213"/>
      <c r="CE33" s="213"/>
      <c r="CF33" s="213"/>
      <c r="CG33" s="213"/>
      <c r="CH33" s="213"/>
      <c r="CI33" s="213"/>
      <c r="CJ33" s="213"/>
      <c r="CK33" s="213"/>
      <c r="CL33" s="213"/>
      <c r="CM33" s="213"/>
      <c r="CN33" s="213"/>
      <c r="CO33" s="213"/>
      <c r="CP33" s="213"/>
      <c r="CQ33" s="213"/>
      <c r="CR33" s="213"/>
      <c r="CS33" s="213"/>
    </row>
    <row r="34" spans="1:97">
      <c r="A34" s="424">
        <v>45320</v>
      </c>
      <c r="B34" s="211" t="s">
        <v>247</v>
      </c>
      <c r="C34" s="213">
        <v>149.25</v>
      </c>
      <c r="D34" s="213">
        <v>147.25</v>
      </c>
      <c r="E34" s="213">
        <v>148.25</v>
      </c>
      <c r="F34" s="213">
        <v>162.22999999999999</v>
      </c>
      <c r="G34" s="213">
        <v>159.22999999999999</v>
      </c>
      <c r="H34" s="213">
        <v>160.72999999999999</v>
      </c>
      <c r="I34" s="213">
        <v>111.75</v>
      </c>
      <c r="J34" s="213">
        <v>108.55</v>
      </c>
      <c r="K34" s="213">
        <v>110.15</v>
      </c>
      <c r="L34" s="213">
        <v>192.11</v>
      </c>
      <c r="M34" s="213">
        <v>184.11</v>
      </c>
      <c r="N34" s="213">
        <v>188.11</v>
      </c>
      <c r="O34" s="213">
        <v>172.49</v>
      </c>
      <c r="P34" s="213">
        <v>170.69</v>
      </c>
      <c r="Q34" s="213">
        <v>171.59</v>
      </c>
      <c r="R34" s="213">
        <v>21.86</v>
      </c>
      <c r="S34" s="213">
        <v>21.259999999999998</v>
      </c>
      <c r="T34" s="213">
        <v>21.56</v>
      </c>
      <c r="U34" s="213">
        <v>14.51</v>
      </c>
      <c r="V34" s="213">
        <v>13.91</v>
      </c>
      <c r="W34" s="213">
        <v>14.21</v>
      </c>
      <c r="X34" s="213">
        <v>14.57</v>
      </c>
      <c r="Y34" s="213">
        <v>13.77</v>
      </c>
      <c r="Z34" s="213">
        <v>14.17</v>
      </c>
      <c r="AA34" s="213">
        <v>99.49</v>
      </c>
      <c r="AB34" s="213">
        <v>95.49</v>
      </c>
      <c r="AC34" s="213">
        <v>97.49</v>
      </c>
      <c r="AD34" s="213">
        <v>92.37</v>
      </c>
      <c r="AE34" s="213">
        <v>88.37</v>
      </c>
      <c r="AF34" s="213">
        <v>90.37</v>
      </c>
      <c r="AG34" s="213">
        <v>19.399999999999999</v>
      </c>
      <c r="AH34" s="213">
        <v>18.54</v>
      </c>
      <c r="AI34" s="213">
        <v>18.97</v>
      </c>
      <c r="AJ34" s="213"/>
      <c r="AK34" s="213"/>
      <c r="AL34" s="213"/>
      <c r="AM34" s="213">
        <v>111.23</v>
      </c>
      <c r="AN34" s="213">
        <v>109.57000000000001</v>
      </c>
      <c r="AO34" s="213">
        <v>110.4</v>
      </c>
      <c r="AP34" s="213">
        <v>40.29</v>
      </c>
      <c r="AQ34" s="213">
        <v>38.69</v>
      </c>
      <c r="AR34" s="213">
        <v>39.489999999999995</v>
      </c>
      <c r="AS34" s="213">
        <v>41.11</v>
      </c>
      <c r="AT34" s="213">
        <v>39.75</v>
      </c>
      <c r="AU34" s="213">
        <v>40.43</v>
      </c>
      <c r="AV34" s="213">
        <v>20.91</v>
      </c>
      <c r="AW34" s="213">
        <v>20.309999999999999</v>
      </c>
      <c r="AX34" s="213">
        <v>20.61</v>
      </c>
      <c r="AY34" s="213">
        <v>4.24</v>
      </c>
      <c r="AZ34" s="213">
        <v>4.08</v>
      </c>
      <c r="BA34" s="213">
        <v>4.16</v>
      </c>
      <c r="BB34" s="213">
        <v>1.94</v>
      </c>
      <c r="BC34" s="213">
        <v>1.64</v>
      </c>
      <c r="BD34" s="213">
        <v>1.79</v>
      </c>
      <c r="BE34" s="213">
        <v>0.68</v>
      </c>
      <c r="BF34" s="213">
        <v>0.38000000000000006</v>
      </c>
      <c r="BG34" s="213">
        <v>0.53</v>
      </c>
      <c r="BH34" s="213">
        <v>490.9</v>
      </c>
      <c r="BI34" s="213">
        <v>474.9</v>
      </c>
      <c r="BJ34" s="213">
        <v>482.9</v>
      </c>
      <c r="BK34" s="213">
        <v>41.43</v>
      </c>
      <c r="BL34" s="213">
        <v>40.07</v>
      </c>
      <c r="BM34" s="213">
        <v>40.75</v>
      </c>
      <c r="BN34" s="213">
        <v>1.06</v>
      </c>
      <c r="BO34" s="213">
        <v>0.82000000000000006</v>
      </c>
      <c r="BP34" s="213">
        <v>0.94000000000000006</v>
      </c>
      <c r="BQ34" s="213">
        <v>9.6300000000000008</v>
      </c>
      <c r="BR34" s="213">
        <v>7.6300000000000008</v>
      </c>
      <c r="BS34" s="213">
        <v>8.6300000000000008</v>
      </c>
      <c r="BT34" s="213">
        <v>11.3</v>
      </c>
      <c r="BU34" s="213">
        <v>10.9</v>
      </c>
      <c r="BV34" s="213">
        <v>11.100000000000001</v>
      </c>
      <c r="BW34" s="213">
        <v>2.79</v>
      </c>
      <c r="BX34" s="213">
        <v>2.5099999999999998</v>
      </c>
      <c r="BY34" s="213">
        <v>2.65</v>
      </c>
      <c r="BZ34" s="213">
        <v>9.3800000000000008</v>
      </c>
      <c r="CA34" s="213">
        <v>6.3800000000000008</v>
      </c>
      <c r="CB34" s="213">
        <v>7.8800000000000008</v>
      </c>
      <c r="CC34" s="213">
        <v>6.62</v>
      </c>
      <c r="CD34" s="213">
        <v>6.38</v>
      </c>
      <c r="CE34" s="213">
        <v>6.5</v>
      </c>
      <c r="CF34" s="213">
        <v>1.9</v>
      </c>
      <c r="CG34" s="213">
        <v>1.4</v>
      </c>
      <c r="CH34" s="213">
        <v>1.65</v>
      </c>
      <c r="CI34" s="213">
        <v>0.43</v>
      </c>
      <c r="CJ34" s="213">
        <v>0.39</v>
      </c>
      <c r="CK34" s="213">
        <v>0.41000000000000003</v>
      </c>
      <c r="CL34" s="213">
        <v>38.01</v>
      </c>
      <c r="CM34" s="213">
        <v>35.61</v>
      </c>
      <c r="CN34" s="213">
        <v>36.81</v>
      </c>
      <c r="CO34" s="213">
        <v>7.39</v>
      </c>
      <c r="CP34" s="213">
        <v>2.3899999999999997</v>
      </c>
      <c r="CQ34" s="213">
        <v>4.8899999999999997</v>
      </c>
      <c r="CR34" s="213"/>
      <c r="CS34" s="213"/>
    </row>
    <row r="35" spans="1:97">
      <c r="A35" s="424">
        <v>45321</v>
      </c>
      <c r="B35" s="211" t="s">
        <v>248</v>
      </c>
      <c r="C35" s="213">
        <v>148.38</v>
      </c>
      <c r="D35" s="213">
        <v>146.38</v>
      </c>
      <c r="E35" s="213">
        <v>147.38</v>
      </c>
      <c r="F35" s="213">
        <v>161.30000000000001</v>
      </c>
      <c r="G35" s="213">
        <v>158.30000000000001</v>
      </c>
      <c r="H35" s="213">
        <v>159.80000000000001</v>
      </c>
      <c r="I35" s="213">
        <v>111.57</v>
      </c>
      <c r="J35" s="213">
        <v>108.36999999999999</v>
      </c>
      <c r="K35" s="213">
        <v>109.97</v>
      </c>
      <c r="L35" s="213">
        <v>191.45</v>
      </c>
      <c r="M35" s="213">
        <v>183.45</v>
      </c>
      <c r="N35" s="213">
        <v>187.45</v>
      </c>
      <c r="O35" s="213">
        <v>172.01</v>
      </c>
      <c r="P35" s="213">
        <v>170.20999999999998</v>
      </c>
      <c r="Q35" s="213">
        <v>171.10999999999999</v>
      </c>
      <c r="R35" s="213">
        <v>21.74</v>
      </c>
      <c r="S35" s="213">
        <v>21.139999999999997</v>
      </c>
      <c r="T35" s="213">
        <v>21.439999999999998</v>
      </c>
      <c r="U35" s="213">
        <v>14.46</v>
      </c>
      <c r="V35" s="213">
        <v>13.860000000000001</v>
      </c>
      <c r="W35" s="213">
        <v>14.16</v>
      </c>
      <c r="X35" s="213">
        <v>14.58</v>
      </c>
      <c r="Y35" s="213">
        <v>13.78</v>
      </c>
      <c r="Z35" s="213">
        <v>14.18</v>
      </c>
      <c r="AA35" s="213">
        <v>99.61</v>
      </c>
      <c r="AB35" s="213">
        <v>95.61</v>
      </c>
      <c r="AC35" s="213">
        <v>97.61</v>
      </c>
      <c r="AD35" s="213">
        <v>92.54</v>
      </c>
      <c r="AE35" s="213">
        <v>88.54</v>
      </c>
      <c r="AF35" s="213">
        <v>90.54</v>
      </c>
      <c r="AG35" s="213">
        <v>19.29</v>
      </c>
      <c r="AH35" s="213">
        <v>18.43</v>
      </c>
      <c r="AI35" s="213">
        <v>18.86</v>
      </c>
      <c r="AJ35" s="213"/>
      <c r="AK35" s="213"/>
      <c r="AL35" s="213"/>
      <c r="AM35" s="213">
        <v>110.91</v>
      </c>
      <c r="AN35" s="213">
        <v>109.25</v>
      </c>
      <c r="AO35" s="213">
        <v>110.08</v>
      </c>
      <c r="AP35" s="213">
        <v>40.159999999999997</v>
      </c>
      <c r="AQ35" s="213">
        <v>38.559999999999995</v>
      </c>
      <c r="AR35" s="213">
        <v>39.36</v>
      </c>
      <c r="AS35" s="213">
        <v>40.869999999999997</v>
      </c>
      <c r="AT35" s="213">
        <v>39.51</v>
      </c>
      <c r="AU35" s="213">
        <v>40.19</v>
      </c>
      <c r="AV35" s="213">
        <v>20.81</v>
      </c>
      <c r="AW35" s="213">
        <v>20.209999999999997</v>
      </c>
      <c r="AX35" s="213">
        <v>20.509999999999998</v>
      </c>
      <c r="AY35" s="213">
        <v>4.25</v>
      </c>
      <c r="AZ35" s="213">
        <v>4.09</v>
      </c>
      <c r="BA35" s="213">
        <v>4.17</v>
      </c>
      <c r="BB35" s="213">
        <v>1.93</v>
      </c>
      <c r="BC35" s="213">
        <v>1.63</v>
      </c>
      <c r="BD35" s="213">
        <v>1.7799999999999998</v>
      </c>
      <c r="BE35" s="213">
        <v>0.68</v>
      </c>
      <c r="BF35" s="213">
        <v>0.38000000000000006</v>
      </c>
      <c r="BG35" s="213">
        <v>0.53</v>
      </c>
      <c r="BH35" s="213">
        <v>487.91</v>
      </c>
      <c r="BI35" s="213">
        <v>471.91</v>
      </c>
      <c r="BJ35" s="213">
        <v>479.91</v>
      </c>
      <c r="BK35" s="213">
        <v>41.18</v>
      </c>
      <c r="BL35" s="213">
        <v>39.82</v>
      </c>
      <c r="BM35" s="213">
        <v>40.5</v>
      </c>
      <c r="BN35" s="213">
        <v>1.06</v>
      </c>
      <c r="BO35" s="213">
        <v>0.82000000000000006</v>
      </c>
      <c r="BP35" s="213">
        <v>0.94000000000000006</v>
      </c>
      <c r="BQ35" s="213">
        <v>9.56</v>
      </c>
      <c r="BR35" s="213">
        <v>7.5600000000000005</v>
      </c>
      <c r="BS35" s="213">
        <v>8.56</v>
      </c>
      <c r="BT35" s="213">
        <v>11.29</v>
      </c>
      <c r="BU35" s="213">
        <v>10.889999999999999</v>
      </c>
      <c r="BV35" s="213">
        <v>11.09</v>
      </c>
      <c r="BW35" s="213">
        <v>2.78</v>
      </c>
      <c r="BX35" s="213">
        <v>2.5</v>
      </c>
      <c r="BY35" s="213">
        <v>2.6399999999999997</v>
      </c>
      <c r="BZ35" s="213">
        <v>9.33</v>
      </c>
      <c r="CA35" s="213">
        <v>6.33</v>
      </c>
      <c r="CB35" s="213">
        <v>7.83</v>
      </c>
      <c r="CC35" s="213">
        <v>6.57</v>
      </c>
      <c r="CD35" s="213">
        <v>6.33</v>
      </c>
      <c r="CE35" s="213">
        <v>6.45</v>
      </c>
      <c r="CF35" s="213">
        <v>1.9</v>
      </c>
      <c r="CG35" s="213">
        <v>1.4</v>
      </c>
      <c r="CH35" s="213">
        <v>1.65</v>
      </c>
      <c r="CI35" s="213">
        <v>0.43</v>
      </c>
      <c r="CJ35" s="213">
        <v>0.39</v>
      </c>
      <c r="CK35" s="213">
        <v>0.41000000000000003</v>
      </c>
      <c r="CL35" s="213">
        <v>37.82</v>
      </c>
      <c r="CM35" s="213">
        <v>35.42</v>
      </c>
      <c r="CN35" s="213">
        <v>36.620000000000005</v>
      </c>
      <c r="CO35" s="213">
        <v>7.36</v>
      </c>
      <c r="CP35" s="213">
        <v>2.3600000000000003</v>
      </c>
      <c r="CQ35" s="213">
        <v>4.8600000000000003</v>
      </c>
      <c r="CR35" s="213"/>
      <c r="CS35" s="213"/>
    </row>
    <row r="36" spans="1:97">
      <c r="A36" s="424">
        <v>45322</v>
      </c>
      <c r="B36" s="211" t="s">
        <v>249</v>
      </c>
      <c r="C36" s="213">
        <v>148.55000000000001</v>
      </c>
      <c r="D36" s="213">
        <v>146.55000000000001</v>
      </c>
      <c r="E36" s="213">
        <v>147.55000000000001</v>
      </c>
      <c r="F36" s="213">
        <v>161.47</v>
      </c>
      <c r="G36" s="213">
        <v>158.47</v>
      </c>
      <c r="H36" s="213">
        <v>159.97</v>
      </c>
      <c r="I36" s="213">
        <v>111.66</v>
      </c>
      <c r="J36" s="213">
        <v>108.46</v>
      </c>
      <c r="K36" s="213">
        <v>110.06</v>
      </c>
      <c r="L36" s="213">
        <v>191.33</v>
      </c>
      <c r="M36" s="213">
        <v>183.33</v>
      </c>
      <c r="N36" s="213">
        <v>187.33</v>
      </c>
      <c r="O36" s="213">
        <v>172.07</v>
      </c>
      <c r="P36" s="213">
        <v>170.26999999999998</v>
      </c>
      <c r="Q36" s="213">
        <v>171.17</v>
      </c>
      <c r="R36" s="213">
        <v>21.76</v>
      </c>
      <c r="S36" s="213">
        <v>21.16</v>
      </c>
      <c r="T36" s="213">
        <v>21.46</v>
      </c>
      <c r="U36" s="213">
        <v>14.44</v>
      </c>
      <c r="V36" s="213">
        <v>13.84</v>
      </c>
      <c r="W36" s="213">
        <v>14.14</v>
      </c>
      <c r="X36" s="213">
        <v>14.57</v>
      </c>
      <c r="Y36" s="213">
        <v>13.77</v>
      </c>
      <c r="Z36" s="213">
        <v>14.17</v>
      </c>
      <c r="AA36" s="213">
        <v>99.16</v>
      </c>
      <c r="AB36" s="213">
        <v>95.16</v>
      </c>
      <c r="AC36" s="213">
        <v>97.16</v>
      </c>
      <c r="AD36" s="213">
        <v>92.49</v>
      </c>
      <c r="AE36" s="213">
        <v>88.49</v>
      </c>
      <c r="AF36" s="213">
        <v>90.49</v>
      </c>
      <c r="AG36" s="213">
        <v>19.3</v>
      </c>
      <c r="AH36" s="213">
        <v>18.440000000000001</v>
      </c>
      <c r="AI36" s="213">
        <v>18.87</v>
      </c>
      <c r="AJ36" s="213"/>
      <c r="AK36" s="213"/>
      <c r="AL36" s="213"/>
      <c r="AM36" s="213">
        <v>111</v>
      </c>
      <c r="AN36" s="213">
        <v>109.34</v>
      </c>
      <c r="AO36" s="213">
        <v>110.17</v>
      </c>
      <c r="AP36" s="213">
        <v>40.21</v>
      </c>
      <c r="AQ36" s="213">
        <v>38.61</v>
      </c>
      <c r="AR36" s="213">
        <v>39.409999999999997</v>
      </c>
      <c r="AS36" s="213">
        <v>40.92</v>
      </c>
      <c r="AT36" s="213">
        <v>39.56</v>
      </c>
      <c r="AU36" s="213">
        <v>40.24</v>
      </c>
      <c r="AV36" s="213">
        <v>20.82</v>
      </c>
      <c r="AW36" s="213">
        <v>20.22</v>
      </c>
      <c r="AX36" s="213">
        <v>20.52</v>
      </c>
      <c r="AY36" s="213">
        <v>4.26</v>
      </c>
      <c r="AZ36" s="213">
        <v>4.0999999999999996</v>
      </c>
      <c r="BA36" s="213">
        <v>4.18</v>
      </c>
      <c r="BB36" s="213">
        <v>1.94</v>
      </c>
      <c r="BC36" s="213">
        <v>1.64</v>
      </c>
      <c r="BD36" s="213">
        <v>1.79</v>
      </c>
      <c r="BE36" s="213">
        <v>0.68</v>
      </c>
      <c r="BF36" s="213">
        <v>0.38000000000000006</v>
      </c>
      <c r="BG36" s="213">
        <v>0.53</v>
      </c>
      <c r="BH36" s="213">
        <v>488.46</v>
      </c>
      <c r="BI36" s="213">
        <v>472.46</v>
      </c>
      <c r="BJ36" s="213">
        <v>480.46</v>
      </c>
      <c r="BK36" s="213">
        <v>41.24</v>
      </c>
      <c r="BL36" s="213">
        <v>39.880000000000003</v>
      </c>
      <c r="BM36" s="213">
        <v>40.56</v>
      </c>
      <c r="BN36" s="213">
        <v>1.06</v>
      </c>
      <c r="BO36" s="213">
        <v>0.82000000000000006</v>
      </c>
      <c r="BP36" s="213">
        <v>0.94000000000000006</v>
      </c>
      <c r="BQ36" s="213">
        <v>9.6</v>
      </c>
      <c r="BR36" s="213">
        <v>7.6</v>
      </c>
      <c r="BS36" s="213">
        <v>8.6</v>
      </c>
      <c r="BT36" s="213">
        <v>11.29</v>
      </c>
      <c r="BU36" s="213">
        <v>10.889999999999999</v>
      </c>
      <c r="BV36" s="213">
        <v>11.09</v>
      </c>
      <c r="BW36" s="213">
        <v>2.78</v>
      </c>
      <c r="BX36" s="213">
        <v>2.5</v>
      </c>
      <c r="BY36" s="213">
        <v>2.6399999999999997</v>
      </c>
      <c r="BZ36" s="213">
        <v>9.35</v>
      </c>
      <c r="CA36" s="213">
        <v>6.35</v>
      </c>
      <c r="CB36" s="213">
        <v>7.85</v>
      </c>
      <c r="CC36" s="213">
        <v>6.59</v>
      </c>
      <c r="CD36" s="213">
        <v>6.35</v>
      </c>
      <c r="CE36" s="213">
        <v>6.47</v>
      </c>
      <c r="CF36" s="213">
        <v>1.9</v>
      </c>
      <c r="CG36" s="213">
        <v>1.4</v>
      </c>
      <c r="CH36" s="213">
        <v>1.65</v>
      </c>
      <c r="CI36" s="213">
        <v>0.43</v>
      </c>
      <c r="CJ36" s="213">
        <v>0.39</v>
      </c>
      <c r="CK36" s="213">
        <v>0.41000000000000003</v>
      </c>
      <c r="CL36" s="213">
        <v>37.99</v>
      </c>
      <c r="CM36" s="213">
        <v>35.590000000000003</v>
      </c>
      <c r="CN36" s="213">
        <v>36.790000000000006</v>
      </c>
      <c r="CO36" s="213">
        <v>7.37</v>
      </c>
      <c r="CP36" s="213">
        <v>2.37</v>
      </c>
      <c r="CQ36" s="213">
        <v>4.87</v>
      </c>
      <c r="CR36" s="213"/>
      <c r="CS36" s="213"/>
    </row>
    <row r="37" spans="1:97">
      <c r="A37" s="424">
        <v>45323</v>
      </c>
      <c r="B37" s="211" t="s">
        <v>250</v>
      </c>
      <c r="C37" s="213">
        <v>147.85</v>
      </c>
      <c r="D37" s="213">
        <v>145.85</v>
      </c>
      <c r="E37" s="213">
        <v>146.85</v>
      </c>
      <c r="F37" s="213">
        <v>160.27000000000001</v>
      </c>
      <c r="G37" s="213">
        <v>157.27000000000001</v>
      </c>
      <c r="H37" s="213">
        <v>158.77000000000001</v>
      </c>
      <c r="I37" s="213">
        <v>110.99</v>
      </c>
      <c r="J37" s="213">
        <v>107.78999999999999</v>
      </c>
      <c r="K37" s="213">
        <v>109.38999999999999</v>
      </c>
      <c r="L37" s="213">
        <v>190.34</v>
      </c>
      <c r="M37" s="213">
        <v>182.34</v>
      </c>
      <c r="N37" s="213">
        <v>186.34</v>
      </c>
      <c r="O37" s="213">
        <v>171.16</v>
      </c>
      <c r="P37" s="213">
        <v>169.35999999999999</v>
      </c>
      <c r="Q37" s="213">
        <v>170.26</v>
      </c>
      <c r="R37" s="213">
        <v>21.6</v>
      </c>
      <c r="S37" s="213">
        <v>21</v>
      </c>
      <c r="T37" s="213">
        <v>21.3</v>
      </c>
      <c r="U37" s="213">
        <v>14.27</v>
      </c>
      <c r="V37" s="213">
        <v>13.67</v>
      </c>
      <c r="W37" s="213">
        <v>13.969999999999999</v>
      </c>
      <c r="X37" s="213">
        <v>14.54</v>
      </c>
      <c r="Y37" s="213">
        <v>13.739999999999998</v>
      </c>
      <c r="Z37" s="213">
        <v>14.139999999999999</v>
      </c>
      <c r="AA37" s="213">
        <v>98.6</v>
      </c>
      <c r="AB37" s="213">
        <v>94.6</v>
      </c>
      <c r="AC37" s="213">
        <v>96.6</v>
      </c>
      <c r="AD37" s="213">
        <v>91.96</v>
      </c>
      <c r="AE37" s="213">
        <v>87.96</v>
      </c>
      <c r="AF37" s="213">
        <v>89.96</v>
      </c>
      <c r="AG37" s="213">
        <v>19.21</v>
      </c>
      <c r="AH37" s="213">
        <v>18.350000000000001</v>
      </c>
      <c r="AI37" s="213">
        <v>18.78</v>
      </c>
      <c r="AJ37" s="213"/>
      <c r="AK37" s="213"/>
      <c r="AL37" s="213"/>
      <c r="AM37" s="213">
        <v>110.46</v>
      </c>
      <c r="AN37" s="213">
        <v>108.8</v>
      </c>
      <c r="AO37" s="213">
        <v>109.63</v>
      </c>
      <c r="AP37" s="213">
        <v>40.020000000000003</v>
      </c>
      <c r="AQ37" s="213">
        <v>38.42</v>
      </c>
      <c r="AR37" s="213">
        <v>39.22</v>
      </c>
      <c r="AS37" s="213">
        <v>40.729999999999997</v>
      </c>
      <c r="AT37" s="213">
        <v>39.369999999999997</v>
      </c>
      <c r="AU37" s="213">
        <v>40.049999999999997</v>
      </c>
      <c r="AV37" s="213">
        <v>20.74</v>
      </c>
      <c r="AW37" s="213">
        <v>20.139999999999997</v>
      </c>
      <c r="AX37" s="213">
        <v>20.439999999999998</v>
      </c>
      <c r="AY37" s="213">
        <v>4.22</v>
      </c>
      <c r="AZ37" s="213">
        <v>4.0599999999999996</v>
      </c>
      <c r="BA37" s="213">
        <v>4.1399999999999997</v>
      </c>
      <c r="BB37" s="213">
        <v>1.93</v>
      </c>
      <c r="BC37" s="213">
        <v>1.63</v>
      </c>
      <c r="BD37" s="213">
        <v>1.7799999999999998</v>
      </c>
      <c r="BE37" s="213">
        <v>0.68</v>
      </c>
      <c r="BF37" s="213">
        <v>0.38000000000000006</v>
      </c>
      <c r="BG37" s="213">
        <v>0.53</v>
      </c>
      <c r="BH37" s="213">
        <v>486.49</v>
      </c>
      <c r="BI37" s="213">
        <v>470.49</v>
      </c>
      <c r="BJ37" s="213">
        <v>478.49</v>
      </c>
      <c r="BK37" s="213">
        <v>41.05</v>
      </c>
      <c r="BL37" s="213">
        <v>39.69</v>
      </c>
      <c r="BM37" s="213">
        <v>40.369999999999997</v>
      </c>
      <c r="BN37" s="213">
        <v>1.05</v>
      </c>
      <c r="BO37" s="213">
        <v>0.81</v>
      </c>
      <c r="BP37" s="213">
        <v>0.93</v>
      </c>
      <c r="BQ37" s="213">
        <v>9.5399999999999991</v>
      </c>
      <c r="BR37" s="213">
        <v>7.5399999999999991</v>
      </c>
      <c r="BS37" s="213">
        <v>8.5399999999999991</v>
      </c>
      <c r="BT37" s="213">
        <v>11.24</v>
      </c>
      <c r="BU37" s="213">
        <v>10.84</v>
      </c>
      <c r="BV37" s="213">
        <v>11.04</v>
      </c>
      <c r="BW37" s="213">
        <v>2.77</v>
      </c>
      <c r="BX37" s="213">
        <v>2.4900000000000002</v>
      </c>
      <c r="BY37" s="213">
        <v>2.63</v>
      </c>
      <c r="BZ37" s="213">
        <v>9.3800000000000008</v>
      </c>
      <c r="CA37" s="213">
        <v>6.3800000000000008</v>
      </c>
      <c r="CB37" s="213">
        <v>7.8800000000000008</v>
      </c>
      <c r="CC37" s="213">
        <v>6.53</v>
      </c>
      <c r="CD37" s="213">
        <v>6.29</v>
      </c>
      <c r="CE37" s="213">
        <v>6.41</v>
      </c>
      <c r="CF37" s="213">
        <v>1.88</v>
      </c>
      <c r="CG37" s="213">
        <v>1.38</v>
      </c>
      <c r="CH37" s="213">
        <v>1.63</v>
      </c>
      <c r="CI37" s="213">
        <v>0.43</v>
      </c>
      <c r="CJ37" s="213">
        <v>0.39</v>
      </c>
      <c r="CK37" s="213">
        <v>0.41000000000000003</v>
      </c>
      <c r="CL37" s="213">
        <v>37.9</v>
      </c>
      <c r="CM37" s="213">
        <v>35.5</v>
      </c>
      <c r="CN37" s="213">
        <v>36.700000000000003</v>
      </c>
      <c r="CO37" s="213">
        <v>7.34</v>
      </c>
      <c r="CP37" s="213">
        <v>2.34</v>
      </c>
      <c r="CQ37" s="213">
        <v>4.84</v>
      </c>
      <c r="CR37" s="213"/>
      <c r="CS37" s="213"/>
    </row>
    <row r="38" spans="1:97">
      <c r="A38" s="424">
        <v>45324</v>
      </c>
      <c r="B38" s="211" t="s">
        <v>251</v>
      </c>
      <c r="C38" s="213">
        <v>147.49</v>
      </c>
      <c r="D38" s="213">
        <v>145.49</v>
      </c>
      <c r="E38" s="213">
        <v>146.49</v>
      </c>
      <c r="F38" s="213">
        <v>160.84</v>
      </c>
      <c r="G38" s="213">
        <v>157.84</v>
      </c>
      <c r="H38" s="213">
        <v>159.34</v>
      </c>
      <c r="I38" s="213">
        <v>111.11</v>
      </c>
      <c r="J38" s="213">
        <v>107.91</v>
      </c>
      <c r="K38" s="213">
        <v>109.50999999999999</v>
      </c>
      <c r="L38" s="213">
        <v>190.73</v>
      </c>
      <c r="M38" s="213">
        <v>182.73</v>
      </c>
      <c r="N38" s="213">
        <v>186.73</v>
      </c>
      <c r="O38" s="213">
        <v>171.77</v>
      </c>
      <c r="P38" s="213">
        <v>169.97</v>
      </c>
      <c r="Q38" s="213">
        <v>170.87</v>
      </c>
      <c r="R38" s="213">
        <v>21.67</v>
      </c>
      <c r="S38" s="213">
        <v>21.07</v>
      </c>
      <c r="T38" s="213">
        <v>21.37</v>
      </c>
      <c r="U38" s="213">
        <v>14.35</v>
      </c>
      <c r="V38" s="213">
        <v>13.75</v>
      </c>
      <c r="W38" s="213">
        <v>14.05</v>
      </c>
      <c r="X38" s="213">
        <v>14.51</v>
      </c>
      <c r="Y38" s="213">
        <v>13.709999999999999</v>
      </c>
      <c r="Z38" s="213">
        <v>14.11</v>
      </c>
      <c r="AA38" s="213">
        <v>98.41</v>
      </c>
      <c r="AB38" s="213">
        <v>94.41</v>
      </c>
      <c r="AC38" s="213">
        <v>96.41</v>
      </c>
      <c r="AD38" s="213">
        <v>92.06</v>
      </c>
      <c r="AE38" s="213">
        <v>88.06</v>
      </c>
      <c r="AF38" s="213">
        <v>90.06</v>
      </c>
      <c r="AG38" s="213">
        <v>19.16</v>
      </c>
      <c r="AH38" s="213">
        <v>18.3</v>
      </c>
      <c r="AI38" s="213">
        <v>18.73</v>
      </c>
      <c r="AJ38" s="213"/>
      <c r="AK38" s="213"/>
      <c r="AL38" s="213"/>
      <c r="AM38" s="213">
        <v>110.41</v>
      </c>
      <c r="AN38" s="213">
        <v>108.75</v>
      </c>
      <c r="AO38" s="213">
        <v>109.58</v>
      </c>
      <c r="AP38" s="213">
        <v>39.93</v>
      </c>
      <c r="AQ38" s="213">
        <v>38.33</v>
      </c>
      <c r="AR38" s="213">
        <v>39.129999999999995</v>
      </c>
      <c r="AS38" s="213">
        <v>40.630000000000003</v>
      </c>
      <c r="AT38" s="213">
        <v>39.270000000000003</v>
      </c>
      <c r="AU38" s="213">
        <v>39.950000000000003</v>
      </c>
      <c r="AV38" s="213">
        <v>20.67</v>
      </c>
      <c r="AW38" s="213">
        <v>20.07</v>
      </c>
      <c r="AX38" s="213">
        <v>20.37</v>
      </c>
      <c r="AY38" s="213">
        <v>4.2300000000000004</v>
      </c>
      <c r="AZ38" s="213">
        <v>4.07</v>
      </c>
      <c r="BA38" s="213">
        <v>4.1500000000000004</v>
      </c>
      <c r="BB38" s="213">
        <v>1.93</v>
      </c>
      <c r="BC38" s="213">
        <v>1.63</v>
      </c>
      <c r="BD38" s="213">
        <v>1.7799999999999998</v>
      </c>
      <c r="BE38" s="213">
        <v>0.68</v>
      </c>
      <c r="BF38" s="213">
        <v>0.38000000000000006</v>
      </c>
      <c r="BG38" s="213">
        <v>0.53</v>
      </c>
      <c r="BH38" s="213">
        <v>485.17</v>
      </c>
      <c r="BI38" s="213">
        <v>469.17</v>
      </c>
      <c r="BJ38" s="213">
        <v>477.17</v>
      </c>
      <c r="BK38" s="213">
        <v>40.94</v>
      </c>
      <c r="BL38" s="213">
        <v>39.58</v>
      </c>
      <c r="BM38" s="213">
        <v>40.26</v>
      </c>
      <c r="BN38" s="213">
        <v>1.05</v>
      </c>
      <c r="BO38" s="213">
        <v>0.81</v>
      </c>
      <c r="BP38" s="213">
        <v>0.93</v>
      </c>
      <c r="BQ38" s="213">
        <v>9.58</v>
      </c>
      <c r="BR38" s="213">
        <v>7.58</v>
      </c>
      <c r="BS38" s="213">
        <v>8.58</v>
      </c>
      <c r="BT38" s="213">
        <v>11.26</v>
      </c>
      <c r="BU38" s="213">
        <v>10.86</v>
      </c>
      <c r="BV38" s="213">
        <v>11.059999999999999</v>
      </c>
      <c r="BW38" s="213">
        <v>2.77</v>
      </c>
      <c r="BX38" s="213">
        <v>2.4900000000000002</v>
      </c>
      <c r="BY38" s="213">
        <v>2.63</v>
      </c>
      <c r="BZ38" s="213">
        <v>9.39</v>
      </c>
      <c r="CA38" s="213">
        <v>6.3900000000000006</v>
      </c>
      <c r="CB38" s="213">
        <v>7.8900000000000006</v>
      </c>
      <c r="CC38" s="213">
        <v>6.54</v>
      </c>
      <c r="CD38" s="213">
        <v>6.3</v>
      </c>
      <c r="CE38" s="213">
        <v>6.42</v>
      </c>
      <c r="CF38" s="213">
        <v>1.87</v>
      </c>
      <c r="CG38" s="213">
        <v>1.37</v>
      </c>
      <c r="CH38" s="213">
        <v>1.62</v>
      </c>
      <c r="CI38" s="213">
        <v>0.44</v>
      </c>
      <c r="CJ38" s="213">
        <v>0.4</v>
      </c>
      <c r="CK38" s="213">
        <v>0.42000000000000004</v>
      </c>
      <c r="CL38" s="213">
        <v>38.130000000000003</v>
      </c>
      <c r="CM38" s="213">
        <v>35.730000000000004</v>
      </c>
      <c r="CN38" s="213">
        <v>36.930000000000007</v>
      </c>
      <c r="CO38" s="213">
        <v>7.33</v>
      </c>
      <c r="CP38" s="213">
        <v>2.33</v>
      </c>
      <c r="CQ38" s="213">
        <v>4.83</v>
      </c>
      <c r="CR38" s="213"/>
      <c r="CS38" s="213"/>
    </row>
    <row r="39" spans="1:97">
      <c r="A39" s="424">
        <v>45325</v>
      </c>
      <c r="B39" s="211" t="s">
        <v>252</v>
      </c>
      <c r="C39" s="213"/>
      <c r="D39" s="213"/>
      <c r="E39" s="213"/>
      <c r="F39" s="213"/>
      <c r="G39" s="213"/>
      <c r="H39" s="213"/>
      <c r="I39" s="213"/>
      <c r="J39" s="213"/>
      <c r="K39" s="213"/>
      <c r="L39" s="213"/>
      <c r="M39" s="213"/>
      <c r="N39" s="213"/>
      <c r="O39" s="213"/>
      <c r="P39" s="213"/>
      <c r="Q39" s="213"/>
      <c r="R39" s="213"/>
      <c r="S39" s="213"/>
      <c r="T39" s="213"/>
      <c r="U39" s="213"/>
      <c r="V39" s="213"/>
      <c r="W39" s="213"/>
      <c r="X39" s="213"/>
      <c r="Y39" s="213"/>
      <c r="Z39" s="213"/>
      <c r="AA39" s="213"/>
      <c r="AB39" s="213"/>
      <c r="AC39" s="213"/>
      <c r="AD39" s="213"/>
      <c r="AE39" s="213"/>
      <c r="AF39" s="213"/>
      <c r="AG39" s="213"/>
      <c r="AH39" s="213"/>
      <c r="AI39" s="213"/>
      <c r="AJ39" s="213"/>
      <c r="AK39" s="213"/>
      <c r="AL39" s="213"/>
      <c r="AM39" s="213"/>
      <c r="AN39" s="213"/>
      <c r="AO39" s="213"/>
      <c r="AP39" s="213"/>
      <c r="AQ39" s="213"/>
      <c r="AR39" s="213"/>
      <c r="AS39" s="213"/>
      <c r="AT39" s="213"/>
      <c r="AU39" s="213"/>
      <c r="AV39" s="213"/>
      <c r="AW39" s="213"/>
      <c r="AX39" s="213"/>
      <c r="AY39" s="213"/>
      <c r="AZ39" s="213"/>
      <c r="BA39" s="213"/>
      <c r="BB39" s="213"/>
      <c r="BC39" s="213"/>
      <c r="BD39" s="213"/>
      <c r="BE39" s="213"/>
      <c r="BF39" s="213"/>
      <c r="BG39" s="213"/>
      <c r="BH39" s="213"/>
      <c r="BI39" s="213"/>
      <c r="BJ39" s="213"/>
      <c r="BK39" s="213"/>
      <c r="BL39" s="213"/>
      <c r="BM39" s="213"/>
      <c r="BN39" s="213"/>
      <c r="BO39" s="213"/>
      <c r="BP39" s="213"/>
      <c r="BQ39" s="213"/>
      <c r="BR39" s="213"/>
      <c r="BS39" s="213"/>
      <c r="BT39" s="213"/>
      <c r="BU39" s="213"/>
      <c r="BV39" s="213"/>
      <c r="BW39" s="213"/>
      <c r="BX39" s="213"/>
      <c r="BY39" s="213"/>
      <c r="BZ39" s="213"/>
      <c r="CA39" s="213"/>
      <c r="CB39" s="213"/>
      <c r="CC39" s="213"/>
      <c r="CD39" s="213"/>
      <c r="CE39" s="213"/>
      <c r="CF39" s="213"/>
      <c r="CG39" s="213"/>
      <c r="CH39" s="213"/>
      <c r="CI39" s="213"/>
      <c r="CJ39" s="213"/>
      <c r="CK39" s="213"/>
      <c r="CL39" s="213"/>
      <c r="CM39" s="213"/>
      <c r="CN39" s="213"/>
      <c r="CO39" s="213"/>
      <c r="CP39" s="213"/>
      <c r="CQ39" s="213"/>
      <c r="CR39" s="213"/>
      <c r="CS39" s="213"/>
    </row>
    <row r="40" spans="1:97">
      <c r="A40" s="424">
        <v>45326</v>
      </c>
      <c r="B40" s="211" t="s">
        <v>253</v>
      </c>
      <c r="C40" s="213"/>
      <c r="D40" s="213"/>
      <c r="E40" s="213"/>
      <c r="F40" s="213"/>
      <c r="G40" s="213"/>
      <c r="H40" s="213"/>
      <c r="I40" s="213"/>
      <c r="J40" s="213"/>
      <c r="K40" s="213"/>
      <c r="L40" s="213"/>
      <c r="M40" s="213"/>
      <c r="N40" s="213"/>
      <c r="O40" s="213"/>
      <c r="P40" s="213"/>
      <c r="Q40" s="213"/>
      <c r="R40" s="213"/>
      <c r="S40" s="213"/>
      <c r="T40" s="213"/>
      <c r="U40" s="213"/>
      <c r="V40" s="213"/>
      <c r="W40" s="213"/>
      <c r="X40" s="213"/>
      <c r="Y40" s="213"/>
      <c r="Z40" s="213"/>
      <c r="AA40" s="213"/>
      <c r="AB40" s="213"/>
      <c r="AC40" s="213"/>
      <c r="AD40" s="213"/>
      <c r="AE40" s="213"/>
      <c r="AF40" s="213"/>
      <c r="AG40" s="213"/>
      <c r="AH40" s="213"/>
      <c r="AI40" s="213"/>
      <c r="AJ40" s="213"/>
      <c r="AK40" s="213"/>
      <c r="AL40" s="213"/>
      <c r="AM40" s="213"/>
      <c r="AN40" s="213"/>
      <c r="AO40" s="213"/>
      <c r="AP40" s="213"/>
      <c r="AQ40" s="213"/>
      <c r="AR40" s="213"/>
      <c r="AS40" s="213"/>
      <c r="AT40" s="213"/>
      <c r="AU40" s="213"/>
      <c r="AV40" s="213"/>
      <c r="AW40" s="213"/>
      <c r="AX40" s="213"/>
      <c r="AY40" s="213"/>
      <c r="AZ40" s="213"/>
      <c r="BA40" s="213"/>
      <c r="BB40" s="213"/>
      <c r="BC40" s="213"/>
      <c r="BD40" s="213"/>
      <c r="BE40" s="213"/>
      <c r="BF40" s="213"/>
      <c r="BG40" s="213"/>
      <c r="BH40" s="213"/>
      <c r="BI40" s="213"/>
      <c r="BJ40" s="213"/>
      <c r="BK40" s="213"/>
      <c r="BL40" s="213"/>
      <c r="BM40" s="213"/>
      <c r="BN40" s="213"/>
      <c r="BO40" s="213"/>
      <c r="BP40" s="213"/>
      <c r="BQ40" s="213"/>
      <c r="BR40" s="213"/>
      <c r="BS40" s="213"/>
      <c r="BT40" s="213"/>
      <c r="BU40" s="213"/>
      <c r="BV40" s="213"/>
      <c r="BW40" s="213"/>
      <c r="BX40" s="213"/>
      <c r="BY40" s="213"/>
      <c r="BZ40" s="213"/>
      <c r="CA40" s="213"/>
      <c r="CB40" s="213"/>
      <c r="CC40" s="213"/>
      <c r="CD40" s="213"/>
      <c r="CE40" s="213"/>
      <c r="CF40" s="213"/>
      <c r="CG40" s="213"/>
      <c r="CH40" s="213"/>
      <c r="CI40" s="213"/>
      <c r="CJ40" s="213"/>
      <c r="CK40" s="213"/>
      <c r="CL40" s="213"/>
      <c r="CM40" s="213"/>
      <c r="CN40" s="213"/>
      <c r="CO40" s="213"/>
      <c r="CP40" s="213"/>
      <c r="CQ40" s="213"/>
      <c r="CR40" s="213"/>
      <c r="CS40" s="213"/>
    </row>
    <row r="41" spans="1:97">
      <c r="A41" s="424">
        <v>45327</v>
      </c>
      <c r="B41" s="211" t="s">
        <v>247</v>
      </c>
      <c r="C41" s="213">
        <v>149.76</v>
      </c>
      <c r="D41" s="213">
        <v>147.76</v>
      </c>
      <c r="E41" s="213">
        <v>148.76</v>
      </c>
      <c r="F41" s="213">
        <v>161.77000000000001</v>
      </c>
      <c r="G41" s="213">
        <v>158.77000000000001</v>
      </c>
      <c r="H41" s="213">
        <v>160.27000000000001</v>
      </c>
      <c r="I41" s="213">
        <v>111.92</v>
      </c>
      <c r="J41" s="213">
        <v>108.72</v>
      </c>
      <c r="K41" s="213">
        <v>110.32</v>
      </c>
      <c r="L41" s="213">
        <v>191.56</v>
      </c>
      <c r="M41" s="213">
        <v>183.56</v>
      </c>
      <c r="N41" s="213">
        <v>187.56</v>
      </c>
      <c r="O41" s="213">
        <v>172.34</v>
      </c>
      <c r="P41" s="213">
        <v>170.54</v>
      </c>
      <c r="Q41" s="213">
        <v>171.44</v>
      </c>
      <c r="R41" s="213">
        <v>21.8</v>
      </c>
      <c r="S41" s="213">
        <v>21.2</v>
      </c>
      <c r="T41" s="213">
        <v>21.5</v>
      </c>
      <c r="U41" s="213">
        <v>14.29</v>
      </c>
      <c r="V41" s="213">
        <v>13.69</v>
      </c>
      <c r="W41" s="213">
        <v>13.989999999999998</v>
      </c>
      <c r="X41" s="213">
        <v>14.53</v>
      </c>
      <c r="Y41" s="213">
        <v>13.729999999999999</v>
      </c>
      <c r="Z41" s="213">
        <v>14.129999999999999</v>
      </c>
      <c r="AA41" s="213">
        <v>98.55</v>
      </c>
      <c r="AB41" s="213">
        <v>94.55</v>
      </c>
      <c r="AC41" s="213">
        <v>96.55</v>
      </c>
      <c r="AD41" s="213">
        <v>92.03</v>
      </c>
      <c r="AE41" s="213">
        <v>88.03</v>
      </c>
      <c r="AF41" s="213">
        <v>90.03</v>
      </c>
      <c r="AG41" s="213">
        <v>19.45</v>
      </c>
      <c r="AH41" s="213">
        <v>18.59</v>
      </c>
      <c r="AI41" s="213">
        <v>19.02</v>
      </c>
      <c r="AJ41" s="213"/>
      <c r="AK41" s="213"/>
      <c r="AL41" s="213"/>
      <c r="AM41" s="213">
        <v>111.47</v>
      </c>
      <c r="AN41" s="213">
        <v>109.81</v>
      </c>
      <c r="AO41" s="213">
        <v>110.64</v>
      </c>
      <c r="AP41" s="213">
        <v>40.53</v>
      </c>
      <c r="AQ41" s="213">
        <v>38.93</v>
      </c>
      <c r="AR41" s="213">
        <v>39.730000000000004</v>
      </c>
      <c r="AS41" s="213">
        <v>41.25</v>
      </c>
      <c r="AT41" s="213">
        <v>39.89</v>
      </c>
      <c r="AU41" s="213">
        <v>40.57</v>
      </c>
      <c r="AV41" s="213">
        <v>20.9</v>
      </c>
      <c r="AW41" s="213">
        <v>20.299999999999997</v>
      </c>
      <c r="AX41" s="213">
        <v>20.599999999999998</v>
      </c>
      <c r="AY41" s="213">
        <v>4.25</v>
      </c>
      <c r="AZ41" s="213">
        <v>4.09</v>
      </c>
      <c r="BA41" s="213">
        <v>4.17</v>
      </c>
      <c r="BB41" s="213">
        <v>1.95</v>
      </c>
      <c r="BC41" s="213">
        <v>1.65</v>
      </c>
      <c r="BD41" s="213">
        <v>1.7999999999999998</v>
      </c>
      <c r="BE41" s="213">
        <v>0.69</v>
      </c>
      <c r="BF41" s="213">
        <v>0.38999999999999996</v>
      </c>
      <c r="BG41" s="213">
        <v>0.53999999999999992</v>
      </c>
      <c r="BH41" s="213">
        <v>492.24</v>
      </c>
      <c r="BI41" s="213">
        <v>476.24</v>
      </c>
      <c r="BJ41" s="213">
        <v>484.24</v>
      </c>
      <c r="BK41" s="213">
        <v>41.56</v>
      </c>
      <c r="BL41" s="213">
        <v>40.200000000000003</v>
      </c>
      <c r="BM41" s="213">
        <v>40.880000000000003</v>
      </c>
      <c r="BN41" s="213">
        <v>1.07</v>
      </c>
      <c r="BO41" s="213">
        <v>0.83000000000000007</v>
      </c>
      <c r="BP41" s="213">
        <v>0.95000000000000007</v>
      </c>
      <c r="BQ41" s="213">
        <v>9.66</v>
      </c>
      <c r="BR41" s="213">
        <v>7.66</v>
      </c>
      <c r="BS41" s="213">
        <v>8.66</v>
      </c>
      <c r="BT41" s="213">
        <v>11.33</v>
      </c>
      <c r="BU41" s="213">
        <v>10.93</v>
      </c>
      <c r="BV41" s="213">
        <v>11.129999999999999</v>
      </c>
      <c r="BW41" s="213">
        <v>2.82</v>
      </c>
      <c r="BX41" s="213">
        <v>2.54</v>
      </c>
      <c r="BY41" s="213">
        <v>2.6799999999999997</v>
      </c>
      <c r="BZ41" s="213">
        <v>9.35</v>
      </c>
      <c r="CA41" s="213">
        <v>6.35</v>
      </c>
      <c r="CB41" s="213">
        <v>7.85</v>
      </c>
      <c r="CC41" s="213">
        <v>6.55</v>
      </c>
      <c r="CD41" s="213">
        <v>6.31</v>
      </c>
      <c r="CE41" s="213">
        <v>6.43</v>
      </c>
      <c r="CF41" s="213">
        <v>1.89</v>
      </c>
      <c r="CG41" s="213">
        <v>1.39</v>
      </c>
      <c r="CH41" s="213">
        <v>1.64</v>
      </c>
      <c r="CI41" s="213">
        <v>0.44</v>
      </c>
      <c r="CJ41" s="213">
        <v>0.4</v>
      </c>
      <c r="CK41" s="213">
        <v>0.42000000000000004</v>
      </c>
      <c r="CL41" s="213">
        <v>38.32</v>
      </c>
      <c r="CM41" s="213">
        <v>35.92</v>
      </c>
      <c r="CN41" s="213">
        <v>37.120000000000005</v>
      </c>
      <c r="CO41" s="213">
        <v>7.39</v>
      </c>
      <c r="CP41" s="213">
        <v>2.3899999999999997</v>
      </c>
      <c r="CQ41" s="213">
        <v>4.8899999999999997</v>
      </c>
      <c r="CR41" s="213"/>
      <c r="CS41" s="213"/>
    </row>
    <row r="42" spans="1:97">
      <c r="A42" s="424">
        <v>45328</v>
      </c>
      <c r="B42" s="211" t="s">
        <v>248</v>
      </c>
      <c r="C42" s="213">
        <v>149.68</v>
      </c>
      <c r="D42" s="213">
        <v>147.68</v>
      </c>
      <c r="E42" s="213">
        <v>148.68</v>
      </c>
      <c r="F42" s="213">
        <v>161.26</v>
      </c>
      <c r="G42" s="213">
        <v>158.26</v>
      </c>
      <c r="H42" s="213">
        <v>159.76</v>
      </c>
      <c r="I42" s="213">
        <v>111.44</v>
      </c>
      <c r="J42" s="213">
        <v>108.24</v>
      </c>
      <c r="K42" s="213">
        <v>109.84</v>
      </c>
      <c r="L42" s="213">
        <v>190.46</v>
      </c>
      <c r="M42" s="213">
        <v>182.46</v>
      </c>
      <c r="N42" s="213">
        <v>186.46</v>
      </c>
      <c r="O42" s="213">
        <v>171.68</v>
      </c>
      <c r="P42" s="213">
        <v>169.88</v>
      </c>
      <c r="Q42" s="213">
        <v>170.78</v>
      </c>
      <c r="R42" s="213">
        <v>21.72</v>
      </c>
      <c r="S42" s="213">
        <v>21.119999999999997</v>
      </c>
      <c r="T42" s="213">
        <v>21.419999999999998</v>
      </c>
      <c r="U42" s="213">
        <v>14.22</v>
      </c>
      <c r="V42" s="213">
        <v>13.620000000000001</v>
      </c>
      <c r="W42" s="213">
        <v>13.920000000000002</v>
      </c>
      <c r="X42" s="213">
        <v>14.43</v>
      </c>
      <c r="Y42" s="213">
        <v>13.629999999999999</v>
      </c>
      <c r="Z42" s="213">
        <v>14.03</v>
      </c>
      <c r="AA42" s="213">
        <v>98.4</v>
      </c>
      <c r="AB42" s="213">
        <v>94.4</v>
      </c>
      <c r="AC42" s="213">
        <v>96.4</v>
      </c>
      <c r="AD42" s="213">
        <v>92.01</v>
      </c>
      <c r="AE42" s="213">
        <v>88.01</v>
      </c>
      <c r="AF42" s="213">
        <v>90.01</v>
      </c>
      <c r="AG42" s="213">
        <v>19.440000000000001</v>
      </c>
      <c r="AH42" s="213">
        <v>18.580000000000002</v>
      </c>
      <c r="AI42" s="213">
        <v>19.010000000000002</v>
      </c>
      <c r="AJ42" s="213"/>
      <c r="AK42" s="213"/>
      <c r="AL42" s="213"/>
      <c r="AM42" s="213">
        <v>111.23</v>
      </c>
      <c r="AN42" s="213">
        <v>109.57000000000001</v>
      </c>
      <c r="AO42" s="213">
        <v>110.4</v>
      </c>
      <c r="AP42" s="213">
        <v>40.51</v>
      </c>
      <c r="AQ42" s="213">
        <v>38.909999999999997</v>
      </c>
      <c r="AR42" s="213">
        <v>39.709999999999994</v>
      </c>
      <c r="AS42" s="213">
        <v>41.23</v>
      </c>
      <c r="AT42" s="213">
        <v>39.869999999999997</v>
      </c>
      <c r="AU42" s="213">
        <v>40.549999999999997</v>
      </c>
      <c r="AV42" s="213">
        <v>20.9</v>
      </c>
      <c r="AW42" s="213">
        <v>20.299999999999997</v>
      </c>
      <c r="AX42" s="213">
        <v>20.599999999999998</v>
      </c>
      <c r="AY42" s="213">
        <v>4.24</v>
      </c>
      <c r="AZ42" s="213">
        <v>4.08</v>
      </c>
      <c r="BA42" s="213">
        <v>4.16</v>
      </c>
      <c r="BB42" s="213">
        <v>1.95</v>
      </c>
      <c r="BC42" s="213">
        <v>1.65</v>
      </c>
      <c r="BD42" s="213">
        <v>1.7999999999999998</v>
      </c>
      <c r="BE42" s="213">
        <v>0.69</v>
      </c>
      <c r="BF42" s="213">
        <v>0.38999999999999996</v>
      </c>
      <c r="BG42" s="213">
        <v>0.53999999999999992</v>
      </c>
      <c r="BH42" s="213">
        <v>491.83</v>
      </c>
      <c r="BI42" s="213">
        <v>475.83</v>
      </c>
      <c r="BJ42" s="213">
        <v>483.83</v>
      </c>
      <c r="BK42" s="213">
        <v>41.54</v>
      </c>
      <c r="BL42" s="213">
        <v>40.18</v>
      </c>
      <c r="BM42" s="213">
        <v>40.86</v>
      </c>
      <c r="BN42" s="213">
        <v>1.07</v>
      </c>
      <c r="BO42" s="213">
        <v>0.83000000000000007</v>
      </c>
      <c r="BP42" s="213">
        <v>0.95000000000000007</v>
      </c>
      <c r="BQ42" s="213">
        <v>9.69</v>
      </c>
      <c r="BR42" s="213">
        <v>7.6899999999999995</v>
      </c>
      <c r="BS42" s="213">
        <v>8.69</v>
      </c>
      <c r="BT42" s="213">
        <v>11.37</v>
      </c>
      <c r="BU42" s="213">
        <v>10.969999999999999</v>
      </c>
      <c r="BV42" s="213">
        <v>11.169999999999998</v>
      </c>
      <c r="BW42" s="213">
        <v>2.8</v>
      </c>
      <c r="BX42" s="213">
        <v>2.5199999999999996</v>
      </c>
      <c r="BY42" s="213">
        <v>2.6599999999999997</v>
      </c>
      <c r="BZ42" s="213">
        <v>9.3000000000000007</v>
      </c>
      <c r="CA42" s="213">
        <v>6.3000000000000007</v>
      </c>
      <c r="CB42" s="213">
        <v>7.8000000000000007</v>
      </c>
      <c r="CC42" s="213">
        <v>6.51</v>
      </c>
      <c r="CD42" s="213">
        <v>6.27</v>
      </c>
      <c r="CE42" s="213">
        <v>6.39</v>
      </c>
      <c r="CF42" s="213">
        <v>1.89</v>
      </c>
      <c r="CG42" s="213">
        <v>1.39</v>
      </c>
      <c r="CH42" s="213">
        <v>1.64</v>
      </c>
      <c r="CI42" s="213">
        <v>0.43</v>
      </c>
      <c r="CJ42" s="213">
        <v>0.39</v>
      </c>
      <c r="CK42" s="213">
        <v>0.41000000000000003</v>
      </c>
      <c r="CL42" s="213">
        <v>38.020000000000003</v>
      </c>
      <c r="CM42" s="213">
        <v>35.620000000000005</v>
      </c>
      <c r="CN42" s="213">
        <v>36.820000000000007</v>
      </c>
      <c r="CO42" s="213">
        <v>7.37</v>
      </c>
      <c r="CP42" s="213">
        <v>2.37</v>
      </c>
      <c r="CQ42" s="213">
        <v>4.87</v>
      </c>
      <c r="CR42" s="213"/>
      <c r="CS42" s="213"/>
    </row>
    <row r="43" spans="1:97">
      <c r="A43" s="424">
        <v>45329</v>
      </c>
      <c r="B43" s="211" t="s">
        <v>249</v>
      </c>
      <c r="C43" s="213">
        <v>148.88</v>
      </c>
      <c r="D43" s="213">
        <v>146.88</v>
      </c>
      <c r="E43" s="213">
        <v>147.88</v>
      </c>
      <c r="F43" s="213">
        <v>160.62</v>
      </c>
      <c r="G43" s="213">
        <v>157.62</v>
      </c>
      <c r="H43" s="213">
        <v>159.12</v>
      </c>
      <c r="I43" s="213">
        <v>111.23</v>
      </c>
      <c r="J43" s="213">
        <v>108.03</v>
      </c>
      <c r="K43" s="213">
        <v>109.63</v>
      </c>
      <c r="L43" s="213">
        <v>190.34</v>
      </c>
      <c r="M43" s="213">
        <v>182.34</v>
      </c>
      <c r="N43" s="213">
        <v>186.34</v>
      </c>
      <c r="O43" s="213">
        <v>170.94</v>
      </c>
      <c r="P43" s="213">
        <v>169.14</v>
      </c>
      <c r="Q43" s="213">
        <v>170.04</v>
      </c>
      <c r="R43" s="213">
        <v>21.63</v>
      </c>
      <c r="S43" s="213">
        <v>21.029999999999998</v>
      </c>
      <c r="T43" s="213">
        <v>21.33</v>
      </c>
      <c r="U43" s="213">
        <v>14.27</v>
      </c>
      <c r="V43" s="213">
        <v>13.67</v>
      </c>
      <c r="W43" s="213">
        <v>13.969999999999999</v>
      </c>
      <c r="X43" s="213">
        <v>14.48</v>
      </c>
      <c r="Y43" s="213">
        <v>13.68</v>
      </c>
      <c r="Z43" s="213">
        <v>14.08</v>
      </c>
      <c r="AA43" s="213">
        <v>98.54</v>
      </c>
      <c r="AB43" s="213">
        <v>94.54</v>
      </c>
      <c r="AC43" s="213">
        <v>96.54</v>
      </c>
      <c r="AD43" s="213">
        <v>92.18</v>
      </c>
      <c r="AE43" s="213">
        <v>88.18</v>
      </c>
      <c r="AF43" s="213">
        <v>90.18</v>
      </c>
      <c r="AG43" s="213">
        <v>19.34</v>
      </c>
      <c r="AH43" s="213">
        <v>18.48</v>
      </c>
      <c r="AI43" s="213">
        <v>18.91</v>
      </c>
      <c r="AJ43" s="213"/>
      <c r="AK43" s="213"/>
      <c r="AL43" s="213"/>
      <c r="AM43" s="213">
        <v>110.88</v>
      </c>
      <c r="AN43" s="213">
        <v>109.22</v>
      </c>
      <c r="AO43" s="213">
        <v>110.05</v>
      </c>
      <c r="AP43" s="213">
        <v>40.299999999999997</v>
      </c>
      <c r="AQ43" s="213">
        <v>38.699999999999996</v>
      </c>
      <c r="AR43" s="213">
        <v>39.5</v>
      </c>
      <c r="AS43" s="213">
        <v>41.01</v>
      </c>
      <c r="AT43" s="213">
        <v>39.65</v>
      </c>
      <c r="AU43" s="213">
        <v>40.33</v>
      </c>
      <c r="AV43" s="213">
        <v>20.84</v>
      </c>
      <c r="AW43" s="213">
        <v>20.239999999999998</v>
      </c>
      <c r="AX43" s="213">
        <v>20.54</v>
      </c>
      <c r="AY43" s="213">
        <v>4.24</v>
      </c>
      <c r="AZ43" s="213">
        <v>4.08</v>
      </c>
      <c r="BA43" s="213">
        <v>4.16</v>
      </c>
      <c r="BB43" s="213">
        <v>1.94</v>
      </c>
      <c r="BC43" s="213">
        <v>1.64</v>
      </c>
      <c r="BD43" s="213">
        <v>1.79</v>
      </c>
      <c r="BE43" s="213">
        <v>0.68</v>
      </c>
      <c r="BF43" s="213">
        <v>0.38000000000000006</v>
      </c>
      <c r="BG43" s="213">
        <v>0.53</v>
      </c>
      <c r="BH43" s="213">
        <v>489.38</v>
      </c>
      <c r="BI43" s="213">
        <v>473.38</v>
      </c>
      <c r="BJ43" s="213">
        <v>481.38</v>
      </c>
      <c r="BK43" s="213">
        <v>41.32</v>
      </c>
      <c r="BL43" s="213">
        <v>39.96</v>
      </c>
      <c r="BM43" s="213">
        <v>40.64</v>
      </c>
      <c r="BN43" s="213">
        <v>1.06</v>
      </c>
      <c r="BO43" s="213">
        <v>0.82000000000000006</v>
      </c>
      <c r="BP43" s="213">
        <v>0.94000000000000006</v>
      </c>
      <c r="BQ43" s="213">
        <v>9.68</v>
      </c>
      <c r="BR43" s="213">
        <v>7.68</v>
      </c>
      <c r="BS43" s="213">
        <v>8.68</v>
      </c>
      <c r="BT43" s="213">
        <v>11.39</v>
      </c>
      <c r="BU43" s="213">
        <v>10.99</v>
      </c>
      <c r="BV43" s="213">
        <v>11.190000000000001</v>
      </c>
      <c r="BW43" s="213">
        <v>2.79</v>
      </c>
      <c r="BX43" s="213">
        <v>2.5099999999999998</v>
      </c>
      <c r="BY43" s="213">
        <v>2.65</v>
      </c>
      <c r="BZ43" s="213">
        <v>9.35</v>
      </c>
      <c r="CA43" s="213">
        <v>6.35</v>
      </c>
      <c r="CB43" s="213">
        <v>7.85</v>
      </c>
      <c r="CC43" s="213">
        <v>6.51</v>
      </c>
      <c r="CD43" s="213">
        <v>6.27</v>
      </c>
      <c r="CE43" s="213">
        <v>6.39</v>
      </c>
      <c r="CF43" s="213">
        <v>1.88</v>
      </c>
      <c r="CG43" s="213">
        <v>1.38</v>
      </c>
      <c r="CH43" s="213">
        <v>1.63</v>
      </c>
      <c r="CI43" s="213">
        <v>0.43</v>
      </c>
      <c r="CJ43" s="213">
        <v>0.39</v>
      </c>
      <c r="CK43" s="213">
        <v>0.41000000000000003</v>
      </c>
      <c r="CL43" s="213">
        <v>37.799999999999997</v>
      </c>
      <c r="CM43" s="213">
        <v>35.4</v>
      </c>
      <c r="CN43" s="213">
        <v>36.599999999999994</v>
      </c>
      <c r="CO43" s="213">
        <v>7.34</v>
      </c>
      <c r="CP43" s="213">
        <v>2.34</v>
      </c>
      <c r="CQ43" s="213">
        <v>4.84</v>
      </c>
      <c r="CR43" s="213"/>
      <c r="CS43" s="213"/>
    </row>
    <row r="44" spans="1:97">
      <c r="A44" s="424">
        <v>45330</v>
      </c>
      <c r="B44" s="211" t="s">
        <v>250</v>
      </c>
      <c r="C44" s="213">
        <v>149.15</v>
      </c>
      <c r="D44" s="213">
        <v>147.15</v>
      </c>
      <c r="E44" s="213">
        <v>148.15</v>
      </c>
      <c r="F44" s="213">
        <v>161.18</v>
      </c>
      <c r="G44" s="213">
        <v>158.18</v>
      </c>
      <c r="H44" s="213">
        <v>159.68</v>
      </c>
      <c r="I44" s="213">
        <v>111.68</v>
      </c>
      <c r="J44" s="213">
        <v>108.48</v>
      </c>
      <c r="K44" s="213">
        <v>110.08000000000001</v>
      </c>
      <c r="L44" s="213">
        <v>191.13</v>
      </c>
      <c r="M44" s="213">
        <v>183.13</v>
      </c>
      <c r="N44" s="213">
        <v>187.13</v>
      </c>
      <c r="O44" s="213">
        <v>170.45</v>
      </c>
      <c r="P44" s="213">
        <v>168.64999999999998</v>
      </c>
      <c r="Q44" s="213">
        <v>169.54999999999998</v>
      </c>
      <c r="R44" s="213">
        <v>21.71</v>
      </c>
      <c r="S44" s="213">
        <v>21.11</v>
      </c>
      <c r="T44" s="213">
        <v>21.41</v>
      </c>
      <c r="U44" s="213">
        <v>14.31</v>
      </c>
      <c r="V44" s="213">
        <v>13.71</v>
      </c>
      <c r="W44" s="213">
        <v>14.010000000000002</v>
      </c>
      <c r="X44" s="213">
        <v>14.54</v>
      </c>
      <c r="Y44" s="213">
        <v>13.739999999999998</v>
      </c>
      <c r="Z44" s="213">
        <v>14.139999999999999</v>
      </c>
      <c r="AA44" s="213">
        <v>98.67</v>
      </c>
      <c r="AB44" s="213">
        <v>94.67</v>
      </c>
      <c r="AC44" s="213">
        <v>96.67</v>
      </c>
      <c r="AD44" s="213">
        <v>92.59</v>
      </c>
      <c r="AE44" s="213">
        <v>88.59</v>
      </c>
      <c r="AF44" s="213">
        <v>90.59</v>
      </c>
      <c r="AG44" s="213">
        <v>19.38</v>
      </c>
      <c r="AH44" s="213">
        <v>18.52</v>
      </c>
      <c r="AI44" s="213">
        <v>18.95</v>
      </c>
      <c r="AJ44" s="213"/>
      <c r="AK44" s="213"/>
      <c r="AL44" s="213"/>
      <c r="AM44" s="213">
        <v>111.16</v>
      </c>
      <c r="AN44" s="213">
        <v>109.5</v>
      </c>
      <c r="AO44" s="213">
        <v>110.33</v>
      </c>
      <c r="AP44" s="213">
        <v>40.369999999999997</v>
      </c>
      <c r="AQ44" s="213">
        <v>38.769999999999996</v>
      </c>
      <c r="AR44" s="213">
        <v>39.569999999999993</v>
      </c>
      <c r="AS44" s="213">
        <v>41.08</v>
      </c>
      <c r="AT44" s="213">
        <v>39.72</v>
      </c>
      <c r="AU44" s="213">
        <v>40.4</v>
      </c>
      <c r="AV44" s="213">
        <v>20.85</v>
      </c>
      <c r="AW44" s="213">
        <v>20.25</v>
      </c>
      <c r="AX44" s="213">
        <v>20.55</v>
      </c>
      <c r="AY44" s="213">
        <v>4.24</v>
      </c>
      <c r="AZ44" s="213">
        <v>4.08</v>
      </c>
      <c r="BA44" s="213">
        <v>4.16</v>
      </c>
      <c r="BB44" s="213">
        <v>1.95</v>
      </c>
      <c r="BC44" s="213">
        <v>1.65</v>
      </c>
      <c r="BD44" s="213">
        <v>1.7999999999999998</v>
      </c>
      <c r="BE44" s="213">
        <v>0.68</v>
      </c>
      <c r="BF44" s="213">
        <v>0.38000000000000006</v>
      </c>
      <c r="BG44" s="213">
        <v>0.53</v>
      </c>
      <c r="BH44" s="213">
        <v>490.1</v>
      </c>
      <c r="BI44" s="213">
        <v>474.1</v>
      </c>
      <c r="BJ44" s="213">
        <v>482.1</v>
      </c>
      <c r="BK44" s="213">
        <v>41.39</v>
      </c>
      <c r="BL44" s="213">
        <v>40.03</v>
      </c>
      <c r="BM44" s="213">
        <v>40.71</v>
      </c>
      <c r="BN44" s="213">
        <v>1.07</v>
      </c>
      <c r="BO44" s="213">
        <v>0.83000000000000007</v>
      </c>
      <c r="BP44" s="213">
        <v>0.95000000000000007</v>
      </c>
      <c r="BQ44" s="213">
        <v>9.69</v>
      </c>
      <c r="BR44" s="213">
        <v>7.6899999999999995</v>
      </c>
      <c r="BS44" s="213">
        <v>8.69</v>
      </c>
      <c r="BT44" s="213">
        <v>11.4</v>
      </c>
      <c r="BU44" s="213">
        <v>11</v>
      </c>
      <c r="BV44" s="213">
        <v>11.2</v>
      </c>
      <c r="BW44" s="213">
        <v>2.81</v>
      </c>
      <c r="BX44" s="213">
        <v>2.5300000000000002</v>
      </c>
      <c r="BY44" s="213">
        <v>2.67</v>
      </c>
      <c r="BZ44" s="213">
        <v>9.35</v>
      </c>
      <c r="CA44" s="213">
        <v>6.35</v>
      </c>
      <c r="CB44" s="213">
        <v>7.85</v>
      </c>
      <c r="CC44" s="213">
        <v>6.52</v>
      </c>
      <c r="CD44" s="213">
        <v>6.2799999999999994</v>
      </c>
      <c r="CE44" s="213">
        <v>6.3999999999999995</v>
      </c>
      <c r="CF44" s="213">
        <v>1.87</v>
      </c>
      <c r="CG44" s="213">
        <v>1.37</v>
      </c>
      <c r="CH44" s="213">
        <v>1.62</v>
      </c>
      <c r="CI44" s="213">
        <v>0.43</v>
      </c>
      <c r="CJ44" s="213">
        <v>0.39</v>
      </c>
      <c r="CK44" s="213">
        <v>0.41000000000000003</v>
      </c>
      <c r="CL44" s="213">
        <v>37.979999999999997</v>
      </c>
      <c r="CM44" s="213">
        <v>35.58</v>
      </c>
      <c r="CN44" s="213">
        <v>36.78</v>
      </c>
      <c r="CO44" s="213">
        <v>7.35</v>
      </c>
      <c r="CP44" s="213">
        <v>2.3499999999999996</v>
      </c>
      <c r="CQ44" s="213">
        <v>4.8499999999999996</v>
      </c>
      <c r="CR44" s="213"/>
      <c r="CS44" s="213"/>
    </row>
    <row r="45" spans="1:97">
      <c r="A45" s="424">
        <v>45331</v>
      </c>
      <c r="B45" s="211" t="s">
        <v>251</v>
      </c>
      <c r="C45" s="213">
        <v>150.53</v>
      </c>
      <c r="D45" s="213">
        <v>148.53</v>
      </c>
      <c r="E45" s="213">
        <v>149.53</v>
      </c>
      <c r="F45" s="213">
        <v>162.59</v>
      </c>
      <c r="G45" s="213">
        <v>159.59</v>
      </c>
      <c r="H45" s="213">
        <v>161.09</v>
      </c>
      <c r="I45" s="213">
        <v>112.68</v>
      </c>
      <c r="J45" s="213">
        <v>109.48</v>
      </c>
      <c r="K45" s="213">
        <v>111.08000000000001</v>
      </c>
      <c r="L45" s="213">
        <v>192.63</v>
      </c>
      <c r="M45" s="213">
        <v>184.63</v>
      </c>
      <c r="N45" s="213">
        <v>188.63</v>
      </c>
      <c r="O45" s="213">
        <v>171.95</v>
      </c>
      <c r="P45" s="213">
        <v>170.14999999999998</v>
      </c>
      <c r="Q45" s="213">
        <v>171.04999999999998</v>
      </c>
      <c r="R45" s="213">
        <v>21.91</v>
      </c>
      <c r="S45" s="213">
        <v>21.31</v>
      </c>
      <c r="T45" s="213">
        <v>21.61</v>
      </c>
      <c r="U45" s="213">
        <v>14.36</v>
      </c>
      <c r="V45" s="213">
        <v>13.76</v>
      </c>
      <c r="W45" s="213">
        <v>14.059999999999999</v>
      </c>
      <c r="X45" s="213">
        <v>14.67</v>
      </c>
      <c r="Y45" s="213">
        <v>13.87</v>
      </c>
      <c r="Z45" s="213">
        <v>14.27</v>
      </c>
      <c r="AA45" s="213">
        <v>99.02</v>
      </c>
      <c r="AB45" s="213">
        <v>95.02</v>
      </c>
      <c r="AC45" s="213">
        <v>97.02</v>
      </c>
      <c r="AD45" s="213">
        <v>93.45</v>
      </c>
      <c r="AE45" s="213">
        <v>89.45</v>
      </c>
      <c r="AF45" s="213">
        <v>91.45</v>
      </c>
      <c r="AG45" s="213">
        <v>19.55</v>
      </c>
      <c r="AH45" s="213">
        <v>18.690000000000001</v>
      </c>
      <c r="AI45" s="213">
        <v>19.12</v>
      </c>
      <c r="AJ45" s="213"/>
      <c r="AK45" s="213"/>
      <c r="AL45" s="213"/>
      <c r="AM45" s="213">
        <v>111.78</v>
      </c>
      <c r="AN45" s="213">
        <v>110.12</v>
      </c>
      <c r="AO45" s="213">
        <v>110.95</v>
      </c>
      <c r="AP45" s="213">
        <v>40.74</v>
      </c>
      <c r="AQ45" s="213">
        <v>39.14</v>
      </c>
      <c r="AR45" s="213">
        <v>39.94</v>
      </c>
      <c r="AS45" s="213">
        <v>41.46</v>
      </c>
      <c r="AT45" s="213">
        <v>40.1</v>
      </c>
      <c r="AU45" s="213">
        <v>40.78</v>
      </c>
      <c r="AV45" s="213">
        <v>21.03</v>
      </c>
      <c r="AW45" s="213">
        <v>20.43</v>
      </c>
      <c r="AX45" s="213">
        <v>20.73</v>
      </c>
      <c r="AY45" s="213">
        <v>4.25</v>
      </c>
      <c r="AZ45" s="213">
        <v>4.09</v>
      </c>
      <c r="BA45" s="213">
        <v>4.17</v>
      </c>
      <c r="BB45" s="213">
        <v>1.96</v>
      </c>
      <c r="BC45" s="213">
        <v>1.66</v>
      </c>
      <c r="BD45" s="213">
        <v>1.81</v>
      </c>
      <c r="BE45" s="213">
        <v>0.69</v>
      </c>
      <c r="BF45" s="213">
        <v>0.38999999999999996</v>
      </c>
      <c r="BG45" s="213">
        <v>0.53999999999999992</v>
      </c>
      <c r="BH45" s="213">
        <v>494.28</v>
      </c>
      <c r="BI45" s="213">
        <v>478.28</v>
      </c>
      <c r="BJ45" s="213">
        <v>486.28</v>
      </c>
      <c r="BK45" s="213">
        <v>41.77</v>
      </c>
      <c r="BL45" s="213">
        <v>40.410000000000004</v>
      </c>
      <c r="BM45" s="213">
        <v>41.09</v>
      </c>
      <c r="BN45" s="213">
        <v>1.08</v>
      </c>
      <c r="BO45" s="213">
        <v>0.84000000000000008</v>
      </c>
      <c r="BP45" s="213">
        <v>0.96000000000000008</v>
      </c>
      <c r="BQ45" s="213">
        <v>9.73</v>
      </c>
      <c r="BR45" s="213">
        <v>7.73</v>
      </c>
      <c r="BS45" s="213">
        <v>8.73</v>
      </c>
      <c r="BT45" s="213">
        <v>11.44</v>
      </c>
      <c r="BU45" s="213">
        <v>11.04</v>
      </c>
      <c r="BV45" s="213">
        <v>11.239999999999998</v>
      </c>
      <c r="BW45" s="213">
        <v>2.84</v>
      </c>
      <c r="BX45" s="213">
        <v>2.5599999999999996</v>
      </c>
      <c r="BY45" s="213">
        <v>2.6999999999999997</v>
      </c>
      <c r="BZ45" s="213">
        <v>9.3800000000000008</v>
      </c>
      <c r="CA45" s="213">
        <v>6.3800000000000008</v>
      </c>
      <c r="CB45" s="213">
        <v>7.8800000000000008</v>
      </c>
      <c r="CC45" s="213">
        <v>6.51</v>
      </c>
      <c r="CD45" s="213">
        <v>6.27</v>
      </c>
      <c r="CE45" s="213">
        <v>6.39</v>
      </c>
      <c r="CF45" s="213">
        <v>1.89</v>
      </c>
      <c r="CG45" s="213">
        <v>1.39</v>
      </c>
      <c r="CH45" s="213">
        <v>1.64</v>
      </c>
      <c r="CI45" s="213">
        <v>0.44</v>
      </c>
      <c r="CJ45" s="213">
        <v>0.4</v>
      </c>
      <c r="CK45" s="213">
        <v>0.42000000000000004</v>
      </c>
      <c r="CL45" s="213">
        <v>38.450000000000003</v>
      </c>
      <c r="CM45" s="213">
        <v>36.050000000000004</v>
      </c>
      <c r="CN45" s="213">
        <v>37.25</v>
      </c>
      <c r="CO45" s="213">
        <v>7.39</v>
      </c>
      <c r="CP45" s="213">
        <v>2.3899999999999997</v>
      </c>
      <c r="CQ45" s="213">
        <v>4.8899999999999997</v>
      </c>
      <c r="CR45" s="213"/>
      <c r="CS45" s="213"/>
    </row>
    <row r="46" spans="1:97">
      <c r="A46" s="424">
        <v>45332</v>
      </c>
      <c r="B46" s="211" t="s">
        <v>252</v>
      </c>
      <c r="C46" s="213"/>
      <c r="D46" s="213"/>
      <c r="E46" s="213"/>
      <c r="F46" s="213"/>
      <c r="G46" s="213"/>
      <c r="H46" s="213"/>
      <c r="I46" s="213"/>
      <c r="J46" s="213"/>
      <c r="K46" s="213"/>
      <c r="L46" s="213"/>
      <c r="M46" s="213"/>
      <c r="N46" s="213"/>
      <c r="O46" s="213"/>
      <c r="P46" s="213"/>
      <c r="Q46" s="213"/>
      <c r="R46" s="213"/>
      <c r="S46" s="213"/>
      <c r="T46" s="213"/>
      <c r="U46" s="213"/>
      <c r="V46" s="213"/>
      <c r="W46" s="213"/>
      <c r="X46" s="213"/>
      <c r="Y46" s="213"/>
      <c r="Z46" s="213"/>
      <c r="AA46" s="213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3"/>
      <c r="AP46" s="213"/>
      <c r="AQ46" s="213"/>
      <c r="AR46" s="213"/>
      <c r="AS46" s="213"/>
      <c r="AT46" s="213"/>
      <c r="AU46" s="213"/>
      <c r="AV46" s="213"/>
      <c r="AW46" s="213"/>
      <c r="AX46" s="213"/>
      <c r="AY46" s="213"/>
      <c r="AZ46" s="213"/>
      <c r="BA46" s="213"/>
      <c r="BB46" s="213"/>
      <c r="BC46" s="213"/>
      <c r="BD46" s="213"/>
      <c r="BE46" s="213"/>
      <c r="BF46" s="213"/>
      <c r="BG46" s="213"/>
      <c r="BH46" s="213"/>
      <c r="BI46" s="213"/>
      <c r="BJ46" s="213"/>
      <c r="BK46" s="213"/>
      <c r="BL46" s="213"/>
      <c r="BM46" s="213"/>
      <c r="BN46" s="213"/>
      <c r="BO46" s="213"/>
      <c r="BP46" s="213"/>
      <c r="BQ46" s="213"/>
      <c r="BR46" s="213"/>
      <c r="BS46" s="213"/>
      <c r="BT46" s="213"/>
      <c r="BU46" s="213"/>
      <c r="BV46" s="213"/>
      <c r="BW46" s="213"/>
      <c r="BX46" s="213"/>
      <c r="BY46" s="213"/>
      <c r="BZ46" s="213"/>
      <c r="CA46" s="213"/>
      <c r="CB46" s="213"/>
      <c r="CC46" s="213"/>
      <c r="CD46" s="213"/>
      <c r="CE46" s="213"/>
      <c r="CF46" s="213"/>
      <c r="CG46" s="213"/>
      <c r="CH46" s="213"/>
      <c r="CI46" s="213"/>
      <c r="CJ46" s="213"/>
      <c r="CK46" s="213"/>
      <c r="CL46" s="213"/>
      <c r="CM46" s="213"/>
      <c r="CN46" s="213"/>
      <c r="CO46" s="213"/>
      <c r="CP46" s="213"/>
      <c r="CQ46" s="213"/>
      <c r="CR46" s="213"/>
      <c r="CS46" s="213"/>
    </row>
    <row r="47" spans="1:97">
      <c r="A47" s="424">
        <v>45333</v>
      </c>
      <c r="B47" s="211" t="s">
        <v>253</v>
      </c>
      <c r="C47" s="213"/>
      <c r="D47" s="213"/>
      <c r="E47" s="213"/>
      <c r="F47" s="213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3"/>
      <c r="AP47" s="213"/>
      <c r="AQ47" s="213"/>
      <c r="AR47" s="213"/>
      <c r="AS47" s="213"/>
      <c r="AT47" s="213"/>
      <c r="AU47" s="213"/>
      <c r="AV47" s="213"/>
      <c r="AW47" s="213"/>
      <c r="AX47" s="213"/>
      <c r="AY47" s="213"/>
      <c r="AZ47" s="213"/>
      <c r="BA47" s="213"/>
      <c r="BB47" s="213"/>
      <c r="BC47" s="213"/>
      <c r="BD47" s="213"/>
      <c r="BE47" s="213"/>
      <c r="BF47" s="213"/>
      <c r="BG47" s="213"/>
      <c r="BH47" s="213"/>
      <c r="BI47" s="213"/>
      <c r="BJ47" s="213"/>
      <c r="BK47" s="213"/>
      <c r="BL47" s="213"/>
      <c r="BM47" s="213"/>
      <c r="BN47" s="213"/>
      <c r="BO47" s="213"/>
      <c r="BP47" s="213"/>
      <c r="BQ47" s="213"/>
      <c r="BR47" s="213"/>
      <c r="BS47" s="213"/>
      <c r="BT47" s="213"/>
      <c r="BU47" s="213"/>
      <c r="BV47" s="213"/>
      <c r="BW47" s="213"/>
      <c r="BX47" s="213"/>
      <c r="BY47" s="213"/>
      <c r="BZ47" s="213"/>
      <c r="CA47" s="213"/>
      <c r="CB47" s="213"/>
      <c r="CC47" s="213"/>
      <c r="CD47" s="213"/>
      <c r="CE47" s="213"/>
      <c r="CF47" s="213"/>
      <c r="CG47" s="213"/>
      <c r="CH47" s="213"/>
      <c r="CI47" s="213"/>
      <c r="CJ47" s="213"/>
      <c r="CK47" s="213"/>
      <c r="CL47" s="213"/>
      <c r="CM47" s="213"/>
      <c r="CN47" s="213"/>
      <c r="CO47" s="213"/>
      <c r="CP47" s="213"/>
      <c r="CQ47" s="213"/>
      <c r="CR47" s="213"/>
      <c r="CS47" s="213"/>
    </row>
    <row r="48" spans="1:97">
      <c r="A48" s="424">
        <v>45334</v>
      </c>
      <c r="B48" s="211" t="s">
        <v>247</v>
      </c>
      <c r="C48" s="213"/>
      <c r="D48" s="213"/>
      <c r="E48" s="213"/>
      <c r="F48" s="213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213"/>
      <c r="AQ48" s="213"/>
      <c r="AR48" s="213"/>
      <c r="AS48" s="213"/>
      <c r="AT48" s="213"/>
      <c r="AU48" s="213"/>
      <c r="AV48" s="213"/>
      <c r="AW48" s="213"/>
      <c r="AX48" s="213"/>
      <c r="AY48" s="213"/>
      <c r="AZ48" s="213"/>
      <c r="BA48" s="213"/>
      <c r="BB48" s="213"/>
      <c r="BC48" s="213"/>
      <c r="BD48" s="213"/>
      <c r="BE48" s="213"/>
      <c r="BF48" s="213"/>
      <c r="BG48" s="213"/>
      <c r="BH48" s="213"/>
      <c r="BI48" s="213"/>
      <c r="BJ48" s="213"/>
      <c r="BK48" s="213"/>
      <c r="BL48" s="213"/>
      <c r="BM48" s="213"/>
      <c r="BN48" s="213"/>
      <c r="BO48" s="213"/>
      <c r="BP48" s="213"/>
      <c r="BQ48" s="213"/>
      <c r="BR48" s="213"/>
      <c r="BS48" s="213"/>
      <c r="BT48" s="213"/>
      <c r="BU48" s="213"/>
      <c r="BV48" s="213"/>
      <c r="BW48" s="213"/>
      <c r="BX48" s="213"/>
      <c r="BY48" s="213"/>
      <c r="BZ48" s="213"/>
      <c r="CA48" s="213"/>
      <c r="CB48" s="213"/>
      <c r="CC48" s="213"/>
      <c r="CD48" s="213"/>
      <c r="CE48" s="213"/>
      <c r="CF48" s="213"/>
      <c r="CG48" s="213"/>
      <c r="CH48" s="213"/>
      <c r="CI48" s="213"/>
      <c r="CJ48" s="213"/>
      <c r="CK48" s="213"/>
      <c r="CL48" s="213"/>
      <c r="CM48" s="213"/>
      <c r="CN48" s="213"/>
      <c r="CO48" s="213"/>
      <c r="CP48" s="213"/>
      <c r="CQ48" s="213"/>
      <c r="CR48" s="213"/>
      <c r="CS48" s="213"/>
    </row>
    <row r="49" spans="1:97">
      <c r="A49" s="424">
        <v>45335</v>
      </c>
      <c r="B49" s="211" t="s">
        <v>248</v>
      </c>
      <c r="C49" s="213">
        <v>150.38999999999999</v>
      </c>
      <c r="D49" s="213">
        <v>148.38999999999999</v>
      </c>
      <c r="E49" s="213">
        <v>149.38999999999999</v>
      </c>
      <c r="F49" s="213">
        <v>162.41999999999999</v>
      </c>
      <c r="G49" s="213">
        <v>159.41999999999999</v>
      </c>
      <c r="H49" s="213">
        <v>160.91999999999999</v>
      </c>
      <c r="I49" s="213">
        <v>112.65</v>
      </c>
      <c r="J49" s="213">
        <v>109.45</v>
      </c>
      <c r="K49" s="213">
        <v>111.05000000000001</v>
      </c>
      <c r="L49" s="213">
        <v>192.62</v>
      </c>
      <c r="M49" s="213">
        <v>184.62</v>
      </c>
      <c r="N49" s="213">
        <v>188.62</v>
      </c>
      <c r="O49" s="213">
        <v>171.46</v>
      </c>
      <c r="P49" s="213">
        <v>169.66</v>
      </c>
      <c r="Q49" s="213">
        <v>170.56</v>
      </c>
      <c r="R49" s="213">
        <v>21.89</v>
      </c>
      <c r="S49" s="213">
        <v>21.29</v>
      </c>
      <c r="T49" s="213">
        <v>21.59</v>
      </c>
      <c r="U49" s="213">
        <v>14.52</v>
      </c>
      <c r="V49" s="213">
        <v>13.92</v>
      </c>
      <c r="W49" s="213">
        <v>14.219999999999999</v>
      </c>
      <c r="X49" s="213">
        <v>14.76</v>
      </c>
      <c r="Y49" s="213">
        <v>13.959999999999999</v>
      </c>
      <c r="Z49" s="213">
        <v>14.36</v>
      </c>
      <c r="AA49" s="213">
        <v>99.51</v>
      </c>
      <c r="AB49" s="213">
        <v>95.51</v>
      </c>
      <c r="AC49" s="213">
        <v>97.51</v>
      </c>
      <c r="AD49" s="213">
        <v>93.47</v>
      </c>
      <c r="AE49" s="213">
        <v>89.47</v>
      </c>
      <c r="AF49" s="213">
        <v>91.47</v>
      </c>
      <c r="AG49" s="213">
        <v>19.54</v>
      </c>
      <c r="AH49" s="213">
        <v>18.68</v>
      </c>
      <c r="AI49" s="213">
        <v>19.11</v>
      </c>
      <c r="AJ49" s="213"/>
      <c r="AK49" s="213"/>
      <c r="AL49" s="213"/>
      <c r="AM49" s="213">
        <v>111.88</v>
      </c>
      <c r="AN49" s="213">
        <v>110.22</v>
      </c>
      <c r="AO49" s="213">
        <v>111.05</v>
      </c>
      <c r="AP49" s="213">
        <v>40.700000000000003</v>
      </c>
      <c r="AQ49" s="213">
        <v>39.1</v>
      </c>
      <c r="AR49" s="213">
        <v>39.900000000000006</v>
      </c>
      <c r="AS49" s="213">
        <v>41.42</v>
      </c>
      <c r="AT49" s="213">
        <v>40.06</v>
      </c>
      <c r="AU49" s="213">
        <v>40.74</v>
      </c>
      <c r="AV49" s="213">
        <v>20.99</v>
      </c>
      <c r="AW49" s="213">
        <v>20.389999999999997</v>
      </c>
      <c r="AX49" s="213">
        <v>20.689999999999998</v>
      </c>
      <c r="AY49" s="213">
        <v>4.25</v>
      </c>
      <c r="AZ49" s="213">
        <v>4.09</v>
      </c>
      <c r="BA49" s="213">
        <v>4.17</v>
      </c>
      <c r="BB49" s="213">
        <v>1.96</v>
      </c>
      <c r="BC49" s="213">
        <v>1.66</v>
      </c>
      <c r="BD49" s="213">
        <v>1.81</v>
      </c>
      <c r="BE49" s="213">
        <v>0.69</v>
      </c>
      <c r="BF49" s="213">
        <v>0.38999999999999996</v>
      </c>
      <c r="BG49" s="213">
        <v>0.53999999999999992</v>
      </c>
      <c r="BH49" s="213">
        <v>492.25</v>
      </c>
      <c r="BI49" s="213">
        <v>476.25</v>
      </c>
      <c r="BJ49" s="213">
        <v>484.25</v>
      </c>
      <c r="BK49" s="213">
        <v>41.72</v>
      </c>
      <c r="BL49" s="213">
        <v>40.36</v>
      </c>
      <c r="BM49" s="213">
        <v>41.04</v>
      </c>
      <c r="BN49" s="213">
        <v>1.08</v>
      </c>
      <c r="BO49" s="213">
        <v>0.84000000000000008</v>
      </c>
      <c r="BP49" s="213">
        <v>0.96000000000000008</v>
      </c>
      <c r="BQ49" s="213">
        <v>9.75</v>
      </c>
      <c r="BR49" s="213">
        <v>7.75</v>
      </c>
      <c r="BS49" s="213">
        <v>8.75</v>
      </c>
      <c r="BT49" s="213">
        <v>11.45</v>
      </c>
      <c r="BU49" s="213">
        <v>11.049999999999999</v>
      </c>
      <c r="BV49" s="213">
        <v>11.25</v>
      </c>
      <c r="BW49" s="213">
        <v>2.83</v>
      </c>
      <c r="BX49" s="213">
        <v>2.5499999999999998</v>
      </c>
      <c r="BY49" s="213">
        <v>2.69</v>
      </c>
      <c r="BZ49" s="213">
        <v>9.39</v>
      </c>
      <c r="CA49" s="213">
        <v>6.3900000000000006</v>
      </c>
      <c r="CB49" s="213">
        <v>7.8900000000000006</v>
      </c>
      <c r="CC49" s="213">
        <v>6.51</v>
      </c>
      <c r="CD49" s="213">
        <v>6.27</v>
      </c>
      <c r="CE49" s="213">
        <v>6.39</v>
      </c>
      <c r="CF49" s="213">
        <v>1.89</v>
      </c>
      <c r="CG49" s="213">
        <v>1.39</v>
      </c>
      <c r="CH49" s="213">
        <v>1.64</v>
      </c>
      <c r="CI49" s="213">
        <v>0.44</v>
      </c>
      <c r="CJ49" s="213">
        <v>0.4</v>
      </c>
      <c r="CK49" s="213">
        <v>0.42000000000000004</v>
      </c>
      <c r="CL49" s="213">
        <v>38.56</v>
      </c>
      <c r="CM49" s="213">
        <v>36.160000000000004</v>
      </c>
      <c r="CN49" s="213">
        <v>37.36</v>
      </c>
      <c r="CO49" s="213">
        <v>7.37</v>
      </c>
      <c r="CP49" s="213">
        <v>2.37</v>
      </c>
      <c r="CQ49" s="213">
        <v>4.87</v>
      </c>
      <c r="CR49" s="213"/>
      <c r="CS49" s="213"/>
    </row>
    <row r="50" spans="1:97">
      <c r="A50" s="424">
        <v>45336</v>
      </c>
      <c r="B50" s="211" t="s">
        <v>249</v>
      </c>
      <c r="C50" s="213">
        <v>151.68</v>
      </c>
      <c r="D50" s="213">
        <v>149.68</v>
      </c>
      <c r="E50" s="213">
        <v>150.68</v>
      </c>
      <c r="F50" s="213">
        <v>162.94999999999999</v>
      </c>
      <c r="G50" s="213">
        <v>159.94999999999999</v>
      </c>
      <c r="H50" s="213">
        <v>161.44999999999999</v>
      </c>
      <c r="I50" s="213">
        <v>112.68</v>
      </c>
      <c r="J50" s="213">
        <v>109.48</v>
      </c>
      <c r="K50" s="213">
        <v>111.08000000000001</v>
      </c>
      <c r="L50" s="213">
        <v>193.84</v>
      </c>
      <c r="M50" s="213">
        <v>185.84</v>
      </c>
      <c r="N50" s="213">
        <v>189.84</v>
      </c>
      <c r="O50" s="213">
        <v>170.81</v>
      </c>
      <c r="P50" s="213">
        <v>169.01</v>
      </c>
      <c r="Q50" s="213">
        <v>169.91</v>
      </c>
      <c r="R50" s="213">
        <v>21.96</v>
      </c>
      <c r="S50" s="213">
        <v>21.36</v>
      </c>
      <c r="T50" s="213">
        <v>21.66</v>
      </c>
      <c r="U50" s="213">
        <v>14.43</v>
      </c>
      <c r="V50" s="213">
        <v>13.83</v>
      </c>
      <c r="W50" s="213">
        <v>14.129999999999999</v>
      </c>
      <c r="X50" s="213">
        <v>14.65</v>
      </c>
      <c r="Y50" s="213">
        <v>13.85</v>
      </c>
      <c r="Z50" s="213">
        <v>14.25</v>
      </c>
      <c r="AA50" s="213">
        <v>99.26</v>
      </c>
      <c r="AB50" s="213">
        <v>95.26</v>
      </c>
      <c r="AC50" s="213">
        <v>97.26</v>
      </c>
      <c r="AD50" s="213">
        <v>93.27</v>
      </c>
      <c r="AE50" s="213">
        <v>89.27</v>
      </c>
      <c r="AF50" s="213">
        <v>91.27</v>
      </c>
      <c r="AG50" s="213">
        <v>19.7</v>
      </c>
      <c r="AH50" s="213">
        <v>18.84</v>
      </c>
      <c r="AI50" s="213">
        <v>19.27</v>
      </c>
      <c r="AJ50" s="213"/>
      <c r="AK50" s="213"/>
      <c r="AL50" s="213"/>
      <c r="AM50" s="213">
        <v>112.39</v>
      </c>
      <c r="AN50" s="213">
        <v>110.73</v>
      </c>
      <c r="AO50" s="213">
        <v>111.56</v>
      </c>
      <c r="AP50" s="213">
        <v>41.05</v>
      </c>
      <c r="AQ50" s="213">
        <v>39.449999999999996</v>
      </c>
      <c r="AR50" s="213">
        <v>40.25</v>
      </c>
      <c r="AS50" s="213">
        <v>41.77</v>
      </c>
      <c r="AT50" s="213">
        <v>40.410000000000004</v>
      </c>
      <c r="AU50" s="213">
        <v>41.09</v>
      </c>
      <c r="AV50" s="213">
        <v>21.16</v>
      </c>
      <c r="AW50" s="213">
        <v>20.56</v>
      </c>
      <c r="AX50" s="213">
        <v>20.86</v>
      </c>
      <c r="AY50" s="213">
        <v>4.26</v>
      </c>
      <c r="AZ50" s="213">
        <v>4.0999999999999996</v>
      </c>
      <c r="BA50" s="213">
        <v>4.18</v>
      </c>
      <c r="BB50" s="213">
        <v>1.97</v>
      </c>
      <c r="BC50" s="213">
        <v>1.67</v>
      </c>
      <c r="BD50" s="213">
        <v>1.8199999999999998</v>
      </c>
      <c r="BE50" s="213">
        <v>0.69</v>
      </c>
      <c r="BF50" s="213">
        <v>0.38999999999999996</v>
      </c>
      <c r="BG50" s="213">
        <v>0.53999999999999992</v>
      </c>
      <c r="BH50" s="213">
        <v>497.7</v>
      </c>
      <c r="BI50" s="213">
        <v>481.7</v>
      </c>
      <c r="BJ50" s="213">
        <v>489.7</v>
      </c>
      <c r="BK50" s="213">
        <v>42.09</v>
      </c>
      <c r="BL50" s="213">
        <v>40.730000000000004</v>
      </c>
      <c r="BM50" s="213">
        <v>41.410000000000004</v>
      </c>
      <c r="BN50" s="213">
        <v>1.0900000000000001</v>
      </c>
      <c r="BO50" s="213">
        <v>0.85000000000000009</v>
      </c>
      <c r="BP50" s="213">
        <v>0.97000000000000008</v>
      </c>
      <c r="BQ50" s="213">
        <v>9.77</v>
      </c>
      <c r="BR50" s="213">
        <v>7.77</v>
      </c>
      <c r="BS50" s="213">
        <v>8.77</v>
      </c>
      <c r="BT50" s="213">
        <v>11.49</v>
      </c>
      <c r="BU50" s="213">
        <v>11.09</v>
      </c>
      <c r="BV50" s="213">
        <v>11.29</v>
      </c>
      <c r="BW50" s="213">
        <v>2.85</v>
      </c>
      <c r="BX50" s="213">
        <v>2.5700000000000003</v>
      </c>
      <c r="BY50" s="213">
        <v>2.71</v>
      </c>
      <c r="BZ50" s="213">
        <v>9.3699999999999992</v>
      </c>
      <c r="CA50" s="213">
        <v>6.3699999999999992</v>
      </c>
      <c r="CB50" s="213">
        <v>7.8699999999999992</v>
      </c>
      <c r="CC50" s="213">
        <v>6.49</v>
      </c>
      <c r="CD50" s="213">
        <v>6.25</v>
      </c>
      <c r="CE50" s="213">
        <v>6.37</v>
      </c>
      <c r="CF50" s="213">
        <v>1.9</v>
      </c>
      <c r="CG50" s="213">
        <v>1.4</v>
      </c>
      <c r="CH50" s="213">
        <v>1.65</v>
      </c>
      <c r="CI50" s="213">
        <v>0.44</v>
      </c>
      <c r="CJ50" s="213">
        <v>0.4</v>
      </c>
      <c r="CK50" s="213">
        <v>0.42000000000000004</v>
      </c>
      <c r="CL50" s="213">
        <v>38.44</v>
      </c>
      <c r="CM50" s="213">
        <v>36.04</v>
      </c>
      <c r="CN50" s="213">
        <v>37.239999999999995</v>
      </c>
      <c r="CO50" s="213">
        <v>7.41</v>
      </c>
      <c r="CP50" s="213">
        <v>2.41</v>
      </c>
      <c r="CQ50" s="213">
        <v>4.91</v>
      </c>
      <c r="CR50" s="213"/>
      <c r="CS50" s="213"/>
    </row>
    <row r="51" spans="1:97">
      <c r="A51" s="424">
        <v>45337</v>
      </c>
      <c r="B51" s="211" t="s">
        <v>250</v>
      </c>
      <c r="C51" s="213">
        <v>151.49</v>
      </c>
      <c r="D51" s="213">
        <v>149.49</v>
      </c>
      <c r="E51" s="213">
        <v>150.49</v>
      </c>
      <c r="F51" s="213">
        <v>163.02000000000001</v>
      </c>
      <c r="G51" s="213">
        <v>160.02000000000001</v>
      </c>
      <c r="H51" s="213">
        <v>161.52000000000001</v>
      </c>
      <c r="I51" s="213">
        <v>112.74</v>
      </c>
      <c r="J51" s="213">
        <v>109.53999999999999</v>
      </c>
      <c r="K51" s="213">
        <v>111.13999999999999</v>
      </c>
      <c r="L51" s="213">
        <v>193.17</v>
      </c>
      <c r="M51" s="213">
        <v>185.17</v>
      </c>
      <c r="N51" s="213">
        <v>189.17</v>
      </c>
      <c r="O51" s="213">
        <v>170.83</v>
      </c>
      <c r="P51" s="213">
        <v>169.03</v>
      </c>
      <c r="Q51" s="213">
        <v>169.93</v>
      </c>
      <c r="R51" s="213">
        <v>21.97</v>
      </c>
      <c r="S51" s="213">
        <v>21.369999999999997</v>
      </c>
      <c r="T51" s="213">
        <v>21.669999999999998</v>
      </c>
      <c r="U51" s="213">
        <v>14.53</v>
      </c>
      <c r="V51" s="213">
        <v>13.93</v>
      </c>
      <c r="W51" s="213">
        <v>14.23</v>
      </c>
      <c r="X51" s="213">
        <v>14.72</v>
      </c>
      <c r="Y51" s="213">
        <v>13.92</v>
      </c>
      <c r="Z51" s="213">
        <v>14.32</v>
      </c>
      <c r="AA51" s="213">
        <v>99.61</v>
      </c>
      <c r="AB51" s="213">
        <v>95.61</v>
      </c>
      <c r="AC51" s="213">
        <v>97.61</v>
      </c>
      <c r="AD51" s="213">
        <v>93.65</v>
      </c>
      <c r="AE51" s="213">
        <v>89.65</v>
      </c>
      <c r="AF51" s="213">
        <v>91.65</v>
      </c>
      <c r="AG51" s="213">
        <v>19.68</v>
      </c>
      <c r="AH51" s="213">
        <v>18.82</v>
      </c>
      <c r="AI51" s="213">
        <v>19.25</v>
      </c>
      <c r="AJ51" s="213"/>
      <c r="AK51" s="213"/>
      <c r="AL51" s="213"/>
      <c r="AM51" s="213">
        <v>112.48</v>
      </c>
      <c r="AN51" s="213">
        <v>110.82000000000001</v>
      </c>
      <c r="AO51" s="213">
        <v>111.65</v>
      </c>
      <c r="AP51" s="213">
        <v>40.99</v>
      </c>
      <c r="AQ51" s="213">
        <v>39.39</v>
      </c>
      <c r="AR51" s="213">
        <v>40.19</v>
      </c>
      <c r="AS51" s="213">
        <v>41.73</v>
      </c>
      <c r="AT51" s="213">
        <v>40.369999999999997</v>
      </c>
      <c r="AU51" s="213">
        <v>41.05</v>
      </c>
      <c r="AV51" s="213">
        <v>21.14</v>
      </c>
      <c r="AW51" s="213">
        <v>20.54</v>
      </c>
      <c r="AX51" s="213">
        <v>20.84</v>
      </c>
      <c r="AY51" s="213">
        <v>4.25</v>
      </c>
      <c r="AZ51" s="213">
        <v>4.09</v>
      </c>
      <c r="BA51" s="213">
        <v>4.17</v>
      </c>
      <c r="BB51" s="213">
        <v>1.97</v>
      </c>
      <c r="BC51" s="213">
        <v>1.67</v>
      </c>
      <c r="BD51" s="213">
        <v>1.8199999999999998</v>
      </c>
      <c r="BE51" s="213">
        <v>0.69</v>
      </c>
      <c r="BF51" s="213">
        <v>0.38999999999999996</v>
      </c>
      <c r="BG51" s="213">
        <v>0.53999999999999992</v>
      </c>
      <c r="BH51" s="213">
        <v>495.65</v>
      </c>
      <c r="BI51" s="213">
        <v>479.65</v>
      </c>
      <c r="BJ51" s="213">
        <v>487.65</v>
      </c>
      <c r="BK51" s="213">
        <v>42.02</v>
      </c>
      <c r="BL51" s="213">
        <v>40.660000000000004</v>
      </c>
      <c r="BM51" s="213">
        <v>41.34</v>
      </c>
      <c r="BN51" s="213">
        <v>1.0900000000000001</v>
      </c>
      <c r="BO51" s="213">
        <v>0.85000000000000009</v>
      </c>
      <c r="BP51" s="213">
        <v>0.97000000000000008</v>
      </c>
      <c r="BQ51" s="213">
        <v>9.81</v>
      </c>
      <c r="BR51" s="213">
        <v>7.8100000000000005</v>
      </c>
      <c r="BS51" s="213">
        <v>8.81</v>
      </c>
      <c r="BT51" s="213">
        <v>11.52</v>
      </c>
      <c r="BU51" s="213">
        <v>11.12</v>
      </c>
      <c r="BV51" s="213">
        <v>11.32</v>
      </c>
      <c r="BW51" s="213">
        <v>2.84</v>
      </c>
      <c r="BX51" s="213">
        <v>2.5599999999999996</v>
      </c>
      <c r="BY51" s="213">
        <v>2.6999999999999997</v>
      </c>
      <c r="BZ51" s="213">
        <v>9.39</v>
      </c>
      <c r="CA51" s="213">
        <v>6.3900000000000006</v>
      </c>
      <c r="CB51" s="213">
        <v>7.8900000000000006</v>
      </c>
      <c r="CC51" s="213">
        <v>6.49</v>
      </c>
      <c r="CD51" s="213">
        <v>6.25</v>
      </c>
      <c r="CE51" s="213">
        <v>6.37</v>
      </c>
      <c r="CF51" s="213">
        <v>1.89</v>
      </c>
      <c r="CG51" s="213">
        <v>1.39</v>
      </c>
      <c r="CH51" s="213">
        <v>1.64</v>
      </c>
      <c r="CI51" s="213">
        <v>0.44</v>
      </c>
      <c r="CJ51" s="213">
        <v>0.4</v>
      </c>
      <c r="CK51" s="213">
        <v>0.42000000000000004</v>
      </c>
      <c r="CL51" s="213">
        <v>38.44</v>
      </c>
      <c r="CM51" s="213">
        <v>36.04</v>
      </c>
      <c r="CN51" s="213">
        <v>37.239999999999995</v>
      </c>
      <c r="CO51" s="213">
        <v>7.41</v>
      </c>
      <c r="CP51" s="213">
        <v>2.41</v>
      </c>
      <c r="CQ51" s="213">
        <v>4.91</v>
      </c>
      <c r="CR51" s="213"/>
      <c r="CS51" s="213"/>
    </row>
    <row r="52" spans="1:97">
      <c r="A52" s="424">
        <v>45338</v>
      </c>
      <c r="B52" s="211" t="s">
        <v>251</v>
      </c>
      <c r="C52" s="213">
        <v>151.26</v>
      </c>
      <c r="D52" s="213">
        <v>149.26</v>
      </c>
      <c r="E52" s="213">
        <v>150.26</v>
      </c>
      <c r="F52" s="213">
        <v>163.25</v>
      </c>
      <c r="G52" s="213">
        <v>160.25</v>
      </c>
      <c r="H52" s="213">
        <v>161.75</v>
      </c>
      <c r="I52" s="213">
        <v>113.08</v>
      </c>
      <c r="J52" s="213">
        <v>109.88</v>
      </c>
      <c r="K52" s="213">
        <v>111.47999999999999</v>
      </c>
      <c r="L52" s="213">
        <v>193.09</v>
      </c>
      <c r="M52" s="213">
        <v>185.09</v>
      </c>
      <c r="N52" s="213">
        <v>189.09</v>
      </c>
      <c r="O52" s="213">
        <v>171.49</v>
      </c>
      <c r="P52" s="213">
        <v>169.69</v>
      </c>
      <c r="Q52" s="213">
        <v>170.59</v>
      </c>
      <c r="R52" s="213">
        <v>22</v>
      </c>
      <c r="S52" s="213">
        <v>21.4</v>
      </c>
      <c r="T52" s="213">
        <v>21.7</v>
      </c>
      <c r="U52" s="213">
        <v>14.53</v>
      </c>
      <c r="V52" s="213">
        <v>13.93</v>
      </c>
      <c r="W52" s="213">
        <v>14.23</v>
      </c>
      <c r="X52" s="213">
        <v>14.74</v>
      </c>
      <c r="Y52" s="213">
        <v>13.94</v>
      </c>
      <c r="Z52" s="213">
        <v>14.34</v>
      </c>
      <c r="AA52" s="213">
        <v>99.88</v>
      </c>
      <c r="AB52" s="213">
        <v>95.88</v>
      </c>
      <c r="AC52" s="213">
        <v>97.88</v>
      </c>
      <c r="AD52" s="213">
        <v>93.6</v>
      </c>
      <c r="AE52" s="213">
        <v>89.6</v>
      </c>
      <c r="AF52" s="213">
        <v>91.6</v>
      </c>
      <c r="AG52" s="213">
        <v>19.64</v>
      </c>
      <c r="AH52" s="213">
        <v>18.78</v>
      </c>
      <c r="AI52" s="213">
        <v>19.21</v>
      </c>
      <c r="AJ52" s="213"/>
      <c r="AK52" s="213"/>
      <c r="AL52" s="213"/>
      <c r="AM52" s="213">
        <v>112.42</v>
      </c>
      <c r="AN52" s="213">
        <v>110.76</v>
      </c>
      <c r="AO52" s="213">
        <v>111.59</v>
      </c>
      <c r="AP52" s="213">
        <v>40.93</v>
      </c>
      <c r="AQ52" s="213">
        <v>39.33</v>
      </c>
      <c r="AR52" s="213">
        <v>40.129999999999995</v>
      </c>
      <c r="AS52" s="213">
        <v>41.67</v>
      </c>
      <c r="AT52" s="213">
        <v>40.31</v>
      </c>
      <c r="AU52" s="213">
        <v>40.99</v>
      </c>
      <c r="AV52" s="213">
        <v>21.11</v>
      </c>
      <c r="AW52" s="213">
        <v>20.509999999999998</v>
      </c>
      <c r="AX52" s="213">
        <v>20.81</v>
      </c>
      <c r="AY52" s="213">
        <v>4.25</v>
      </c>
      <c r="AZ52" s="213">
        <v>4.09</v>
      </c>
      <c r="BA52" s="213">
        <v>4.17</v>
      </c>
      <c r="BB52" s="213">
        <v>1.97</v>
      </c>
      <c r="BC52" s="213">
        <v>1.67</v>
      </c>
      <c r="BD52" s="213">
        <v>1.8199999999999998</v>
      </c>
      <c r="BE52" s="213">
        <v>0.69</v>
      </c>
      <c r="BF52" s="213">
        <v>0.38999999999999996</v>
      </c>
      <c r="BG52" s="213">
        <v>0.53999999999999992</v>
      </c>
      <c r="BH52" s="213">
        <v>496.81</v>
      </c>
      <c r="BI52" s="213">
        <v>480.81</v>
      </c>
      <c r="BJ52" s="213">
        <v>488.81</v>
      </c>
      <c r="BK52" s="213">
        <v>41.96</v>
      </c>
      <c r="BL52" s="213">
        <v>40.6</v>
      </c>
      <c r="BM52" s="213">
        <v>41.28</v>
      </c>
      <c r="BN52" s="213">
        <v>1.0900000000000001</v>
      </c>
      <c r="BO52" s="213">
        <v>0.85000000000000009</v>
      </c>
      <c r="BP52" s="213">
        <v>0.97000000000000008</v>
      </c>
      <c r="BQ52" s="213">
        <v>9.82</v>
      </c>
      <c r="BR52" s="213">
        <v>7.82</v>
      </c>
      <c r="BS52" s="213">
        <v>8.82</v>
      </c>
      <c r="BT52" s="213">
        <v>11.5</v>
      </c>
      <c r="BU52" s="213">
        <v>11.1</v>
      </c>
      <c r="BV52" s="213">
        <v>11.3</v>
      </c>
      <c r="BW52" s="213">
        <v>2.84</v>
      </c>
      <c r="BX52" s="213">
        <v>2.5599999999999996</v>
      </c>
      <c r="BY52" s="213">
        <v>2.6999999999999997</v>
      </c>
      <c r="BZ52" s="213">
        <v>9.43</v>
      </c>
      <c r="CA52" s="213">
        <v>6.43</v>
      </c>
      <c r="CB52" s="213">
        <v>7.93</v>
      </c>
      <c r="CC52" s="213">
        <v>6.51</v>
      </c>
      <c r="CD52" s="213">
        <v>6.27</v>
      </c>
      <c r="CE52" s="213">
        <v>6.39</v>
      </c>
      <c r="CF52" s="213">
        <v>1.88</v>
      </c>
      <c r="CG52" s="213">
        <v>1.38</v>
      </c>
      <c r="CH52" s="213">
        <v>1.63</v>
      </c>
      <c r="CI52" s="213">
        <v>0.44</v>
      </c>
      <c r="CJ52" s="213">
        <v>0.4</v>
      </c>
      <c r="CK52" s="213">
        <v>0.42000000000000004</v>
      </c>
      <c r="CL52" s="213">
        <v>38.409999999999997</v>
      </c>
      <c r="CM52" s="213">
        <v>36.01</v>
      </c>
      <c r="CN52" s="213">
        <v>37.209999999999994</v>
      </c>
      <c r="CO52" s="213">
        <v>7.4</v>
      </c>
      <c r="CP52" s="213">
        <v>2.4000000000000004</v>
      </c>
      <c r="CQ52" s="213">
        <v>4.9000000000000004</v>
      </c>
      <c r="CR52" s="213"/>
      <c r="CS52" s="213"/>
    </row>
    <row r="53" spans="1:97">
      <c r="A53" s="424">
        <v>45339</v>
      </c>
      <c r="B53" s="211" t="s">
        <v>252</v>
      </c>
      <c r="C53" s="213"/>
      <c r="D53" s="213"/>
      <c r="E53" s="213"/>
      <c r="F53" s="213"/>
      <c r="G53" s="213"/>
      <c r="H53" s="213"/>
      <c r="I53" s="213"/>
      <c r="J53" s="213"/>
      <c r="K53" s="213"/>
      <c r="L53" s="213"/>
      <c r="M53" s="213"/>
      <c r="N53" s="213"/>
      <c r="O53" s="213"/>
      <c r="P53" s="213"/>
      <c r="Q53" s="213"/>
      <c r="R53" s="213"/>
      <c r="S53" s="213"/>
      <c r="T53" s="213"/>
      <c r="U53" s="213"/>
      <c r="V53" s="213"/>
      <c r="W53" s="213"/>
      <c r="X53" s="213"/>
      <c r="Y53" s="213"/>
      <c r="Z53" s="213"/>
      <c r="AA53" s="213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  <c r="AN53" s="213"/>
      <c r="AO53" s="213"/>
      <c r="AP53" s="213"/>
      <c r="AQ53" s="213"/>
      <c r="AR53" s="213"/>
      <c r="AS53" s="213"/>
      <c r="AT53" s="213"/>
      <c r="AU53" s="213"/>
      <c r="AV53" s="213"/>
      <c r="AW53" s="213"/>
      <c r="AX53" s="213"/>
      <c r="AY53" s="213"/>
      <c r="AZ53" s="213"/>
      <c r="BA53" s="213"/>
      <c r="BB53" s="213"/>
      <c r="BC53" s="213"/>
      <c r="BD53" s="213"/>
      <c r="BE53" s="213"/>
      <c r="BF53" s="213"/>
      <c r="BG53" s="213"/>
      <c r="BH53" s="213"/>
      <c r="BI53" s="213"/>
      <c r="BJ53" s="213"/>
      <c r="BK53" s="213"/>
      <c r="BL53" s="213"/>
      <c r="BM53" s="213"/>
      <c r="BN53" s="213"/>
      <c r="BO53" s="213"/>
      <c r="BP53" s="213"/>
      <c r="BQ53" s="213"/>
      <c r="BR53" s="213"/>
      <c r="BS53" s="213"/>
      <c r="BT53" s="213"/>
      <c r="BU53" s="213"/>
      <c r="BV53" s="213"/>
      <c r="BW53" s="213"/>
      <c r="BX53" s="213"/>
      <c r="BY53" s="213"/>
      <c r="BZ53" s="213"/>
      <c r="CA53" s="213"/>
      <c r="CB53" s="213"/>
      <c r="CC53" s="213"/>
      <c r="CD53" s="213"/>
      <c r="CE53" s="213"/>
      <c r="CF53" s="213"/>
      <c r="CG53" s="213"/>
      <c r="CH53" s="213"/>
      <c r="CI53" s="213"/>
      <c r="CJ53" s="213"/>
      <c r="CK53" s="213"/>
      <c r="CL53" s="213"/>
      <c r="CM53" s="213"/>
      <c r="CN53" s="213"/>
      <c r="CO53" s="213"/>
      <c r="CP53" s="213"/>
      <c r="CQ53" s="213"/>
      <c r="CR53" s="213"/>
      <c r="CS53" s="213"/>
    </row>
    <row r="54" spans="1:97">
      <c r="A54" s="424">
        <v>45340</v>
      </c>
      <c r="B54" s="211" t="s">
        <v>253</v>
      </c>
      <c r="C54" s="213"/>
      <c r="D54" s="213"/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3"/>
      <c r="P54" s="213"/>
      <c r="Q54" s="213"/>
      <c r="R54" s="213"/>
      <c r="S54" s="213"/>
      <c r="T54" s="213"/>
      <c r="U54" s="213"/>
      <c r="V54" s="213"/>
      <c r="W54" s="213"/>
      <c r="X54" s="213"/>
      <c r="Y54" s="213"/>
      <c r="Z54" s="213"/>
      <c r="AA54" s="213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  <c r="AN54" s="213"/>
      <c r="AO54" s="213"/>
      <c r="AP54" s="213"/>
      <c r="AQ54" s="213"/>
      <c r="AR54" s="213"/>
      <c r="AS54" s="213"/>
      <c r="AT54" s="213"/>
      <c r="AU54" s="213"/>
      <c r="AV54" s="213"/>
      <c r="AW54" s="213"/>
      <c r="AX54" s="213"/>
      <c r="AY54" s="213"/>
      <c r="AZ54" s="213"/>
      <c r="BA54" s="213"/>
      <c r="BB54" s="213"/>
      <c r="BC54" s="213"/>
      <c r="BD54" s="213"/>
      <c r="BE54" s="213"/>
      <c r="BF54" s="213"/>
      <c r="BG54" s="213"/>
      <c r="BH54" s="213"/>
      <c r="BI54" s="213"/>
      <c r="BJ54" s="213"/>
      <c r="BK54" s="213"/>
      <c r="BL54" s="213"/>
      <c r="BM54" s="213"/>
      <c r="BN54" s="213"/>
      <c r="BO54" s="213"/>
      <c r="BP54" s="213"/>
      <c r="BQ54" s="213"/>
      <c r="BR54" s="213"/>
      <c r="BS54" s="213"/>
      <c r="BT54" s="213"/>
      <c r="BU54" s="213"/>
      <c r="BV54" s="213"/>
      <c r="BW54" s="213"/>
      <c r="BX54" s="213"/>
      <c r="BY54" s="213"/>
      <c r="BZ54" s="213"/>
      <c r="CA54" s="213"/>
      <c r="CB54" s="213"/>
      <c r="CC54" s="213"/>
      <c r="CD54" s="213"/>
      <c r="CE54" s="213"/>
      <c r="CF54" s="213"/>
      <c r="CG54" s="213"/>
      <c r="CH54" s="213"/>
      <c r="CI54" s="213"/>
      <c r="CJ54" s="213"/>
      <c r="CK54" s="213"/>
      <c r="CL54" s="213"/>
      <c r="CM54" s="213"/>
      <c r="CN54" s="213"/>
      <c r="CO54" s="213"/>
      <c r="CP54" s="213"/>
      <c r="CQ54" s="213"/>
      <c r="CR54" s="213"/>
      <c r="CS54" s="213"/>
    </row>
    <row r="55" spans="1:97">
      <c r="A55" s="424">
        <v>45341</v>
      </c>
      <c r="B55" s="211" t="s">
        <v>247</v>
      </c>
      <c r="C55" s="213">
        <v>151.03</v>
      </c>
      <c r="D55" s="213">
        <v>149.03</v>
      </c>
      <c r="E55" s="213">
        <v>150.03</v>
      </c>
      <c r="F55" s="213">
        <v>163.31</v>
      </c>
      <c r="G55" s="213">
        <v>160.31</v>
      </c>
      <c r="H55" s="213">
        <v>161.81</v>
      </c>
      <c r="I55" s="213">
        <v>112.99</v>
      </c>
      <c r="J55" s="213">
        <v>109.78999999999999</v>
      </c>
      <c r="K55" s="213">
        <v>111.38999999999999</v>
      </c>
      <c r="L55" s="213">
        <v>193.35</v>
      </c>
      <c r="M55" s="213">
        <v>185.35</v>
      </c>
      <c r="N55" s="213">
        <v>189.35</v>
      </c>
      <c r="O55" s="213">
        <v>171.39</v>
      </c>
      <c r="P55" s="213">
        <v>169.58999999999997</v>
      </c>
      <c r="Q55" s="213">
        <v>170.48999999999998</v>
      </c>
      <c r="R55" s="213">
        <v>22</v>
      </c>
      <c r="S55" s="213">
        <v>21.4</v>
      </c>
      <c r="T55" s="213">
        <v>21.7</v>
      </c>
      <c r="U55" s="213">
        <v>14.58</v>
      </c>
      <c r="V55" s="213">
        <v>13.98</v>
      </c>
      <c r="W55" s="213">
        <v>14.280000000000001</v>
      </c>
      <c r="X55" s="213">
        <v>14.79</v>
      </c>
      <c r="Y55" s="213">
        <v>13.989999999999998</v>
      </c>
      <c r="Z55" s="213">
        <v>14.389999999999999</v>
      </c>
      <c r="AA55" s="213">
        <v>100.24</v>
      </c>
      <c r="AB55" s="213">
        <v>96.24</v>
      </c>
      <c r="AC55" s="213">
        <v>98.24</v>
      </c>
      <c r="AD55" s="213">
        <v>94.1</v>
      </c>
      <c r="AE55" s="213">
        <v>90.1</v>
      </c>
      <c r="AF55" s="213">
        <v>92.1</v>
      </c>
      <c r="AG55" s="213">
        <v>19.61</v>
      </c>
      <c r="AH55" s="213">
        <v>18.75</v>
      </c>
      <c r="AI55" s="213">
        <v>19.18</v>
      </c>
      <c r="AJ55" s="213"/>
      <c r="AK55" s="213"/>
      <c r="AL55" s="213"/>
      <c r="AM55" s="213">
        <v>112.37</v>
      </c>
      <c r="AN55" s="213">
        <v>110.71000000000001</v>
      </c>
      <c r="AO55" s="213">
        <v>111.54</v>
      </c>
      <c r="AP55" s="213">
        <v>40.869999999999997</v>
      </c>
      <c r="AQ55" s="213">
        <v>39.269999999999996</v>
      </c>
      <c r="AR55" s="213">
        <v>40.069999999999993</v>
      </c>
      <c r="AS55" s="213">
        <v>41.59</v>
      </c>
      <c r="AT55" s="213">
        <v>40.230000000000004</v>
      </c>
      <c r="AU55" s="213">
        <v>40.910000000000004</v>
      </c>
      <c r="AV55" s="213">
        <v>21.12</v>
      </c>
      <c r="AW55" s="213">
        <v>20.52</v>
      </c>
      <c r="AX55" s="213">
        <v>20.82</v>
      </c>
      <c r="AY55" s="213">
        <v>4.25</v>
      </c>
      <c r="AZ55" s="213">
        <v>4.09</v>
      </c>
      <c r="BA55" s="213">
        <v>4.17</v>
      </c>
      <c r="BB55" s="213">
        <v>1.97</v>
      </c>
      <c r="BC55" s="213">
        <v>1.67</v>
      </c>
      <c r="BD55" s="213">
        <v>1.8199999999999998</v>
      </c>
      <c r="BE55" s="213">
        <v>0.7</v>
      </c>
      <c r="BF55" s="213">
        <v>0.39999999999999997</v>
      </c>
      <c r="BG55" s="213">
        <v>0.54999999999999993</v>
      </c>
      <c r="BH55" s="213">
        <v>496.06</v>
      </c>
      <c r="BI55" s="213">
        <v>480.06</v>
      </c>
      <c r="BJ55" s="213">
        <v>488.06</v>
      </c>
      <c r="BK55" s="213">
        <v>41.9</v>
      </c>
      <c r="BL55" s="213">
        <v>40.54</v>
      </c>
      <c r="BM55" s="213">
        <v>41.22</v>
      </c>
      <c r="BN55" s="213">
        <v>1.08</v>
      </c>
      <c r="BO55" s="213">
        <v>0.84000000000000008</v>
      </c>
      <c r="BP55" s="213">
        <v>0.96000000000000008</v>
      </c>
      <c r="BQ55" s="213">
        <v>9.81</v>
      </c>
      <c r="BR55" s="213">
        <v>7.8100000000000005</v>
      </c>
      <c r="BS55" s="213">
        <v>8.81</v>
      </c>
      <c r="BT55" s="213">
        <v>11.48</v>
      </c>
      <c r="BU55" s="213">
        <v>11.08</v>
      </c>
      <c r="BV55" s="213">
        <v>11.280000000000001</v>
      </c>
      <c r="BW55" s="213">
        <v>2.84</v>
      </c>
      <c r="BX55" s="213">
        <v>2.5599999999999996</v>
      </c>
      <c r="BY55" s="213">
        <v>2.6999999999999997</v>
      </c>
      <c r="BZ55" s="213">
        <v>9.4600000000000009</v>
      </c>
      <c r="CA55" s="213">
        <v>6.4600000000000009</v>
      </c>
      <c r="CB55" s="213">
        <v>7.9600000000000009</v>
      </c>
      <c r="CC55" s="213">
        <v>6.49</v>
      </c>
      <c r="CD55" s="213">
        <v>6.25</v>
      </c>
      <c r="CE55" s="213">
        <v>6.37</v>
      </c>
      <c r="CF55" s="213">
        <v>1.88</v>
      </c>
      <c r="CG55" s="213">
        <v>1.38</v>
      </c>
      <c r="CH55" s="213">
        <v>1.63</v>
      </c>
      <c r="CI55" s="213">
        <v>0.44</v>
      </c>
      <c r="CJ55" s="213">
        <v>0.4</v>
      </c>
      <c r="CK55" s="213">
        <v>0.42000000000000004</v>
      </c>
      <c r="CL55" s="213">
        <v>38.49</v>
      </c>
      <c r="CM55" s="213">
        <v>36.090000000000003</v>
      </c>
      <c r="CN55" s="213">
        <v>37.290000000000006</v>
      </c>
      <c r="CO55" s="213">
        <v>7.37</v>
      </c>
      <c r="CP55" s="213">
        <v>2.37</v>
      </c>
      <c r="CQ55" s="213">
        <v>4.87</v>
      </c>
      <c r="CR55" s="213"/>
      <c r="CS55" s="213"/>
    </row>
    <row r="56" spans="1:97">
      <c r="A56" s="424">
        <v>45342</v>
      </c>
      <c r="B56" s="211" t="s">
        <v>248</v>
      </c>
      <c r="C56" s="213">
        <v>151.38</v>
      </c>
      <c r="D56" s="213">
        <v>149.38</v>
      </c>
      <c r="E56" s="213">
        <v>150.38</v>
      </c>
      <c r="F56" s="213">
        <v>163.44</v>
      </c>
      <c r="G56" s="213">
        <v>160.44</v>
      </c>
      <c r="H56" s="213">
        <v>161.94</v>
      </c>
      <c r="I56" s="213">
        <v>112.98</v>
      </c>
      <c r="J56" s="213">
        <v>109.78</v>
      </c>
      <c r="K56" s="213">
        <v>111.38</v>
      </c>
      <c r="L56" s="213">
        <v>193.3</v>
      </c>
      <c r="M56" s="213">
        <v>185.3</v>
      </c>
      <c r="N56" s="213">
        <v>189.3</v>
      </c>
      <c r="O56" s="213">
        <v>171.21</v>
      </c>
      <c r="P56" s="213">
        <v>169.41</v>
      </c>
      <c r="Q56" s="213">
        <v>170.31</v>
      </c>
      <c r="R56" s="213">
        <v>22.02</v>
      </c>
      <c r="S56" s="213">
        <v>21.419999999999998</v>
      </c>
      <c r="T56" s="213">
        <v>21.72</v>
      </c>
      <c r="U56" s="213">
        <v>14.63</v>
      </c>
      <c r="V56" s="213">
        <v>14.030000000000001</v>
      </c>
      <c r="W56" s="213">
        <v>14.330000000000002</v>
      </c>
      <c r="X56" s="213">
        <v>14.86</v>
      </c>
      <c r="Y56" s="213">
        <v>14.059999999999999</v>
      </c>
      <c r="Z56" s="213">
        <v>14.459999999999999</v>
      </c>
      <c r="AA56" s="213">
        <v>100.21</v>
      </c>
      <c r="AB56" s="213">
        <v>96.21</v>
      </c>
      <c r="AC56" s="213">
        <v>98.21</v>
      </c>
      <c r="AD56" s="213">
        <v>94.33</v>
      </c>
      <c r="AE56" s="213">
        <v>90.33</v>
      </c>
      <c r="AF56" s="213">
        <v>92.33</v>
      </c>
      <c r="AG56" s="213">
        <v>19.66</v>
      </c>
      <c r="AH56" s="213">
        <v>18.8</v>
      </c>
      <c r="AI56" s="213">
        <v>19.23</v>
      </c>
      <c r="AJ56" s="213"/>
      <c r="AK56" s="213"/>
      <c r="AL56" s="213"/>
      <c r="AM56" s="213">
        <v>112.5</v>
      </c>
      <c r="AN56" s="213">
        <v>110.84</v>
      </c>
      <c r="AO56" s="213">
        <v>111.67</v>
      </c>
      <c r="AP56" s="213">
        <v>40.97</v>
      </c>
      <c r="AQ56" s="213">
        <v>39.369999999999997</v>
      </c>
      <c r="AR56" s="213">
        <v>40.17</v>
      </c>
      <c r="AS56" s="213">
        <v>41.69</v>
      </c>
      <c r="AT56" s="213">
        <v>40.33</v>
      </c>
      <c r="AU56" s="213">
        <v>41.01</v>
      </c>
      <c r="AV56" s="213">
        <v>21.14</v>
      </c>
      <c r="AW56" s="213">
        <v>20.54</v>
      </c>
      <c r="AX56" s="213">
        <v>20.84</v>
      </c>
      <c r="AY56" s="213">
        <v>4.24</v>
      </c>
      <c r="AZ56" s="213">
        <v>4.08</v>
      </c>
      <c r="BA56" s="213">
        <v>4.16</v>
      </c>
      <c r="BB56" s="213">
        <v>1.97</v>
      </c>
      <c r="BC56" s="213">
        <v>1.67</v>
      </c>
      <c r="BD56" s="213">
        <v>1.8199999999999998</v>
      </c>
      <c r="BE56" s="213">
        <v>0.69</v>
      </c>
      <c r="BF56" s="213">
        <v>0.38999999999999996</v>
      </c>
      <c r="BG56" s="213">
        <v>0.53999999999999992</v>
      </c>
      <c r="BH56" s="213">
        <v>497.2</v>
      </c>
      <c r="BI56" s="213">
        <v>481.2</v>
      </c>
      <c r="BJ56" s="213">
        <v>489.2</v>
      </c>
      <c r="BK56" s="213">
        <v>41.99</v>
      </c>
      <c r="BL56" s="213">
        <v>40.630000000000003</v>
      </c>
      <c r="BM56" s="213">
        <v>41.31</v>
      </c>
      <c r="BN56" s="213">
        <v>1.0900000000000001</v>
      </c>
      <c r="BO56" s="213">
        <v>0.85000000000000009</v>
      </c>
      <c r="BP56" s="213">
        <v>0.97000000000000008</v>
      </c>
      <c r="BQ56" s="213">
        <v>9.82</v>
      </c>
      <c r="BR56" s="213">
        <v>7.82</v>
      </c>
      <c r="BS56" s="213">
        <v>8.82</v>
      </c>
      <c r="BT56" s="213">
        <v>11.44</v>
      </c>
      <c r="BU56" s="213">
        <v>11.04</v>
      </c>
      <c r="BV56" s="213">
        <v>11.239999999999998</v>
      </c>
      <c r="BW56" s="213">
        <v>2.84</v>
      </c>
      <c r="BX56" s="213">
        <v>2.5599999999999996</v>
      </c>
      <c r="BY56" s="213">
        <v>2.6999999999999997</v>
      </c>
      <c r="BZ56" s="213">
        <v>9.42</v>
      </c>
      <c r="CA56" s="213">
        <v>6.42</v>
      </c>
      <c r="CB56" s="213">
        <v>7.92</v>
      </c>
      <c r="CC56" s="213">
        <v>6.48</v>
      </c>
      <c r="CD56" s="213">
        <v>6.24</v>
      </c>
      <c r="CE56" s="213">
        <v>6.36</v>
      </c>
      <c r="CF56" s="213">
        <v>1.88</v>
      </c>
      <c r="CG56" s="213">
        <v>1.38</v>
      </c>
      <c r="CH56" s="213">
        <v>1.63</v>
      </c>
      <c r="CI56" s="213">
        <v>0.44</v>
      </c>
      <c r="CJ56" s="213">
        <v>0.4</v>
      </c>
      <c r="CK56" s="213">
        <v>0.42000000000000004</v>
      </c>
      <c r="CL56" s="213">
        <v>38.61</v>
      </c>
      <c r="CM56" s="213">
        <v>36.21</v>
      </c>
      <c r="CN56" s="213">
        <v>37.409999999999997</v>
      </c>
      <c r="CO56" s="213">
        <v>7.37</v>
      </c>
      <c r="CP56" s="213">
        <v>2.37</v>
      </c>
      <c r="CQ56" s="213">
        <v>4.87</v>
      </c>
      <c r="CR56" s="213"/>
      <c r="CS56" s="213"/>
    </row>
    <row r="57" spans="1:97">
      <c r="A57" s="424">
        <v>45343</v>
      </c>
      <c r="B57" s="211" t="s">
        <v>249</v>
      </c>
      <c r="C57" s="213">
        <v>151.16</v>
      </c>
      <c r="D57" s="213">
        <v>149.16</v>
      </c>
      <c r="E57" s="213">
        <v>150.16</v>
      </c>
      <c r="F57" s="213">
        <v>163.84</v>
      </c>
      <c r="G57" s="213">
        <v>160.84</v>
      </c>
      <c r="H57" s="213">
        <v>162.34</v>
      </c>
      <c r="I57" s="213">
        <v>112.62</v>
      </c>
      <c r="J57" s="213">
        <v>109.42</v>
      </c>
      <c r="K57" s="213">
        <v>111.02000000000001</v>
      </c>
      <c r="L57" s="213">
        <v>193.58</v>
      </c>
      <c r="M57" s="213">
        <v>185.58</v>
      </c>
      <c r="N57" s="213">
        <v>189.58</v>
      </c>
      <c r="O57" s="213">
        <v>171.19</v>
      </c>
      <c r="P57" s="213">
        <v>169.39</v>
      </c>
      <c r="Q57" s="213">
        <v>170.29</v>
      </c>
      <c r="R57" s="213">
        <v>22.08</v>
      </c>
      <c r="S57" s="213">
        <v>21.479999999999997</v>
      </c>
      <c r="T57" s="213">
        <v>21.779999999999998</v>
      </c>
      <c r="U57" s="213">
        <v>14.63</v>
      </c>
      <c r="V57" s="213">
        <v>14.030000000000001</v>
      </c>
      <c r="W57" s="213">
        <v>14.330000000000002</v>
      </c>
      <c r="X57" s="213">
        <v>14.91</v>
      </c>
      <c r="Y57" s="213">
        <v>14.11</v>
      </c>
      <c r="Z57" s="213">
        <v>14.51</v>
      </c>
      <c r="AA57" s="213">
        <v>100.41</v>
      </c>
      <c r="AB57" s="213">
        <v>96.41</v>
      </c>
      <c r="AC57" s="213">
        <v>98.41</v>
      </c>
      <c r="AD57" s="213">
        <v>94.63</v>
      </c>
      <c r="AE57" s="213">
        <v>90.63</v>
      </c>
      <c r="AF57" s="213">
        <v>92.63</v>
      </c>
      <c r="AG57" s="213">
        <v>19.63</v>
      </c>
      <c r="AH57" s="213">
        <v>18.77</v>
      </c>
      <c r="AI57" s="213">
        <v>19.2</v>
      </c>
      <c r="AJ57" s="213"/>
      <c r="AK57" s="213"/>
      <c r="AL57" s="213"/>
      <c r="AM57" s="213">
        <v>112.56</v>
      </c>
      <c r="AN57" s="213">
        <v>110.9</v>
      </c>
      <c r="AO57" s="213">
        <v>111.73</v>
      </c>
      <c r="AP57" s="213">
        <v>40.909999999999997</v>
      </c>
      <c r="AQ57" s="213">
        <v>39.309999999999995</v>
      </c>
      <c r="AR57" s="213">
        <v>40.11</v>
      </c>
      <c r="AS57" s="213">
        <v>41.63</v>
      </c>
      <c r="AT57" s="213">
        <v>40.270000000000003</v>
      </c>
      <c r="AU57" s="213">
        <v>40.950000000000003</v>
      </c>
      <c r="AV57" s="213">
        <v>21.15</v>
      </c>
      <c r="AW57" s="213">
        <v>20.549999999999997</v>
      </c>
      <c r="AX57" s="213">
        <v>20.849999999999998</v>
      </c>
      <c r="AY57" s="213">
        <v>4.25</v>
      </c>
      <c r="AZ57" s="213">
        <v>4.09</v>
      </c>
      <c r="BA57" s="213">
        <v>4.17</v>
      </c>
      <c r="BB57" s="213">
        <v>1.97</v>
      </c>
      <c r="BC57" s="213">
        <v>1.67</v>
      </c>
      <c r="BD57" s="213">
        <v>1.8199999999999998</v>
      </c>
      <c r="BE57" s="213">
        <v>0.69</v>
      </c>
      <c r="BF57" s="213">
        <v>0.38999999999999996</v>
      </c>
      <c r="BG57" s="213">
        <v>0.53999999999999992</v>
      </c>
      <c r="BH57" s="213">
        <v>496.8</v>
      </c>
      <c r="BI57" s="213">
        <v>480.8</v>
      </c>
      <c r="BJ57" s="213">
        <v>488.8</v>
      </c>
      <c r="BK57" s="213">
        <v>41.93</v>
      </c>
      <c r="BL57" s="213">
        <v>40.57</v>
      </c>
      <c r="BM57" s="213">
        <v>41.25</v>
      </c>
      <c r="BN57" s="213">
        <v>1.08</v>
      </c>
      <c r="BO57" s="213">
        <v>0.84000000000000008</v>
      </c>
      <c r="BP57" s="213">
        <v>0.96000000000000008</v>
      </c>
      <c r="BQ57" s="213">
        <v>9.81</v>
      </c>
      <c r="BR57" s="213">
        <v>7.8100000000000005</v>
      </c>
      <c r="BS57" s="213">
        <v>8.81</v>
      </c>
      <c r="BT57" s="213">
        <v>11.45</v>
      </c>
      <c r="BU57" s="213">
        <v>11.049999999999999</v>
      </c>
      <c r="BV57" s="213">
        <v>11.25</v>
      </c>
      <c r="BW57" s="213">
        <v>2.84</v>
      </c>
      <c r="BX57" s="213">
        <v>2.5599999999999996</v>
      </c>
      <c r="BY57" s="213">
        <v>2.6999999999999997</v>
      </c>
      <c r="BZ57" s="213">
        <v>9.4499999999999993</v>
      </c>
      <c r="CA57" s="213">
        <v>6.4499999999999993</v>
      </c>
      <c r="CB57" s="213">
        <v>7.9499999999999993</v>
      </c>
      <c r="CC57" s="213">
        <v>6.52</v>
      </c>
      <c r="CD57" s="213">
        <v>6.2799999999999994</v>
      </c>
      <c r="CE57" s="213">
        <v>6.3999999999999995</v>
      </c>
      <c r="CF57" s="213">
        <v>1.88</v>
      </c>
      <c r="CG57" s="213">
        <v>1.38</v>
      </c>
      <c r="CH57" s="213">
        <v>1.63</v>
      </c>
      <c r="CI57" s="213">
        <v>0.44</v>
      </c>
      <c r="CJ57" s="213">
        <v>0.4</v>
      </c>
      <c r="CK57" s="213">
        <v>0.42000000000000004</v>
      </c>
      <c r="CL57" s="213">
        <v>38.840000000000003</v>
      </c>
      <c r="CM57" s="213">
        <v>36.440000000000005</v>
      </c>
      <c r="CN57" s="213">
        <v>37.64</v>
      </c>
      <c r="CO57" s="213">
        <v>7.36</v>
      </c>
      <c r="CP57" s="213">
        <v>2.3600000000000003</v>
      </c>
      <c r="CQ57" s="213">
        <v>4.8600000000000003</v>
      </c>
      <c r="CR57" s="213"/>
      <c r="CS57" s="213"/>
    </row>
    <row r="58" spans="1:97">
      <c r="A58" s="424">
        <v>45344</v>
      </c>
      <c r="B58" s="211" t="s">
        <v>250</v>
      </c>
      <c r="C58" s="213">
        <v>151.55000000000001</v>
      </c>
      <c r="D58" s="213">
        <v>149.55000000000001</v>
      </c>
      <c r="E58" s="213">
        <v>150.55000000000001</v>
      </c>
      <c r="F58" s="213">
        <v>164.56</v>
      </c>
      <c r="G58" s="213">
        <v>161.56</v>
      </c>
      <c r="H58" s="213">
        <v>163.06</v>
      </c>
      <c r="I58" s="213">
        <v>113.23</v>
      </c>
      <c r="J58" s="213">
        <v>110.03</v>
      </c>
      <c r="K58" s="213">
        <v>111.63</v>
      </c>
      <c r="L58" s="213">
        <v>194.37</v>
      </c>
      <c r="M58" s="213">
        <v>186.37</v>
      </c>
      <c r="N58" s="213">
        <v>190.37</v>
      </c>
      <c r="O58" s="213">
        <v>172.23</v>
      </c>
      <c r="P58" s="213">
        <v>170.42999999999998</v>
      </c>
      <c r="Q58" s="213">
        <v>171.32999999999998</v>
      </c>
      <c r="R58" s="213">
        <v>22.17</v>
      </c>
      <c r="S58" s="213">
        <v>21.57</v>
      </c>
      <c r="T58" s="213">
        <v>21.87</v>
      </c>
      <c r="U58" s="213">
        <v>14.67</v>
      </c>
      <c r="V58" s="213">
        <v>14.07</v>
      </c>
      <c r="W58" s="213">
        <v>14.370000000000001</v>
      </c>
      <c r="X58" s="213">
        <v>14.95</v>
      </c>
      <c r="Y58" s="213">
        <v>14.149999999999999</v>
      </c>
      <c r="Z58" s="213">
        <v>14.549999999999999</v>
      </c>
      <c r="AA58" s="213">
        <v>100.76</v>
      </c>
      <c r="AB58" s="213">
        <v>96.76</v>
      </c>
      <c r="AC58" s="213">
        <v>98.76</v>
      </c>
      <c r="AD58" s="213">
        <v>95.25</v>
      </c>
      <c r="AE58" s="213">
        <v>91.25</v>
      </c>
      <c r="AF58" s="213">
        <v>93.25</v>
      </c>
      <c r="AG58" s="213">
        <v>19.68</v>
      </c>
      <c r="AH58" s="213">
        <v>18.82</v>
      </c>
      <c r="AI58" s="213">
        <v>19.25</v>
      </c>
      <c r="AJ58" s="213"/>
      <c r="AK58" s="213"/>
      <c r="AL58" s="213"/>
      <c r="AM58" s="213">
        <v>112.92</v>
      </c>
      <c r="AN58" s="213">
        <v>111.26</v>
      </c>
      <c r="AO58" s="213">
        <v>112.09</v>
      </c>
      <c r="AP58" s="213">
        <v>40.9</v>
      </c>
      <c r="AQ58" s="213">
        <v>39.299999999999997</v>
      </c>
      <c r="AR58" s="213">
        <v>40.099999999999994</v>
      </c>
      <c r="AS58" s="213">
        <v>41.74</v>
      </c>
      <c r="AT58" s="213">
        <v>40.380000000000003</v>
      </c>
      <c r="AU58" s="213">
        <v>41.06</v>
      </c>
      <c r="AV58" s="213">
        <v>21.22</v>
      </c>
      <c r="AW58" s="213">
        <v>20.619999999999997</v>
      </c>
      <c r="AX58" s="213">
        <v>20.919999999999998</v>
      </c>
      <c r="AY58" s="213">
        <v>4.28</v>
      </c>
      <c r="AZ58" s="213">
        <v>4.12</v>
      </c>
      <c r="BA58" s="213">
        <v>4.2</v>
      </c>
      <c r="BB58" s="213">
        <v>1.98</v>
      </c>
      <c r="BC58" s="213">
        <v>1.68</v>
      </c>
      <c r="BD58" s="213">
        <v>1.83</v>
      </c>
      <c r="BE58" s="213">
        <v>0.69</v>
      </c>
      <c r="BF58" s="213">
        <v>0.38999999999999996</v>
      </c>
      <c r="BG58" s="213">
        <v>0.53999999999999992</v>
      </c>
      <c r="BH58" s="213">
        <v>498.23</v>
      </c>
      <c r="BI58" s="213">
        <v>482.23</v>
      </c>
      <c r="BJ58" s="213">
        <v>490.23</v>
      </c>
      <c r="BK58" s="213">
        <v>42.04</v>
      </c>
      <c r="BL58" s="213">
        <v>40.68</v>
      </c>
      <c r="BM58" s="213">
        <v>41.36</v>
      </c>
      <c r="BN58" s="213">
        <v>1.0900000000000001</v>
      </c>
      <c r="BO58" s="213">
        <v>0.85000000000000009</v>
      </c>
      <c r="BP58" s="213">
        <v>0.97000000000000008</v>
      </c>
      <c r="BQ58" s="213">
        <v>9.83</v>
      </c>
      <c r="BR58" s="213">
        <v>7.83</v>
      </c>
      <c r="BS58" s="213">
        <v>8.83</v>
      </c>
      <c r="BT58" s="213">
        <v>11.53</v>
      </c>
      <c r="BU58" s="213">
        <v>11.129999999999999</v>
      </c>
      <c r="BV58" s="213">
        <v>11.329999999999998</v>
      </c>
      <c r="BW58" s="213">
        <v>2.85</v>
      </c>
      <c r="BX58" s="213">
        <v>2.5700000000000003</v>
      </c>
      <c r="BY58" s="213">
        <v>2.71</v>
      </c>
      <c r="BZ58" s="213">
        <v>9.4600000000000009</v>
      </c>
      <c r="CA58" s="213">
        <v>6.4600000000000009</v>
      </c>
      <c r="CB58" s="213">
        <v>7.9600000000000009</v>
      </c>
      <c r="CC58" s="213">
        <v>6.57</v>
      </c>
      <c r="CD58" s="213">
        <v>6.33</v>
      </c>
      <c r="CE58" s="213">
        <v>6.45</v>
      </c>
      <c r="CF58" s="213">
        <v>1.88</v>
      </c>
      <c r="CG58" s="213">
        <v>1.38</v>
      </c>
      <c r="CH58" s="213">
        <v>1.63</v>
      </c>
      <c r="CI58" s="213">
        <v>0.44</v>
      </c>
      <c r="CJ58" s="213">
        <v>0.4</v>
      </c>
      <c r="CK58" s="213">
        <v>0.42000000000000004</v>
      </c>
      <c r="CL58" s="213">
        <v>38.979999999999997</v>
      </c>
      <c r="CM58" s="213">
        <v>36.58</v>
      </c>
      <c r="CN58" s="213">
        <v>37.78</v>
      </c>
      <c r="CO58" s="213">
        <v>7.36</v>
      </c>
      <c r="CP58" s="213">
        <v>2.3600000000000003</v>
      </c>
      <c r="CQ58" s="213">
        <v>4.8600000000000003</v>
      </c>
      <c r="CR58" s="213"/>
      <c r="CS58" s="213"/>
    </row>
    <row r="59" spans="1:97">
      <c r="A59" s="424">
        <v>45345</v>
      </c>
      <c r="B59" s="211" t="s">
        <v>251</v>
      </c>
      <c r="C59" s="213"/>
      <c r="D59" s="213"/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3"/>
      <c r="P59" s="213"/>
      <c r="Q59" s="213"/>
      <c r="R59" s="213"/>
      <c r="S59" s="213"/>
      <c r="T59" s="213"/>
      <c r="U59" s="213"/>
      <c r="V59" s="213"/>
      <c r="W59" s="213"/>
      <c r="X59" s="213"/>
      <c r="Y59" s="213"/>
      <c r="Z59" s="213"/>
      <c r="AA59" s="213"/>
      <c r="AB59" s="213"/>
      <c r="AC59" s="213"/>
      <c r="AD59" s="213"/>
      <c r="AE59" s="213"/>
      <c r="AF59" s="213"/>
      <c r="AG59" s="213"/>
      <c r="AH59" s="213"/>
      <c r="AI59" s="213"/>
      <c r="AJ59" s="213"/>
      <c r="AK59" s="213"/>
      <c r="AL59" s="213"/>
      <c r="AM59" s="213"/>
      <c r="AN59" s="213"/>
      <c r="AO59" s="213"/>
      <c r="AP59" s="213"/>
      <c r="AQ59" s="213"/>
      <c r="AR59" s="213"/>
      <c r="AS59" s="213"/>
      <c r="AT59" s="213"/>
      <c r="AU59" s="213"/>
      <c r="AV59" s="213"/>
      <c r="AW59" s="213"/>
      <c r="AX59" s="213"/>
      <c r="AY59" s="213"/>
      <c r="AZ59" s="213"/>
      <c r="BA59" s="213"/>
      <c r="BB59" s="213"/>
      <c r="BC59" s="213"/>
      <c r="BD59" s="213"/>
      <c r="BE59" s="213"/>
      <c r="BF59" s="213"/>
      <c r="BG59" s="213"/>
      <c r="BH59" s="213"/>
      <c r="BI59" s="213"/>
      <c r="BJ59" s="213"/>
      <c r="BK59" s="213"/>
      <c r="BL59" s="213"/>
      <c r="BM59" s="213"/>
      <c r="BN59" s="213"/>
      <c r="BO59" s="213"/>
      <c r="BP59" s="213"/>
      <c r="BQ59" s="213"/>
      <c r="BR59" s="213"/>
      <c r="BS59" s="213"/>
      <c r="BT59" s="213"/>
      <c r="BU59" s="213"/>
      <c r="BV59" s="213"/>
      <c r="BW59" s="213"/>
      <c r="BX59" s="213"/>
      <c r="BY59" s="213"/>
      <c r="BZ59" s="213"/>
      <c r="CA59" s="213"/>
      <c r="CB59" s="213"/>
      <c r="CC59" s="213"/>
      <c r="CD59" s="213"/>
      <c r="CE59" s="213"/>
      <c r="CF59" s="213"/>
      <c r="CG59" s="213"/>
      <c r="CH59" s="213"/>
      <c r="CI59" s="213"/>
      <c r="CJ59" s="213"/>
      <c r="CK59" s="213"/>
      <c r="CL59" s="213"/>
      <c r="CM59" s="213"/>
      <c r="CN59" s="213"/>
      <c r="CO59" s="213"/>
      <c r="CP59" s="213"/>
      <c r="CQ59" s="213"/>
      <c r="CR59" s="213"/>
      <c r="CS59" s="213"/>
    </row>
    <row r="60" spans="1:97">
      <c r="A60" s="424">
        <v>45346</v>
      </c>
      <c r="B60" s="211" t="s">
        <v>252</v>
      </c>
      <c r="C60" s="213"/>
      <c r="D60" s="213"/>
      <c r="E60" s="213"/>
      <c r="F60" s="213"/>
      <c r="G60" s="213"/>
      <c r="H60" s="213"/>
      <c r="I60" s="213"/>
      <c r="J60" s="213"/>
      <c r="K60" s="213"/>
      <c r="L60" s="213"/>
      <c r="M60" s="213"/>
      <c r="N60" s="213"/>
      <c r="O60" s="213"/>
      <c r="P60" s="213"/>
      <c r="Q60" s="213"/>
      <c r="R60" s="213"/>
      <c r="S60" s="213"/>
      <c r="T60" s="213"/>
      <c r="U60" s="213"/>
      <c r="V60" s="213"/>
      <c r="W60" s="213"/>
      <c r="X60" s="213"/>
      <c r="Y60" s="213"/>
      <c r="Z60" s="213"/>
      <c r="AA60" s="213"/>
      <c r="AB60" s="213"/>
      <c r="AC60" s="213"/>
      <c r="AD60" s="213"/>
      <c r="AE60" s="213"/>
      <c r="AF60" s="213"/>
      <c r="AG60" s="213"/>
      <c r="AH60" s="213"/>
      <c r="AI60" s="213"/>
      <c r="AJ60" s="213"/>
      <c r="AK60" s="213"/>
      <c r="AL60" s="213"/>
      <c r="AM60" s="213"/>
      <c r="AN60" s="213"/>
      <c r="AO60" s="213"/>
      <c r="AP60" s="213"/>
      <c r="AQ60" s="213"/>
      <c r="AR60" s="213"/>
      <c r="AS60" s="213"/>
      <c r="AT60" s="213"/>
      <c r="AU60" s="213"/>
      <c r="AV60" s="213"/>
      <c r="AW60" s="213"/>
      <c r="AX60" s="213"/>
      <c r="AY60" s="213"/>
      <c r="AZ60" s="213"/>
      <c r="BA60" s="213"/>
      <c r="BB60" s="213"/>
      <c r="BC60" s="213"/>
      <c r="BD60" s="213"/>
      <c r="BE60" s="213"/>
      <c r="BF60" s="213"/>
      <c r="BG60" s="213"/>
      <c r="BH60" s="213"/>
      <c r="BI60" s="213"/>
      <c r="BJ60" s="213"/>
      <c r="BK60" s="213"/>
      <c r="BL60" s="213"/>
      <c r="BM60" s="213"/>
      <c r="BN60" s="213"/>
      <c r="BO60" s="213"/>
      <c r="BP60" s="213"/>
      <c r="BQ60" s="213"/>
      <c r="BR60" s="213"/>
      <c r="BS60" s="213"/>
      <c r="BT60" s="213"/>
      <c r="BU60" s="213"/>
      <c r="BV60" s="213"/>
      <c r="BW60" s="213"/>
      <c r="BX60" s="213"/>
      <c r="BY60" s="213"/>
      <c r="BZ60" s="213"/>
      <c r="CA60" s="213"/>
      <c r="CB60" s="213"/>
      <c r="CC60" s="213"/>
      <c r="CD60" s="213"/>
      <c r="CE60" s="213"/>
      <c r="CF60" s="213"/>
      <c r="CG60" s="213"/>
      <c r="CH60" s="213"/>
      <c r="CI60" s="213"/>
      <c r="CJ60" s="213"/>
      <c r="CK60" s="213"/>
      <c r="CL60" s="213"/>
      <c r="CM60" s="213"/>
      <c r="CN60" s="213"/>
      <c r="CO60" s="213"/>
      <c r="CP60" s="213"/>
      <c r="CQ60" s="213"/>
      <c r="CR60" s="213"/>
      <c r="CS60" s="213"/>
    </row>
    <row r="61" spans="1:97">
      <c r="A61" s="424">
        <v>45347</v>
      </c>
      <c r="B61" s="211" t="s">
        <v>253</v>
      </c>
      <c r="C61" s="213"/>
      <c r="D61" s="213"/>
      <c r="E61" s="213"/>
      <c r="F61" s="213"/>
      <c r="G61" s="213"/>
      <c r="H61" s="213"/>
      <c r="I61" s="213"/>
      <c r="J61" s="213"/>
      <c r="K61" s="213"/>
      <c r="L61" s="213"/>
      <c r="M61" s="213"/>
      <c r="N61" s="213"/>
      <c r="O61" s="213"/>
      <c r="P61" s="213"/>
      <c r="Q61" s="213"/>
      <c r="R61" s="213"/>
      <c r="S61" s="213"/>
      <c r="T61" s="213"/>
      <c r="U61" s="213"/>
      <c r="V61" s="213"/>
      <c r="W61" s="213"/>
      <c r="X61" s="213"/>
      <c r="Y61" s="213"/>
      <c r="Z61" s="213"/>
      <c r="AA61" s="213"/>
      <c r="AB61" s="213"/>
      <c r="AC61" s="213"/>
      <c r="AD61" s="213"/>
      <c r="AE61" s="213"/>
      <c r="AF61" s="213"/>
      <c r="AG61" s="213"/>
      <c r="AH61" s="213"/>
      <c r="AI61" s="213"/>
      <c r="AJ61" s="213"/>
      <c r="AK61" s="213"/>
      <c r="AL61" s="213"/>
      <c r="AM61" s="213"/>
      <c r="AN61" s="213"/>
      <c r="AO61" s="213"/>
      <c r="AP61" s="213"/>
      <c r="AQ61" s="213"/>
      <c r="AR61" s="213"/>
      <c r="AS61" s="213"/>
      <c r="AT61" s="213"/>
      <c r="AU61" s="213"/>
      <c r="AV61" s="213"/>
      <c r="AW61" s="213"/>
      <c r="AX61" s="213"/>
      <c r="AY61" s="213"/>
      <c r="AZ61" s="213"/>
      <c r="BA61" s="213"/>
      <c r="BB61" s="213"/>
      <c r="BC61" s="213"/>
      <c r="BD61" s="213"/>
      <c r="BE61" s="213"/>
      <c r="BF61" s="213"/>
      <c r="BG61" s="213"/>
      <c r="BH61" s="213"/>
      <c r="BI61" s="213"/>
      <c r="BJ61" s="213"/>
      <c r="BK61" s="213"/>
      <c r="BL61" s="213"/>
      <c r="BM61" s="213"/>
      <c r="BN61" s="213"/>
      <c r="BO61" s="213"/>
      <c r="BP61" s="213"/>
      <c r="BQ61" s="213"/>
      <c r="BR61" s="213"/>
      <c r="BS61" s="213"/>
      <c r="BT61" s="213"/>
      <c r="BU61" s="213"/>
      <c r="BV61" s="213"/>
      <c r="BW61" s="213"/>
      <c r="BX61" s="213"/>
      <c r="BY61" s="213"/>
      <c r="BZ61" s="213"/>
      <c r="CA61" s="213"/>
      <c r="CB61" s="213"/>
      <c r="CC61" s="213"/>
      <c r="CD61" s="213"/>
      <c r="CE61" s="213"/>
      <c r="CF61" s="213"/>
      <c r="CG61" s="213"/>
      <c r="CH61" s="213"/>
      <c r="CI61" s="213"/>
      <c r="CJ61" s="213"/>
      <c r="CK61" s="213"/>
      <c r="CL61" s="213"/>
      <c r="CM61" s="213"/>
      <c r="CN61" s="213"/>
      <c r="CO61" s="213"/>
      <c r="CP61" s="213"/>
      <c r="CQ61" s="213"/>
      <c r="CR61" s="213"/>
      <c r="CS61" s="213"/>
    </row>
    <row r="62" spans="1:97">
      <c r="A62" s="424">
        <v>45348</v>
      </c>
      <c r="B62" s="211" t="s">
        <v>247</v>
      </c>
      <c r="C62" s="213">
        <v>151.36000000000001</v>
      </c>
      <c r="D62" s="213">
        <v>149.36000000000001</v>
      </c>
      <c r="E62" s="213">
        <v>150.36000000000001</v>
      </c>
      <c r="F62" s="213">
        <v>164.17</v>
      </c>
      <c r="G62" s="213">
        <v>161.16999999999999</v>
      </c>
      <c r="H62" s="213">
        <v>162.66999999999999</v>
      </c>
      <c r="I62" s="213">
        <v>112.84</v>
      </c>
      <c r="J62" s="213">
        <v>109.64</v>
      </c>
      <c r="K62" s="213">
        <v>111.24000000000001</v>
      </c>
      <c r="L62" s="213">
        <v>194.4</v>
      </c>
      <c r="M62" s="213">
        <v>186.4</v>
      </c>
      <c r="N62" s="213">
        <v>190.4</v>
      </c>
      <c r="O62" s="213">
        <v>171.47</v>
      </c>
      <c r="P62" s="213">
        <v>169.67</v>
      </c>
      <c r="Q62" s="213">
        <v>170.57</v>
      </c>
      <c r="R62" s="213">
        <v>22.12</v>
      </c>
      <c r="S62" s="213">
        <v>21.52</v>
      </c>
      <c r="T62" s="213">
        <v>21.82</v>
      </c>
      <c r="U62" s="213">
        <v>14.55</v>
      </c>
      <c r="V62" s="213">
        <v>13.950000000000001</v>
      </c>
      <c r="W62" s="213">
        <v>14.25</v>
      </c>
      <c r="X62" s="213">
        <v>14.96</v>
      </c>
      <c r="Y62" s="213">
        <v>14.16</v>
      </c>
      <c r="Z62" s="213">
        <v>14.56</v>
      </c>
      <c r="AA62" s="213">
        <v>100.53</v>
      </c>
      <c r="AB62" s="213">
        <v>96.53</v>
      </c>
      <c r="AC62" s="213">
        <v>98.53</v>
      </c>
      <c r="AD62" s="213">
        <v>94.68</v>
      </c>
      <c r="AE62" s="213">
        <v>90.68</v>
      </c>
      <c r="AF62" s="213">
        <v>92.68</v>
      </c>
      <c r="AG62" s="213">
        <v>19.649999999999999</v>
      </c>
      <c r="AH62" s="213">
        <v>18.79</v>
      </c>
      <c r="AI62" s="213">
        <v>19.22</v>
      </c>
      <c r="AJ62" s="213"/>
      <c r="AK62" s="213"/>
      <c r="AL62" s="213"/>
      <c r="AM62" s="213">
        <v>112.66</v>
      </c>
      <c r="AN62" s="213">
        <v>111</v>
      </c>
      <c r="AO62" s="213">
        <v>111.83</v>
      </c>
      <c r="AP62" s="213">
        <v>40.950000000000003</v>
      </c>
      <c r="AQ62" s="213">
        <v>39.35</v>
      </c>
      <c r="AR62" s="213">
        <v>40.150000000000006</v>
      </c>
      <c r="AS62" s="213">
        <v>41.55</v>
      </c>
      <c r="AT62" s="213">
        <v>40.19</v>
      </c>
      <c r="AU62" s="213">
        <v>40.869999999999997</v>
      </c>
      <c r="AV62" s="213">
        <v>21.16</v>
      </c>
      <c r="AW62" s="213">
        <v>20.56</v>
      </c>
      <c r="AX62" s="213">
        <v>20.86</v>
      </c>
      <c r="AY62" s="213">
        <v>4.25</v>
      </c>
      <c r="AZ62" s="213">
        <v>4.09</v>
      </c>
      <c r="BA62" s="213">
        <v>4.17</v>
      </c>
      <c r="BB62" s="213">
        <v>1.97</v>
      </c>
      <c r="BC62" s="213">
        <v>1.67</v>
      </c>
      <c r="BD62" s="213">
        <v>1.8199999999999998</v>
      </c>
      <c r="BE62" s="213">
        <v>0.7</v>
      </c>
      <c r="BF62" s="213">
        <v>0.39999999999999997</v>
      </c>
      <c r="BG62" s="213">
        <v>0.54999999999999993</v>
      </c>
      <c r="BH62" s="213">
        <v>497.45</v>
      </c>
      <c r="BI62" s="213">
        <v>481.45</v>
      </c>
      <c r="BJ62" s="213">
        <v>489.45</v>
      </c>
      <c r="BK62" s="213">
        <v>41.98</v>
      </c>
      <c r="BL62" s="213">
        <v>40.619999999999997</v>
      </c>
      <c r="BM62" s="213">
        <v>41.3</v>
      </c>
      <c r="BN62" s="213">
        <v>1.0900000000000001</v>
      </c>
      <c r="BO62" s="213">
        <v>0.85000000000000009</v>
      </c>
      <c r="BP62" s="213">
        <v>0.97000000000000008</v>
      </c>
      <c r="BQ62" s="213">
        <v>9.7799999999999994</v>
      </c>
      <c r="BR62" s="213">
        <v>7.7799999999999994</v>
      </c>
      <c r="BS62" s="213">
        <v>8.7799999999999994</v>
      </c>
      <c r="BT62" s="213">
        <v>11.51</v>
      </c>
      <c r="BU62" s="213">
        <v>11.11</v>
      </c>
      <c r="BV62" s="213">
        <v>11.309999999999999</v>
      </c>
      <c r="BW62" s="213">
        <v>2.85</v>
      </c>
      <c r="BX62" s="213">
        <v>2.5700000000000003</v>
      </c>
      <c r="BY62" s="213">
        <v>2.71</v>
      </c>
      <c r="BZ62" s="213">
        <v>9.2799999999999994</v>
      </c>
      <c r="CA62" s="213">
        <v>6.2799999999999994</v>
      </c>
      <c r="CB62" s="213">
        <v>7.7799999999999994</v>
      </c>
      <c r="CC62" s="213">
        <v>6.54</v>
      </c>
      <c r="CD62" s="213">
        <v>6.3</v>
      </c>
      <c r="CE62" s="213">
        <v>6.42</v>
      </c>
      <c r="CF62" s="213">
        <v>1.86</v>
      </c>
      <c r="CG62" s="213">
        <v>1.36</v>
      </c>
      <c r="CH62" s="213">
        <v>1.61</v>
      </c>
      <c r="CI62" s="213">
        <v>0.44</v>
      </c>
      <c r="CJ62" s="213">
        <v>0.4</v>
      </c>
      <c r="CK62" s="213">
        <v>0.42000000000000004</v>
      </c>
      <c r="CL62" s="213">
        <v>39</v>
      </c>
      <c r="CM62" s="213">
        <v>36.6</v>
      </c>
      <c r="CN62" s="213">
        <v>37.799999999999997</v>
      </c>
      <c r="CO62" s="213">
        <v>7.34</v>
      </c>
      <c r="CP62" s="213">
        <v>2.34</v>
      </c>
      <c r="CQ62" s="213">
        <v>4.84</v>
      </c>
      <c r="CR62" s="213"/>
      <c r="CS62" s="213"/>
    </row>
    <row r="63" spans="1:97">
      <c r="A63" s="424">
        <v>45349</v>
      </c>
      <c r="B63" s="211" t="s">
        <v>248</v>
      </c>
      <c r="C63" s="213">
        <v>151.66</v>
      </c>
      <c r="D63" s="213">
        <v>149.66</v>
      </c>
      <c r="E63" s="213">
        <v>150.66</v>
      </c>
      <c r="F63" s="213">
        <v>164.91</v>
      </c>
      <c r="G63" s="213">
        <v>161.91</v>
      </c>
      <c r="H63" s="213">
        <v>163.41</v>
      </c>
      <c r="I63" s="213">
        <v>113.13</v>
      </c>
      <c r="J63" s="213">
        <v>109.92999999999999</v>
      </c>
      <c r="K63" s="213">
        <v>111.53</v>
      </c>
      <c r="L63" s="213">
        <v>195.02</v>
      </c>
      <c r="M63" s="213">
        <v>187.02</v>
      </c>
      <c r="N63" s="213">
        <v>191.02</v>
      </c>
      <c r="O63" s="213">
        <v>172.01</v>
      </c>
      <c r="P63" s="213">
        <v>170.20999999999998</v>
      </c>
      <c r="Q63" s="213">
        <v>171.10999999999999</v>
      </c>
      <c r="R63" s="213">
        <v>22.22</v>
      </c>
      <c r="S63" s="213">
        <v>21.619999999999997</v>
      </c>
      <c r="T63" s="213">
        <v>21.919999999999998</v>
      </c>
      <c r="U63" s="213">
        <v>14.63</v>
      </c>
      <c r="V63" s="213">
        <v>14.030000000000001</v>
      </c>
      <c r="W63" s="213">
        <v>14.330000000000002</v>
      </c>
      <c r="X63" s="213">
        <v>15.05</v>
      </c>
      <c r="Y63" s="213">
        <v>14.25</v>
      </c>
      <c r="Z63" s="213">
        <v>14.65</v>
      </c>
      <c r="AA63" s="213">
        <v>100.4</v>
      </c>
      <c r="AB63" s="213">
        <v>96.4</v>
      </c>
      <c r="AC63" s="213">
        <v>98.4</v>
      </c>
      <c r="AD63" s="213">
        <v>94.76</v>
      </c>
      <c r="AE63" s="213">
        <v>90.76</v>
      </c>
      <c r="AF63" s="213">
        <v>92.76</v>
      </c>
      <c r="AG63" s="213">
        <v>19.690000000000001</v>
      </c>
      <c r="AH63" s="213">
        <v>18.830000000000002</v>
      </c>
      <c r="AI63" s="213">
        <v>19.260000000000002</v>
      </c>
      <c r="AJ63" s="213"/>
      <c r="AK63" s="213"/>
      <c r="AL63" s="213"/>
      <c r="AM63" s="213">
        <v>112.87</v>
      </c>
      <c r="AN63" s="213">
        <v>111.21000000000001</v>
      </c>
      <c r="AO63" s="213">
        <v>112.04</v>
      </c>
      <c r="AP63" s="213">
        <v>41.03</v>
      </c>
      <c r="AQ63" s="213">
        <v>39.43</v>
      </c>
      <c r="AR63" s="213">
        <v>40.230000000000004</v>
      </c>
      <c r="AS63" s="213">
        <v>41.63</v>
      </c>
      <c r="AT63" s="213">
        <v>40.270000000000003</v>
      </c>
      <c r="AU63" s="213">
        <v>40.950000000000003</v>
      </c>
      <c r="AV63" s="213">
        <v>21.19</v>
      </c>
      <c r="AW63" s="213">
        <v>20.59</v>
      </c>
      <c r="AX63" s="213">
        <v>20.89</v>
      </c>
      <c r="AY63" s="213">
        <v>4.28</v>
      </c>
      <c r="AZ63" s="213">
        <v>4.12</v>
      </c>
      <c r="BA63" s="213">
        <v>4.2</v>
      </c>
      <c r="BB63" s="213">
        <v>1.98</v>
      </c>
      <c r="BC63" s="213">
        <v>1.68</v>
      </c>
      <c r="BD63" s="213">
        <v>1.83</v>
      </c>
      <c r="BE63" s="213">
        <v>0.69</v>
      </c>
      <c r="BF63" s="213">
        <v>0.38999999999999996</v>
      </c>
      <c r="BG63" s="213">
        <v>0.53999999999999992</v>
      </c>
      <c r="BH63" s="213">
        <v>498.43</v>
      </c>
      <c r="BI63" s="213">
        <v>482.43</v>
      </c>
      <c r="BJ63" s="213">
        <v>490.43</v>
      </c>
      <c r="BK63" s="213">
        <v>42.07</v>
      </c>
      <c r="BL63" s="213">
        <v>40.71</v>
      </c>
      <c r="BM63" s="213">
        <v>41.39</v>
      </c>
      <c r="BN63" s="213">
        <v>1.0900000000000001</v>
      </c>
      <c r="BO63" s="213">
        <v>0.85000000000000009</v>
      </c>
      <c r="BP63" s="213">
        <v>0.97000000000000008</v>
      </c>
      <c r="BQ63" s="213">
        <v>9.81</v>
      </c>
      <c r="BR63" s="213">
        <v>7.8100000000000005</v>
      </c>
      <c r="BS63" s="213">
        <v>8.81</v>
      </c>
      <c r="BT63" s="213">
        <v>11.52</v>
      </c>
      <c r="BU63" s="213">
        <v>11.12</v>
      </c>
      <c r="BV63" s="213">
        <v>11.32</v>
      </c>
      <c r="BW63" s="213">
        <v>2.85</v>
      </c>
      <c r="BX63" s="213">
        <v>2.5700000000000003</v>
      </c>
      <c r="BY63" s="213">
        <v>2.71</v>
      </c>
      <c r="BZ63" s="213">
        <v>9.3000000000000007</v>
      </c>
      <c r="CA63" s="213">
        <v>6.3000000000000007</v>
      </c>
      <c r="CB63" s="213">
        <v>7.8000000000000007</v>
      </c>
      <c r="CC63" s="213">
        <v>6.57</v>
      </c>
      <c r="CD63" s="213">
        <v>6.33</v>
      </c>
      <c r="CE63" s="213">
        <v>6.45</v>
      </c>
      <c r="CF63" s="213">
        <v>1.89</v>
      </c>
      <c r="CG63" s="213">
        <v>1.39</v>
      </c>
      <c r="CH63" s="213">
        <v>1.64</v>
      </c>
      <c r="CI63" s="213">
        <v>0.44</v>
      </c>
      <c r="CJ63" s="213">
        <v>0.4</v>
      </c>
      <c r="CK63" s="213">
        <v>0.42000000000000004</v>
      </c>
      <c r="CL63" s="213">
        <v>39.15</v>
      </c>
      <c r="CM63" s="213">
        <v>36.75</v>
      </c>
      <c r="CN63" s="213">
        <v>37.950000000000003</v>
      </c>
      <c r="CO63" s="213">
        <v>7.34</v>
      </c>
      <c r="CP63" s="213">
        <v>2.34</v>
      </c>
      <c r="CQ63" s="213">
        <v>4.84</v>
      </c>
      <c r="CR63" s="213"/>
      <c r="CS63" s="213"/>
    </row>
    <row r="64" spans="1:97">
      <c r="A64" s="424">
        <v>45350</v>
      </c>
      <c r="B64" s="211" t="s">
        <v>249</v>
      </c>
      <c r="C64" s="213">
        <v>151.5</v>
      </c>
      <c r="D64" s="213">
        <v>149.5</v>
      </c>
      <c r="E64" s="213">
        <v>150.5</v>
      </c>
      <c r="F64" s="213">
        <v>164.7</v>
      </c>
      <c r="G64" s="213">
        <v>161.69999999999999</v>
      </c>
      <c r="H64" s="213">
        <v>163.19999999999999</v>
      </c>
      <c r="I64" s="213">
        <v>112.85</v>
      </c>
      <c r="J64" s="213">
        <v>109.64999999999999</v>
      </c>
      <c r="K64" s="213">
        <v>111.25</v>
      </c>
      <c r="L64" s="213">
        <v>194.85</v>
      </c>
      <c r="M64" s="213">
        <v>186.85</v>
      </c>
      <c r="N64" s="213">
        <v>190.85</v>
      </c>
      <c r="O64" s="213">
        <v>172.1</v>
      </c>
      <c r="P64" s="213">
        <v>170.29999999999998</v>
      </c>
      <c r="Q64" s="213">
        <v>171.2</v>
      </c>
      <c r="R64" s="213">
        <v>22.2</v>
      </c>
      <c r="S64" s="213">
        <v>21.599999999999998</v>
      </c>
      <c r="T64" s="213">
        <v>21.9</v>
      </c>
      <c r="U64" s="213">
        <v>14.6</v>
      </c>
      <c r="V64" s="213">
        <v>14</v>
      </c>
      <c r="W64" s="213">
        <v>14.3</v>
      </c>
      <c r="X64" s="213">
        <v>15.01</v>
      </c>
      <c r="Y64" s="213">
        <v>14.209999999999999</v>
      </c>
      <c r="Z64" s="213">
        <v>14.61</v>
      </c>
      <c r="AA64" s="213">
        <v>100.55</v>
      </c>
      <c r="AB64" s="213">
        <v>96.55</v>
      </c>
      <c r="AC64" s="213">
        <v>98.55</v>
      </c>
      <c r="AD64" s="213">
        <v>94.95</v>
      </c>
      <c r="AE64" s="213">
        <v>90.95</v>
      </c>
      <c r="AF64" s="213">
        <v>92.95</v>
      </c>
      <c r="AG64" s="213">
        <v>19.66</v>
      </c>
      <c r="AH64" s="213">
        <v>18.8</v>
      </c>
      <c r="AI64" s="213">
        <v>19.23</v>
      </c>
      <c r="AJ64" s="213"/>
      <c r="AK64" s="213"/>
      <c r="AL64" s="213"/>
      <c r="AM64" s="213">
        <v>112.86</v>
      </c>
      <c r="AN64" s="213">
        <v>111.2</v>
      </c>
      <c r="AO64" s="213">
        <v>112.03</v>
      </c>
      <c r="AP64" s="213">
        <v>40.869999999999997</v>
      </c>
      <c r="AQ64" s="213">
        <v>39.269999999999996</v>
      </c>
      <c r="AR64" s="213">
        <v>40.069999999999993</v>
      </c>
      <c r="AS64" s="213">
        <v>41.72</v>
      </c>
      <c r="AT64" s="213">
        <v>40.36</v>
      </c>
      <c r="AU64" s="213">
        <v>41.04</v>
      </c>
      <c r="AV64" s="213">
        <v>21.16</v>
      </c>
      <c r="AW64" s="213">
        <v>20.56</v>
      </c>
      <c r="AX64" s="213">
        <v>20.86</v>
      </c>
      <c r="AY64" s="213">
        <v>4.28</v>
      </c>
      <c r="AZ64" s="213">
        <v>4.12</v>
      </c>
      <c r="BA64" s="213">
        <v>4.2</v>
      </c>
      <c r="BB64" s="213">
        <v>1.98</v>
      </c>
      <c r="BC64" s="213">
        <v>1.68</v>
      </c>
      <c r="BD64" s="213">
        <v>1.83</v>
      </c>
      <c r="BE64" s="213">
        <v>0.69</v>
      </c>
      <c r="BF64" s="213">
        <v>0.38999999999999996</v>
      </c>
      <c r="BG64" s="213">
        <v>0.53999999999999992</v>
      </c>
      <c r="BH64" s="213">
        <v>498.07</v>
      </c>
      <c r="BI64" s="213">
        <v>482.07</v>
      </c>
      <c r="BJ64" s="213">
        <v>490.07</v>
      </c>
      <c r="BK64" s="213">
        <v>42.04</v>
      </c>
      <c r="BL64" s="213">
        <v>40.68</v>
      </c>
      <c r="BM64" s="213">
        <v>41.36</v>
      </c>
      <c r="BN64" s="213">
        <v>1.0900000000000001</v>
      </c>
      <c r="BO64" s="213">
        <v>0.85000000000000009</v>
      </c>
      <c r="BP64" s="213">
        <v>0.97000000000000008</v>
      </c>
      <c r="BQ64" s="213">
        <v>9.82</v>
      </c>
      <c r="BR64" s="213">
        <v>7.82</v>
      </c>
      <c r="BS64" s="213">
        <v>8.82</v>
      </c>
      <c r="BT64" s="213">
        <v>11.52</v>
      </c>
      <c r="BU64" s="213">
        <v>11.12</v>
      </c>
      <c r="BV64" s="213">
        <v>11.32</v>
      </c>
      <c r="BW64" s="213">
        <v>2.84</v>
      </c>
      <c r="BX64" s="213">
        <v>2.5599999999999996</v>
      </c>
      <c r="BY64" s="213">
        <v>2.6999999999999997</v>
      </c>
      <c r="BZ64" s="213">
        <v>9.3800000000000008</v>
      </c>
      <c r="CA64" s="213">
        <v>6.3800000000000008</v>
      </c>
      <c r="CB64" s="213">
        <v>7.8800000000000008</v>
      </c>
      <c r="CC64" s="213">
        <v>6.57</v>
      </c>
      <c r="CD64" s="213">
        <v>6.33</v>
      </c>
      <c r="CE64" s="213">
        <v>6.45</v>
      </c>
      <c r="CF64" s="213">
        <v>1.89</v>
      </c>
      <c r="CG64" s="213">
        <v>1.39</v>
      </c>
      <c r="CH64" s="213">
        <v>1.64</v>
      </c>
      <c r="CI64" s="213">
        <v>0.44</v>
      </c>
      <c r="CJ64" s="213">
        <v>0.4</v>
      </c>
      <c r="CK64" s="213">
        <v>0.42000000000000004</v>
      </c>
      <c r="CL64" s="213">
        <v>39.130000000000003</v>
      </c>
      <c r="CM64" s="213">
        <v>36.730000000000004</v>
      </c>
      <c r="CN64" s="213">
        <v>37.930000000000007</v>
      </c>
      <c r="CO64" s="213">
        <v>7.34</v>
      </c>
      <c r="CP64" s="213">
        <v>2.34</v>
      </c>
      <c r="CQ64" s="213">
        <v>4.84</v>
      </c>
      <c r="CR64" s="213"/>
      <c r="CS64" s="213"/>
    </row>
    <row r="65" spans="1:97">
      <c r="A65" s="424">
        <v>45351</v>
      </c>
      <c r="B65" s="211" t="s">
        <v>250</v>
      </c>
      <c r="C65" s="213">
        <v>151.66999999999999</v>
      </c>
      <c r="D65" s="213">
        <v>149.66999999999999</v>
      </c>
      <c r="E65" s="213">
        <v>150.66999999999999</v>
      </c>
      <c r="F65" s="213">
        <v>164.75</v>
      </c>
      <c r="G65" s="213">
        <v>161.75</v>
      </c>
      <c r="H65" s="213">
        <v>163.25</v>
      </c>
      <c r="I65" s="213">
        <v>112.49</v>
      </c>
      <c r="J65" s="213">
        <v>109.28999999999999</v>
      </c>
      <c r="K65" s="213">
        <v>110.88999999999999</v>
      </c>
      <c r="L65" s="213">
        <v>194.75</v>
      </c>
      <c r="M65" s="213">
        <v>186.75</v>
      </c>
      <c r="N65" s="213">
        <v>190.75</v>
      </c>
      <c r="O65" s="213">
        <v>172.37</v>
      </c>
      <c r="P65" s="213">
        <v>170.57</v>
      </c>
      <c r="Q65" s="213">
        <v>171.47</v>
      </c>
      <c r="R65" s="213">
        <v>22.2</v>
      </c>
      <c r="S65" s="213">
        <v>21.599999999999998</v>
      </c>
      <c r="T65" s="213">
        <v>21.9</v>
      </c>
      <c r="U65" s="213">
        <v>14.52</v>
      </c>
      <c r="V65" s="213">
        <v>13.92</v>
      </c>
      <c r="W65" s="213">
        <v>14.219999999999999</v>
      </c>
      <c r="X65" s="213">
        <v>14.98</v>
      </c>
      <c r="Y65" s="213">
        <v>14.18</v>
      </c>
      <c r="Z65" s="213">
        <v>14.58</v>
      </c>
      <c r="AA65" s="213">
        <v>99.88</v>
      </c>
      <c r="AB65" s="213">
        <v>95.88</v>
      </c>
      <c r="AC65" s="213">
        <v>97.88</v>
      </c>
      <c r="AD65" s="213">
        <v>93.76</v>
      </c>
      <c r="AE65" s="213">
        <v>89.76</v>
      </c>
      <c r="AF65" s="213">
        <v>91.76</v>
      </c>
      <c r="AG65" s="213">
        <v>19.68</v>
      </c>
      <c r="AH65" s="213">
        <v>18.82</v>
      </c>
      <c r="AI65" s="213">
        <v>19.25</v>
      </c>
      <c r="AJ65" s="213"/>
      <c r="AK65" s="213"/>
      <c r="AL65" s="213"/>
      <c r="AM65" s="213">
        <v>112.79</v>
      </c>
      <c r="AN65" s="213">
        <v>111.13000000000001</v>
      </c>
      <c r="AO65" s="213">
        <v>111.96000000000001</v>
      </c>
      <c r="AP65" s="213">
        <v>41.04</v>
      </c>
      <c r="AQ65" s="213">
        <v>39.44</v>
      </c>
      <c r="AR65" s="213">
        <v>40.239999999999995</v>
      </c>
      <c r="AS65" s="213">
        <v>41.77</v>
      </c>
      <c r="AT65" s="213">
        <v>40.410000000000004</v>
      </c>
      <c r="AU65" s="213">
        <v>41.09</v>
      </c>
      <c r="AV65" s="213">
        <v>21.18</v>
      </c>
      <c r="AW65" s="213">
        <v>20.58</v>
      </c>
      <c r="AX65" s="213">
        <v>20.88</v>
      </c>
      <c r="AY65" s="213">
        <v>4.2699999999999996</v>
      </c>
      <c r="AZ65" s="213">
        <v>4.1099999999999994</v>
      </c>
      <c r="BA65" s="213">
        <v>4.1899999999999995</v>
      </c>
      <c r="BB65" s="213">
        <v>1.98</v>
      </c>
      <c r="BC65" s="213">
        <v>1.68</v>
      </c>
      <c r="BD65" s="213">
        <v>1.83</v>
      </c>
      <c r="BE65" s="213">
        <v>0.69</v>
      </c>
      <c r="BF65" s="213">
        <v>0.38999999999999996</v>
      </c>
      <c r="BG65" s="213">
        <v>0.53999999999999992</v>
      </c>
      <c r="BH65" s="213">
        <v>498.62</v>
      </c>
      <c r="BI65" s="213">
        <v>482.62</v>
      </c>
      <c r="BJ65" s="213">
        <v>490.62</v>
      </c>
      <c r="BK65" s="213">
        <v>42.07</v>
      </c>
      <c r="BL65" s="213">
        <v>40.71</v>
      </c>
      <c r="BM65" s="213">
        <v>41.39</v>
      </c>
      <c r="BN65" s="213">
        <v>1.08</v>
      </c>
      <c r="BO65" s="213">
        <v>0.84000000000000008</v>
      </c>
      <c r="BP65" s="213">
        <v>0.96000000000000008</v>
      </c>
      <c r="BQ65" s="213">
        <v>9.81</v>
      </c>
      <c r="BR65" s="213">
        <v>7.8100000000000005</v>
      </c>
      <c r="BS65" s="213">
        <v>8.81</v>
      </c>
      <c r="BT65" s="213">
        <v>11.5</v>
      </c>
      <c r="BU65" s="213">
        <v>11.1</v>
      </c>
      <c r="BV65" s="213">
        <v>11.3</v>
      </c>
      <c r="BW65" s="213">
        <v>2.84</v>
      </c>
      <c r="BX65" s="213">
        <v>2.5599999999999996</v>
      </c>
      <c r="BY65" s="213">
        <v>2.6999999999999997</v>
      </c>
      <c r="BZ65" s="213">
        <v>9.31</v>
      </c>
      <c r="CA65" s="213">
        <v>6.3100000000000005</v>
      </c>
      <c r="CB65" s="213">
        <v>7.8100000000000005</v>
      </c>
      <c r="CC65" s="213">
        <v>6.58</v>
      </c>
      <c r="CD65" s="213">
        <v>6.34</v>
      </c>
      <c r="CE65" s="213">
        <v>6.46</v>
      </c>
      <c r="CF65" s="213">
        <v>1.9</v>
      </c>
      <c r="CG65" s="213">
        <v>1.4</v>
      </c>
      <c r="CH65" s="213">
        <v>1.65</v>
      </c>
      <c r="CI65" s="213">
        <v>0.44</v>
      </c>
      <c r="CJ65" s="213">
        <v>0.4</v>
      </c>
      <c r="CK65" s="213">
        <v>0.42000000000000004</v>
      </c>
      <c r="CL65" s="213">
        <v>38.96</v>
      </c>
      <c r="CM65" s="213">
        <v>36.56</v>
      </c>
      <c r="CN65" s="213">
        <v>37.760000000000005</v>
      </c>
      <c r="CO65" s="213">
        <v>7.33</v>
      </c>
      <c r="CP65" s="213">
        <v>2.33</v>
      </c>
      <c r="CQ65" s="213">
        <v>4.83</v>
      </c>
      <c r="CR65" s="213"/>
      <c r="CS65" s="213"/>
    </row>
    <row r="66" spans="1:97">
      <c r="A66" s="424">
        <v>45352</v>
      </c>
      <c r="B66" s="211" t="s">
        <v>251</v>
      </c>
      <c r="C66" s="213">
        <v>151.31</v>
      </c>
      <c r="D66" s="213">
        <v>149.31</v>
      </c>
      <c r="E66" s="213">
        <v>150.31</v>
      </c>
      <c r="F66" s="213">
        <v>163.97</v>
      </c>
      <c r="G66" s="213">
        <v>160.97</v>
      </c>
      <c r="H66" s="213">
        <v>162.47</v>
      </c>
      <c r="I66" s="213">
        <v>112.33</v>
      </c>
      <c r="J66" s="213">
        <v>109.13</v>
      </c>
      <c r="K66" s="213">
        <v>110.72999999999999</v>
      </c>
      <c r="L66" s="213">
        <v>193.78</v>
      </c>
      <c r="M66" s="213">
        <v>185.78</v>
      </c>
      <c r="N66" s="213">
        <v>189.78</v>
      </c>
      <c r="O66" s="213">
        <v>170.88</v>
      </c>
      <c r="P66" s="213">
        <v>169.07999999999998</v>
      </c>
      <c r="Q66" s="213">
        <v>169.98</v>
      </c>
      <c r="R66" s="213">
        <v>22.1</v>
      </c>
      <c r="S66" s="213">
        <v>21.5</v>
      </c>
      <c r="T66" s="213">
        <v>21.8</v>
      </c>
      <c r="U66" s="213">
        <v>14.46</v>
      </c>
      <c r="V66" s="213">
        <v>13.860000000000001</v>
      </c>
      <c r="W66" s="213">
        <v>14.16</v>
      </c>
      <c r="X66" s="213">
        <v>14.89</v>
      </c>
      <c r="Y66" s="213">
        <v>14.09</v>
      </c>
      <c r="Z66" s="213">
        <v>14.49</v>
      </c>
      <c r="AA66" s="213">
        <v>99.78</v>
      </c>
      <c r="AB66" s="213">
        <v>95.78</v>
      </c>
      <c r="AC66" s="213">
        <v>97.78</v>
      </c>
      <c r="AD66" s="213">
        <v>93.52</v>
      </c>
      <c r="AE66" s="213">
        <v>89.52</v>
      </c>
      <c r="AF66" s="213">
        <v>91.52</v>
      </c>
      <c r="AG66" s="213">
        <v>19.63</v>
      </c>
      <c r="AH66" s="213">
        <v>18.77</v>
      </c>
      <c r="AI66" s="213">
        <v>19.2</v>
      </c>
      <c r="AJ66" s="213"/>
      <c r="AK66" s="213"/>
      <c r="AL66" s="213"/>
      <c r="AM66" s="213">
        <v>112.53</v>
      </c>
      <c r="AN66" s="213">
        <v>110.87</v>
      </c>
      <c r="AO66" s="213">
        <v>111.7</v>
      </c>
      <c r="AP66" s="213">
        <v>40.950000000000003</v>
      </c>
      <c r="AQ66" s="213">
        <v>39.35</v>
      </c>
      <c r="AR66" s="213">
        <v>40.150000000000006</v>
      </c>
      <c r="AS66" s="213">
        <v>41.67</v>
      </c>
      <c r="AT66" s="213">
        <v>40.31</v>
      </c>
      <c r="AU66" s="213">
        <v>40.99</v>
      </c>
      <c r="AV66" s="213">
        <v>21.15</v>
      </c>
      <c r="AW66" s="213">
        <v>20.549999999999997</v>
      </c>
      <c r="AX66" s="213">
        <v>20.849999999999998</v>
      </c>
      <c r="AY66" s="213">
        <v>4.2699999999999996</v>
      </c>
      <c r="AZ66" s="213">
        <v>4.1099999999999994</v>
      </c>
      <c r="BA66" s="213">
        <v>4.1899999999999995</v>
      </c>
      <c r="BB66" s="213">
        <v>1.97</v>
      </c>
      <c r="BC66" s="213">
        <v>1.67</v>
      </c>
      <c r="BD66" s="213">
        <v>1.8199999999999998</v>
      </c>
      <c r="BE66" s="213">
        <v>0.69</v>
      </c>
      <c r="BF66" s="213">
        <v>0.38999999999999996</v>
      </c>
      <c r="BG66" s="213">
        <v>0.53999999999999992</v>
      </c>
      <c r="BH66" s="213">
        <v>495.39</v>
      </c>
      <c r="BI66" s="213">
        <v>479.39</v>
      </c>
      <c r="BJ66" s="213">
        <v>487.39</v>
      </c>
      <c r="BK66" s="213">
        <v>41.97</v>
      </c>
      <c r="BL66" s="213">
        <v>40.61</v>
      </c>
      <c r="BM66" s="213">
        <v>41.29</v>
      </c>
      <c r="BN66" s="213">
        <v>1.08</v>
      </c>
      <c r="BO66" s="213">
        <v>0.84000000000000008</v>
      </c>
      <c r="BP66" s="213">
        <v>0.96000000000000008</v>
      </c>
      <c r="BQ66" s="213">
        <v>9.82</v>
      </c>
      <c r="BR66" s="213">
        <v>7.82</v>
      </c>
      <c r="BS66" s="213">
        <v>8.82</v>
      </c>
      <c r="BT66" s="213">
        <v>11.47</v>
      </c>
      <c r="BU66" s="213">
        <v>11.07</v>
      </c>
      <c r="BV66" s="213">
        <v>11.27</v>
      </c>
      <c r="BW66" s="213">
        <v>2.84</v>
      </c>
      <c r="BX66" s="213">
        <v>2.5599999999999996</v>
      </c>
      <c r="BY66" s="213">
        <v>2.6999999999999997</v>
      </c>
      <c r="BZ66" s="213">
        <v>9.35</v>
      </c>
      <c r="CA66" s="213">
        <v>6.35</v>
      </c>
      <c r="CB66" s="213">
        <v>7.85</v>
      </c>
      <c r="CC66" s="213">
        <v>6.54</v>
      </c>
      <c r="CD66" s="213">
        <v>6.3</v>
      </c>
      <c r="CE66" s="213">
        <v>6.42</v>
      </c>
      <c r="CF66" s="213">
        <v>1.9</v>
      </c>
      <c r="CG66" s="213">
        <v>1.4</v>
      </c>
      <c r="CH66" s="213">
        <v>1.65</v>
      </c>
      <c r="CI66" s="213">
        <v>0.43</v>
      </c>
      <c r="CJ66" s="213">
        <v>0.39</v>
      </c>
      <c r="CK66" s="213">
        <v>0.41000000000000003</v>
      </c>
      <c r="CL66" s="213">
        <v>38.869999999999997</v>
      </c>
      <c r="CM66" s="213">
        <v>36.47</v>
      </c>
      <c r="CN66" s="213">
        <v>37.67</v>
      </c>
      <c r="CO66" s="213">
        <v>7.32</v>
      </c>
      <c r="CP66" s="213">
        <v>2.3200000000000003</v>
      </c>
      <c r="CQ66" s="213">
        <v>4.82</v>
      </c>
      <c r="CR66" s="213"/>
      <c r="CS66" s="213"/>
    </row>
    <row r="67" spans="1:97">
      <c r="A67" s="424">
        <v>45353</v>
      </c>
      <c r="B67" s="211" t="s">
        <v>252</v>
      </c>
      <c r="C67" s="213"/>
      <c r="D67" s="213"/>
      <c r="E67" s="213"/>
      <c r="F67" s="213"/>
      <c r="G67" s="213"/>
      <c r="H67" s="213"/>
      <c r="I67" s="213"/>
      <c r="J67" s="213"/>
      <c r="K67" s="213"/>
      <c r="L67" s="213"/>
      <c r="M67" s="213"/>
      <c r="N67" s="213"/>
      <c r="O67" s="213"/>
      <c r="P67" s="213"/>
      <c r="Q67" s="213"/>
      <c r="R67" s="213"/>
      <c r="S67" s="213"/>
      <c r="T67" s="213"/>
      <c r="U67" s="213"/>
      <c r="V67" s="213"/>
      <c r="W67" s="213"/>
      <c r="X67" s="213"/>
      <c r="Y67" s="213"/>
      <c r="Z67" s="213"/>
      <c r="AA67" s="213"/>
      <c r="AB67" s="213"/>
      <c r="AC67" s="213"/>
      <c r="AD67" s="213"/>
      <c r="AE67" s="213"/>
      <c r="AF67" s="213"/>
      <c r="AG67" s="213"/>
      <c r="AH67" s="213"/>
      <c r="AI67" s="213"/>
      <c r="AJ67" s="213"/>
      <c r="AK67" s="213"/>
      <c r="AL67" s="213"/>
      <c r="AM67" s="213"/>
      <c r="AN67" s="213"/>
      <c r="AO67" s="213"/>
      <c r="AP67" s="213"/>
      <c r="AQ67" s="213"/>
      <c r="AR67" s="213"/>
      <c r="AS67" s="213"/>
      <c r="AT67" s="213"/>
      <c r="AU67" s="213"/>
      <c r="AV67" s="213"/>
      <c r="AW67" s="213"/>
      <c r="AX67" s="213"/>
      <c r="AY67" s="213"/>
      <c r="AZ67" s="213"/>
      <c r="BA67" s="213"/>
      <c r="BB67" s="213"/>
      <c r="BC67" s="213"/>
      <c r="BD67" s="213"/>
      <c r="BE67" s="213"/>
      <c r="BF67" s="213"/>
      <c r="BG67" s="213"/>
      <c r="BH67" s="213"/>
      <c r="BI67" s="213"/>
      <c r="BJ67" s="213"/>
      <c r="BK67" s="213"/>
      <c r="BL67" s="213"/>
      <c r="BM67" s="213"/>
      <c r="BN67" s="213"/>
      <c r="BO67" s="213"/>
      <c r="BP67" s="213"/>
      <c r="BQ67" s="213"/>
      <c r="BR67" s="213"/>
      <c r="BS67" s="213"/>
      <c r="BT67" s="213"/>
      <c r="BU67" s="213"/>
      <c r="BV67" s="213"/>
      <c r="BW67" s="213"/>
      <c r="BX67" s="213"/>
      <c r="BY67" s="213"/>
      <c r="BZ67" s="213"/>
      <c r="CA67" s="213"/>
      <c r="CB67" s="213"/>
      <c r="CC67" s="213"/>
      <c r="CD67" s="213"/>
      <c r="CE67" s="213"/>
      <c r="CF67" s="213"/>
      <c r="CG67" s="213"/>
      <c r="CH67" s="213"/>
      <c r="CI67" s="213"/>
      <c r="CJ67" s="213"/>
      <c r="CK67" s="213"/>
      <c r="CL67" s="213"/>
      <c r="CM67" s="213"/>
      <c r="CN67" s="213"/>
      <c r="CO67" s="213"/>
      <c r="CP67" s="213"/>
      <c r="CQ67" s="213"/>
      <c r="CR67" s="213"/>
      <c r="CS67" s="213"/>
    </row>
    <row r="68" spans="1:97">
      <c r="A68" s="424">
        <v>45354</v>
      </c>
      <c r="B68" s="211" t="s">
        <v>253</v>
      </c>
      <c r="C68" s="213"/>
      <c r="D68" s="213"/>
      <c r="E68" s="213"/>
      <c r="F68" s="213"/>
      <c r="G68" s="213"/>
      <c r="H68" s="213"/>
      <c r="I68" s="213"/>
      <c r="J68" s="213"/>
      <c r="K68" s="213"/>
      <c r="L68" s="213"/>
      <c r="M68" s="213"/>
      <c r="N68" s="213"/>
      <c r="O68" s="213"/>
      <c r="P68" s="213"/>
      <c r="Q68" s="213"/>
      <c r="R68" s="213"/>
      <c r="S68" s="213"/>
      <c r="T68" s="213"/>
      <c r="U68" s="213"/>
      <c r="V68" s="213"/>
      <c r="W68" s="213"/>
      <c r="X68" s="213"/>
      <c r="Y68" s="213"/>
      <c r="Z68" s="213"/>
      <c r="AA68" s="213"/>
      <c r="AB68" s="213"/>
      <c r="AC68" s="213"/>
      <c r="AD68" s="213"/>
      <c r="AE68" s="213"/>
      <c r="AF68" s="213"/>
      <c r="AG68" s="213"/>
      <c r="AH68" s="213"/>
      <c r="AI68" s="213"/>
      <c r="AJ68" s="213"/>
      <c r="AK68" s="213"/>
      <c r="AL68" s="213"/>
      <c r="AM68" s="213"/>
      <c r="AN68" s="213"/>
      <c r="AO68" s="213"/>
      <c r="AP68" s="213"/>
      <c r="AQ68" s="213"/>
      <c r="AR68" s="213"/>
      <c r="AS68" s="213"/>
      <c r="AT68" s="213"/>
      <c r="AU68" s="213"/>
      <c r="AV68" s="213"/>
      <c r="AW68" s="213"/>
      <c r="AX68" s="213"/>
      <c r="AY68" s="213"/>
      <c r="AZ68" s="213"/>
      <c r="BA68" s="213"/>
      <c r="BB68" s="213"/>
      <c r="BC68" s="213"/>
      <c r="BD68" s="213"/>
      <c r="BE68" s="213"/>
      <c r="BF68" s="213"/>
      <c r="BG68" s="213"/>
      <c r="BH68" s="213"/>
      <c r="BI68" s="213"/>
      <c r="BJ68" s="213"/>
      <c r="BK68" s="213"/>
      <c r="BL68" s="213"/>
      <c r="BM68" s="213"/>
      <c r="BN68" s="213"/>
      <c r="BO68" s="213"/>
      <c r="BP68" s="213"/>
      <c r="BQ68" s="213"/>
      <c r="BR68" s="213"/>
      <c r="BS68" s="213"/>
      <c r="BT68" s="213"/>
      <c r="BU68" s="213"/>
      <c r="BV68" s="213"/>
      <c r="BW68" s="213"/>
      <c r="BX68" s="213"/>
      <c r="BY68" s="213"/>
      <c r="BZ68" s="213"/>
      <c r="CA68" s="213"/>
      <c r="CB68" s="213"/>
      <c r="CC68" s="213"/>
      <c r="CD68" s="213"/>
      <c r="CE68" s="213"/>
      <c r="CF68" s="213"/>
      <c r="CG68" s="213"/>
      <c r="CH68" s="213"/>
      <c r="CI68" s="213"/>
      <c r="CJ68" s="213"/>
      <c r="CK68" s="213"/>
      <c r="CL68" s="213"/>
      <c r="CM68" s="213"/>
      <c r="CN68" s="213"/>
      <c r="CO68" s="213"/>
      <c r="CP68" s="213"/>
      <c r="CQ68" s="213"/>
      <c r="CR68" s="213"/>
      <c r="CS68" s="213"/>
    </row>
    <row r="69" spans="1:97">
      <c r="A69" s="424">
        <v>45355</v>
      </c>
      <c r="B69" s="211" t="s">
        <v>247</v>
      </c>
      <c r="C69" s="213">
        <v>151.08000000000001</v>
      </c>
      <c r="D69" s="213">
        <v>149.08000000000001</v>
      </c>
      <c r="E69" s="213">
        <v>150.08000000000001</v>
      </c>
      <c r="F69" s="213">
        <v>164.31</v>
      </c>
      <c r="G69" s="213">
        <v>161.31</v>
      </c>
      <c r="H69" s="213">
        <v>162.81</v>
      </c>
      <c r="I69" s="213">
        <v>112.38</v>
      </c>
      <c r="J69" s="213">
        <v>109.17999999999999</v>
      </c>
      <c r="K69" s="213">
        <v>110.78</v>
      </c>
      <c r="L69" s="213">
        <v>194.11</v>
      </c>
      <c r="M69" s="213">
        <v>186.11</v>
      </c>
      <c r="N69" s="213">
        <v>190.11</v>
      </c>
      <c r="O69" s="213">
        <v>170.9</v>
      </c>
      <c r="P69" s="213">
        <v>169.1</v>
      </c>
      <c r="Q69" s="213">
        <v>170</v>
      </c>
      <c r="R69" s="213">
        <v>22.14</v>
      </c>
      <c r="S69" s="213">
        <v>21.54</v>
      </c>
      <c r="T69" s="213">
        <v>21.84</v>
      </c>
      <c r="U69" s="213">
        <v>14.59</v>
      </c>
      <c r="V69" s="213">
        <v>13.99</v>
      </c>
      <c r="W69" s="213">
        <v>14.29</v>
      </c>
      <c r="X69" s="213">
        <v>14.96</v>
      </c>
      <c r="Y69" s="213">
        <v>14.16</v>
      </c>
      <c r="Z69" s="213">
        <v>14.56</v>
      </c>
      <c r="AA69" s="213">
        <v>100.06</v>
      </c>
      <c r="AB69" s="213">
        <v>96.06</v>
      </c>
      <c r="AC69" s="213">
        <v>98.06</v>
      </c>
      <c r="AD69" s="213">
        <v>93.67</v>
      </c>
      <c r="AE69" s="213">
        <v>89.67</v>
      </c>
      <c r="AF69" s="213">
        <v>91.67</v>
      </c>
      <c r="AG69" s="213">
        <v>19.600000000000001</v>
      </c>
      <c r="AH69" s="213">
        <v>18.740000000000002</v>
      </c>
      <c r="AI69" s="213">
        <v>19.170000000000002</v>
      </c>
      <c r="AJ69" s="213"/>
      <c r="AK69" s="213"/>
      <c r="AL69" s="213"/>
      <c r="AM69" s="213">
        <v>112.55</v>
      </c>
      <c r="AN69" s="213">
        <v>110.89</v>
      </c>
      <c r="AO69" s="213">
        <v>111.72</v>
      </c>
      <c r="AP69" s="213">
        <v>40.89</v>
      </c>
      <c r="AQ69" s="213">
        <v>39.29</v>
      </c>
      <c r="AR69" s="213">
        <v>40.090000000000003</v>
      </c>
      <c r="AS69" s="213">
        <v>41.61</v>
      </c>
      <c r="AT69" s="213">
        <v>40.25</v>
      </c>
      <c r="AU69" s="213">
        <v>40.93</v>
      </c>
      <c r="AV69" s="213">
        <v>21.12</v>
      </c>
      <c r="AW69" s="213">
        <v>20.52</v>
      </c>
      <c r="AX69" s="213">
        <v>20.82</v>
      </c>
      <c r="AY69" s="213">
        <v>4.28</v>
      </c>
      <c r="AZ69" s="213">
        <v>4.12</v>
      </c>
      <c r="BA69" s="213">
        <v>4.2</v>
      </c>
      <c r="BB69" s="213">
        <v>1.97</v>
      </c>
      <c r="BC69" s="213">
        <v>1.67</v>
      </c>
      <c r="BD69" s="213">
        <v>1.8199999999999998</v>
      </c>
      <c r="BE69" s="213">
        <v>0.7</v>
      </c>
      <c r="BF69" s="213">
        <v>0.39999999999999997</v>
      </c>
      <c r="BG69" s="213">
        <v>0.54999999999999993</v>
      </c>
      <c r="BH69" s="213">
        <v>496.86</v>
      </c>
      <c r="BI69" s="213">
        <v>480.86</v>
      </c>
      <c r="BJ69" s="213">
        <v>488.86</v>
      </c>
      <c r="BK69" s="213">
        <v>41.9</v>
      </c>
      <c r="BL69" s="213">
        <v>40.54</v>
      </c>
      <c r="BM69" s="213">
        <v>41.22</v>
      </c>
      <c r="BN69" s="213">
        <v>1.08</v>
      </c>
      <c r="BO69" s="213">
        <v>0.84000000000000008</v>
      </c>
      <c r="BP69" s="213">
        <v>0.96000000000000008</v>
      </c>
      <c r="BQ69" s="213">
        <v>9.83</v>
      </c>
      <c r="BR69" s="213">
        <v>7.83</v>
      </c>
      <c r="BS69" s="213">
        <v>8.83</v>
      </c>
      <c r="BT69" s="213">
        <v>11.49</v>
      </c>
      <c r="BU69" s="213">
        <v>11.09</v>
      </c>
      <c r="BV69" s="213">
        <v>11.29</v>
      </c>
      <c r="BW69" s="213">
        <v>2.84</v>
      </c>
      <c r="BX69" s="213">
        <v>2.5599999999999996</v>
      </c>
      <c r="BY69" s="213">
        <v>2.6999999999999997</v>
      </c>
      <c r="BZ69" s="213">
        <v>9.36</v>
      </c>
      <c r="CA69" s="213">
        <v>6.3599999999999994</v>
      </c>
      <c r="CB69" s="213">
        <v>7.8599999999999994</v>
      </c>
      <c r="CC69" s="213">
        <v>6.55</v>
      </c>
      <c r="CD69" s="213">
        <v>6.31</v>
      </c>
      <c r="CE69" s="213">
        <v>6.43</v>
      </c>
      <c r="CF69" s="213">
        <v>1.89</v>
      </c>
      <c r="CG69" s="213">
        <v>1.39</v>
      </c>
      <c r="CH69" s="213">
        <v>1.64</v>
      </c>
      <c r="CI69" s="213">
        <v>0.43</v>
      </c>
      <c r="CJ69" s="213">
        <v>0.39</v>
      </c>
      <c r="CK69" s="213">
        <v>0.41000000000000003</v>
      </c>
      <c r="CL69" s="213">
        <v>38.94</v>
      </c>
      <c r="CM69" s="213">
        <v>36.54</v>
      </c>
      <c r="CN69" s="213">
        <v>37.739999999999995</v>
      </c>
      <c r="CO69" s="213">
        <v>7.29</v>
      </c>
      <c r="CP69" s="213">
        <v>2.29</v>
      </c>
      <c r="CQ69" s="213">
        <v>4.79</v>
      </c>
      <c r="CR69" s="213"/>
      <c r="CS69" s="213"/>
    </row>
    <row r="70" spans="1:97">
      <c r="A70" s="424">
        <v>45356</v>
      </c>
      <c r="B70" s="211" t="s">
        <v>248</v>
      </c>
      <c r="C70" s="213">
        <v>151.41999999999999</v>
      </c>
      <c r="D70" s="213">
        <v>149.41999999999999</v>
      </c>
      <c r="E70" s="213">
        <v>150.41999999999999</v>
      </c>
      <c r="F70" s="213">
        <v>164.77</v>
      </c>
      <c r="G70" s="213">
        <v>161.77000000000001</v>
      </c>
      <c r="H70" s="213">
        <v>163.27000000000001</v>
      </c>
      <c r="I70" s="213">
        <v>112.41</v>
      </c>
      <c r="J70" s="213">
        <v>109.21</v>
      </c>
      <c r="K70" s="213">
        <v>110.81</v>
      </c>
      <c r="L70" s="213">
        <v>194.94</v>
      </c>
      <c r="M70" s="213">
        <v>186.94</v>
      </c>
      <c r="N70" s="213">
        <v>190.94</v>
      </c>
      <c r="O70" s="213">
        <v>170.85</v>
      </c>
      <c r="P70" s="213">
        <v>169.04999999999998</v>
      </c>
      <c r="Q70" s="213">
        <v>169.95</v>
      </c>
      <c r="R70" s="213">
        <v>22.2</v>
      </c>
      <c r="S70" s="213">
        <v>21.599999999999998</v>
      </c>
      <c r="T70" s="213">
        <v>21.9</v>
      </c>
      <c r="U70" s="213">
        <v>14.52</v>
      </c>
      <c r="V70" s="213">
        <v>13.92</v>
      </c>
      <c r="W70" s="213">
        <v>14.219999999999999</v>
      </c>
      <c r="X70" s="213">
        <v>14.91</v>
      </c>
      <c r="Y70" s="213">
        <v>14.11</v>
      </c>
      <c r="Z70" s="213">
        <v>14.51</v>
      </c>
      <c r="AA70" s="213">
        <v>99.89</v>
      </c>
      <c r="AB70" s="213">
        <v>95.89</v>
      </c>
      <c r="AC70" s="213">
        <v>97.89</v>
      </c>
      <c r="AD70" s="213">
        <v>93.71</v>
      </c>
      <c r="AE70" s="213">
        <v>89.71</v>
      </c>
      <c r="AF70" s="213">
        <v>91.71</v>
      </c>
      <c r="AG70" s="213">
        <v>19.649999999999999</v>
      </c>
      <c r="AH70" s="213">
        <v>18.79</v>
      </c>
      <c r="AI70" s="213">
        <v>19.22</v>
      </c>
      <c r="AJ70" s="213"/>
      <c r="AK70" s="213"/>
      <c r="AL70" s="213"/>
      <c r="AM70" s="213">
        <v>112.78</v>
      </c>
      <c r="AN70" s="213">
        <v>111.12</v>
      </c>
      <c r="AO70" s="213">
        <v>111.95</v>
      </c>
      <c r="AP70" s="213">
        <v>40.98</v>
      </c>
      <c r="AQ70" s="213">
        <v>39.379999999999995</v>
      </c>
      <c r="AR70" s="213">
        <v>40.179999999999993</v>
      </c>
      <c r="AS70" s="213">
        <v>41.7</v>
      </c>
      <c r="AT70" s="213">
        <v>40.340000000000003</v>
      </c>
      <c r="AU70" s="213">
        <v>41.02</v>
      </c>
      <c r="AV70" s="213">
        <v>21.16</v>
      </c>
      <c r="AW70" s="213">
        <v>20.56</v>
      </c>
      <c r="AX70" s="213">
        <v>20.86</v>
      </c>
      <c r="AY70" s="213">
        <v>4.28</v>
      </c>
      <c r="AZ70" s="213">
        <v>4.12</v>
      </c>
      <c r="BA70" s="213">
        <v>4.2</v>
      </c>
      <c r="BB70" s="213">
        <v>1.97</v>
      </c>
      <c r="BC70" s="213">
        <v>1.67</v>
      </c>
      <c r="BD70" s="213">
        <v>1.8199999999999998</v>
      </c>
      <c r="BE70" s="213">
        <v>0.7</v>
      </c>
      <c r="BF70" s="213">
        <v>0.39999999999999997</v>
      </c>
      <c r="BG70" s="213">
        <v>0.54999999999999993</v>
      </c>
      <c r="BH70" s="213">
        <v>497.97</v>
      </c>
      <c r="BI70" s="213">
        <v>481.97</v>
      </c>
      <c r="BJ70" s="213">
        <v>489.97</v>
      </c>
      <c r="BK70" s="213">
        <v>41.99</v>
      </c>
      <c r="BL70" s="213">
        <v>40.630000000000003</v>
      </c>
      <c r="BM70" s="213">
        <v>41.31</v>
      </c>
      <c r="BN70" s="213">
        <v>1.08</v>
      </c>
      <c r="BO70" s="213">
        <v>0.84000000000000008</v>
      </c>
      <c r="BP70" s="213">
        <v>0.96000000000000008</v>
      </c>
      <c r="BQ70" s="213">
        <v>9.8699999999999992</v>
      </c>
      <c r="BR70" s="213">
        <v>7.8699999999999992</v>
      </c>
      <c r="BS70" s="213">
        <v>8.8699999999999992</v>
      </c>
      <c r="BT70" s="213">
        <v>11.51</v>
      </c>
      <c r="BU70" s="213">
        <v>11.11</v>
      </c>
      <c r="BV70" s="213">
        <v>11.309999999999999</v>
      </c>
      <c r="BW70" s="213">
        <v>2.85</v>
      </c>
      <c r="BX70" s="213">
        <v>2.5700000000000003</v>
      </c>
      <c r="BY70" s="213">
        <v>2.71</v>
      </c>
      <c r="BZ70" s="213">
        <v>9.4</v>
      </c>
      <c r="CA70" s="213">
        <v>6.4</v>
      </c>
      <c r="CB70" s="213">
        <v>7.9</v>
      </c>
      <c r="CC70" s="213">
        <v>6.56</v>
      </c>
      <c r="CD70" s="213">
        <v>6.3199999999999994</v>
      </c>
      <c r="CE70" s="213">
        <v>6.4399999999999995</v>
      </c>
      <c r="CF70" s="213">
        <v>1.9</v>
      </c>
      <c r="CG70" s="213">
        <v>1.4</v>
      </c>
      <c r="CH70" s="213">
        <v>1.65</v>
      </c>
      <c r="CI70" s="213">
        <v>0.43</v>
      </c>
      <c r="CJ70" s="213">
        <v>0.39</v>
      </c>
      <c r="CK70" s="213">
        <v>0.41000000000000003</v>
      </c>
      <c r="CL70" s="213">
        <v>38.99</v>
      </c>
      <c r="CM70" s="213">
        <v>36.590000000000003</v>
      </c>
      <c r="CN70" s="213">
        <v>37.790000000000006</v>
      </c>
      <c r="CO70" s="213">
        <v>7.27</v>
      </c>
      <c r="CP70" s="213">
        <v>2.2699999999999996</v>
      </c>
      <c r="CQ70" s="213">
        <v>4.7699999999999996</v>
      </c>
      <c r="CR70" s="213"/>
      <c r="CS70" s="213"/>
    </row>
    <row r="71" spans="1:97">
      <c r="A71" s="424">
        <v>45357</v>
      </c>
      <c r="B71" s="211" t="s">
        <v>249</v>
      </c>
      <c r="C71" s="213">
        <v>151.05000000000001</v>
      </c>
      <c r="D71" s="213">
        <v>149.05000000000001</v>
      </c>
      <c r="E71" s="213">
        <v>150.05000000000001</v>
      </c>
      <c r="F71" s="213">
        <v>164.33</v>
      </c>
      <c r="G71" s="213">
        <v>161.33000000000001</v>
      </c>
      <c r="H71" s="213">
        <v>162.83000000000001</v>
      </c>
      <c r="I71" s="213">
        <v>111.95</v>
      </c>
      <c r="J71" s="213">
        <v>108.75</v>
      </c>
      <c r="K71" s="213">
        <v>110.35</v>
      </c>
      <c r="L71" s="213">
        <v>194.5</v>
      </c>
      <c r="M71" s="213">
        <v>186.5</v>
      </c>
      <c r="N71" s="213">
        <v>190.5</v>
      </c>
      <c r="O71" s="213">
        <v>170.54</v>
      </c>
      <c r="P71" s="213">
        <v>168.73999999999998</v>
      </c>
      <c r="Q71" s="213">
        <v>169.64</v>
      </c>
      <c r="R71" s="213">
        <v>22.14</v>
      </c>
      <c r="S71" s="213">
        <v>21.54</v>
      </c>
      <c r="T71" s="213">
        <v>21.84</v>
      </c>
      <c r="U71" s="213">
        <v>14.49</v>
      </c>
      <c r="V71" s="213">
        <v>13.89</v>
      </c>
      <c r="W71" s="213">
        <v>14.190000000000001</v>
      </c>
      <c r="X71" s="213">
        <v>14.85</v>
      </c>
      <c r="Y71" s="213">
        <v>14.049999999999999</v>
      </c>
      <c r="Z71" s="213">
        <v>14.45</v>
      </c>
      <c r="AA71" s="213">
        <v>99.46</v>
      </c>
      <c r="AB71" s="213">
        <v>95.46</v>
      </c>
      <c r="AC71" s="213">
        <v>97.46</v>
      </c>
      <c r="AD71" s="213">
        <v>93.14</v>
      </c>
      <c r="AE71" s="213">
        <v>89.14</v>
      </c>
      <c r="AF71" s="213">
        <v>91.14</v>
      </c>
      <c r="AG71" s="213">
        <v>19.61</v>
      </c>
      <c r="AH71" s="213">
        <v>18.75</v>
      </c>
      <c r="AI71" s="213">
        <v>19.18</v>
      </c>
      <c r="AJ71" s="213"/>
      <c r="AK71" s="213"/>
      <c r="AL71" s="213"/>
      <c r="AM71" s="213">
        <v>112.54</v>
      </c>
      <c r="AN71" s="213">
        <v>110.88000000000001</v>
      </c>
      <c r="AO71" s="213">
        <v>111.71000000000001</v>
      </c>
      <c r="AP71" s="213">
        <v>40.880000000000003</v>
      </c>
      <c r="AQ71" s="213">
        <v>39.28</v>
      </c>
      <c r="AR71" s="213">
        <v>40.08</v>
      </c>
      <c r="AS71" s="213">
        <v>41.6</v>
      </c>
      <c r="AT71" s="213">
        <v>40.24</v>
      </c>
      <c r="AU71" s="213">
        <v>40.92</v>
      </c>
      <c r="AV71" s="213">
        <v>21.1</v>
      </c>
      <c r="AW71" s="213">
        <v>20.5</v>
      </c>
      <c r="AX71" s="213">
        <v>20.8</v>
      </c>
      <c r="AY71" s="213">
        <v>4.2699999999999996</v>
      </c>
      <c r="AZ71" s="213">
        <v>4.1099999999999994</v>
      </c>
      <c r="BA71" s="213">
        <v>4.1899999999999995</v>
      </c>
      <c r="BB71" s="213">
        <v>1.97</v>
      </c>
      <c r="BC71" s="213">
        <v>1.67</v>
      </c>
      <c r="BD71" s="213">
        <v>1.8199999999999998</v>
      </c>
      <c r="BE71" s="213">
        <v>0.69</v>
      </c>
      <c r="BF71" s="213">
        <v>0.38999999999999996</v>
      </c>
      <c r="BG71" s="213">
        <v>0.53999999999999992</v>
      </c>
      <c r="BH71" s="213">
        <v>494.86</v>
      </c>
      <c r="BI71" s="213">
        <v>478.86</v>
      </c>
      <c r="BJ71" s="213">
        <v>486.86</v>
      </c>
      <c r="BK71" s="213">
        <v>41.9</v>
      </c>
      <c r="BL71" s="213">
        <v>40.54</v>
      </c>
      <c r="BM71" s="213">
        <v>41.22</v>
      </c>
      <c r="BN71" s="213">
        <v>1.07</v>
      </c>
      <c r="BO71" s="213">
        <v>0.83000000000000007</v>
      </c>
      <c r="BP71" s="213">
        <v>0.95000000000000007</v>
      </c>
      <c r="BQ71" s="213">
        <v>9.85</v>
      </c>
      <c r="BR71" s="213">
        <v>7.85</v>
      </c>
      <c r="BS71" s="213">
        <v>8.85</v>
      </c>
      <c r="BT71" s="213">
        <v>11.44</v>
      </c>
      <c r="BU71" s="213">
        <v>11.04</v>
      </c>
      <c r="BV71" s="213">
        <v>11.239999999999998</v>
      </c>
      <c r="BW71" s="213">
        <v>2.84</v>
      </c>
      <c r="BX71" s="213">
        <v>2.5599999999999996</v>
      </c>
      <c r="BY71" s="213">
        <v>2.6999999999999997</v>
      </c>
      <c r="BZ71" s="213">
        <v>9.4</v>
      </c>
      <c r="CA71" s="213">
        <v>6.4</v>
      </c>
      <c r="CB71" s="213">
        <v>7.9</v>
      </c>
      <c r="CC71" s="213">
        <v>6.54</v>
      </c>
      <c r="CD71" s="213">
        <v>6.3</v>
      </c>
      <c r="CE71" s="213">
        <v>6.42</v>
      </c>
      <c r="CF71" s="213">
        <v>1.9</v>
      </c>
      <c r="CG71" s="213">
        <v>1.4</v>
      </c>
      <c r="CH71" s="213">
        <v>1.65</v>
      </c>
      <c r="CI71" s="213">
        <v>0.43</v>
      </c>
      <c r="CJ71" s="213">
        <v>0.39</v>
      </c>
      <c r="CK71" s="213">
        <v>0.41000000000000003</v>
      </c>
      <c r="CL71" s="213">
        <v>38.979999999999997</v>
      </c>
      <c r="CM71" s="213">
        <v>36.58</v>
      </c>
      <c r="CN71" s="213">
        <v>37.78</v>
      </c>
      <c r="CO71" s="213">
        <v>7.24</v>
      </c>
      <c r="CP71" s="213">
        <v>2.2400000000000002</v>
      </c>
      <c r="CQ71" s="213">
        <v>4.74</v>
      </c>
      <c r="CR71" s="213"/>
      <c r="CS71" s="213"/>
    </row>
    <row r="72" spans="1:97">
      <c r="A72" s="424">
        <v>45358</v>
      </c>
      <c r="B72" s="211" t="s">
        <v>250</v>
      </c>
      <c r="C72" s="213">
        <v>150.02000000000001</v>
      </c>
      <c r="D72" s="213">
        <v>148.02000000000001</v>
      </c>
      <c r="E72" s="213">
        <v>149.02000000000001</v>
      </c>
      <c r="F72" s="213">
        <v>163.92</v>
      </c>
      <c r="G72" s="213">
        <v>160.91999999999999</v>
      </c>
      <c r="H72" s="213">
        <v>162.41999999999999</v>
      </c>
      <c r="I72" s="213">
        <v>111.85</v>
      </c>
      <c r="J72" s="213">
        <v>108.64999999999999</v>
      </c>
      <c r="K72" s="213">
        <v>110.25</v>
      </c>
      <c r="L72" s="213">
        <v>193.79</v>
      </c>
      <c r="M72" s="213">
        <v>185.79</v>
      </c>
      <c r="N72" s="213">
        <v>189.79</v>
      </c>
      <c r="O72" s="213">
        <v>169.8</v>
      </c>
      <c r="P72" s="213">
        <v>168</v>
      </c>
      <c r="Q72" s="213">
        <v>168.9</v>
      </c>
      <c r="R72" s="213">
        <v>22.09</v>
      </c>
      <c r="S72" s="213">
        <v>21.49</v>
      </c>
      <c r="T72" s="213">
        <v>21.79</v>
      </c>
      <c r="U72" s="213">
        <v>14.5</v>
      </c>
      <c r="V72" s="213">
        <v>13.9</v>
      </c>
      <c r="W72" s="213">
        <v>14.2</v>
      </c>
      <c r="X72" s="213">
        <v>14.88</v>
      </c>
      <c r="Y72" s="213">
        <v>14.08</v>
      </c>
      <c r="Z72" s="213">
        <v>14.48</v>
      </c>
      <c r="AA72" s="213">
        <v>99.92</v>
      </c>
      <c r="AB72" s="213">
        <v>95.92</v>
      </c>
      <c r="AC72" s="213">
        <v>97.92</v>
      </c>
      <c r="AD72" s="213">
        <v>93.39</v>
      </c>
      <c r="AE72" s="213">
        <v>89.39</v>
      </c>
      <c r="AF72" s="213">
        <v>91.39</v>
      </c>
      <c r="AG72" s="213">
        <v>19.48</v>
      </c>
      <c r="AH72" s="213">
        <v>18.62</v>
      </c>
      <c r="AI72" s="213">
        <v>19.05</v>
      </c>
      <c r="AJ72" s="213"/>
      <c r="AK72" s="213"/>
      <c r="AL72" s="213"/>
      <c r="AM72" s="213">
        <v>112.26</v>
      </c>
      <c r="AN72" s="213">
        <v>110.60000000000001</v>
      </c>
      <c r="AO72" s="213">
        <v>111.43</v>
      </c>
      <c r="AP72" s="213">
        <v>40.6</v>
      </c>
      <c r="AQ72" s="213">
        <v>39</v>
      </c>
      <c r="AR72" s="213">
        <v>39.799999999999997</v>
      </c>
      <c r="AS72" s="213">
        <v>41.32</v>
      </c>
      <c r="AT72" s="213">
        <v>39.96</v>
      </c>
      <c r="AU72" s="213">
        <v>40.64</v>
      </c>
      <c r="AV72" s="213">
        <v>20.97</v>
      </c>
      <c r="AW72" s="213">
        <v>20.369999999999997</v>
      </c>
      <c r="AX72" s="213">
        <v>20.669999999999998</v>
      </c>
      <c r="AY72" s="213">
        <v>4.2699999999999996</v>
      </c>
      <c r="AZ72" s="213">
        <v>4.1099999999999994</v>
      </c>
      <c r="BA72" s="213">
        <v>4.1899999999999995</v>
      </c>
      <c r="BB72" s="213">
        <v>1.96</v>
      </c>
      <c r="BC72" s="213">
        <v>1.66</v>
      </c>
      <c r="BD72" s="213">
        <v>1.81</v>
      </c>
      <c r="BE72" s="213">
        <v>0.69</v>
      </c>
      <c r="BF72" s="213">
        <v>0.38999999999999996</v>
      </c>
      <c r="BG72" s="213">
        <v>0.53999999999999992</v>
      </c>
      <c r="BH72" s="213">
        <v>493.57</v>
      </c>
      <c r="BI72" s="213">
        <v>477.57</v>
      </c>
      <c r="BJ72" s="213">
        <v>485.57</v>
      </c>
      <c r="BK72" s="213">
        <v>41.62</v>
      </c>
      <c r="BL72" s="213">
        <v>40.26</v>
      </c>
      <c r="BM72" s="213">
        <v>40.94</v>
      </c>
      <c r="BN72" s="213">
        <v>1.07</v>
      </c>
      <c r="BO72" s="213">
        <v>0.83000000000000007</v>
      </c>
      <c r="BP72" s="213">
        <v>0.95000000000000007</v>
      </c>
      <c r="BQ72" s="213">
        <v>9.83</v>
      </c>
      <c r="BR72" s="213">
        <v>7.83</v>
      </c>
      <c r="BS72" s="213">
        <v>8.83</v>
      </c>
      <c r="BT72" s="213">
        <v>11.43</v>
      </c>
      <c r="BU72" s="213">
        <v>11.03</v>
      </c>
      <c r="BV72" s="213">
        <v>11.23</v>
      </c>
      <c r="BW72" s="213">
        <v>2.83</v>
      </c>
      <c r="BX72" s="213">
        <v>2.5499999999999998</v>
      </c>
      <c r="BY72" s="213">
        <v>2.69</v>
      </c>
      <c r="BZ72" s="213">
        <v>9.42</v>
      </c>
      <c r="CA72" s="213">
        <v>6.42</v>
      </c>
      <c r="CB72" s="213">
        <v>7.92</v>
      </c>
      <c r="CC72" s="213">
        <v>6.53</v>
      </c>
      <c r="CD72" s="213">
        <v>6.29</v>
      </c>
      <c r="CE72" s="213">
        <v>6.41</v>
      </c>
      <c r="CF72" s="213">
        <v>1.89</v>
      </c>
      <c r="CG72" s="213">
        <v>1.39</v>
      </c>
      <c r="CH72" s="213">
        <v>1.64</v>
      </c>
      <c r="CI72" s="213">
        <v>0.43</v>
      </c>
      <c r="CJ72" s="213">
        <v>0.39</v>
      </c>
      <c r="CK72" s="213">
        <v>0.41000000000000003</v>
      </c>
      <c r="CL72" s="213">
        <v>38.99</v>
      </c>
      <c r="CM72" s="213">
        <v>36.590000000000003</v>
      </c>
      <c r="CN72" s="213">
        <v>37.790000000000006</v>
      </c>
      <c r="CO72" s="213">
        <v>7.19</v>
      </c>
      <c r="CP72" s="213">
        <v>2.1900000000000004</v>
      </c>
      <c r="CQ72" s="213">
        <v>4.6900000000000004</v>
      </c>
      <c r="CR72" s="213"/>
      <c r="CS72" s="213"/>
    </row>
    <row r="73" spans="1:97">
      <c r="A73" s="424">
        <v>45359</v>
      </c>
      <c r="B73" s="211" t="s">
        <v>251</v>
      </c>
      <c r="C73" s="213">
        <v>148.86000000000001</v>
      </c>
      <c r="D73" s="213">
        <v>146.86000000000001</v>
      </c>
      <c r="E73" s="213">
        <v>147.86000000000001</v>
      </c>
      <c r="F73" s="213">
        <v>163.44</v>
      </c>
      <c r="G73" s="213">
        <v>160.44</v>
      </c>
      <c r="H73" s="213">
        <v>161.94</v>
      </c>
      <c r="I73" s="213">
        <v>111.52</v>
      </c>
      <c r="J73" s="213">
        <v>108.32</v>
      </c>
      <c r="K73" s="213">
        <v>109.91999999999999</v>
      </c>
      <c r="L73" s="213">
        <v>193.5</v>
      </c>
      <c r="M73" s="213">
        <v>185.5</v>
      </c>
      <c r="N73" s="213">
        <v>189.5</v>
      </c>
      <c r="O73" s="213">
        <v>169.44</v>
      </c>
      <c r="P73" s="213">
        <v>167.64</v>
      </c>
      <c r="Q73" s="213">
        <v>168.54</v>
      </c>
      <c r="R73" s="213">
        <v>22.02</v>
      </c>
      <c r="S73" s="213">
        <v>21.419999999999998</v>
      </c>
      <c r="T73" s="213">
        <v>21.72</v>
      </c>
      <c r="U73" s="213">
        <v>14.52</v>
      </c>
      <c r="V73" s="213">
        <v>13.92</v>
      </c>
      <c r="W73" s="213">
        <v>14.219999999999999</v>
      </c>
      <c r="X73" s="213">
        <v>14.87</v>
      </c>
      <c r="Y73" s="213">
        <v>14.069999999999999</v>
      </c>
      <c r="Z73" s="213">
        <v>14.469999999999999</v>
      </c>
      <c r="AA73" s="213">
        <v>99.99</v>
      </c>
      <c r="AB73" s="213">
        <v>95.99</v>
      </c>
      <c r="AC73" s="213">
        <v>97.99</v>
      </c>
      <c r="AD73" s="213">
        <v>93.36</v>
      </c>
      <c r="AE73" s="213">
        <v>89.36</v>
      </c>
      <c r="AF73" s="213">
        <v>91.36</v>
      </c>
      <c r="AG73" s="213">
        <v>19.329999999999998</v>
      </c>
      <c r="AH73" s="213">
        <v>18.47</v>
      </c>
      <c r="AI73" s="213">
        <v>18.899999999999999</v>
      </c>
      <c r="AJ73" s="213"/>
      <c r="AK73" s="213"/>
      <c r="AL73" s="213"/>
      <c r="AM73" s="213">
        <v>111.79</v>
      </c>
      <c r="AN73" s="213">
        <v>110.13000000000001</v>
      </c>
      <c r="AO73" s="213">
        <v>110.96000000000001</v>
      </c>
      <c r="AP73" s="213">
        <v>40.29</v>
      </c>
      <c r="AQ73" s="213">
        <v>38.69</v>
      </c>
      <c r="AR73" s="213">
        <v>39.489999999999995</v>
      </c>
      <c r="AS73" s="213">
        <v>41</v>
      </c>
      <c r="AT73" s="213">
        <v>39.64</v>
      </c>
      <c r="AU73" s="213">
        <v>40.32</v>
      </c>
      <c r="AV73" s="213">
        <v>20.84</v>
      </c>
      <c r="AW73" s="213">
        <v>20.239999999999998</v>
      </c>
      <c r="AX73" s="213">
        <v>20.54</v>
      </c>
      <c r="AY73" s="213">
        <v>4.24</v>
      </c>
      <c r="AZ73" s="213">
        <v>4.08</v>
      </c>
      <c r="BA73" s="213">
        <v>4.16</v>
      </c>
      <c r="BB73" s="213">
        <v>1.95</v>
      </c>
      <c r="BC73" s="213">
        <v>1.65</v>
      </c>
      <c r="BD73" s="213">
        <v>1.7999999999999998</v>
      </c>
      <c r="BE73" s="213">
        <v>0.68</v>
      </c>
      <c r="BF73" s="213">
        <v>0.38000000000000006</v>
      </c>
      <c r="BG73" s="213">
        <v>0.53</v>
      </c>
      <c r="BH73" s="213">
        <v>490.26</v>
      </c>
      <c r="BI73" s="213">
        <v>474.26</v>
      </c>
      <c r="BJ73" s="213">
        <v>482.26</v>
      </c>
      <c r="BK73" s="213">
        <v>41.29</v>
      </c>
      <c r="BL73" s="213">
        <v>39.93</v>
      </c>
      <c r="BM73" s="213">
        <v>40.61</v>
      </c>
      <c r="BN73" s="213">
        <v>1.07</v>
      </c>
      <c r="BO73" s="213">
        <v>0.83000000000000007</v>
      </c>
      <c r="BP73" s="213">
        <v>0.95000000000000007</v>
      </c>
      <c r="BQ73" s="213">
        <v>9.77</v>
      </c>
      <c r="BR73" s="213">
        <v>7.77</v>
      </c>
      <c r="BS73" s="213">
        <v>8.77</v>
      </c>
      <c r="BT73" s="213">
        <v>11.37</v>
      </c>
      <c r="BU73" s="213">
        <v>10.969999999999999</v>
      </c>
      <c r="BV73" s="213">
        <v>11.169999999999998</v>
      </c>
      <c r="BW73" s="213">
        <v>2.81</v>
      </c>
      <c r="BX73" s="213">
        <v>2.5300000000000002</v>
      </c>
      <c r="BY73" s="213">
        <v>2.67</v>
      </c>
      <c r="BZ73" s="213">
        <v>9.41</v>
      </c>
      <c r="CA73" s="213">
        <v>6.41</v>
      </c>
      <c r="CB73" s="213">
        <v>7.91</v>
      </c>
      <c r="CC73" s="213">
        <v>6.51</v>
      </c>
      <c r="CD73" s="213">
        <v>6.27</v>
      </c>
      <c r="CE73" s="213">
        <v>6.39</v>
      </c>
      <c r="CF73" s="213">
        <v>1.88</v>
      </c>
      <c r="CG73" s="213">
        <v>1.38</v>
      </c>
      <c r="CH73" s="213">
        <v>1.63</v>
      </c>
      <c r="CI73" s="213">
        <v>0.43</v>
      </c>
      <c r="CJ73" s="213">
        <v>0.39</v>
      </c>
      <c r="CK73" s="213">
        <v>0.41000000000000003</v>
      </c>
      <c r="CL73" s="213">
        <v>38.840000000000003</v>
      </c>
      <c r="CM73" s="213">
        <v>36.440000000000005</v>
      </c>
      <c r="CN73" s="213">
        <v>37.64</v>
      </c>
      <c r="CO73" s="213">
        <v>7.15</v>
      </c>
      <c r="CP73" s="213">
        <v>2.1500000000000004</v>
      </c>
      <c r="CQ73" s="213">
        <v>4.6500000000000004</v>
      </c>
      <c r="CR73" s="213"/>
      <c r="CS73" s="213"/>
    </row>
    <row r="74" spans="1:97">
      <c r="A74" s="424">
        <v>45360</v>
      </c>
      <c r="B74" s="211" t="s">
        <v>252</v>
      </c>
      <c r="C74" s="213"/>
      <c r="D74" s="213"/>
      <c r="E74" s="213"/>
      <c r="F74" s="213"/>
      <c r="G74" s="213"/>
      <c r="H74" s="213"/>
      <c r="I74" s="213"/>
      <c r="J74" s="213"/>
      <c r="K74" s="213"/>
      <c r="L74" s="213"/>
      <c r="M74" s="213"/>
      <c r="N74" s="213"/>
      <c r="O74" s="213"/>
      <c r="P74" s="213"/>
      <c r="Q74" s="213"/>
      <c r="R74" s="213"/>
      <c r="S74" s="213"/>
      <c r="T74" s="213"/>
      <c r="U74" s="213"/>
      <c r="V74" s="213"/>
      <c r="W74" s="213"/>
      <c r="X74" s="213"/>
      <c r="Y74" s="213"/>
      <c r="Z74" s="213"/>
      <c r="AA74" s="213"/>
      <c r="AB74" s="213"/>
      <c r="AC74" s="213"/>
      <c r="AD74" s="213"/>
      <c r="AE74" s="213"/>
      <c r="AF74" s="213"/>
      <c r="AG74" s="213"/>
      <c r="AH74" s="213"/>
      <c r="AI74" s="213"/>
      <c r="AJ74" s="213"/>
      <c r="AK74" s="213"/>
      <c r="AL74" s="213"/>
      <c r="AM74" s="213"/>
      <c r="AN74" s="213"/>
      <c r="AO74" s="213"/>
      <c r="AP74" s="213"/>
      <c r="AQ74" s="213"/>
      <c r="AR74" s="213"/>
      <c r="AS74" s="213"/>
      <c r="AT74" s="213"/>
      <c r="AU74" s="213"/>
      <c r="AV74" s="213"/>
      <c r="AW74" s="213"/>
      <c r="AX74" s="213"/>
      <c r="AY74" s="213"/>
      <c r="AZ74" s="213"/>
      <c r="BA74" s="213"/>
      <c r="BB74" s="213"/>
      <c r="BC74" s="213"/>
      <c r="BD74" s="213"/>
      <c r="BE74" s="213"/>
      <c r="BF74" s="213"/>
      <c r="BG74" s="213"/>
      <c r="BH74" s="213"/>
      <c r="BI74" s="213"/>
      <c r="BJ74" s="213"/>
      <c r="BK74" s="213"/>
      <c r="BL74" s="213"/>
      <c r="BM74" s="213"/>
      <c r="BN74" s="213"/>
      <c r="BO74" s="213"/>
      <c r="BP74" s="213"/>
      <c r="BQ74" s="213"/>
      <c r="BR74" s="213"/>
      <c r="BS74" s="213"/>
      <c r="BT74" s="213"/>
      <c r="BU74" s="213"/>
      <c r="BV74" s="213"/>
      <c r="BW74" s="213"/>
      <c r="BX74" s="213"/>
      <c r="BY74" s="213"/>
      <c r="BZ74" s="213"/>
      <c r="CA74" s="213"/>
      <c r="CB74" s="213"/>
      <c r="CC74" s="213"/>
      <c r="CD74" s="213"/>
      <c r="CE74" s="213"/>
      <c r="CF74" s="213"/>
      <c r="CG74" s="213"/>
      <c r="CH74" s="213"/>
      <c r="CI74" s="213"/>
      <c r="CJ74" s="213"/>
      <c r="CK74" s="213"/>
      <c r="CL74" s="213"/>
      <c r="CM74" s="213"/>
      <c r="CN74" s="213"/>
      <c r="CO74" s="213"/>
      <c r="CP74" s="213"/>
      <c r="CQ74" s="213"/>
      <c r="CR74" s="213"/>
      <c r="CS74" s="213"/>
    </row>
    <row r="75" spans="1:97">
      <c r="A75" s="424">
        <v>45361</v>
      </c>
      <c r="B75" s="211" t="s">
        <v>253</v>
      </c>
      <c r="C75" s="213"/>
      <c r="D75" s="213"/>
      <c r="E75" s="213"/>
      <c r="F75" s="213"/>
      <c r="G75" s="213"/>
      <c r="H75" s="213"/>
      <c r="I75" s="213"/>
      <c r="J75" s="213"/>
      <c r="K75" s="213"/>
      <c r="L75" s="213"/>
      <c r="M75" s="213"/>
      <c r="N75" s="213"/>
      <c r="O75" s="213"/>
      <c r="P75" s="213"/>
      <c r="Q75" s="213"/>
      <c r="R75" s="213"/>
      <c r="S75" s="213"/>
      <c r="T75" s="213"/>
      <c r="U75" s="213"/>
      <c r="V75" s="213"/>
      <c r="W75" s="213"/>
      <c r="X75" s="213"/>
      <c r="Y75" s="213"/>
      <c r="Z75" s="213"/>
      <c r="AA75" s="213"/>
      <c r="AB75" s="213"/>
      <c r="AC75" s="213"/>
      <c r="AD75" s="213"/>
      <c r="AE75" s="213"/>
      <c r="AF75" s="213"/>
      <c r="AG75" s="213"/>
      <c r="AH75" s="213"/>
      <c r="AI75" s="213"/>
      <c r="AJ75" s="213"/>
      <c r="AK75" s="213"/>
      <c r="AL75" s="213"/>
      <c r="AM75" s="213"/>
      <c r="AN75" s="213"/>
      <c r="AO75" s="213"/>
      <c r="AP75" s="213"/>
      <c r="AQ75" s="213"/>
      <c r="AR75" s="213"/>
      <c r="AS75" s="213"/>
      <c r="AT75" s="213"/>
      <c r="AU75" s="213"/>
      <c r="AV75" s="213"/>
      <c r="AW75" s="213"/>
      <c r="AX75" s="213"/>
      <c r="AY75" s="213"/>
      <c r="AZ75" s="213"/>
      <c r="BA75" s="213"/>
      <c r="BB75" s="213"/>
      <c r="BC75" s="213"/>
      <c r="BD75" s="213"/>
      <c r="BE75" s="213"/>
      <c r="BF75" s="213"/>
      <c r="BG75" s="213"/>
      <c r="BH75" s="213"/>
      <c r="BI75" s="213"/>
      <c r="BJ75" s="213"/>
      <c r="BK75" s="213"/>
      <c r="BL75" s="213"/>
      <c r="BM75" s="213"/>
      <c r="BN75" s="213"/>
      <c r="BO75" s="213"/>
      <c r="BP75" s="213"/>
      <c r="BQ75" s="213"/>
      <c r="BR75" s="213"/>
      <c r="BS75" s="213"/>
      <c r="BT75" s="213"/>
      <c r="BU75" s="213"/>
      <c r="BV75" s="213"/>
      <c r="BW75" s="213"/>
      <c r="BX75" s="213"/>
      <c r="BY75" s="213"/>
      <c r="BZ75" s="213"/>
      <c r="CA75" s="213"/>
      <c r="CB75" s="213"/>
      <c r="CC75" s="213"/>
      <c r="CD75" s="213"/>
      <c r="CE75" s="213"/>
      <c r="CF75" s="213"/>
      <c r="CG75" s="213"/>
      <c r="CH75" s="213"/>
      <c r="CI75" s="213"/>
      <c r="CJ75" s="213"/>
      <c r="CK75" s="213"/>
      <c r="CL75" s="213"/>
      <c r="CM75" s="213"/>
      <c r="CN75" s="213"/>
      <c r="CO75" s="213"/>
      <c r="CP75" s="213"/>
      <c r="CQ75" s="213"/>
      <c r="CR75" s="213"/>
      <c r="CS75" s="213"/>
    </row>
    <row r="76" spans="1:97">
      <c r="A76" s="424">
        <v>45362</v>
      </c>
      <c r="B76" s="211" t="s">
        <v>247</v>
      </c>
      <c r="C76" s="213">
        <v>147.82</v>
      </c>
      <c r="D76" s="213">
        <v>145.82</v>
      </c>
      <c r="E76" s="213">
        <v>146.82</v>
      </c>
      <c r="F76" s="213">
        <v>162.18</v>
      </c>
      <c r="G76" s="213">
        <v>159.18</v>
      </c>
      <c r="H76" s="213">
        <v>160.68</v>
      </c>
      <c r="I76" s="213">
        <v>110.53</v>
      </c>
      <c r="J76" s="213">
        <v>107.33</v>
      </c>
      <c r="K76" s="213">
        <v>108.93</v>
      </c>
      <c r="L76" s="213">
        <v>192.8</v>
      </c>
      <c r="M76" s="213">
        <v>184.8</v>
      </c>
      <c r="N76" s="213">
        <v>188.8</v>
      </c>
      <c r="O76" s="213">
        <v>168.29</v>
      </c>
      <c r="P76" s="213">
        <v>166.48999999999998</v>
      </c>
      <c r="Q76" s="213">
        <v>167.39</v>
      </c>
      <c r="R76" s="213">
        <v>21.85</v>
      </c>
      <c r="S76" s="213">
        <v>21.25</v>
      </c>
      <c r="T76" s="213">
        <v>21.55</v>
      </c>
      <c r="U76" s="213">
        <v>14.38</v>
      </c>
      <c r="V76" s="213">
        <v>13.780000000000001</v>
      </c>
      <c r="W76" s="213">
        <v>14.080000000000002</v>
      </c>
      <c r="X76" s="213">
        <v>14.79</v>
      </c>
      <c r="Y76" s="213">
        <v>13.989999999999998</v>
      </c>
      <c r="Z76" s="213">
        <v>14.389999999999999</v>
      </c>
      <c r="AA76" s="213">
        <v>99.27</v>
      </c>
      <c r="AB76" s="213">
        <v>95.27</v>
      </c>
      <c r="AC76" s="213">
        <v>97.27</v>
      </c>
      <c r="AD76" s="213">
        <v>92.72</v>
      </c>
      <c r="AE76" s="213">
        <v>88.72</v>
      </c>
      <c r="AF76" s="213">
        <v>90.72</v>
      </c>
      <c r="AG76" s="213">
        <v>19.2</v>
      </c>
      <c r="AH76" s="213">
        <v>18.34</v>
      </c>
      <c r="AI76" s="213">
        <v>18.77</v>
      </c>
      <c r="AJ76" s="213"/>
      <c r="AK76" s="213"/>
      <c r="AL76" s="213"/>
      <c r="AM76" s="213">
        <v>111.19</v>
      </c>
      <c r="AN76" s="213">
        <v>109.53</v>
      </c>
      <c r="AO76" s="213">
        <v>110.36</v>
      </c>
      <c r="AP76" s="213">
        <v>40</v>
      </c>
      <c r="AQ76" s="213">
        <v>38.4</v>
      </c>
      <c r="AR76" s="213">
        <v>39.200000000000003</v>
      </c>
      <c r="AS76" s="213">
        <v>40.72</v>
      </c>
      <c r="AT76" s="213">
        <v>39.36</v>
      </c>
      <c r="AU76" s="213">
        <v>40.04</v>
      </c>
      <c r="AV76" s="213">
        <v>20.7</v>
      </c>
      <c r="AW76" s="213">
        <v>20.099999999999998</v>
      </c>
      <c r="AX76" s="213">
        <v>20.399999999999999</v>
      </c>
      <c r="AY76" s="213">
        <v>4.2300000000000004</v>
      </c>
      <c r="AZ76" s="213">
        <v>4.07</v>
      </c>
      <c r="BA76" s="213">
        <v>4.1500000000000004</v>
      </c>
      <c r="BB76" s="213">
        <v>1.93</v>
      </c>
      <c r="BC76" s="213">
        <v>1.63</v>
      </c>
      <c r="BD76" s="213">
        <v>1.7799999999999998</v>
      </c>
      <c r="BE76" s="213">
        <v>0.69</v>
      </c>
      <c r="BF76" s="213">
        <v>0.38999999999999996</v>
      </c>
      <c r="BG76" s="213">
        <v>0.53999999999999992</v>
      </c>
      <c r="BH76" s="213">
        <v>487.02</v>
      </c>
      <c r="BI76" s="213">
        <v>471.02</v>
      </c>
      <c r="BJ76" s="213">
        <v>479.02</v>
      </c>
      <c r="BK76" s="213">
        <v>41</v>
      </c>
      <c r="BL76" s="213">
        <v>39.64</v>
      </c>
      <c r="BM76" s="213">
        <v>40.32</v>
      </c>
      <c r="BN76" s="213">
        <v>1.07</v>
      </c>
      <c r="BO76" s="213">
        <v>0.83000000000000007</v>
      </c>
      <c r="BP76" s="213">
        <v>0.95000000000000007</v>
      </c>
      <c r="BQ76" s="213">
        <v>9.74</v>
      </c>
      <c r="BR76" s="213">
        <v>7.74</v>
      </c>
      <c r="BS76" s="213">
        <v>8.74</v>
      </c>
      <c r="BT76" s="213">
        <v>11.37</v>
      </c>
      <c r="BU76" s="213">
        <v>10.969999999999999</v>
      </c>
      <c r="BV76" s="213">
        <v>11.169999999999998</v>
      </c>
      <c r="BW76" s="213">
        <v>2.8</v>
      </c>
      <c r="BX76" s="213">
        <v>2.5199999999999996</v>
      </c>
      <c r="BY76" s="213">
        <v>2.6599999999999997</v>
      </c>
      <c r="BZ76" s="213">
        <v>9.32</v>
      </c>
      <c r="CA76" s="213">
        <v>6.32</v>
      </c>
      <c r="CB76" s="213">
        <v>7.82</v>
      </c>
      <c r="CC76" s="213">
        <v>6.46</v>
      </c>
      <c r="CD76" s="213">
        <v>6.22</v>
      </c>
      <c r="CE76" s="213">
        <v>6.34</v>
      </c>
      <c r="CF76" s="213">
        <v>1.86</v>
      </c>
      <c r="CG76" s="213">
        <v>1.36</v>
      </c>
      <c r="CH76" s="213">
        <v>1.61</v>
      </c>
      <c r="CI76" s="213">
        <v>0.43</v>
      </c>
      <c r="CJ76" s="213">
        <v>0.39</v>
      </c>
      <c r="CK76" s="213">
        <v>0.41000000000000003</v>
      </c>
      <c r="CL76" s="213">
        <v>38.57</v>
      </c>
      <c r="CM76" s="213">
        <v>36.17</v>
      </c>
      <c r="CN76" s="213">
        <v>37.370000000000005</v>
      </c>
      <c r="CO76" s="213">
        <v>7.09</v>
      </c>
      <c r="CP76" s="213">
        <v>2.09</v>
      </c>
      <c r="CQ76" s="213">
        <v>4.59</v>
      </c>
      <c r="CR76" s="213"/>
      <c r="CS76" s="213"/>
    </row>
    <row r="77" spans="1:97">
      <c r="A77" s="424">
        <v>45363</v>
      </c>
      <c r="B77" s="211" t="s">
        <v>248</v>
      </c>
      <c r="C77" s="213">
        <v>147.85</v>
      </c>
      <c r="D77" s="213">
        <v>145.85</v>
      </c>
      <c r="E77" s="213">
        <v>146.85</v>
      </c>
      <c r="F77" s="213">
        <v>161.96</v>
      </c>
      <c r="G77" s="213">
        <v>158.96</v>
      </c>
      <c r="H77" s="213">
        <v>160.46</v>
      </c>
      <c r="I77" s="213">
        <v>110.52</v>
      </c>
      <c r="J77" s="213">
        <v>107.32</v>
      </c>
      <c r="K77" s="213">
        <v>108.91999999999999</v>
      </c>
      <c r="L77" s="213">
        <v>192.22</v>
      </c>
      <c r="M77" s="213">
        <v>184.22</v>
      </c>
      <c r="N77" s="213">
        <v>188.22</v>
      </c>
      <c r="O77" s="213">
        <v>168.25</v>
      </c>
      <c r="P77" s="213">
        <v>166.45</v>
      </c>
      <c r="Q77" s="213">
        <v>167.35</v>
      </c>
      <c r="R77" s="213">
        <v>21.82</v>
      </c>
      <c r="S77" s="213">
        <v>21.22</v>
      </c>
      <c r="T77" s="213">
        <v>21.52</v>
      </c>
      <c r="U77" s="213">
        <v>14.34</v>
      </c>
      <c r="V77" s="213">
        <v>13.74</v>
      </c>
      <c r="W77" s="213">
        <v>14.04</v>
      </c>
      <c r="X77" s="213">
        <v>14.74</v>
      </c>
      <c r="Y77" s="213">
        <v>13.94</v>
      </c>
      <c r="Z77" s="213">
        <v>14.34</v>
      </c>
      <c r="AA77" s="213">
        <v>99.19</v>
      </c>
      <c r="AB77" s="213">
        <v>95.19</v>
      </c>
      <c r="AC77" s="213">
        <v>97.19</v>
      </c>
      <c r="AD77" s="213">
        <v>92.58</v>
      </c>
      <c r="AE77" s="213">
        <v>88.58</v>
      </c>
      <c r="AF77" s="213">
        <v>90.58</v>
      </c>
      <c r="AG77" s="213">
        <v>19.21</v>
      </c>
      <c r="AH77" s="213">
        <v>18.350000000000001</v>
      </c>
      <c r="AI77" s="213">
        <v>18.78</v>
      </c>
      <c r="AJ77" s="213"/>
      <c r="AK77" s="213"/>
      <c r="AL77" s="213"/>
      <c r="AM77" s="213">
        <v>111.24</v>
      </c>
      <c r="AN77" s="213">
        <v>109.58</v>
      </c>
      <c r="AO77" s="213">
        <v>110.41</v>
      </c>
      <c r="AP77" s="213">
        <v>40.01</v>
      </c>
      <c r="AQ77" s="213">
        <v>38.409999999999997</v>
      </c>
      <c r="AR77" s="213">
        <v>39.209999999999994</v>
      </c>
      <c r="AS77" s="213">
        <v>40.729999999999997</v>
      </c>
      <c r="AT77" s="213">
        <v>39.369999999999997</v>
      </c>
      <c r="AU77" s="213">
        <v>40.049999999999997</v>
      </c>
      <c r="AV77" s="213">
        <v>20.75</v>
      </c>
      <c r="AW77" s="213">
        <v>20.149999999999999</v>
      </c>
      <c r="AX77" s="213">
        <v>20.45</v>
      </c>
      <c r="AY77" s="213">
        <v>4.22</v>
      </c>
      <c r="AZ77" s="213">
        <v>4.0599999999999996</v>
      </c>
      <c r="BA77" s="213">
        <v>4.1399999999999997</v>
      </c>
      <c r="BB77" s="213">
        <v>1.93</v>
      </c>
      <c r="BC77" s="213">
        <v>1.63</v>
      </c>
      <c r="BD77" s="213">
        <v>1.7799999999999998</v>
      </c>
      <c r="BE77" s="213">
        <v>0.68</v>
      </c>
      <c r="BF77" s="213">
        <v>0.38000000000000006</v>
      </c>
      <c r="BG77" s="213">
        <v>0.53</v>
      </c>
      <c r="BH77" s="213">
        <v>486.96</v>
      </c>
      <c r="BI77" s="213">
        <v>470.96</v>
      </c>
      <c r="BJ77" s="213">
        <v>478.96</v>
      </c>
      <c r="BK77" s="213">
        <v>41.01</v>
      </c>
      <c r="BL77" s="213">
        <v>39.65</v>
      </c>
      <c r="BM77" s="213">
        <v>40.33</v>
      </c>
      <c r="BN77" s="213">
        <v>1.07</v>
      </c>
      <c r="BO77" s="213">
        <v>0.83000000000000007</v>
      </c>
      <c r="BP77" s="213">
        <v>0.95000000000000007</v>
      </c>
      <c r="BQ77" s="213">
        <v>9.74</v>
      </c>
      <c r="BR77" s="213">
        <v>7.74</v>
      </c>
      <c r="BS77" s="213">
        <v>8.74</v>
      </c>
      <c r="BT77" s="213">
        <v>11.41</v>
      </c>
      <c r="BU77" s="213">
        <v>11.01</v>
      </c>
      <c r="BV77" s="213">
        <v>11.21</v>
      </c>
      <c r="BW77" s="213">
        <v>2.81</v>
      </c>
      <c r="BX77" s="213">
        <v>2.5300000000000002</v>
      </c>
      <c r="BY77" s="213">
        <v>2.67</v>
      </c>
      <c r="BZ77" s="213">
        <v>9.36</v>
      </c>
      <c r="CA77" s="213">
        <v>6.3599999999999994</v>
      </c>
      <c r="CB77" s="213">
        <v>7.8599999999999994</v>
      </c>
      <c r="CC77" s="213">
        <v>6.45</v>
      </c>
      <c r="CD77" s="213">
        <v>6.21</v>
      </c>
      <c r="CE77" s="213">
        <v>6.33</v>
      </c>
      <c r="CF77" s="213">
        <v>1.87</v>
      </c>
      <c r="CG77" s="213">
        <v>1.37</v>
      </c>
      <c r="CH77" s="213">
        <v>1.62</v>
      </c>
      <c r="CI77" s="213">
        <v>0.43</v>
      </c>
      <c r="CJ77" s="213">
        <v>0.39</v>
      </c>
      <c r="CK77" s="213">
        <v>0.41000000000000003</v>
      </c>
      <c r="CL77" s="213">
        <v>38.69</v>
      </c>
      <c r="CM77" s="213">
        <v>36.29</v>
      </c>
      <c r="CN77" s="213">
        <v>37.489999999999995</v>
      </c>
      <c r="CO77" s="213">
        <v>7.09</v>
      </c>
      <c r="CP77" s="213">
        <v>2.09</v>
      </c>
      <c r="CQ77" s="213">
        <v>4.59</v>
      </c>
      <c r="CR77" s="213"/>
      <c r="CS77" s="213"/>
    </row>
    <row r="78" spans="1:97">
      <c r="A78" s="424">
        <v>45364</v>
      </c>
      <c r="B78" s="211" t="s">
        <v>249</v>
      </c>
      <c r="C78" s="213">
        <v>148.53</v>
      </c>
      <c r="D78" s="213">
        <v>146.53</v>
      </c>
      <c r="E78" s="213">
        <v>147.53</v>
      </c>
      <c r="F78" s="213">
        <v>162.68</v>
      </c>
      <c r="G78" s="213">
        <v>159.68</v>
      </c>
      <c r="H78" s="213">
        <v>161.18</v>
      </c>
      <c r="I78" s="213">
        <v>110.92</v>
      </c>
      <c r="J78" s="213">
        <v>107.72</v>
      </c>
      <c r="K78" s="213">
        <v>109.32</v>
      </c>
      <c r="L78" s="213">
        <v>192.76</v>
      </c>
      <c r="M78" s="213">
        <v>184.76</v>
      </c>
      <c r="N78" s="213">
        <v>188.76</v>
      </c>
      <c r="O78" s="213">
        <v>169.01</v>
      </c>
      <c r="P78" s="213">
        <v>167.20999999999998</v>
      </c>
      <c r="Q78" s="213">
        <v>168.10999999999999</v>
      </c>
      <c r="R78" s="213">
        <v>21.91</v>
      </c>
      <c r="S78" s="213">
        <v>21.31</v>
      </c>
      <c r="T78" s="213">
        <v>21.61</v>
      </c>
      <c r="U78" s="213">
        <v>14.32</v>
      </c>
      <c r="V78" s="213">
        <v>13.72</v>
      </c>
      <c r="W78" s="213">
        <v>14.02</v>
      </c>
      <c r="X78" s="213">
        <v>14.81</v>
      </c>
      <c r="Y78" s="213">
        <v>14.01</v>
      </c>
      <c r="Z78" s="213">
        <v>14.41</v>
      </c>
      <c r="AA78" s="213">
        <v>99.41</v>
      </c>
      <c r="AB78" s="213">
        <v>95.41</v>
      </c>
      <c r="AC78" s="213">
        <v>97.41</v>
      </c>
      <c r="AD78" s="213">
        <v>92.7</v>
      </c>
      <c r="AE78" s="213">
        <v>88.7</v>
      </c>
      <c r="AF78" s="213">
        <v>90.7</v>
      </c>
      <c r="AG78" s="213">
        <v>19.29</v>
      </c>
      <c r="AH78" s="213">
        <v>18.43</v>
      </c>
      <c r="AI78" s="213">
        <v>18.86</v>
      </c>
      <c r="AJ78" s="213"/>
      <c r="AK78" s="213"/>
      <c r="AL78" s="213"/>
      <c r="AM78" s="213">
        <v>111.59</v>
      </c>
      <c r="AN78" s="213">
        <v>109.93</v>
      </c>
      <c r="AO78" s="213">
        <v>110.76</v>
      </c>
      <c r="AP78" s="213">
        <v>40.200000000000003</v>
      </c>
      <c r="AQ78" s="213">
        <v>38.6</v>
      </c>
      <c r="AR78" s="213">
        <v>39.400000000000006</v>
      </c>
      <c r="AS78" s="213">
        <v>40.909999999999997</v>
      </c>
      <c r="AT78" s="213">
        <v>39.549999999999997</v>
      </c>
      <c r="AU78" s="213">
        <v>40.229999999999997</v>
      </c>
      <c r="AV78" s="213">
        <v>20.83</v>
      </c>
      <c r="AW78" s="213">
        <v>20.229999999999997</v>
      </c>
      <c r="AX78" s="213">
        <v>20.529999999999998</v>
      </c>
      <c r="AY78" s="213">
        <v>4.21</v>
      </c>
      <c r="AZ78" s="213">
        <v>4.05</v>
      </c>
      <c r="BA78" s="213">
        <v>4.13</v>
      </c>
      <c r="BB78" s="213">
        <v>1.94</v>
      </c>
      <c r="BC78" s="213">
        <v>1.64</v>
      </c>
      <c r="BD78" s="213">
        <v>1.79</v>
      </c>
      <c r="BE78" s="213">
        <v>0.68</v>
      </c>
      <c r="BF78" s="213">
        <v>0.38000000000000006</v>
      </c>
      <c r="BG78" s="213">
        <v>0.53</v>
      </c>
      <c r="BH78" s="213">
        <v>489.18</v>
      </c>
      <c r="BI78" s="213">
        <v>473.18</v>
      </c>
      <c r="BJ78" s="213">
        <v>481.18</v>
      </c>
      <c r="BK78" s="213">
        <v>41.21</v>
      </c>
      <c r="BL78" s="213">
        <v>39.85</v>
      </c>
      <c r="BM78" s="213">
        <v>40.53</v>
      </c>
      <c r="BN78" s="213">
        <v>1.07</v>
      </c>
      <c r="BO78" s="213">
        <v>0.83000000000000007</v>
      </c>
      <c r="BP78" s="213">
        <v>0.95000000000000007</v>
      </c>
      <c r="BQ78" s="213">
        <v>9.7799999999999994</v>
      </c>
      <c r="BR78" s="213">
        <v>7.7799999999999994</v>
      </c>
      <c r="BS78" s="213">
        <v>8.7799999999999994</v>
      </c>
      <c r="BT78" s="213">
        <v>11.46</v>
      </c>
      <c r="BU78" s="213">
        <v>11.06</v>
      </c>
      <c r="BV78" s="213">
        <v>11.260000000000002</v>
      </c>
      <c r="BW78" s="213">
        <v>2.83</v>
      </c>
      <c r="BX78" s="213">
        <v>2.5499999999999998</v>
      </c>
      <c r="BY78" s="213">
        <v>2.69</v>
      </c>
      <c r="BZ78" s="213">
        <v>9.4</v>
      </c>
      <c r="CA78" s="213">
        <v>6.4</v>
      </c>
      <c r="CB78" s="213">
        <v>7.9</v>
      </c>
      <c r="CC78" s="213">
        <v>6.5</v>
      </c>
      <c r="CD78" s="213">
        <v>6.26</v>
      </c>
      <c r="CE78" s="213">
        <v>6.38</v>
      </c>
      <c r="CF78" s="213">
        <v>1.97</v>
      </c>
      <c r="CG78" s="213">
        <v>1.47</v>
      </c>
      <c r="CH78" s="213">
        <v>1.72</v>
      </c>
      <c r="CI78" s="213">
        <v>0.42</v>
      </c>
      <c r="CJ78" s="213">
        <v>0.38</v>
      </c>
      <c r="CK78" s="213">
        <v>0.4</v>
      </c>
      <c r="CL78" s="213">
        <v>38.79</v>
      </c>
      <c r="CM78" s="213">
        <v>36.39</v>
      </c>
      <c r="CN78" s="213">
        <v>37.590000000000003</v>
      </c>
      <c r="CO78" s="213">
        <v>7.1</v>
      </c>
      <c r="CP78" s="213">
        <v>2.0999999999999996</v>
      </c>
      <c r="CQ78" s="213">
        <v>4.5999999999999996</v>
      </c>
      <c r="CR78" s="213"/>
      <c r="CS78" s="213"/>
    </row>
    <row r="79" spans="1:97">
      <c r="A79" s="424">
        <v>45365</v>
      </c>
      <c r="B79" s="211" t="s">
        <v>250</v>
      </c>
      <c r="C79" s="213">
        <v>148.68</v>
      </c>
      <c r="D79" s="213">
        <v>146.68</v>
      </c>
      <c r="E79" s="213">
        <v>147.68</v>
      </c>
      <c r="F79" s="213">
        <v>163.18</v>
      </c>
      <c r="G79" s="213">
        <v>160.18</v>
      </c>
      <c r="H79" s="213">
        <v>161.68</v>
      </c>
      <c r="I79" s="213">
        <v>111.27</v>
      </c>
      <c r="J79" s="213">
        <v>108.07</v>
      </c>
      <c r="K79" s="213">
        <v>109.66999999999999</v>
      </c>
      <c r="L79" s="213">
        <v>193.03</v>
      </c>
      <c r="M79" s="213">
        <v>185.03</v>
      </c>
      <c r="N79" s="213">
        <v>189.03</v>
      </c>
      <c r="O79" s="213">
        <v>168.95</v>
      </c>
      <c r="P79" s="213">
        <v>167.14999999999998</v>
      </c>
      <c r="Q79" s="213">
        <v>168.04999999999998</v>
      </c>
      <c r="R79" s="213">
        <v>21.98</v>
      </c>
      <c r="S79" s="213">
        <v>21.38</v>
      </c>
      <c r="T79" s="213">
        <v>21.68</v>
      </c>
      <c r="U79" s="213">
        <v>14.4</v>
      </c>
      <c r="V79" s="213">
        <v>13.8</v>
      </c>
      <c r="W79" s="213">
        <v>14.100000000000001</v>
      </c>
      <c r="X79" s="213">
        <v>14.84</v>
      </c>
      <c r="Y79" s="213">
        <v>14.04</v>
      </c>
      <c r="Z79" s="213">
        <v>14.44</v>
      </c>
      <c r="AA79" s="213">
        <v>99.85</v>
      </c>
      <c r="AB79" s="213">
        <v>95.85</v>
      </c>
      <c r="AC79" s="213">
        <v>97.85</v>
      </c>
      <c r="AD79" s="213">
        <v>93.06</v>
      </c>
      <c r="AE79" s="213">
        <v>89.06</v>
      </c>
      <c r="AF79" s="213">
        <v>91.06</v>
      </c>
      <c r="AG79" s="213">
        <v>19.309999999999999</v>
      </c>
      <c r="AH79" s="213">
        <v>18.45</v>
      </c>
      <c r="AI79" s="213">
        <v>18.88</v>
      </c>
      <c r="AJ79" s="213"/>
      <c r="AK79" s="213"/>
      <c r="AL79" s="213"/>
      <c r="AM79" s="213">
        <v>111.69</v>
      </c>
      <c r="AN79" s="213">
        <v>110.03</v>
      </c>
      <c r="AO79" s="213">
        <v>110.86</v>
      </c>
      <c r="AP79" s="213">
        <v>40.24</v>
      </c>
      <c r="AQ79" s="213">
        <v>38.64</v>
      </c>
      <c r="AR79" s="213">
        <v>39.44</v>
      </c>
      <c r="AS79" s="213">
        <v>40.950000000000003</v>
      </c>
      <c r="AT79" s="213">
        <v>39.590000000000003</v>
      </c>
      <c r="AU79" s="213">
        <v>40.270000000000003</v>
      </c>
      <c r="AV79" s="213">
        <v>20.83</v>
      </c>
      <c r="AW79" s="213">
        <v>20.229999999999997</v>
      </c>
      <c r="AX79" s="213">
        <v>20.529999999999998</v>
      </c>
      <c r="AY79" s="213">
        <v>4.22</v>
      </c>
      <c r="AZ79" s="213">
        <v>4.0599999999999996</v>
      </c>
      <c r="BA79" s="213">
        <v>4.1399999999999997</v>
      </c>
      <c r="BB79" s="213">
        <v>1.94</v>
      </c>
      <c r="BC79" s="213">
        <v>1.64</v>
      </c>
      <c r="BD79" s="213">
        <v>1.79</v>
      </c>
      <c r="BE79" s="213">
        <v>0.68</v>
      </c>
      <c r="BF79" s="213">
        <v>0.38000000000000006</v>
      </c>
      <c r="BG79" s="213">
        <v>0.53</v>
      </c>
      <c r="BH79" s="213">
        <v>489.83</v>
      </c>
      <c r="BI79" s="213">
        <v>473.83</v>
      </c>
      <c r="BJ79" s="213">
        <v>481.83</v>
      </c>
      <c r="BK79" s="213">
        <v>41.25</v>
      </c>
      <c r="BL79" s="213">
        <v>39.89</v>
      </c>
      <c r="BM79" s="213">
        <v>40.57</v>
      </c>
      <c r="BN79" s="213">
        <v>1.07</v>
      </c>
      <c r="BO79" s="213">
        <v>0.83000000000000007</v>
      </c>
      <c r="BP79" s="213">
        <v>0.95000000000000007</v>
      </c>
      <c r="BQ79" s="213">
        <v>9.86</v>
      </c>
      <c r="BR79" s="213">
        <v>7.8599999999999994</v>
      </c>
      <c r="BS79" s="213">
        <v>8.86</v>
      </c>
      <c r="BT79" s="213">
        <v>11.43</v>
      </c>
      <c r="BU79" s="213">
        <v>11.03</v>
      </c>
      <c r="BV79" s="213">
        <v>11.23</v>
      </c>
      <c r="BW79" s="213">
        <v>2.83</v>
      </c>
      <c r="BX79" s="213">
        <v>2.5499999999999998</v>
      </c>
      <c r="BY79" s="213">
        <v>2.69</v>
      </c>
      <c r="BZ79" s="213">
        <v>9.4499999999999993</v>
      </c>
      <c r="CA79" s="213">
        <v>6.4499999999999993</v>
      </c>
      <c r="CB79" s="213">
        <v>7.9499999999999993</v>
      </c>
      <c r="CC79" s="213">
        <v>6.53</v>
      </c>
      <c r="CD79" s="213">
        <v>6.29</v>
      </c>
      <c r="CE79" s="213">
        <v>6.41</v>
      </c>
      <c r="CF79" s="213">
        <v>1.87</v>
      </c>
      <c r="CG79" s="213">
        <v>1.37</v>
      </c>
      <c r="CH79" s="213">
        <v>1.62</v>
      </c>
      <c r="CI79" s="213">
        <v>0.43</v>
      </c>
      <c r="CJ79" s="213">
        <v>0.39</v>
      </c>
      <c r="CK79" s="213">
        <v>0.41000000000000003</v>
      </c>
      <c r="CL79" s="213">
        <v>38.97</v>
      </c>
      <c r="CM79" s="213">
        <v>36.57</v>
      </c>
      <c r="CN79" s="213">
        <v>37.769999999999996</v>
      </c>
      <c r="CO79" s="213">
        <v>7.1</v>
      </c>
      <c r="CP79" s="213">
        <v>2.0999999999999996</v>
      </c>
      <c r="CQ79" s="213">
        <v>4.5999999999999996</v>
      </c>
      <c r="CR79" s="213"/>
      <c r="CS79" s="213"/>
    </row>
    <row r="80" spans="1:97">
      <c r="A80" s="424">
        <v>45366</v>
      </c>
      <c r="B80" s="211" t="s">
        <v>251</v>
      </c>
      <c r="C80" s="213">
        <v>149.59</v>
      </c>
      <c r="D80" s="213">
        <v>147.59</v>
      </c>
      <c r="E80" s="213">
        <v>148.59</v>
      </c>
      <c r="F80" s="213">
        <v>163.18</v>
      </c>
      <c r="G80" s="213">
        <v>160.18</v>
      </c>
      <c r="H80" s="213">
        <v>161.68</v>
      </c>
      <c r="I80" s="213">
        <v>111.38</v>
      </c>
      <c r="J80" s="213">
        <v>108.17999999999999</v>
      </c>
      <c r="K80" s="213">
        <v>109.78</v>
      </c>
      <c r="L80" s="213">
        <v>193.3</v>
      </c>
      <c r="M80" s="213">
        <v>185.3</v>
      </c>
      <c r="N80" s="213">
        <v>189.3</v>
      </c>
      <c r="O80" s="213">
        <v>168.86</v>
      </c>
      <c r="P80" s="213">
        <v>167.06</v>
      </c>
      <c r="Q80" s="213">
        <v>167.96</v>
      </c>
      <c r="R80" s="213">
        <v>21.98</v>
      </c>
      <c r="S80" s="213">
        <v>21.38</v>
      </c>
      <c r="T80" s="213">
        <v>21.68</v>
      </c>
      <c r="U80" s="213">
        <v>14.33</v>
      </c>
      <c r="V80" s="213">
        <v>13.73</v>
      </c>
      <c r="W80" s="213">
        <v>14.030000000000001</v>
      </c>
      <c r="X80" s="213">
        <v>14.75</v>
      </c>
      <c r="Y80" s="213">
        <v>13.95</v>
      </c>
      <c r="Z80" s="213">
        <v>14.35</v>
      </c>
      <c r="AA80" s="213">
        <v>99.62</v>
      </c>
      <c r="AB80" s="213">
        <v>95.62</v>
      </c>
      <c r="AC80" s="213">
        <v>97.62</v>
      </c>
      <c r="AD80" s="213">
        <v>92.82</v>
      </c>
      <c r="AE80" s="213">
        <v>88.82</v>
      </c>
      <c r="AF80" s="213">
        <v>90.82</v>
      </c>
      <c r="AG80" s="213">
        <v>19.420000000000002</v>
      </c>
      <c r="AH80" s="213">
        <v>18.560000000000002</v>
      </c>
      <c r="AI80" s="213">
        <v>18.990000000000002</v>
      </c>
      <c r="AJ80" s="213"/>
      <c r="AK80" s="213"/>
      <c r="AL80" s="213"/>
      <c r="AM80" s="213">
        <v>112.01</v>
      </c>
      <c r="AN80" s="213">
        <v>110.35000000000001</v>
      </c>
      <c r="AO80" s="213">
        <v>111.18</v>
      </c>
      <c r="AP80" s="213">
        <v>40.49</v>
      </c>
      <c r="AQ80" s="213">
        <v>38.89</v>
      </c>
      <c r="AR80" s="213">
        <v>39.69</v>
      </c>
      <c r="AS80" s="213">
        <v>41.21</v>
      </c>
      <c r="AT80" s="213">
        <v>39.85</v>
      </c>
      <c r="AU80" s="213">
        <v>40.53</v>
      </c>
      <c r="AV80" s="213">
        <v>20.93</v>
      </c>
      <c r="AW80" s="213">
        <v>20.329999999999998</v>
      </c>
      <c r="AX80" s="213">
        <v>20.63</v>
      </c>
      <c r="AY80" s="213">
        <v>4.24</v>
      </c>
      <c r="AZ80" s="213">
        <v>4.08</v>
      </c>
      <c r="BA80" s="213">
        <v>4.16</v>
      </c>
      <c r="BB80" s="213">
        <v>1.95</v>
      </c>
      <c r="BC80" s="213">
        <v>1.65</v>
      </c>
      <c r="BD80" s="213">
        <v>1.7999999999999998</v>
      </c>
      <c r="BE80" s="213">
        <v>0.68</v>
      </c>
      <c r="BF80" s="213">
        <v>0.38000000000000006</v>
      </c>
      <c r="BG80" s="213">
        <v>0.53</v>
      </c>
      <c r="BH80" s="213">
        <v>492.32</v>
      </c>
      <c r="BI80" s="213">
        <v>476.32</v>
      </c>
      <c r="BJ80" s="213">
        <v>484.32</v>
      </c>
      <c r="BK80" s="213">
        <v>41.5</v>
      </c>
      <c r="BL80" s="213">
        <v>40.14</v>
      </c>
      <c r="BM80" s="213">
        <v>40.82</v>
      </c>
      <c r="BN80" s="213">
        <v>1.08</v>
      </c>
      <c r="BO80" s="213">
        <v>0.84000000000000008</v>
      </c>
      <c r="BP80" s="213">
        <v>0.96000000000000008</v>
      </c>
      <c r="BQ80" s="213">
        <v>9.9</v>
      </c>
      <c r="BR80" s="213">
        <v>7.9</v>
      </c>
      <c r="BS80" s="213">
        <v>8.9</v>
      </c>
      <c r="BT80" s="213">
        <v>11.42</v>
      </c>
      <c r="BU80" s="213">
        <v>11.02</v>
      </c>
      <c r="BV80" s="213">
        <v>11.219999999999999</v>
      </c>
      <c r="BW80" s="213">
        <v>2.84</v>
      </c>
      <c r="BX80" s="213">
        <v>2.5599999999999996</v>
      </c>
      <c r="BY80" s="213">
        <v>2.6999999999999997</v>
      </c>
      <c r="BZ80" s="213">
        <v>9.42</v>
      </c>
      <c r="CA80" s="213">
        <v>6.42</v>
      </c>
      <c r="CB80" s="213">
        <v>7.92</v>
      </c>
      <c r="CC80" s="213">
        <v>6.55</v>
      </c>
      <c r="CD80" s="213">
        <v>6.31</v>
      </c>
      <c r="CE80" s="213">
        <v>6.43</v>
      </c>
      <c r="CF80" s="213">
        <v>1.88</v>
      </c>
      <c r="CG80" s="213">
        <v>1.38</v>
      </c>
      <c r="CH80" s="213">
        <v>1.63</v>
      </c>
      <c r="CI80" s="213">
        <v>0.43</v>
      </c>
      <c r="CJ80" s="213">
        <v>0.39</v>
      </c>
      <c r="CK80" s="213">
        <v>0.41000000000000003</v>
      </c>
      <c r="CL80" s="213">
        <v>38.82</v>
      </c>
      <c r="CM80" s="213">
        <v>36.42</v>
      </c>
      <c r="CN80" s="213">
        <v>37.620000000000005</v>
      </c>
      <c r="CO80" s="213">
        <v>7.14</v>
      </c>
      <c r="CP80" s="213">
        <v>2.1399999999999997</v>
      </c>
      <c r="CQ80" s="213">
        <v>4.6399999999999997</v>
      </c>
      <c r="CR80" s="213"/>
      <c r="CS80" s="213"/>
    </row>
    <row r="81" spans="1:97">
      <c r="A81" s="424">
        <v>45367</v>
      </c>
      <c r="B81" s="211" t="s">
        <v>252</v>
      </c>
      <c r="C81" s="213"/>
      <c r="D81" s="213"/>
      <c r="E81" s="213"/>
      <c r="F81" s="213"/>
      <c r="G81" s="213"/>
      <c r="H81" s="213"/>
      <c r="I81" s="213"/>
      <c r="J81" s="213"/>
      <c r="K81" s="213"/>
      <c r="L81" s="213"/>
      <c r="M81" s="213"/>
      <c r="N81" s="213"/>
      <c r="O81" s="213"/>
      <c r="P81" s="213"/>
      <c r="Q81" s="213"/>
      <c r="R81" s="213"/>
      <c r="S81" s="213"/>
      <c r="T81" s="213"/>
      <c r="U81" s="213"/>
      <c r="V81" s="213"/>
      <c r="W81" s="213"/>
      <c r="X81" s="213"/>
      <c r="Y81" s="213"/>
      <c r="Z81" s="213"/>
      <c r="AA81" s="213"/>
      <c r="AB81" s="213"/>
      <c r="AC81" s="213"/>
      <c r="AD81" s="213"/>
      <c r="AE81" s="213"/>
      <c r="AF81" s="213"/>
      <c r="AG81" s="213"/>
      <c r="AH81" s="213"/>
      <c r="AI81" s="213"/>
      <c r="AJ81" s="213"/>
      <c r="AK81" s="213"/>
      <c r="AL81" s="213"/>
      <c r="AM81" s="213"/>
      <c r="AN81" s="213"/>
      <c r="AO81" s="213"/>
      <c r="AP81" s="213"/>
      <c r="AQ81" s="213"/>
      <c r="AR81" s="213"/>
      <c r="AS81" s="213"/>
      <c r="AT81" s="213"/>
      <c r="AU81" s="213"/>
      <c r="AV81" s="213"/>
      <c r="AW81" s="213"/>
      <c r="AX81" s="213"/>
      <c r="AY81" s="213"/>
      <c r="AZ81" s="213"/>
      <c r="BA81" s="213"/>
      <c r="BB81" s="213"/>
      <c r="BC81" s="213"/>
      <c r="BD81" s="213"/>
      <c r="BE81" s="213"/>
      <c r="BF81" s="213"/>
      <c r="BG81" s="213"/>
      <c r="BH81" s="213"/>
      <c r="BI81" s="213"/>
      <c r="BJ81" s="213"/>
      <c r="BK81" s="213"/>
      <c r="BL81" s="213"/>
      <c r="BM81" s="213"/>
      <c r="BN81" s="213"/>
      <c r="BO81" s="213"/>
      <c r="BP81" s="213"/>
      <c r="BQ81" s="213"/>
      <c r="BR81" s="213"/>
      <c r="BS81" s="213"/>
      <c r="BT81" s="213"/>
      <c r="BU81" s="213"/>
      <c r="BV81" s="213"/>
      <c r="BW81" s="213"/>
      <c r="BX81" s="213"/>
      <c r="BY81" s="213"/>
      <c r="BZ81" s="213"/>
      <c r="CA81" s="213"/>
      <c r="CB81" s="213"/>
      <c r="CC81" s="213"/>
      <c r="CD81" s="213"/>
      <c r="CE81" s="213"/>
      <c r="CF81" s="213"/>
      <c r="CG81" s="213"/>
      <c r="CH81" s="213"/>
      <c r="CI81" s="213"/>
      <c r="CJ81" s="213"/>
      <c r="CK81" s="213"/>
      <c r="CL81" s="213"/>
      <c r="CM81" s="213"/>
      <c r="CN81" s="213"/>
      <c r="CO81" s="213"/>
      <c r="CP81" s="213"/>
      <c r="CQ81" s="213"/>
      <c r="CR81" s="213"/>
      <c r="CS81" s="213"/>
    </row>
    <row r="82" spans="1:97">
      <c r="A82" s="424">
        <v>45368</v>
      </c>
      <c r="B82" s="211" t="s">
        <v>253</v>
      </c>
      <c r="C82" s="213"/>
      <c r="D82" s="213"/>
      <c r="E82" s="213"/>
      <c r="F82" s="213"/>
      <c r="G82" s="213"/>
      <c r="H82" s="213"/>
      <c r="I82" s="213"/>
      <c r="J82" s="213"/>
      <c r="K82" s="213"/>
      <c r="L82" s="213"/>
      <c r="M82" s="213"/>
      <c r="N82" s="213"/>
      <c r="O82" s="213"/>
      <c r="P82" s="213"/>
      <c r="Q82" s="213"/>
      <c r="R82" s="213"/>
      <c r="S82" s="213"/>
      <c r="T82" s="213"/>
      <c r="U82" s="213"/>
      <c r="V82" s="213"/>
      <c r="W82" s="213"/>
      <c r="X82" s="213"/>
      <c r="Y82" s="213"/>
      <c r="Z82" s="213"/>
      <c r="AA82" s="213"/>
      <c r="AB82" s="213"/>
      <c r="AC82" s="213"/>
      <c r="AD82" s="213"/>
      <c r="AE82" s="213"/>
      <c r="AF82" s="213"/>
      <c r="AG82" s="213"/>
      <c r="AH82" s="213"/>
      <c r="AI82" s="213"/>
      <c r="AJ82" s="213"/>
      <c r="AK82" s="213"/>
      <c r="AL82" s="213"/>
      <c r="AM82" s="213"/>
      <c r="AN82" s="213"/>
      <c r="AO82" s="213"/>
      <c r="AP82" s="213"/>
      <c r="AQ82" s="213"/>
      <c r="AR82" s="213"/>
      <c r="AS82" s="213"/>
      <c r="AT82" s="213"/>
      <c r="AU82" s="213"/>
      <c r="AV82" s="213"/>
      <c r="AW82" s="213"/>
      <c r="AX82" s="213"/>
      <c r="AY82" s="213"/>
      <c r="AZ82" s="213"/>
      <c r="BA82" s="213"/>
      <c r="BB82" s="213"/>
      <c r="BC82" s="213"/>
      <c r="BD82" s="213"/>
      <c r="BE82" s="213"/>
      <c r="BF82" s="213"/>
      <c r="BG82" s="213"/>
      <c r="BH82" s="213"/>
      <c r="BI82" s="213"/>
      <c r="BJ82" s="213"/>
      <c r="BK82" s="213"/>
      <c r="BL82" s="213"/>
      <c r="BM82" s="213"/>
      <c r="BN82" s="213"/>
      <c r="BO82" s="213"/>
      <c r="BP82" s="213"/>
      <c r="BQ82" s="213"/>
      <c r="BR82" s="213"/>
      <c r="BS82" s="213"/>
      <c r="BT82" s="213"/>
      <c r="BU82" s="213"/>
      <c r="BV82" s="213"/>
      <c r="BW82" s="213"/>
      <c r="BX82" s="213"/>
      <c r="BY82" s="213"/>
      <c r="BZ82" s="213"/>
      <c r="CA82" s="213"/>
      <c r="CB82" s="213"/>
      <c r="CC82" s="213"/>
      <c r="CD82" s="213"/>
      <c r="CE82" s="213"/>
      <c r="CF82" s="213"/>
      <c r="CG82" s="213"/>
      <c r="CH82" s="213"/>
      <c r="CI82" s="213"/>
      <c r="CJ82" s="213"/>
      <c r="CK82" s="213"/>
      <c r="CL82" s="213"/>
      <c r="CM82" s="213"/>
      <c r="CN82" s="213"/>
      <c r="CO82" s="213"/>
      <c r="CP82" s="213"/>
      <c r="CQ82" s="213"/>
      <c r="CR82" s="213"/>
      <c r="CS82" s="213"/>
    </row>
    <row r="83" spans="1:97">
      <c r="A83" s="424">
        <v>45369</v>
      </c>
      <c r="B83" s="211" t="s">
        <v>247</v>
      </c>
      <c r="C83" s="213">
        <v>150.32</v>
      </c>
      <c r="D83" s="213">
        <v>148.32</v>
      </c>
      <c r="E83" s="213">
        <v>149.32</v>
      </c>
      <c r="F83" s="213">
        <v>164.08</v>
      </c>
      <c r="G83" s="213">
        <v>161.08000000000001</v>
      </c>
      <c r="H83" s="213">
        <v>162.58000000000001</v>
      </c>
      <c r="I83" s="213">
        <v>111.85</v>
      </c>
      <c r="J83" s="213">
        <v>108.64999999999999</v>
      </c>
      <c r="K83" s="213">
        <v>110.25</v>
      </c>
      <c r="L83" s="213">
        <v>194.13</v>
      </c>
      <c r="M83" s="213">
        <v>186.13</v>
      </c>
      <c r="N83" s="213">
        <v>190.13</v>
      </c>
      <c r="O83" s="213">
        <v>169.89</v>
      </c>
      <c r="P83" s="213">
        <v>168.08999999999997</v>
      </c>
      <c r="Q83" s="213">
        <v>168.98999999999998</v>
      </c>
      <c r="R83" s="213">
        <v>22.1</v>
      </c>
      <c r="S83" s="213">
        <v>21.5</v>
      </c>
      <c r="T83" s="213">
        <v>21.8</v>
      </c>
      <c r="U83" s="213">
        <v>14.38</v>
      </c>
      <c r="V83" s="213">
        <v>13.780000000000001</v>
      </c>
      <c r="W83" s="213">
        <v>14.080000000000002</v>
      </c>
      <c r="X83" s="213">
        <v>14.8</v>
      </c>
      <c r="Y83" s="213">
        <v>14</v>
      </c>
      <c r="Z83" s="213">
        <v>14.4</v>
      </c>
      <c r="AA83" s="213">
        <v>99.95</v>
      </c>
      <c r="AB83" s="213">
        <v>95.95</v>
      </c>
      <c r="AC83" s="213">
        <v>97.95</v>
      </c>
      <c r="AD83" s="213">
        <v>92.89</v>
      </c>
      <c r="AE83" s="213">
        <v>88.89</v>
      </c>
      <c r="AF83" s="213">
        <v>90.89</v>
      </c>
      <c r="AG83" s="213">
        <v>19.52</v>
      </c>
      <c r="AH83" s="213">
        <v>18.66</v>
      </c>
      <c r="AI83" s="213">
        <v>19.09</v>
      </c>
      <c r="AJ83" s="213"/>
      <c r="AK83" s="213"/>
      <c r="AL83" s="213"/>
      <c r="AM83" s="213">
        <v>112.38</v>
      </c>
      <c r="AN83" s="213">
        <v>110.72</v>
      </c>
      <c r="AO83" s="213">
        <v>111.55</v>
      </c>
      <c r="AP83" s="213">
        <v>40.68</v>
      </c>
      <c r="AQ83" s="213">
        <v>39.08</v>
      </c>
      <c r="AR83" s="213">
        <v>39.879999999999995</v>
      </c>
      <c r="AS83" s="213">
        <v>41.41</v>
      </c>
      <c r="AT83" s="213">
        <v>40.049999999999997</v>
      </c>
      <c r="AU83" s="213">
        <v>40.729999999999997</v>
      </c>
      <c r="AV83" s="213">
        <v>21.02</v>
      </c>
      <c r="AW83" s="213">
        <v>20.419999999999998</v>
      </c>
      <c r="AX83" s="213">
        <v>20.72</v>
      </c>
      <c r="AY83" s="213">
        <v>4.24</v>
      </c>
      <c r="AZ83" s="213">
        <v>4.08</v>
      </c>
      <c r="BA83" s="213">
        <v>4.16</v>
      </c>
      <c r="BB83" s="213">
        <v>1.96</v>
      </c>
      <c r="BC83" s="213">
        <v>1.66</v>
      </c>
      <c r="BD83" s="213">
        <v>1.81</v>
      </c>
      <c r="BE83" s="213">
        <v>0.69</v>
      </c>
      <c r="BF83" s="213">
        <v>0.38999999999999996</v>
      </c>
      <c r="BG83" s="213">
        <v>0.53999999999999992</v>
      </c>
      <c r="BH83" s="213">
        <v>494.7</v>
      </c>
      <c r="BI83" s="213">
        <v>478.7</v>
      </c>
      <c r="BJ83" s="213">
        <v>486.7</v>
      </c>
      <c r="BK83" s="213">
        <v>41.68</v>
      </c>
      <c r="BL83" s="213">
        <v>40.32</v>
      </c>
      <c r="BM83" s="213">
        <v>41</v>
      </c>
      <c r="BN83" s="213">
        <v>1.08</v>
      </c>
      <c r="BO83" s="213">
        <v>0.84000000000000008</v>
      </c>
      <c r="BP83" s="213">
        <v>0.96000000000000008</v>
      </c>
      <c r="BQ83" s="213">
        <v>9.93</v>
      </c>
      <c r="BR83" s="213">
        <v>7.93</v>
      </c>
      <c r="BS83" s="213">
        <v>8.93</v>
      </c>
      <c r="BT83" s="213">
        <v>11.43</v>
      </c>
      <c r="BU83" s="213">
        <v>11.03</v>
      </c>
      <c r="BV83" s="213">
        <v>11.23</v>
      </c>
      <c r="BW83" s="213">
        <v>2.85</v>
      </c>
      <c r="BX83" s="213">
        <v>2.5700000000000003</v>
      </c>
      <c r="BY83" s="213">
        <v>2.71</v>
      </c>
      <c r="BZ83" s="213">
        <v>9.4600000000000009</v>
      </c>
      <c r="CA83" s="213">
        <v>6.4600000000000009</v>
      </c>
      <c r="CB83" s="213">
        <v>7.9600000000000009</v>
      </c>
      <c r="CC83" s="213">
        <v>6.59</v>
      </c>
      <c r="CD83" s="213">
        <v>6.35</v>
      </c>
      <c r="CE83" s="213">
        <v>6.47</v>
      </c>
      <c r="CF83" s="213">
        <v>1.86</v>
      </c>
      <c r="CG83" s="213">
        <v>1.36</v>
      </c>
      <c r="CH83" s="213">
        <v>1.61</v>
      </c>
      <c r="CI83" s="213">
        <v>0.43</v>
      </c>
      <c r="CJ83" s="213">
        <v>0.39</v>
      </c>
      <c r="CK83" s="213">
        <v>0.41000000000000003</v>
      </c>
      <c r="CL83" s="213">
        <v>39.01</v>
      </c>
      <c r="CM83" s="213">
        <v>36.61</v>
      </c>
      <c r="CN83" s="213">
        <v>37.81</v>
      </c>
      <c r="CO83" s="213">
        <v>7.13</v>
      </c>
      <c r="CP83" s="213">
        <v>2.13</v>
      </c>
      <c r="CQ83" s="213">
        <v>4.63</v>
      </c>
      <c r="CR83" s="213"/>
      <c r="CS83" s="213"/>
    </row>
    <row r="84" spans="1:97">
      <c r="A84" s="424">
        <v>45370</v>
      </c>
      <c r="B84" s="211" t="s">
        <v>248</v>
      </c>
      <c r="C84" s="213">
        <v>150.28</v>
      </c>
      <c r="D84" s="213">
        <v>148.28</v>
      </c>
      <c r="E84" s="213">
        <v>149.28</v>
      </c>
      <c r="F84" s="213">
        <v>163.75</v>
      </c>
      <c r="G84" s="213">
        <v>160.75</v>
      </c>
      <c r="H84" s="213">
        <v>162.25</v>
      </c>
      <c r="I84" s="213">
        <v>111.82</v>
      </c>
      <c r="J84" s="213">
        <v>108.61999999999999</v>
      </c>
      <c r="K84" s="213">
        <v>110.22</v>
      </c>
      <c r="L84" s="213">
        <v>193.91</v>
      </c>
      <c r="M84" s="213">
        <v>185.91</v>
      </c>
      <c r="N84" s="213">
        <v>189.91</v>
      </c>
      <c r="O84" s="213">
        <v>168.95</v>
      </c>
      <c r="P84" s="213">
        <v>167.14999999999998</v>
      </c>
      <c r="Q84" s="213">
        <v>168.04999999999998</v>
      </c>
      <c r="R84" s="213">
        <v>22.06</v>
      </c>
      <c r="S84" s="213">
        <v>21.459999999999997</v>
      </c>
      <c r="T84" s="213">
        <v>21.759999999999998</v>
      </c>
      <c r="U84" s="213">
        <v>14.31</v>
      </c>
      <c r="V84" s="213">
        <v>13.71</v>
      </c>
      <c r="W84" s="213">
        <v>14.010000000000002</v>
      </c>
      <c r="X84" s="213">
        <v>14.7</v>
      </c>
      <c r="Y84" s="213">
        <v>13.899999999999999</v>
      </c>
      <c r="Z84" s="213">
        <v>14.299999999999999</v>
      </c>
      <c r="AA84" s="213">
        <v>99.78</v>
      </c>
      <c r="AB84" s="213">
        <v>95.78</v>
      </c>
      <c r="AC84" s="213">
        <v>97.78</v>
      </c>
      <c r="AD84" s="213">
        <v>92.67</v>
      </c>
      <c r="AE84" s="213">
        <v>88.67</v>
      </c>
      <c r="AF84" s="213">
        <v>90.67</v>
      </c>
      <c r="AG84" s="213">
        <v>19.52</v>
      </c>
      <c r="AH84" s="213">
        <v>18.66</v>
      </c>
      <c r="AI84" s="213">
        <v>19.09</v>
      </c>
      <c r="AJ84" s="213"/>
      <c r="AK84" s="213"/>
      <c r="AL84" s="213"/>
      <c r="AM84" s="213">
        <v>112.3</v>
      </c>
      <c r="AN84" s="213">
        <v>110.64</v>
      </c>
      <c r="AO84" s="213">
        <v>111.47</v>
      </c>
      <c r="AP84" s="213">
        <v>40.67</v>
      </c>
      <c r="AQ84" s="213">
        <v>39.07</v>
      </c>
      <c r="AR84" s="213">
        <v>39.870000000000005</v>
      </c>
      <c r="AS84" s="213">
        <v>41.4</v>
      </c>
      <c r="AT84" s="213">
        <v>40.04</v>
      </c>
      <c r="AU84" s="213">
        <v>40.72</v>
      </c>
      <c r="AV84" s="213">
        <v>21.02</v>
      </c>
      <c r="AW84" s="213">
        <v>20.419999999999998</v>
      </c>
      <c r="AX84" s="213">
        <v>20.72</v>
      </c>
      <c r="AY84" s="213">
        <v>4.24</v>
      </c>
      <c r="AZ84" s="213">
        <v>4.08</v>
      </c>
      <c r="BA84" s="213">
        <v>4.16</v>
      </c>
      <c r="BB84" s="213">
        <v>1.96</v>
      </c>
      <c r="BC84" s="213">
        <v>1.66</v>
      </c>
      <c r="BD84" s="213">
        <v>1.81</v>
      </c>
      <c r="BE84" s="213">
        <v>0.69</v>
      </c>
      <c r="BF84" s="213">
        <v>0.38999999999999996</v>
      </c>
      <c r="BG84" s="213">
        <v>0.53999999999999992</v>
      </c>
      <c r="BH84" s="213">
        <v>492.83</v>
      </c>
      <c r="BI84" s="213">
        <v>476.83</v>
      </c>
      <c r="BJ84" s="213">
        <v>484.83</v>
      </c>
      <c r="BK84" s="213">
        <v>41.67</v>
      </c>
      <c r="BL84" s="213">
        <v>40.31</v>
      </c>
      <c r="BM84" s="213">
        <v>40.99</v>
      </c>
      <c r="BN84" s="213">
        <v>1.07</v>
      </c>
      <c r="BO84" s="213">
        <v>0.83000000000000007</v>
      </c>
      <c r="BP84" s="213">
        <v>0.95000000000000007</v>
      </c>
      <c r="BQ84" s="213">
        <v>9.8699999999999992</v>
      </c>
      <c r="BR84" s="213">
        <v>7.8699999999999992</v>
      </c>
      <c r="BS84" s="213">
        <v>8.8699999999999992</v>
      </c>
      <c r="BT84" s="213">
        <v>11.37</v>
      </c>
      <c r="BU84" s="213">
        <v>10.969999999999999</v>
      </c>
      <c r="BV84" s="213">
        <v>11.169999999999998</v>
      </c>
      <c r="BW84" s="213">
        <v>2.85</v>
      </c>
      <c r="BX84" s="213">
        <v>2.5700000000000003</v>
      </c>
      <c r="BY84" s="213">
        <v>2.71</v>
      </c>
      <c r="BZ84" s="213">
        <v>9.3699999999999992</v>
      </c>
      <c r="CA84" s="213">
        <v>6.3699999999999992</v>
      </c>
      <c r="CB84" s="213">
        <v>7.8699999999999992</v>
      </c>
      <c r="CC84" s="213">
        <v>6.55</v>
      </c>
      <c r="CD84" s="213">
        <v>6.31</v>
      </c>
      <c r="CE84" s="213">
        <v>6.43</v>
      </c>
      <c r="CF84" s="213">
        <v>1.88</v>
      </c>
      <c r="CG84" s="213">
        <v>1.38</v>
      </c>
      <c r="CH84" s="213">
        <v>1.63</v>
      </c>
      <c r="CI84" s="213">
        <v>0.43</v>
      </c>
      <c r="CJ84" s="213">
        <v>0.39</v>
      </c>
      <c r="CK84" s="213">
        <v>0.41000000000000003</v>
      </c>
      <c r="CL84" s="213">
        <v>38.72</v>
      </c>
      <c r="CM84" s="213">
        <v>36.32</v>
      </c>
      <c r="CN84" s="213">
        <v>37.519999999999996</v>
      </c>
      <c r="CO84" s="213">
        <v>7.12</v>
      </c>
      <c r="CP84" s="213">
        <v>2.12</v>
      </c>
      <c r="CQ84" s="213">
        <v>4.62</v>
      </c>
      <c r="CR84" s="213"/>
      <c r="CS84" s="213"/>
    </row>
    <row r="85" spans="1:97">
      <c r="A85" s="424">
        <v>45371</v>
      </c>
      <c r="B85" s="211" t="s">
        <v>249</v>
      </c>
      <c r="C85" s="213"/>
      <c r="D85" s="213"/>
      <c r="E85" s="213"/>
      <c r="F85" s="213"/>
      <c r="G85" s="213"/>
      <c r="H85" s="213"/>
      <c r="I85" s="213"/>
      <c r="J85" s="213"/>
      <c r="K85" s="213"/>
      <c r="L85" s="213"/>
      <c r="M85" s="213"/>
      <c r="N85" s="213"/>
      <c r="O85" s="213"/>
      <c r="P85" s="213"/>
      <c r="Q85" s="213"/>
      <c r="R85" s="213"/>
      <c r="S85" s="213"/>
      <c r="T85" s="213"/>
      <c r="U85" s="213"/>
      <c r="V85" s="213"/>
      <c r="W85" s="213"/>
      <c r="X85" s="213"/>
      <c r="Y85" s="213"/>
      <c r="Z85" s="213"/>
      <c r="AA85" s="213"/>
      <c r="AB85" s="213"/>
      <c r="AC85" s="213"/>
      <c r="AD85" s="213"/>
      <c r="AE85" s="213"/>
      <c r="AF85" s="213"/>
      <c r="AG85" s="213"/>
      <c r="AH85" s="213"/>
      <c r="AI85" s="213"/>
      <c r="AJ85" s="213"/>
      <c r="AK85" s="213"/>
      <c r="AL85" s="213"/>
      <c r="AM85" s="213"/>
      <c r="AN85" s="213"/>
      <c r="AO85" s="213"/>
      <c r="AP85" s="213"/>
      <c r="AQ85" s="213"/>
      <c r="AR85" s="213"/>
      <c r="AS85" s="213"/>
      <c r="AT85" s="213"/>
      <c r="AU85" s="213"/>
      <c r="AV85" s="213"/>
      <c r="AW85" s="213"/>
      <c r="AX85" s="213"/>
      <c r="AY85" s="213"/>
      <c r="AZ85" s="213"/>
      <c r="BA85" s="213"/>
      <c r="BB85" s="213"/>
      <c r="BC85" s="213"/>
      <c r="BD85" s="213"/>
      <c r="BE85" s="213"/>
      <c r="BF85" s="213"/>
      <c r="BG85" s="213"/>
      <c r="BH85" s="213"/>
      <c r="BI85" s="213"/>
      <c r="BJ85" s="213"/>
      <c r="BK85" s="213"/>
      <c r="BL85" s="213"/>
      <c r="BM85" s="213"/>
      <c r="BN85" s="213"/>
      <c r="BO85" s="213"/>
      <c r="BP85" s="213"/>
      <c r="BQ85" s="213"/>
      <c r="BR85" s="213"/>
      <c r="BS85" s="213"/>
      <c r="BT85" s="213"/>
      <c r="BU85" s="213"/>
      <c r="BV85" s="213"/>
      <c r="BW85" s="213"/>
      <c r="BX85" s="213"/>
      <c r="BY85" s="213"/>
      <c r="BZ85" s="213"/>
      <c r="CA85" s="213"/>
      <c r="CB85" s="213"/>
      <c r="CC85" s="213"/>
      <c r="CD85" s="213"/>
      <c r="CE85" s="213"/>
      <c r="CF85" s="213"/>
      <c r="CG85" s="213"/>
      <c r="CH85" s="213"/>
      <c r="CI85" s="213"/>
      <c r="CJ85" s="213"/>
      <c r="CK85" s="213"/>
      <c r="CL85" s="213"/>
      <c r="CM85" s="213"/>
      <c r="CN85" s="213"/>
      <c r="CO85" s="213"/>
      <c r="CP85" s="213"/>
      <c r="CQ85" s="213"/>
      <c r="CR85" s="213"/>
      <c r="CS85" s="213"/>
    </row>
    <row r="86" spans="1:97">
      <c r="A86" s="424">
        <v>45372</v>
      </c>
      <c r="B86" s="211" t="s">
        <v>250</v>
      </c>
      <c r="C86" s="213">
        <v>151.79</v>
      </c>
      <c r="D86" s="213">
        <v>149.79</v>
      </c>
      <c r="E86" s="213">
        <v>150.79</v>
      </c>
      <c r="F86" s="213">
        <v>166.31</v>
      </c>
      <c r="G86" s="213">
        <v>163.31</v>
      </c>
      <c r="H86" s="213">
        <v>164.81</v>
      </c>
      <c r="I86" s="213">
        <v>113.52</v>
      </c>
      <c r="J86" s="213">
        <v>110.32</v>
      </c>
      <c r="K86" s="213">
        <v>111.91999999999999</v>
      </c>
      <c r="L86" s="213">
        <v>196.92</v>
      </c>
      <c r="M86" s="213">
        <v>188.92</v>
      </c>
      <c r="N86" s="213">
        <v>192.92</v>
      </c>
      <c r="O86" s="213">
        <v>171.13</v>
      </c>
      <c r="P86" s="213">
        <v>169.32999999999998</v>
      </c>
      <c r="Q86" s="213">
        <v>170.23</v>
      </c>
      <c r="R86" s="213">
        <v>22.4</v>
      </c>
      <c r="S86" s="213">
        <v>21.799999999999997</v>
      </c>
      <c r="T86" s="213">
        <v>22.099999999999998</v>
      </c>
      <c r="U86" s="213">
        <v>14.6</v>
      </c>
      <c r="V86" s="213">
        <v>14</v>
      </c>
      <c r="W86" s="213">
        <v>14.3</v>
      </c>
      <c r="X86" s="213">
        <v>14.93</v>
      </c>
      <c r="Y86" s="213">
        <v>14.129999999999999</v>
      </c>
      <c r="Z86" s="213">
        <v>14.53</v>
      </c>
      <c r="AA86" s="213">
        <v>101.69</v>
      </c>
      <c r="AB86" s="213">
        <v>97.69</v>
      </c>
      <c r="AC86" s="213">
        <v>99.69</v>
      </c>
      <c r="AD86" s="213">
        <v>93.83</v>
      </c>
      <c r="AE86" s="213">
        <v>89.83</v>
      </c>
      <c r="AF86" s="213">
        <v>91.83</v>
      </c>
      <c r="AG86" s="213">
        <v>19.71</v>
      </c>
      <c r="AH86" s="213">
        <v>18.850000000000001</v>
      </c>
      <c r="AI86" s="213">
        <v>19.28</v>
      </c>
      <c r="AJ86" s="213"/>
      <c r="AK86" s="213"/>
      <c r="AL86" s="213"/>
      <c r="AM86" s="213">
        <v>113.49</v>
      </c>
      <c r="AN86" s="213">
        <v>111.83</v>
      </c>
      <c r="AO86" s="213">
        <v>112.66</v>
      </c>
      <c r="AP86" s="213">
        <v>41.08</v>
      </c>
      <c r="AQ86" s="213">
        <v>39.479999999999997</v>
      </c>
      <c r="AR86" s="213">
        <v>40.28</v>
      </c>
      <c r="AS86" s="213">
        <v>41.81</v>
      </c>
      <c r="AT86" s="213">
        <v>40.450000000000003</v>
      </c>
      <c r="AU86" s="213">
        <v>41.13</v>
      </c>
      <c r="AV86" s="213">
        <v>21.22</v>
      </c>
      <c r="AW86" s="213">
        <v>20.619999999999997</v>
      </c>
      <c r="AX86" s="213">
        <v>20.919999999999998</v>
      </c>
      <c r="AY86" s="213">
        <v>4.28</v>
      </c>
      <c r="AZ86" s="213">
        <v>4.12</v>
      </c>
      <c r="BA86" s="213">
        <v>4.2</v>
      </c>
      <c r="BB86" s="213">
        <v>1.98</v>
      </c>
      <c r="BC86" s="213">
        <v>1.68</v>
      </c>
      <c r="BD86" s="213">
        <v>1.83</v>
      </c>
      <c r="BE86" s="213">
        <v>0.69</v>
      </c>
      <c r="BF86" s="213">
        <v>0.38999999999999996</v>
      </c>
      <c r="BG86" s="213">
        <v>0.53999999999999992</v>
      </c>
      <c r="BH86" s="213">
        <v>499.33</v>
      </c>
      <c r="BI86" s="213">
        <v>483.33</v>
      </c>
      <c r="BJ86" s="213">
        <v>491.33</v>
      </c>
      <c r="BK86" s="213">
        <v>41.95</v>
      </c>
      <c r="BL86" s="213">
        <v>40.590000000000003</v>
      </c>
      <c r="BM86" s="213">
        <v>41.27</v>
      </c>
      <c r="BN86" s="213">
        <v>1.08</v>
      </c>
      <c r="BO86" s="213">
        <v>0.84000000000000008</v>
      </c>
      <c r="BP86" s="213">
        <v>0.96000000000000008</v>
      </c>
      <c r="BQ86" s="213">
        <v>10.039999999999999</v>
      </c>
      <c r="BR86" s="213">
        <v>8.0399999999999991</v>
      </c>
      <c r="BS86" s="213">
        <v>9.0399999999999991</v>
      </c>
      <c r="BT86" s="213">
        <v>11.57</v>
      </c>
      <c r="BU86" s="213">
        <v>11.17</v>
      </c>
      <c r="BV86" s="213">
        <v>11.370000000000001</v>
      </c>
      <c r="BW86" s="213">
        <v>2.85</v>
      </c>
      <c r="BX86" s="213">
        <v>2.5700000000000003</v>
      </c>
      <c r="BY86" s="213">
        <v>2.71</v>
      </c>
      <c r="BZ86" s="213">
        <v>9.56</v>
      </c>
      <c r="CA86" s="213">
        <v>6.5600000000000005</v>
      </c>
      <c r="CB86" s="213">
        <v>8.06</v>
      </c>
      <c r="CC86" s="213">
        <v>6.67</v>
      </c>
      <c r="CD86" s="213">
        <v>6.43</v>
      </c>
      <c r="CE86" s="213">
        <v>6.55</v>
      </c>
      <c r="CF86" s="213">
        <v>1.89</v>
      </c>
      <c r="CG86" s="213">
        <v>1.39</v>
      </c>
      <c r="CH86" s="213">
        <v>1.64</v>
      </c>
      <c r="CI86" s="213">
        <v>0.44</v>
      </c>
      <c r="CJ86" s="213">
        <v>0.4</v>
      </c>
      <c r="CK86" s="213">
        <v>0.42000000000000004</v>
      </c>
      <c r="CL86" s="213">
        <v>39.450000000000003</v>
      </c>
      <c r="CM86" s="213">
        <v>37.050000000000004</v>
      </c>
      <c r="CN86" s="213">
        <v>38.25</v>
      </c>
      <c r="CO86" s="213">
        <v>7.16</v>
      </c>
      <c r="CP86" s="213">
        <v>2.16</v>
      </c>
      <c r="CQ86" s="213">
        <v>4.66</v>
      </c>
      <c r="CR86" s="213"/>
      <c r="CS86" s="213"/>
    </row>
    <row r="87" spans="1:97">
      <c r="A87" s="424">
        <v>45373</v>
      </c>
      <c r="B87" s="211" t="s">
        <v>251</v>
      </c>
      <c r="C87" s="213">
        <v>152.59</v>
      </c>
      <c r="D87" s="213">
        <v>150.59</v>
      </c>
      <c r="E87" s="213">
        <v>151.59</v>
      </c>
      <c r="F87" s="213">
        <v>166.2</v>
      </c>
      <c r="G87" s="213">
        <v>163.19999999999999</v>
      </c>
      <c r="H87" s="213">
        <v>164.7</v>
      </c>
      <c r="I87" s="213">
        <v>113.69</v>
      </c>
      <c r="J87" s="213">
        <v>110.49</v>
      </c>
      <c r="K87" s="213">
        <v>112.09</v>
      </c>
      <c r="L87" s="213">
        <v>196.13</v>
      </c>
      <c r="M87" s="213">
        <v>188.13</v>
      </c>
      <c r="N87" s="213">
        <v>192.13</v>
      </c>
      <c r="O87" s="213">
        <v>169.8</v>
      </c>
      <c r="P87" s="213">
        <v>168</v>
      </c>
      <c r="Q87" s="213">
        <v>168.9</v>
      </c>
      <c r="R87" s="213">
        <v>22.38</v>
      </c>
      <c r="S87" s="213">
        <v>21.779999999999998</v>
      </c>
      <c r="T87" s="213">
        <v>22.08</v>
      </c>
      <c r="U87" s="213">
        <v>14.52</v>
      </c>
      <c r="V87" s="213">
        <v>13.92</v>
      </c>
      <c r="W87" s="213">
        <v>14.219999999999999</v>
      </c>
      <c r="X87" s="213">
        <v>14.88</v>
      </c>
      <c r="Y87" s="213">
        <v>14.08</v>
      </c>
      <c r="Z87" s="213">
        <v>14.48</v>
      </c>
      <c r="AA87" s="213">
        <v>101.67</v>
      </c>
      <c r="AB87" s="213">
        <v>97.67</v>
      </c>
      <c r="AC87" s="213">
        <v>99.67</v>
      </c>
      <c r="AD87" s="213">
        <v>93.71</v>
      </c>
      <c r="AE87" s="213">
        <v>89.71</v>
      </c>
      <c r="AF87" s="213">
        <v>91.71</v>
      </c>
      <c r="AG87" s="213">
        <v>19.809999999999999</v>
      </c>
      <c r="AH87" s="213">
        <v>18.95</v>
      </c>
      <c r="AI87" s="213">
        <v>19.38</v>
      </c>
      <c r="AJ87" s="213"/>
      <c r="AK87" s="213"/>
      <c r="AL87" s="213"/>
      <c r="AM87" s="213">
        <v>113.7</v>
      </c>
      <c r="AN87" s="213">
        <v>112.04</v>
      </c>
      <c r="AO87" s="213">
        <v>112.87</v>
      </c>
      <c r="AP87" s="213">
        <v>41.29</v>
      </c>
      <c r="AQ87" s="213">
        <v>39.69</v>
      </c>
      <c r="AR87" s="213">
        <v>40.489999999999995</v>
      </c>
      <c r="AS87" s="213">
        <v>41.88</v>
      </c>
      <c r="AT87" s="213">
        <v>40.520000000000003</v>
      </c>
      <c r="AU87" s="213">
        <v>41.2</v>
      </c>
      <c r="AV87" s="213">
        <v>21.3</v>
      </c>
      <c r="AW87" s="213">
        <v>20.7</v>
      </c>
      <c r="AX87" s="213">
        <v>21</v>
      </c>
      <c r="AY87" s="213">
        <v>4.26</v>
      </c>
      <c r="AZ87" s="213">
        <v>4.0999999999999996</v>
      </c>
      <c r="BA87" s="213">
        <v>4.18</v>
      </c>
      <c r="BB87" s="213">
        <v>1.98</v>
      </c>
      <c r="BC87" s="213">
        <v>1.68</v>
      </c>
      <c r="BD87" s="213">
        <v>1.83</v>
      </c>
      <c r="BE87" s="213">
        <v>0.7</v>
      </c>
      <c r="BF87" s="213">
        <v>0.39999999999999997</v>
      </c>
      <c r="BG87" s="213">
        <v>0.54999999999999993</v>
      </c>
      <c r="BH87" s="213">
        <v>501.78</v>
      </c>
      <c r="BI87" s="213">
        <v>485.78</v>
      </c>
      <c r="BJ87" s="213">
        <v>493.78</v>
      </c>
      <c r="BK87" s="213">
        <v>42.31</v>
      </c>
      <c r="BL87" s="213">
        <v>40.950000000000003</v>
      </c>
      <c r="BM87" s="213">
        <v>41.63</v>
      </c>
      <c r="BN87" s="213">
        <v>1.0900000000000001</v>
      </c>
      <c r="BO87" s="213">
        <v>0.85000000000000009</v>
      </c>
      <c r="BP87" s="213">
        <v>0.97000000000000008</v>
      </c>
      <c r="BQ87" s="213">
        <v>10.07</v>
      </c>
      <c r="BR87" s="213">
        <v>8.07</v>
      </c>
      <c r="BS87" s="213">
        <v>9.07</v>
      </c>
      <c r="BT87" s="213">
        <v>11.61</v>
      </c>
      <c r="BU87" s="213">
        <v>11.209999999999999</v>
      </c>
      <c r="BV87" s="213">
        <v>11.41</v>
      </c>
      <c r="BW87" s="213">
        <v>2.87</v>
      </c>
      <c r="BX87" s="213">
        <v>2.59</v>
      </c>
      <c r="BY87" s="213">
        <v>2.73</v>
      </c>
      <c r="BZ87" s="213">
        <v>9.56</v>
      </c>
      <c r="CA87" s="213">
        <v>6.5600000000000005</v>
      </c>
      <c r="CB87" s="213">
        <v>8.06</v>
      </c>
      <c r="CC87" s="213">
        <v>6.63</v>
      </c>
      <c r="CD87" s="213">
        <v>6.39</v>
      </c>
      <c r="CE87" s="213">
        <v>6.51</v>
      </c>
      <c r="CF87" s="213">
        <v>1.9</v>
      </c>
      <c r="CG87" s="213">
        <v>1.4</v>
      </c>
      <c r="CH87" s="213">
        <v>1.65</v>
      </c>
      <c r="CI87" s="213">
        <v>0.44</v>
      </c>
      <c r="CJ87" s="213">
        <v>0.4</v>
      </c>
      <c r="CK87" s="213">
        <v>0.42000000000000004</v>
      </c>
      <c r="CL87" s="213">
        <v>39.479999999999997</v>
      </c>
      <c r="CM87" s="213">
        <v>37.08</v>
      </c>
      <c r="CN87" s="213">
        <v>38.28</v>
      </c>
      <c r="CO87" s="213">
        <v>7.24</v>
      </c>
      <c r="CP87" s="213">
        <v>2.2400000000000002</v>
      </c>
      <c r="CQ87" s="213">
        <v>4.74</v>
      </c>
      <c r="CR87" s="213"/>
      <c r="CS87" s="213"/>
    </row>
    <row r="88" spans="1:97">
      <c r="A88" s="424">
        <v>45374</v>
      </c>
      <c r="B88" s="211" t="s">
        <v>252</v>
      </c>
      <c r="C88" s="213"/>
      <c r="D88" s="213"/>
      <c r="E88" s="213"/>
      <c r="F88" s="213"/>
      <c r="G88" s="213"/>
      <c r="H88" s="213"/>
      <c r="I88" s="213"/>
      <c r="J88" s="213"/>
      <c r="K88" s="213"/>
      <c r="L88" s="213"/>
      <c r="M88" s="213"/>
      <c r="N88" s="213"/>
      <c r="O88" s="213"/>
      <c r="P88" s="213"/>
      <c r="Q88" s="213"/>
      <c r="R88" s="213"/>
      <c r="S88" s="213"/>
      <c r="T88" s="213"/>
      <c r="U88" s="213"/>
      <c r="V88" s="213"/>
      <c r="W88" s="213"/>
      <c r="X88" s="213"/>
      <c r="Y88" s="213"/>
      <c r="Z88" s="213"/>
      <c r="AA88" s="213"/>
      <c r="AB88" s="213"/>
      <c r="AC88" s="213"/>
      <c r="AD88" s="213"/>
      <c r="AE88" s="213"/>
      <c r="AF88" s="213"/>
      <c r="AG88" s="213"/>
      <c r="AH88" s="213"/>
      <c r="AI88" s="213"/>
      <c r="AJ88" s="213"/>
      <c r="AK88" s="213"/>
      <c r="AL88" s="213"/>
      <c r="AM88" s="213"/>
      <c r="AN88" s="213"/>
      <c r="AO88" s="213"/>
      <c r="AP88" s="213"/>
      <c r="AQ88" s="213"/>
      <c r="AR88" s="213"/>
      <c r="AS88" s="213"/>
      <c r="AT88" s="213"/>
      <c r="AU88" s="213"/>
      <c r="AV88" s="213"/>
      <c r="AW88" s="213"/>
      <c r="AX88" s="213"/>
      <c r="AY88" s="213"/>
      <c r="AZ88" s="213"/>
      <c r="BA88" s="213"/>
      <c r="BB88" s="213"/>
      <c r="BC88" s="213"/>
      <c r="BD88" s="213"/>
      <c r="BE88" s="213"/>
      <c r="BF88" s="213"/>
      <c r="BG88" s="213"/>
      <c r="BH88" s="213"/>
      <c r="BI88" s="213"/>
      <c r="BJ88" s="213"/>
      <c r="BK88" s="213"/>
      <c r="BL88" s="213"/>
      <c r="BM88" s="213"/>
      <c r="BN88" s="213"/>
      <c r="BO88" s="213"/>
      <c r="BP88" s="213"/>
      <c r="BQ88" s="213"/>
      <c r="BR88" s="213"/>
      <c r="BS88" s="213"/>
      <c r="BT88" s="213"/>
      <c r="BU88" s="213"/>
      <c r="BV88" s="213"/>
      <c r="BW88" s="213"/>
      <c r="BX88" s="213"/>
      <c r="BY88" s="213"/>
      <c r="BZ88" s="213"/>
      <c r="CA88" s="213"/>
      <c r="CB88" s="213"/>
      <c r="CC88" s="213"/>
      <c r="CD88" s="213"/>
      <c r="CE88" s="213"/>
      <c r="CF88" s="213"/>
      <c r="CG88" s="213"/>
      <c r="CH88" s="213"/>
      <c r="CI88" s="213"/>
      <c r="CJ88" s="213"/>
      <c r="CK88" s="213"/>
      <c r="CL88" s="213"/>
      <c r="CM88" s="213"/>
      <c r="CN88" s="213"/>
      <c r="CO88" s="213"/>
      <c r="CP88" s="213"/>
      <c r="CQ88" s="213"/>
      <c r="CR88" s="213"/>
      <c r="CS88" s="213"/>
    </row>
    <row r="89" spans="1:97">
      <c r="A89" s="424">
        <v>45375</v>
      </c>
      <c r="B89" s="211" t="s">
        <v>253</v>
      </c>
      <c r="C89" s="213"/>
      <c r="D89" s="213"/>
      <c r="E89" s="213"/>
      <c r="F89" s="213"/>
      <c r="G89" s="213"/>
      <c r="H89" s="213"/>
      <c r="I89" s="213"/>
      <c r="J89" s="213"/>
      <c r="K89" s="213"/>
      <c r="L89" s="213"/>
      <c r="M89" s="213"/>
      <c r="N89" s="213"/>
      <c r="O89" s="213"/>
      <c r="P89" s="213"/>
      <c r="Q89" s="213"/>
      <c r="R89" s="213"/>
      <c r="S89" s="213"/>
      <c r="T89" s="213"/>
      <c r="U89" s="213"/>
      <c r="V89" s="213"/>
      <c r="W89" s="213"/>
      <c r="X89" s="213"/>
      <c r="Y89" s="213"/>
      <c r="Z89" s="213"/>
      <c r="AA89" s="213"/>
      <c r="AB89" s="213"/>
      <c r="AC89" s="213"/>
      <c r="AD89" s="213"/>
      <c r="AE89" s="213"/>
      <c r="AF89" s="213"/>
      <c r="AG89" s="213"/>
      <c r="AH89" s="213"/>
      <c r="AI89" s="213"/>
      <c r="AJ89" s="213"/>
      <c r="AK89" s="213"/>
      <c r="AL89" s="213"/>
      <c r="AM89" s="213"/>
      <c r="AN89" s="213"/>
      <c r="AO89" s="213"/>
      <c r="AP89" s="213"/>
      <c r="AQ89" s="213"/>
      <c r="AR89" s="213"/>
      <c r="AS89" s="213"/>
      <c r="AT89" s="213"/>
      <c r="AU89" s="213"/>
      <c r="AV89" s="213"/>
      <c r="AW89" s="213"/>
      <c r="AX89" s="213"/>
      <c r="AY89" s="213"/>
      <c r="AZ89" s="213"/>
      <c r="BA89" s="213"/>
      <c r="BB89" s="213"/>
      <c r="BC89" s="213"/>
      <c r="BD89" s="213"/>
      <c r="BE89" s="213"/>
      <c r="BF89" s="213"/>
      <c r="BG89" s="213"/>
      <c r="BH89" s="213"/>
      <c r="BI89" s="213"/>
      <c r="BJ89" s="213"/>
      <c r="BK89" s="213"/>
      <c r="BL89" s="213"/>
      <c r="BM89" s="213"/>
      <c r="BN89" s="213"/>
      <c r="BO89" s="213"/>
      <c r="BP89" s="213"/>
      <c r="BQ89" s="213"/>
      <c r="BR89" s="213"/>
      <c r="BS89" s="213"/>
      <c r="BT89" s="213"/>
      <c r="BU89" s="213"/>
      <c r="BV89" s="213"/>
      <c r="BW89" s="213"/>
      <c r="BX89" s="213"/>
      <c r="BY89" s="213"/>
      <c r="BZ89" s="213"/>
      <c r="CA89" s="213"/>
      <c r="CB89" s="213"/>
      <c r="CC89" s="213"/>
      <c r="CD89" s="213"/>
      <c r="CE89" s="213"/>
      <c r="CF89" s="213"/>
      <c r="CG89" s="213"/>
      <c r="CH89" s="213"/>
      <c r="CI89" s="213"/>
      <c r="CJ89" s="213"/>
      <c r="CK89" s="213"/>
      <c r="CL89" s="213"/>
      <c r="CM89" s="213"/>
      <c r="CN89" s="213"/>
      <c r="CO89" s="213"/>
      <c r="CP89" s="213"/>
      <c r="CQ89" s="213"/>
      <c r="CR89" s="213"/>
      <c r="CS89" s="213"/>
    </row>
    <row r="90" spans="1:97">
      <c r="A90" s="424">
        <v>45376</v>
      </c>
      <c r="B90" s="211" t="s">
        <v>247</v>
      </c>
      <c r="C90" s="213">
        <v>152.43</v>
      </c>
      <c r="D90" s="213">
        <v>150.43</v>
      </c>
      <c r="E90" s="213">
        <v>151.43</v>
      </c>
      <c r="F90" s="213">
        <v>165.1</v>
      </c>
      <c r="G90" s="213">
        <v>162.1</v>
      </c>
      <c r="H90" s="213">
        <v>163.6</v>
      </c>
      <c r="I90" s="213">
        <v>112.82</v>
      </c>
      <c r="J90" s="213">
        <v>109.61999999999999</v>
      </c>
      <c r="K90" s="213">
        <v>111.22</v>
      </c>
      <c r="L90" s="213">
        <v>194.71</v>
      </c>
      <c r="M90" s="213">
        <v>186.71</v>
      </c>
      <c r="N90" s="213">
        <v>190.71</v>
      </c>
      <c r="O90" s="213">
        <v>169.46</v>
      </c>
      <c r="P90" s="213">
        <v>167.66</v>
      </c>
      <c r="Q90" s="213">
        <v>168.56</v>
      </c>
      <c r="R90" s="213">
        <v>22.24</v>
      </c>
      <c r="S90" s="213">
        <v>21.639999999999997</v>
      </c>
      <c r="T90" s="213">
        <v>21.939999999999998</v>
      </c>
      <c r="U90" s="213">
        <v>14.37</v>
      </c>
      <c r="V90" s="213">
        <v>13.77</v>
      </c>
      <c r="W90" s="213">
        <v>14.07</v>
      </c>
      <c r="X90" s="213">
        <v>14.73</v>
      </c>
      <c r="Y90" s="213">
        <v>13.93</v>
      </c>
      <c r="Z90" s="213">
        <v>14.33</v>
      </c>
      <c r="AA90" s="213">
        <v>100.64</v>
      </c>
      <c r="AB90" s="213">
        <v>96.64</v>
      </c>
      <c r="AC90" s="213">
        <v>98.64</v>
      </c>
      <c r="AD90" s="213">
        <v>92.75</v>
      </c>
      <c r="AE90" s="213">
        <v>88.75</v>
      </c>
      <c r="AF90" s="213">
        <v>90.75</v>
      </c>
      <c r="AG90" s="213">
        <v>19.79</v>
      </c>
      <c r="AH90" s="213">
        <v>18.93</v>
      </c>
      <c r="AI90" s="213">
        <v>19.36</v>
      </c>
      <c r="AJ90" s="213"/>
      <c r="AK90" s="213"/>
      <c r="AL90" s="213"/>
      <c r="AM90" s="213">
        <v>113.03</v>
      </c>
      <c r="AN90" s="213">
        <v>111.37</v>
      </c>
      <c r="AO90" s="213">
        <v>112.2</v>
      </c>
      <c r="AP90" s="213">
        <v>41.24</v>
      </c>
      <c r="AQ90" s="213">
        <v>39.64</v>
      </c>
      <c r="AR90" s="213">
        <v>40.44</v>
      </c>
      <c r="AS90" s="213">
        <v>41.99</v>
      </c>
      <c r="AT90" s="213">
        <v>40.630000000000003</v>
      </c>
      <c r="AU90" s="213">
        <v>41.31</v>
      </c>
      <c r="AV90" s="213">
        <v>21.12</v>
      </c>
      <c r="AW90" s="213">
        <v>20.52</v>
      </c>
      <c r="AX90" s="213">
        <v>20.82</v>
      </c>
      <c r="AY90" s="213">
        <v>4.25</v>
      </c>
      <c r="AZ90" s="213">
        <v>4.09</v>
      </c>
      <c r="BA90" s="213">
        <v>4.17</v>
      </c>
      <c r="BB90" s="213">
        <v>1.97</v>
      </c>
      <c r="BC90" s="213">
        <v>1.67</v>
      </c>
      <c r="BD90" s="213">
        <v>1.8199999999999998</v>
      </c>
      <c r="BE90" s="213">
        <v>0.7</v>
      </c>
      <c r="BF90" s="213">
        <v>0.39999999999999997</v>
      </c>
      <c r="BG90" s="213">
        <v>0.54999999999999993</v>
      </c>
      <c r="BH90" s="213">
        <v>501.1</v>
      </c>
      <c r="BI90" s="213">
        <v>485.1</v>
      </c>
      <c r="BJ90" s="213">
        <v>493.1</v>
      </c>
      <c r="BK90" s="213">
        <v>42.27</v>
      </c>
      <c r="BL90" s="213">
        <v>40.910000000000004</v>
      </c>
      <c r="BM90" s="213">
        <v>41.59</v>
      </c>
      <c r="BN90" s="213">
        <v>1.08</v>
      </c>
      <c r="BO90" s="213">
        <v>0.84000000000000008</v>
      </c>
      <c r="BP90" s="213">
        <v>0.96000000000000008</v>
      </c>
      <c r="BQ90" s="213">
        <v>10.039999999999999</v>
      </c>
      <c r="BR90" s="213">
        <v>8.0399999999999991</v>
      </c>
      <c r="BS90" s="213">
        <v>9.0399999999999991</v>
      </c>
      <c r="BT90" s="213">
        <v>11.48</v>
      </c>
      <c r="BU90" s="213">
        <v>11.08</v>
      </c>
      <c r="BV90" s="213">
        <v>11.280000000000001</v>
      </c>
      <c r="BW90" s="213">
        <v>2.85</v>
      </c>
      <c r="BX90" s="213">
        <v>2.5700000000000003</v>
      </c>
      <c r="BY90" s="213">
        <v>2.71</v>
      </c>
      <c r="BZ90" s="213">
        <v>9.4600000000000009</v>
      </c>
      <c r="CA90" s="213">
        <v>6.4600000000000009</v>
      </c>
      <c r="CB90" s="213">
        <v>7.9600000000000009</v>
      </c>
      <c r="CC90" s="213">
        <v>6.58</v>
      </c>
      <c r="CD90" s="213">
        <v>6.34</v>
      </c>
      <c r="CE90" s="213">
        <v>6.46</v>
      </c>
      <c r="CF90" s="213">
        <v>1.89</v>
      </c>
      <c r="CG90" s="213">
        <v>1.39</v>
      </c>
      <c r="CH90" s="213">
        <v>1.64</v>
      </c>
      <c r="CI90" s="213">
        <v>0.43</v>
      </c>
      <c r="CJ90" s="213">
        <v>0.39</v>
      </c>
      <c r="CK90" s="213">
        <v>0.41000000000000003</v>
      </c>
      <c r="CL90" s="213">
        <v>39.07</v>
      </c>
      <c r="CM90" s="213">
        <v>36.67</v>
      </c>
      <c r="CN90" s="213">
        <v>37.870000000000005</v>
      </c>
      <c r="CO90" s="213">
        <v>7.22</v>
      </c>
      <c r="CP90" s="213">
        <v>2.2199999999999998</v>
      </c>
      <c r="CQ90" s="213">
        <v>4.72</v>
      </c>
      <c r="CR90" s="213"/>
      <c r="CS90" s="213"/>
    </row>
    <row r="91" spans="1:97">
      <c r="A91" s="424">
        <v>45377</v>
      </c>
      <c r="B91" s="211" t="s">
        <v>248</v>
      </c>
      <c r="C91" s="213">
        <v>152.33000000000001</v>
      </c>
      <c r="D91" s="213">
        <v>150.33000000000001</v>
      </c>
      <c r="E91" s="213">
        <v>151.33000000000001</v>
      </c>
      <c r="F91" s="213">
        <v>165.54</v>
      </c>
      <c r="G91" s="213">
        <v>162.54</v>
      </c>
      <c r="H91" s="213">
        <v>164.04</v>
      </c>
      <c r="I91" s="213">
        <v>113.03</v>
      </c>
      <c r="J91" s="213">
        <v>109.83</v>
      </c>
      <c r="K91" s="213">
        <v>111.43</v>
      </c>
      <c r="L91" s="213">
        <v>195.33</v>
      </c>
      <c r="M91" s="213">
        <v>187.33</v>
      </c>
      <c r="N91" s="213">
        <v>191.33</v>
      </c>
      <c r="O91" s="213">
        <v>169.12</v>
      </c>
      <c r="P91" s="213">
        <v>167.32</v>
      </c>
      <c r="Q91" s="213">
        <v>168.22</v>
      </c>
      <c r="R91" s="213">
        <v>22.29</v>
      </c>
      <c r="S91" s="213">
        <v>21.689999999999998</v>
      </c>
      <c r="T91" s="213">
        <v>21.99</v>
      </c>
      <c r="U91" s="213">
        <v>14.43</v>
      </c>
      <c r="V91" s="213">
        <v>13.83</v>
      </c>
      <c r="W91" s="213">
        <v>14.129999999999999</v>
      </c>
      <c r="X91" s="213">
        <v>14.71</v>
      </c>
      <c r="Y91" s="213">
        <v>13.91</v>
      </c>
      <c r="Z91" s="213">
        <v>14.31</v>
      </c>
      <c r="AA91" s="213">
        <v>101.03</v>
      </c>
      <c r="AB91" s="213">
        <v>97.03</v>
      </c>
      <c r="AC91" s="213">
        <v>99.03</v>
      </c>
      <c r="AD91" s="213">
        <v>92.93</v>
      </c>
      <c r="AE91" s="213">
        <v>88.93</v>
      </c>
      <c r="AF91" s="213">
        <v>90.93</v>
      </c>
      <c r="AG91" s="213">
        <v>19.78</v>
      </c>
      <c r="AH91" s="213">
        <v>18.920000000000002</v>
      </c>
      <c r="AI91" s="213">
        <v>19.350000000000001</v>
      </c>
      <c r="AJ91" s="213"/>
      <c r="AK91" s="213"/>
      <c r="AL91" s="213"/>
      <c r="AM91" s="213">
        <v>113.34</v>
      </c>
      <c r="AN91" s="213">
        <v>111.68</v>
      </c>
      <c r="AO91" s="213">
        <v>112.51</v>
      </c>
      <c r="AP91" s="213">
        <v>41.21</v>
      </c>
      <c r="AQ91" s="213">
        <v>39.61</v>
      </c>
      <c r="AR91" s="213">
        <v>40.409999999999997</v>
      </c>
      <c r="AS91" s="213">
        <v>41.96</v>
      </c>
      <c r="AT91" s="213">
        <v>40.6</v>
      </c>
      <c r="AU91" s="213">
        <v>41.28</v>
      </c>
      <c r="AV91" s="213">
        <v>21.18</v>
      </c>
      <c r="AW91" s="213">
        <v>20.58</v>
      </c>
      <c r="AX91" s="213">
        <v>20.88</v>
      </c>
      <c r="AY91" s="213">
        <v>4.24</v>
      </c>
      <c r="AZ91" s="213">
        <v>4.08</v>
      </c>
      <c r="BA91" s="213">
        <v>4.16</v>
      </c>
      <c r="BB91" s="213">
        <v>1.97</v>
      </c>
      <c r="BC91" s="213">
        <v>1.67</v>
      </c>
      <c r="BD91" s="213">
        <v>1.8199999999999998</v>
      </c>
      <c r="BE91" s="213">
        <v>0.7</v>
      </c>
      <c r="BF91" s="213">
        <v>0.39999999999999997</v>
      </c>
      <c r="BG91" s="213">
        <v>0.54999999999999993</v>
      </c>
      <c r="BH91" s="213">
        <v>499.33</v>
      </c>
      <c r="BI91" s="213">
        <v>483.33</v>
      </c>
      <c r="BJ91" s="213">
        <v>491.33</v>
      </c>
      <c r="BK91" s="213">
        <v>42.23</v>
      </c>
      <c r="BL91" s="213">
        <v>40.869999999999997</v>
      </c>
      <c r="BM91" s="213">
        <v>41.55</v>
      </c>
      <c r="BN91" s="213">
        <v>1.08</v>
      </c>
      <c r="BO91" s="213">
        <v>0.84000000000000008</v>
      </c>
      <c r="BP91" s="213">
        <v>0.96000000000000008</v>
      </c>
      <c r="BQ91" s="213">
        <v>10.08</v>
      </c>
      <c r="BR91" s="213">
        <v>8.08</v>
      </c>
      <c r="BS91" s="213">
        <v>9.08</v>
      </c>
      <c r="BT91" s="213">
        <v>11.53</v>
      </c>
      <c r="BU91" s="213">
        <v>11.129999999999999</v>
      </c>
      <c r="BV91" s="213">
        <v>11.329999999999998</v>
      </c>
      <c r="BW91" s="213">
        <v>2.84</v>
      </c>
      <c r="BX91" s="213">
        <v>2.5599999999999996</v>
      </c>
      <c r="BY91" s="213">
        <v>2.6999999999999997</v>
      </c>
      <c r="BZ91" s="213">
        <v>9.52</v>
      </c>
      <c r="CA91" s="213">
        <v>6.52</v>
      </c>
      <c r="CB91" s="213">
        <v>8.02</v>
      </c>
      <c r="CC91" s="213">
        <v>6.6</v>
      </c>
      <c r="CD91" s="213">
        <v>6.3599999999999994</v>
      </c>
      <c r="CE91" s="213">
        <v>6.4799999999999995</v>
      </c>
      <c r="CF91" s="213">
        <v>1.88</v>
      </c>
      <c r="CG91" s="213">
        <v>1.38</v>
      </c>
      <c r="CH91" s="213">
        <v>1.63</v>
      </c>
      <c r="CI91" s="213">
        <v>0.43</v>
      </c>
      <c r="CJ91" s="213">
        <v>0.39</v>
      </c>
      <c r="CK91" s="213">
        <v>0.41000000000000003</v>
      </c>
      <c r="CL91" s="213">
        <v>39.32</v>
      </c>
      <c r="CM91" s="213">
        <v>36.92</v>
      </c>
      <c r="CN91" s="213">
        <v>38.120000000000005</v>
      </c>
      <c r="CO91" s="213">
        <v>7.21</v>
      </c>
      <c r="CP91" s="213">
        <v>2.21</v>
      </c>
      <c r="CQ91" s="213">
        <v>4.71</v>
      </c>
      <c r="CR91" s="213"/>
      <c r="CS91" s="213"/>
    </row>
    <row r="92" spans="1:97">
      <c r="A92" s="424">
        <v>45378</v>
      </c>
      <c r="B92" s="211" t="s">
        <v>249</v>
      </c>
      <c r="C92" s="213">
        <v>152.57</v>
      </c>
      <c r="D92" s="213">
        <v>150.57</v>
      </c>
      <c r="E92" s="213">
        <v>151.57</v>
      </c>
      <c r="F92" s="213">
        <v>165.65</v>
      </c>
      <c r="G92" s="213">
        <v>162.65</v>
      </c>
      <c r="H92" s="213">
        <v>164.15</v>
      </c>
      <c r="I92" s="213">
        <v>113.15</v>
      </c>
      <c r="J92" s="213">
        <v>109.95</v>
      </c>
      <c r="K92" s="213">
        <v>111.55000000000001</v>
      </c>
      <c r="L92" s="213">
        <v>195.34</v>
      </c>
      <c r="M92" s="213">
        <v>187.34</v>
      </c>
      <c r="N92" s="213">
        <v>191.34</v>
      </c>
      <c r="O92" s="213">
        <v>168.55</v>
      </c>
      <c r="P92" s="213">
        <v>166.75</v>
      </c>
      <c r="Q92" s="213">
        <v>167.65</v>
      </c>
      <c r="R92" s="213">
        <v>22.3</v>
      </c>
      <c r="S92" s="213">
        <v>21.7</v>
      </c>
      <c r="T92" s="213">
        <v>22</v>
      </c>
      <c r="U92" s="213">
        <v>14.39</v>
      </c>
      <c r="V92" s="213">
        <v>13.790000000000001</v>
      </c>
      <c r="W92" s="213">
        <v>14.09</v>
      </c>
      <c r="X92" s="213">
        <v>14.71</v>
      </c>
      <c r="Y92" s="213">
        <v>13.91</v>
      </c>
      <c r="Z92" s="213">
        <v>14.31</v>
      </c>
      <c r="AA92" s="213">
        <v>100.88</v>
      </c>
      <c r="AB92" s="213">
        <v>96.88</v>
      </c>
      <c r="AC92" s="213">
        <v>98.88</v>
      </c>
      <c r="AD92" s="213">
        <v>92.97</v>
      </c>
      <c r="AE92" s="213">
        <v>88.97</v>
      </c>
      <c r="AF92" s="213">
        <v>90.97</v>
      </c>
      <c r="AG92" s="213">
        <v>19.8</v>
      </c>
      <c r="AH92" s="213">
        <v>18.940000000000001</v>
      </c>
      <c r="AI92" s="213">
        <v>19.37</v>
      </c>
      <c r="AJ92" s="213"/>
      <c r="AK92" s="213"/>
      <c r="AL92" s="213"/>
      <c r="AM92" s="213">
        <v>113.48</v>
      </c>
      <c r="AN92" s="213">
        <v>111.82000000000001</v>
      </c>
      <c r="AO92" s="213">
        <v>112.65</v>
      </c>
      <c r="AP92" s="213">
        <v>41.28</v>
      </c>
      <c r="AQ92" s="213">
        <v>39.68</v>
      </c>
      <c r="AR92" s="213">
        <v>40.480000000000004</v>
      </c>
      <c r="AS92" s="213">
        <v>42.02</v>
      </c>
      <c r="AT92" s="213">
        <v>40.660000000000004</v>
      </c>
      <c r="AU92" s="213">
        <v>41.34</v>
      </c>
      <c r="AV92" s="213">
        <v>21.21</v>
      </c>
      <c r="AW92" s="213">
        <v>20.61</v>
      </c>
      <c r="AX92" s="213">
        <v>20.91</v>
      </c>
      <c r="AY92" s="213">
        <v>4.25</v>
      </c>
      <c r="AZ92" s="213">
        <v>4.09</v>
      </c>
      <c r="BA92" s="213">
        <v>4.17</v>
      </c>
      <c r="BB92" s="213">
        <v>1.98</v>
      </c>
      <c r="BC92" s="213">
        <v>1.68</v>
      </c>
      <c r="BD92" s="213">
        <v>1.83</v>
      </c>
      <c r="BE92" s="213">
        <v>0.7</v>
      </c>
      <c r="BF92" s="213">
        <v>0.39999999999999997</v>
      </c>
      <c r="BG92" s="213">
        <v>0.54999999999999993</v>
      </c>
      <c r="BH92" s="213">
        <v>501.55</v>
      </c>
      <c r="BI92" s="213">
        <v>485.55</v>
      </c>
      <c r="BJ92" s="213">
        <v>493.55</v>
      </c>
      <c r="BK92" s="213">
        <v>42.31</v>
      </c>
      <c r="BL92" s="213">
        <v>40.950000000000003</v>
      </c>
      <c r="BM92" s="213">
        <v>41.63</v>
      </c>
      <c r="BN92" s="213">
        <v>1.08</v>
      </c>
      <c r="BO92" s="213">
        <v>0.84000000000000008</v>
      </c>
      <c r="BP92" s="213">
        <v>0.96000000000000008</v>
      </c>
      <c r="BQ92" s="213">
        <v>10.11</v>
      </c>
      <c r="BR92" s="213">
        <v>8.11</v>
      </c>
      <c r="BS92" s="213">
        <v>9.11</v>
      </c>
      <c r="BT92" s="213">
        <v>11.5</v>
      </c>
      <c r="BU92" s="213">
        <v>11.1</v>
      </c>
      <c r="BV92" s="213">
        <v>11.3</v>
      </c>
      <c r="BW92" s="213">
        <v>2.85</v>
      </c>
      <c r="BX92" s="213">
        <v>2.5700000000000003</v>
      </c>
      <c r="BY92" s="213">
        <v>2.71</v>
      </c>
      <c r="BZ92" s="213">
        <v>9.49</v>
      </c>
      <c r="CA92" s="213">
        <v>6.49</v>
      </c>
      <c r="CB92" s="213">
        <v>7.99</v>
      </c>
      <c r="CC92" s="213">
        <v>6.61</v>
      </c>
      <c r="CD92" s="213">
        <v>6.37</v>
      </c>
      <c r="CE92" s="213">
        <v>6.49</v>
      </c>
      <c r="CF92" s="213">
        <v>1.89</v>
      </c>
      <c r="CG92" s="213">
        <v>1.39</v>
      </c>
      <c r="CH92" s="213">
        <v>1.64</v>
      </c>
      <c r="CI92" s="213">
        <v>0.44</v>
      </c>
      <c r="CJ92" s="213">
        <v>0.4</v>
      </c>
      <c r="CK92" s="213">
        <v>0.42000000000000004</v>
      </c>
      <c r="CL92" s="213">
        <v>39.32</v>
      </c>
      <c r="CM92" s="213">
        <v>36.92</v>
      </c>
      <c r="CN92" s="213">
        <v>38.120000000000005</v>
      </c>
      <c r="CO92" s="213">
        <v>7.21</v>
      </c>
      <c r="CP92" s="213">
        <v>2.21</v>
      </c>
      <c r="CQ92" s="213">
        <v>4.71</v>
      </c>
      <c r="CR92" s="213"/>
      <c r="CS92" s="213"/>
    </row>
    <row r="93" spans="1:97">
      <c r="A93" s="424">
        <v>45379</v>
      </c>
      <c r="B93" s="211" t="s">
        <v>250</v>
      </c>
      <c r="C93" s="213">
        <v>152.52000000000001</v>
      </c>
      <c r="D93" s="213">
        <v>150.52000000000001</v>
      </c>
      <c r="E93" s="213">
        <v>151.52000000000001</v>
      </c>
      <c r="F93" s="213">
        <v>165.43</v>
      </c>
      <c r="G93" s="213">
        <v>162.43</v>
      </c>
      <c r="H93" s="213">
        <v>163.93</v>
      </c>
      <c r="I93" s="213">
        <v>113.11</v>
      </c>
      <c r="J93" s="213">
        <v>109.91</v>
      </c>
      <c r="K93" s="213">
        <v>111.50999999999999</v>
      </c>
      <c r="L93" s="213">
        <v>195.32</v>
      </c>
      <c r="M93" s="213">
        <v>187.32</v>
      </c>
      <c r="N93" s="213">
        <v>191.32</v>
      </c>
      <c r="O93" s="213">
        <v>168.09</v>
      </c>
      <c r="P93" s="213">
        <v>166.29</v>
      </c>
      <c r="Q93" s="213">
        <v>167.19</v>
      </c>
      <c r="R93" s="213">
        <v>22.28</v>
      </c>
      <c r="S93" s="213">
        <v>21.68</v>
      </c>
      <c r="T93" s="213">
        <v>21.98</v>
      </c>
      <c r="U93" s="213">
        <v>14.32</v>
      </c>
      <c r="V93" s="213">
        <v>13.72</v>
      </c>
      <c r="W93" s="213">
        <v>14.02</v>
      </c>
      <c r="X93" s="213">
        <v>14.66</v>
      </c>
      <c r="Y93" s="213">
        <v>13.86</v>
      </c>
      <c r="Z93" s="213">
        <v>14.26</v>
      </c>
      <c r="AA93" s="213">
        <v>100.78</v>
      </c>
      <c r="AB93" s="213">
        <v>96.78</v>
      </c>
      <c r="AC93" s="213">
        <v>98.78</v>
      </c>
      <c r="AD93" s="213">
        <v>92.7</v>
      </c>
      <c r="AE93" s="213">
        <v>88.7</v>
      </c>
      <c r="AF93" s="213">
        <v>90.7</v>
      </c>
      <c r="AG93" s="213">
        <v>19.8</v>
      </c>
      <c r="AH93" s="213">
        <v>18.940000000000001</v>
      </c>
      <c r="AI93" s="213">
        <v>19.37</v>
      </c>
      <c r="AJ93" s="213"/>
      <c r="AK93" s="213"/>
      <c r="AL93" s="213"/>
      <c r="AM93" s="213">
        <v>113.2</v>
      </c>
      <c r="AN93" s="213">
        <v>111.54</v>
      </c>
      <c r="AO93" s="213">
        <v>112.37</v>
      </c>
      <c r="AP93" s="213">
        <v>41.27</v>
      </c>
      <c r="AQ93" s="213">
        <v>39.67</v>
      </c>
      <c r="AR93" s="213">
        <v>40.47</v>
      </c>
      <c r="AS93" s="213">
        <v>42.01</v>
      </c>
      <c r="AT93" s="213">
        <v>40.65</v>
      </c>
      <c r="AU93" s="213">
        <v>41.33</v>
      </c>
      <c r="AV93" s="213">
        <v>21.18</v>
      </c>
      <c r="AW93" s="213">
        <v>20.58</v>
      </c>
      <c r="AX93" s="213">
        <v>20.88</v>
      </c>
      <c r="AY93" s="213">
        <v>4.2300000000000004</v>
      </c>
      <c r="AZ93" s="213">
        <v>4.07</v>
      </c>
      <c r="BA93" s="213">
        <v>4.1500000000000004</v>
      </c>
      <c r="BB93" s="213">
        <v>1.98</v>
      </c>
      <c r="BC93" s="213">
        <v>1.68</v>
      </c>
      <c r="BD93" s="213">
        <v>1.83</v>
      </c>
      <c r="BE93" s="213">
        <v>0.7</v>
      </c>
      <c r="BF93" s="213">
        <v>0.39999999999999997</v>
      </c>
      <c r="BG93" s="213">
        <v>0.54999999999999993</v>
      </c>
      <c r="BH93" s="213">
        <v>501.55</v>
      </c>
      <c r="BI93" s="213">
        <v>485.55</v>
      </c>
      <c r="BJ93" s="213">
        <v>493.55</v>
      </c>
      <c r="BK93" s="213">
        <v>42.31</v>
      </c>
      <c r="BL93" s="213">
        <v>40.950000000000003</v>
      </c>
      <c r="BM93" s="213">
        <v>41.63</v>
      </c>
      <c r="BN93" s="213">
        <v>1.08</v>
      </c>
      <c r="BO93" s="213">
        <v>0.84000000000000008</v>
      </c>
      <c r="BP93" s="213">
        <v>0.96000000000000008</v>
      </c>
      <c r="BQ93" s="213">
        <v>10.15</v>
      </c>
      <c r="BR93" s="213">
        <v>8.15</v>
      </c>
      <c r="BS93" s="213">
        <v>9.15</v>
      </c>
      <c r="BT93" s="213">
        <v>11.44</v>
      </c>
      <c r="BU93" s="213">
        <v>11.04</v>
      </c>
      <c r="BV93" s="213">
        <v>11.239999999999998</v>
      </c>
      <c r="BW93" s="213">
        <v>2.86</v>
      </c>
      <c r="BX93" s="213">
        <v>2.58</v>
      </c>
      <c r="BY93" s="213">
        <v>2.7199999999999998</v>
      </c>
      <c r="BZ93" s="213">
        <v>9.49</v>
      </c>
      <c r="CA93" s="213">
        <v>6.49</v>
      </c>
      <c r="CB93" s="213">
        <v>7.99</v>
      </c>
      <c r="CC93" s="213">
        <v>6.6</v>
      </c>
      <c r="CD93" s="213">
        <v>6.3599999999999994</v>
      </c>
      <c r="CE93" s="213">
        <v>6.4799999999999995</v>
      </c>
      <c r="CF93" s="213">
        <v>1.89</v>
      </c>
      <c r="CG93" s="213">
        <v>1.39</v>
      </c>
      <c r="CH93" s="213">
        <v>1.64</v>
      </c>
      <c r="CI93" s="213">
        <v>0.44</v>
      </c>
      <c r="CJ93" s="213">
        <v>0.4</v>
      </c>
      <c r="CK93" s="213">
        <v>0.42000000000000004</v>
      </c>
      <c r="CL93" s="213">
        <v>39.200000000000003</v>
      </c>
      <c r="CM93" s="213">
        <v>36.800000000000004</v>
      </c>
      <c r="CN93" s="213">
        <v>38</v>
      </c>
      <c r="CO93" s="213">
        <v>7.19</v>
      </c>
      <c r="CP93" s="213">
        <v>2.1900000000000004</v>
      </c>
      <c r="CQ93" s="213">
        <v>4.6900000000000004</v>
      </c>
      <c r="CR93" s="213"/>
      <c r="CS93" s="213"/>
    </row>
    <row r="94" spans="1:97">
      <c r="A94" s="424">
        <v>45380</v>
      </c>
      <c r="B94" s="211" t="s">
        <v>251</v>
      </c>
      <c r="C94" s="213">
        <v>152.41</v>
      </c>
      <c r="D94" s="213">
        <v>150.41</v>
      </c>
      <c r="E94" s="213">
        <v>151.41</v>
      </c>
      <c r="F94" s="213">
        <v>164.74</v>
      </c>
      <c r="G94" s="213">
        <v>161.74</v>
      </c>
      <c r="H94" s="213">
        <v>163.24</v>
      </c>
      <c r="I94" s="213">
        <v>113.41</v>
      </c>
      <c r="J94" s="213">
        <v>110.21</v>
      </c>
      <c r="K94" s="213">
        <v>111.81</v>
      </c>
      <c r="L94" s="213">
        <v>195.22</v>
      </c>
      <c r="M94" s="213">
        <v>187.22</v>
      </c>
      <c r="N94" s="213">
        <v>191.22</v>
      </c>
      <c r="O94" s="213">
        <v>168.82</v>
      </c>
      <c r="P94" s="213">
        <v>167.01999999999998</v>
      </c>
      <c r="Q94" s="213">
        <v>167.92</v>
      </c>
      <c r="R94" s="213">
        <v>22.18</v>
      </c>
      <c r="S94" s="213">
        <v>21.58</v>
      </c>
      <c r="T94" s="213">
        <v>21.88</v>
      </c>
      <c r="U94" s="213">
        <v>14.24</v>
      </c>
      <c r="V94" s="213">
        <v>13.64</v>
      </c>
      <c r="W94" s="213">
        <v>13.940000000000001</v>
      </c>
      <c r="X94" s="213">
        <v>14.55</v>
      </c>
      <c r="Y94" s="213">
        <v>13.75</v>
      </c>
      <c r="Z94" s="213">
        <v>14.15</v>
      </c>
      <c r="AA94" s="213">
        <v>100.61</v>
      </c>
      <c r="AB94" s="213">
        <v>96.61</v>
      </c>
      <c r="AC94" s="213">
        <v>98.61</v>
      </c>
      <c r="AD94" s="213">
        <v>92.5</v>
      </c>
      <c r="AE94" s="213">
        <v>88.5</v>
      </c>
      <c r="AF94" s="213">
        <v>90.5</v>
      </c>
      <c r="AG94" s="213">
        <v>19.77</v>
      </c>
      <c r="AH94" s="213">
        <v>18.91</v>
      </c>
      <c r="AI94" s="213">
        <v>19.34</v>
      </c>
      <c r="AJ94" s="213"/>
      <c r="AK94" s="213"/>
      <c r="AL94" s="213"/>
      <c r="AM94" s="213">
        <v>112.94</v>
      </c>
      <c r="AN94" s="213">
        <v>111.28</v>
      </c>
      <c r="AO94" s="213">
        <v>112.11</v>
      </c>
      <c r="AP94" s="213">
        <v>41.11</v>
      </c>
      <c r="AQ94" s="213">
        <v>39.51</v>
      </c>
      <c r="AR94" s="213">
        <v>40.31</v>
      </c>
      <c r="AS94" s="213">
        <v>41.98</v>
      </c>
      <c r="AT94" s="213">
        <v>40.619999999999997</v>
      </c>
      <c r="AU94" s="213">
        <v>41.3</v>
      </c>
      <c r="AV94" s="213">
        <v>21.13</v>
      </c>
      <c r="AW94" s="213">
        <v>20.529999999999998</v>
      </c>
      <c r="AX94" s="213">
        <v>20.83</v>
      </c>
      <c r="AY94" s="213">
        <v>4.24</v>
      </c>
      <c r="AZ94" s="213">
        <v>4.08</v>
      </c>
      <c r="BA94" s="213">
        <v>4.16</v>
      </c>
      <c r="BB94" s="213">
        <v>1.98</v>
      </c>
      <c r="BC94" s="213">
        <v>1.68</v>
      </c>
      <c r="BD94" s="213">
        <v>1.83</v>
      </c>
      <c r="BE94" s="213">
        <v>0.7</v>
      </c>
      <c r="BF94" s="213">
        <v>0.39999999999999997</v>
      </c>
      <c r="BG94" s="213">
        <v>0.54999999999999993</v>
      </c>
      <c r="BH94" s="213">
        <v>501.03</v>
      </c>
      <c r="BI94" s="213">
        <v>485.03</v>
      </c>
      <c r="BJ94" s="213">
        <v>493.03</v>
      </c>
      <c r="BK94" s="213">
        <v>42.28</v>
      </c>
      <c r="BL94" s="213">
        <v>40.92</v>
      </c>
      <c r="BM94" s="213">
        <v>41.6</v>
      </c>
      <c r="BN94" s="213">
        <v>1.08</v>
      </c>
      <c r="BO94" s="213">
        <v>0.84000000000000008</v>
      </c>
      <c r="BP94" s="213">
        <v>0.96000000000000008</v>
      </c>
      <c r="BQ94" s="213">
        <v>10.130000000000001</v>
      </c>
      <c r="BR94" s="213">
        <v>8.1300000000000008</v>
      </c>
      <c r="BS94" s="213">
        <v>9.1300000000000008</v>
      </c>
      <c r="BT94" s="213">
        <v>11.45</v>
      </c>
      <c r="BU94" s="213">
        <v>11.049999999999999</v>
      </c>
      <c r="BV94" s="213">
        <v>11.25</v>
      </c>
      <c r="BW94" s="213">
        <v>2.85</v>
      </c>
      <c r="BX94" s="213">
        <v>2.5700000000000003</v>
      </c>
      <c r="BY94" s="213">
        <v>2.71</v>
      </c>
      <c r="BZ94" s="213">
        <v>9.49</v>
      </c>
      <c r="CA94" s="213">
        <v>6.49</v>
      </c>
      <c r="CB94" s="213">
        <v>7.99</v>
      </c>
      <c r="CC94" s="213">
        <v>6.59</v>
      </c>
      <c r="CD94" s="213">
        <v>6.35</v>
      </c>
      <c r="CE94" s="213">
        <v>6.47</v>
      </c>
      <c r="CF94" s="213">
        <v>1.89</v>
      </c>
      <c r="CG94" s="213">
        <v>1.39</v>
      </c>
      <c r="CH94" s="213">
        <v>1.64</v>
      </c>
      <c r="CI94" s="213">
        <v>0.43</v>
      </c>
      <c r="CJ94" s="213">
        <v>0.39</v>
      </c>
      <c r="CK94" s="213">
        <v>0.41000000000000003</v>
      </c>
      <c r="CL94" s="213">
        <v>39.17</v>
      </c>
      <c r="CM94" s="213">
        <v>36.770000000000003</v>
      </c>
      <c r="CN94" s="213">
        <v>37.97</v>
      </c>
      <c r="CO94" s="213">
        <v>7.18</v>
      </c>
      <c r="CP94" s="213">
        <v>2.1799999999999997</v>
      </c>
      <c r="CQ94" s="213">
        <v>4.68</v>
      </c>
      <c r="CR94" s="213"/>
      <c r="CS94" s="213"/>
    </row>
    <row r="95" spans="1:97">
      <c r="A95" s="424">
        <v>45381</v>
      </c>
      <c r="B95" s="211" t="s">
        <v>252</v>
      </c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213"/>
      <c r="R95" s="213"/>
      <c r="S95" s="213"/>
      <c r="T95" s="213"/>
      <c r="U95" s="213"/>
      <c r="V95" s="213"/>
      <c r="W95" s="213"/>
      <c r="X95" s="213"/>
      <c r="Y95" s="213"/>
      <c r="Z95" s="213"/>
      <c r="AA95" s="213"/>
      <c r="AB95" s="213"/>
      <c r="AC95" s="213"/>
      <c r="AD95" s="213"/>
      <c r="AE95" s="213"/>
      <c r="AF95" s="213"/>
      <c r="AG95" s="213"/>
      <c r="AH95" s="213"/>
      <c r="AI95" s="213"/>
      <c r="AJ95" s="213"/>
      <c r="AK95" s="213"/>
      <c r="AL95" s="213"/>
      <c r="AM95" s="213"/>
      <c r="AN95" s="213"/>
      <c r="AO95" s="213"/>
      <c r="AP95" s="213"/>
      <c r="AQ95" s="213"/>
      <c r="AR95" s="213"/>
      <c r="AS95" s="213"/>
      <c r="AT95" s="213"/>
      <c r="AU95" s="213"/>
      <c r="AV95" s="213"/>
      <c r="AW95" s="213"/>
      <c r="AX95" s="213"/>
      <c r="AY95" s="213"/>
      <c r="AZ95" s="213"/>
      <c r="BA95" s="213"/>
      <c r="BB95" s="213"/>
      <c r="BC95" s="213"/>
      <c r="BD95" s="213"/>
      <c r="BE95" s="213"/>
      <c r="BF95" s="213"/>
      <c r="BG95" s="213"/>
      <c r="BH95" s="213"/>
      <c r="BI95" s="213"/>
      <c r="BJ95" s="213"/>
      <c r="BK95" s="213"/>
      <c r="BL95" s="213"/>
      <c r="BM95" s="213"/>
      <c r="BN95" s="213"/>
      <c r="BO95" s="213"/>
      <c r="BP95" s="213"/>
      <c r="BQ95" s="213"/>
      <c r="BR95" s="213"/>
      <c r="BS95" s="213"/>
      <c r="BT95" s="213"/>
      <c r="BU95" s="213"/>
      <c r="BV95" s="213"/>
      <c r="BW95" s="213"/>
      <c r="BX95" s="213"/>
      <c r="BY95" s="213"/>
      <c r="BZ95" s="213"/>
      <c r="CA95" s="213"/>
      <c r="CB95" s="213"/>
      <c r="CC95" s="213"/>
      <c r="CD95" s="213"/>
      <c r="CE95" s="213"/>
      <c r="CF95" s="213"/>
      <c r="CG95" s="213"/>
      <c r="CH95" s="213"/>
      <c r="CI95" s="213"/>
      <c r="CJ95" s="213"/>
      <c r="CK95" s="213"/>
      <c r="CL95" s="213"/>
      <c r="CM95" s="213"/>
      <c r="CN95" s="213"/>
      <c r="CO95" s="213"/>
      <c r="CP95" s="213"/>
      <c r="CQ95" s="213"/>
      <c r="CR95" s="213"/>
      <c r="CS95" s="213"/>
    </row>
    <row r="96" spans="1:97">
      <c r="A96" s="424">
        <v>45382</v>
      </c>
      <c r="B96" s="211" t="s">
        <v>253</v>
      </c>
      <c r="C96" s="213"/>
      <c r="D96" s="213"/>
      <c r="E96" s="213"/>
      <c r="F96" s="213"/>
      <c r="G96" s="213"/>
      <c r="H96" s="213"/>
      <c r="I96" s="213"/>
      <c r="J96" s="213"/>
      <c r="K96" s="213"/>
      <c r="L96" s="213"/>
      <c r="M96" s="213"/>
      <c r="N96" s="213"/>
      <c r="O96" s="213"/>
      <c r="P96" s="213"/>
      <c r="Q96" s="213"/>
      <c r="R96" s="213"/>
      <c r="S96" s="213"/>
      <c r="T96" s="213"/>
      <c r="U96" s="213"/>
      <c r="V96" s="213"/>
      <c r="W96" s="213"/>
      <c r="X96" s="213"/>
      <c r="Y96" s="213"/>
      <c r="Z96" s="213"/>
      <c r="AA96" s="213"/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3"/>
      <c r="AP96" s="213"/>
      <c r="AQ96" s="213"/>
      <c r="AR96" s="213"/>
      <c r="AS96" s="213"/>
      <c r="AT96" s="213"/>
      <c r="AU96" s="213"/>
      <c r="AV96" s="213"/>
      <c r="AW96" s="213"/>
      <c r="AX96" s="213"/>
      <c r="AY96" s="213"/>
      <c r="AZ96" s="213"/>
      <c r="BA96" s="213"/>
      <c r="BB96" s="213"/>
      <c r="BC96" s="213"/>
      <c r="BD96" s="213"/>
      <c r="BE96" s="213"/>
      <c r="BF96" s="213"/>
      <c r="BG96" s="213"/>
      <c r="BH96" s="213"/>
      <c r="BI96" s="213"/>
      <c r="BJ96" s="213"/>
      <c r="BK96" s="213"/>
      <c r="BL96" s="213"/>
      <c r="BM96" s="213"/>
      <c r="BN96" s="213"/>
      <c r="BO96" s="213"/>
      <c r="BP96" s="213"/>
      <c r="BQ96" s="213"/>
      <c r="BR96" s="213"/>
      <c r="BS96" s="213"/>
      <c r="BT96" s="213"/>
      <c r="BU96" s="213"/>
      <c r="BV96" s="213"/>
      <c r="BW96" s="213"/>
      <c r="BX96" s="213"/>
      <c r="BY96" s="213"/>
      <c r="BZ96" s="213"/>
      <c r="CA96" s="213"/>
      <c r="CB96" s="213"/>
      <c r="CC96" s="213"/>
      <c r="CD96" s="213"/>
      <c r="CE96" s="213"/>
      <c r="CF96" s="213"/>
      <c r="CG96" s="213"/>
      <c r="CH96" s="213"/>
      <c r="CI96" s="213"/>
      <c r="CJ96" s="213"/>
      <c r="CK96" s="213"/>
      <c r="CL96" s="213"/>
      <c r="CM96" s="213"/>
      <c r="CN96" s="213"/>
      <c r="CO96" s="213"/>
      <c r="CP96" s="213"/>
      <c r="CQ96" s="213"/>
      <c r="CR96" s="213"/>
      <c r="CS96" s="213"/>
    </row>
    <row r="97" spans="1:97">
      <c r="A97" s="424">
        <v>45383</v>
      </c>
      <c r="B97" s="211" t="s">
        <v>247</v>
      </c>
      <c r="C97" s="213">
        <v>152.43</v>
      </c>
      <c r="D97" s="213">
        <v>150.43</v>
      </c>
      <c r="E97" s="213">
        <v>151.43</v>
      </c>
      <c r="F97" s="213">
        <v>164.92</v>
      </c>
      <c r="G97" s="213">
        <v>161.91999999999999</v>
      </c>
      <c r="H97" s="213">
        <v>163.41999999999999</v>
      </c>
      <c r="I97" s="213">
        <v>113.6</v>
      </c>
      <c r="J97" s="213">
        <v>110.39999999999999</v>
      </c>
      <c r="K97" s="213">
        <v>112</v>
      </c>
      <c r="L97" s="213">
        <v>195.35</v>
      </c>
      <c r="M97" s="213">
        <v>187.35</v>
      </c>
      <c r="N97" s="213">
        <v>191.35</v>
      </c>
      <c r="O97" s="213">
        <v>168.82</v>
      </c>
      <c r="P97" s="213">
        <v>167.01999999999998</v>
      </c>
      <c r="Q97" s="213">
        <v>167.92</v>
      </c>
      <c r="R97" s="213">
        <v>22.21</v>
      </c>
      <c r="S97" s="213">
        <v>21.61</v>
      </c>
      <c r="T97" s="213">
        <v>21.91</v>
      </c>
      <c r="U97" s="213">
        <v>14.27</v>
      </c>
      <c r="V97" s="213">
        <v>13.67</v>
      </c>
      <c r="W97" s="213">
        <v>13.969999999999999</v>
      </c>
      <c r="X97" s="213">
        <v>14.58</v>
      </c>
      <c r="Y97" s="213">
        <v>13.78</v>
      </c>
      <c r="Z97" s="213">
        <v>14.18</v>
      </c>
      <c r="AA97" s="213">
        <v>100.96</v>
      </c>
      <c r="AB97" s="213">
        <v>96.96</v>
      </c>
      <c r="AC97" s="213">
        <v>98.96</v>
      </c>
      <c r="AD97" s="213">
        <v>92.74</v>
      </c>
      <c r="AE97" s="213">
        <v>88.74</v>
      </c>
      <c r="AF97" s="213">
        <v>90.74</v>
      </c>
      <c r="AG97" s="213">
        <v>19.78</v>
      </c>
      <c r="AH97" s="213">
        <v>18.920000000000002</v>
      </c>
      <c r="AI97" s="213">
        <v>19.350000000000001</v>
      </c>
      <c r="AJ97" s="213"/>
      <c r="AK97" s="213"/>
      <c r="AL97" s="213"/>
      <c r="AM97" s="213">
        <v>113.18</v>
      </c>
      <c r="AN97" s="213">
        <v>111.52000000000001</v>
      </c>
      <c r="AO97" s="213">
        <v>112.35000000000001</v>
      </c>
      <c r="AP97" s="213">
        <v>41.24</v>
      </c>
      <c r="AQ97" s="213">
        <v>39.64</v>
      </c>
      <c r="AR97" s="213">
        <v>40.44</v>
      </c>
      <c r="AS97" s="213">
        <v>41.99</v>
      </c>
      <c r="AT97" s="213">
        <v>40.630000000000003</v>
      </c>
      <c r="AU97" s="213">
        <v>41.31</v>
      </c>
      <c r="AV97" s="213">
        <v>21.18</v>
      </c>
      <c r="AW97" s="213">
        <v>20.58</v>
      </c>
      <c r="AX97" s="213">
        <v>20.88</v>
      </c>
      <c r="AY97" s="213">
        <v>4.25</v>
      </c>
      <c r="AZ97" s="213">
        <v>4.09</v>
      </c>
      <c r="BA97" s="213">
        <v>4.17</v>
      </c>
      <c r="BB97" s="213">
        <v>1.98</v>
      </c>
      <c r="BC97" s="213">
        <v>1.68</v>
      </c>
      <c r="BD97" s="213">
        <v>1.83</v>
      </c>
      <c r="BE97" s="213">
        <v>0.7</v>
      </c>
      <c r="BF97" s="213">
        <v>0.39999999999999997</v>
      </c>
      <c r="BG97" s="213">
        <v>0.54999999999999993</v>
      </c>
      <c r="BH97" s="213">
        <v>501.1</v>
      </c>
      <c r="BI97" s="213">
        <v>485.1</v>
      </c>
      <c r="BJ97" s="213">
        <v>493.1</v>
      </c>
      <c r="BK97" s="213">
        <v>42.28</v>
      </c>
      <c r="BL97" s="213">
        <v>40.92</v>
      </c>
      <c r="BM97" s="213">
        <v>41.6</v>
      </c>
      <c r="BN97" s="213">
        <v>1.08</v>
      </c>
      <c r="BO97" s="213">
        <v>0.84000000000000008</v>
      </c>
      <c r="BP97" s="213">
        <v>0.96000000000000008</v>
      </c>
      <c r="BQ97" s="213">
        <v>10.15</v>
      </c>
      <c r="BR97" s="213">
        <v>8.15</v>
      </c>
      <c r="BS97" s="213">
        <v>9.15</v>
      </c>
      <c r="BT97" s="213">
        <v>11.47</v>
      </c>
      <c r="BU97" s="213">
        <v>11.07</v>
      </c>
      <c r="BV97" s="213">
        <v>11.27</v>
      </c>
      <c r="BW97" s="213">
        <v>2.85</v>
      </c>
      <c r="BX97" s="213">
        <v>2.5700000000000003</v>
      </c>
      <c r="BY97" s="213">
        <v>2.71</v>
      </c>
      <c r="BZ97" s="213">
        <v>9.5299999999999994</v>
      </c>
      <c r="CA97" s="213">
        <v>6.5299999999999994</v>
      </c>
      <c r="CB97" s="213">
        <v>8.0299999999999994</v>
      </c>
      <c r="CC97" s="213">
        <v>6.6</v>
      </c>
      <c r="CD97" s="213">
        <v>6.3599999999999994</v>
      </c>
      <c r="CE97" s="213">
        <v>6.4799999999999995</v>
      </c>
      <c r="CF97" s="213">
        <v>1.89</v>
      </c>
      <c r="CG97" s="213">
        <v>1.39</v>
      </c>
      <c r="CH97" s="213">
        <v>1.64</v>
      </c>
      <c r="CI97" s="213">
        <v>0.44</v>
      </c>
      <c r="CJ97" s="213">
        <v>0.4</v>
      </c>
      <c r="CK97" s="213">
        <v>0.42000000000000004</v>
      </c>
      <c r="CL97" s="213">
        <v>39.25</v>
      </c>
      <c r="CM97" s="213">
        <v>36.85</v>
      </c>
      <c r="CN97" s="213">
        <v>38.049999999999997</v>
      </c>
      <c r="CO97" s="213">
        <v>7.18</v>
      </c>
      <c r="CP97" s="213">
        <v>2.1799999999999997</v>
      </c>
      <c r="CQ97" s="213">
        <v>4.68</v>
      </c>
      <c r="CR97" s="213"/>
      <c r="CS97" s="213"/>
    </row>
    <row r="98" spans="1:97">
      <c r="A98" s="424">
        <v>45384</v>
      </c>
      <c r="B98" s="211" t="s">
        <v>248</v>
      </c>
      <c r="C98" s="213">
        <v>152.76</v>
      </c>
      <c r="D98" s="213">
        <v>150.76</v>
      </c>
      <c r="E98" s="213">
        <v>151.76</v>
      </c>
      <c r="F98" s="213">
        <v>164.48</v>
      </c>
      <c r="G98" s="213">
        <v>161.47999999999999</v>
      </c>
      <c r="H98" s="213">
        <v>162.97999999999999</v>
      </c>
      <c r="I98" s="213">
        <v>113.4</v>
      </c>
      <c r="J98" s="213">
        <v>110.2</v>
      </c>
      <c r="K98" s="213">
        <v>111.80000000000001</v>
      </c>
      <c r="L98" s="213">
        <v>194.4</v>
      </c>
      <c r="M98" s="213">
        <v>186.4</v>
      </c>
      <c r="N98" s="213">
        <v>190.4</v>
      </c>
      <c r="O98" s="213">
        <v>168.54</v>
      </c>
      <c r="P98" s="213">
        <v>166.73999999999998</v>
      </c>
      <c r="Q98" s="213">
        <v>167.64</v>
      </c>
      <c r="R98" s="213">
        <v>22.15</v>
      </c>
      <c r="S98" s="213">
        <v>21.549999999999997</v>
      </c>
      <c r="T98" s="213">
        <v>21.849999999999998</v>
      </c>
      <c r="U98" s="213">
        <v>14.14</v>
      </c>
      <c r="V98" s="213">
        <v>13.540000000000001</v>
      </c>
      <c r="W98" s="213">
        <v>13.84</v>
      </c>
      <c r="X98" s="213">
        <v>14.45</v>
      </c>
      <c r="Y98" s="213">
        <v>13.649999999999999</v>
      </c>
      <c r="Z98" s="213">
        <v>14.049999999999999</v>
      </c>
      <c r="AA98" s="213">
        <v>100.51</v>
      </c>
      <c r="AB98" s="213">
        <v>96.51</v>
      </c>
      <c r="AC98" s="213">
        <v>98.51</v>
      </c>
      <c r="AD98" s="213">
        <v>92.27</v>
      </c>
      <c r="AE98" s="213">
        <v>88.27</v>
      </c>
      <c r="AF98" s="213">
        <v>90.27</v>
      </c>
      <c r="AG98" s="213">
        <v>19.82</v>
      </c>
      <c r="AH98" s="213">
        <v>18.96</v>
      </c>
      <c r="AI98" s="213">
        <v>19.39</v>
      </c>
      <c r="AJ98" s="213"/>
      <c r="AK98" s="213"/>
      <c r="AL98" s="213"/>
      <c r="AM98" s="213">
        <v>113.01</v>
      </c>
      <c r="AN98" s="213">
        <v>111.35000000000001</v>
      </c>
      <c r="AO98" s="213">
        <v>112.18</v>
      </c>
      <c r="AP98" s="213">
        <v>41.32</v>
      </c>
      <c r="AQ98" s="213">
        <v>39.72</v>
      </c>
      <c r="AR98" s="213">
        <v>40.519999999999996</v>
      </c>
      <c r="AS98" s="213">
        <v>42.08</v>
      </c>
      <c r="AT98" s="213">
        <v>40.72</v>
      </c>
      <c r="AU98" s="213">
        <v>41.4</v>
      </c>
      <c r="AV98" s="213">
        <v>21.2</v>
      </c>
      <c r="AW98" s="213">
        <v>20.599999999999998</v>
      </c>
      <c r="AX98" s="213">
        <v>20.9</v>
      </c>
      <c r="AY98" s="213">
        <v>4.2300000000000004</v>
      </c>
      <c r="AZ98" s="213">
        <v>4.07</v>
      </c>
      <c r="BA98" s="213">
        <v>4.1500000000000004</v>
      </c>
      <c r="BB98" s="213">
        <v>1.98</v>
      </c>
      <c r="BC98" s="213">
        <v>1.68</v>
      </c>
      <c r="BD98" s="213">
        <v>1.83</v>
      </c>
      <c r="BE98" s="213">
        <v>0.7</v>
      </c>
      <c r="BF98" s="213">
        <v>0.39999999999999997</v>
      </c>
      <c r="BG98" s="213">
        <v>0.54999999999999993</v>
      </c>
      <c r="BH98" s="213">
        <v>502.01</v>
      </c>
      <c r="BI98" s="213">
        <v>486.01</v>
      </c>
      <c r="BJ98" s="213">
        <v>494.01</v>
      </c>
      <c r="BK98" s="213">
        <v>42.38</v>
      </c>
      <c r="BL98" s="213">
        <v>41.02</v>
      </c>
      <c r="BM98" s="213">
        <v>41.7</v>
      </c>
      <c r="BN98" s="213">
        <v>1.08</v>
      </c>
      <c r="BO98" s="213">
        <v>0.84000000000000008</v>
      </c>
      <c r="BP98" s="213">
        <v>0.96000000000000008</v>
      </c>
      <c r="BQ98" s="213">
        <v>10.14</v>
      </c>
      <c r="BR98" s="213">
        <v>8.14</v>
      </c>
      <c r="BS98" s="213">
        <v>9.14</v>
      </c>
      <c r="BT98" s="213">
        <v>11.42</v>
      </c>
      <c r="BU98" s="213">
        <v>11.02</v>
      </c>
      <c r="BV98" s="213">
        <v>11.219999999999999</v>
      </c>
      <c r="BW98" s="213">
        <v>2.86</v>
      </c>
      <c r="BX98" s="213">
        <v>2.58</v>
      </c>
      <c r="BY98" s="213">
        <v>2.7199999999999998</v>
      </c>
      <c r="BZ98" s="213">
        <v>9.52</v>
      </c>
      <c r="CA98" s="213">
        <v>6.52</v>
      </c>
      <c r="CB98" s="213">
        <v>8.02</v>
      </c>
      <c r="CC98" s="213">
        <v>6.58</v>
      </c>
      <c r="CD98" s="213">
        <v>6.34</v>
      </c>
      <c r="CE98" s="213">
        <v>6.46</v>
      </c>
      <c r="CF98" s="213">
        <v>1.9</v>
      </c>
      <c r="CG98" s="213">
        <v>1.4</v>
      </c>
      <c r="CH98" s="213">
        <v>1.65</v>
      </c>
      <c r="CI98" s="213">
        <v>0.43</v>
      </c>
      <c r="CJ98" s="213">
        <v>0.39</v>
      </c>
      <c r="CK98" s="213">
        <v>0.41000000000000003</v>
      </c>
      <c r="CL98" s="213">
        <v>39.17</v>
      </c>
      <c r="CM98" s="213">
        <v>36.770000000000003</v>
      </c>
      <c r="CN98" s="213">
        <v>37.97</v>
      </c>
      <c r="CO98" s="213">
        <v>7.2</v>
      </c>
      <c r="CP98" s="213">
        <v>2.2000000000000002</v>
      </c>
      <c r="CQ98" s="213">
        <v>4.7</v>
      </c>
      <c r="CR98" s="213"/>
      <c r="CS98" s="213"/>
    </row>
    <row r="99" spans="1:97">
      <c r="A99" s="424">
        <v>45385</v>
      </c>
      <c r="B99" s="211" t="s">
        <v>249</v>
      </c>
      <c r="C99" s="213">
        <v>152.6</v>
      </c>
      <c r="D99" s="213">
        <v>150.6</v>
      </c>
      <c r="E99" s="213">
        <v>151.6</v>
      </c>
      <c r="F99" s="213">
        <v>164.8</v>
      </c>
      <c r="G99" s="213">
        <v>161.80000000000001</v>
      </c>
      <c r="H99" s="213">
        <v>163.30000000000001</v>
      </c>
      <c r="I99" s="213">
        <v>113.35</v>
      </c>
      <c r="J99" s="213">
        <v>110.14999999999999</v>
      </c>
      <c r="K99" s="213">
        <v>111.75</v>
      </c>
      <c r="L99" s="213">
        <v>194.64</v>
      </c>
      <c r="M99" s="213">
        <v>186.64</v>
      </c>
      <c r="N99" s="213">
        <v>190.64</v>
      </c>
      <c r="O99" s="213">
        <v>167.84</v>
      </c>
      <c r="P99" s="213">
        <v>166.04</v>
      </c>
      <c r="Q99" s="213">
        <v>166.94</v>
      </c>
      <c r="R99" s="213">
        <v>22.19</v>
      </c>
      <c r="S99" s="213">
        <v>21.59</v>
      </c>
      <c r="T99" s="213">
        <v>21.89</v>
      </c>
      <c r="U99" s="213">
        <v>14.29</v>
      </c>
      <c r="V99" s="213">
        <v>13.69</v>
      </c>
      <c r="W99" s="213">
        <v>13.989999999999998</v>
      </c>
      <c r="X99" s="213">
        <v>14.51</v>
      </c>
      <c r="Y99" s="213">
        <v>13.709999999999999</v>
      </c>
      <c r="Z99" s="213">
        <v>14.11</v>
      </c>
      <c r="AA99" s="213">
        <v>100.71</v>
      </c>
      <c r="AB99" s="213">
        <v>96.71</v>
      </c>
      <c r="AC99" s="213">
        <v>98.71</v>
      </c>
      <c r="AD99" s="213">
        <v>92.41</v>
      </c>
      <c r="AE99" s="213">
        <v>88.41</v>
      </c>
      <c r="AF99" s="213">
        <v>90.41</v>
      </c>
      <c r="AG99" s="213">
        <v>19.79</v>
      </c>
      <c r="AH99" s="213">
        <v>18.93</v>
      </c>
      <c r="AI99" s="213">
        <v>19.36</v>
      </c>
      <c r="AJ99" s="213"/>
      <c r="AK99" s="213"/>
      <c r="AL99" s="213"/>
      <c r="AM99" s="213">
        <v>113.02</v>
      </c>
      <c r="AN99" s="213">
        <v>111.36</v>
      </c>
      <c r="AO99" s="213">
        <v>112.19</v>
      </c>
      <c r="AP99" s="213">
        <v>41.18</v>
      </c>
      <c r="AQ99" s="213">
        <v>39.58</v>
      </c>
      <c r="AR99" s="213">
        <v>40.379999999999995</v>
      </c>
      <c r="AS99" s="213">
        <v>42.03</v>
      </c>
      <c r="AT99" s="213">
        <v>40.67</v>
      </c>
      <c r="AU99" s="213">
        <v>41.35</v>
      </c>
      <c r="AV99" s="213">
        <v>21.2</v>
      </c>
      <c r="AW99" s="213">
        <v>20.599999999999998</v>
      </c>
      <c r="AX99" s="213">
        <v>20.9</v>
      </c>
      <c r="AY99" s="213">
        <v>4.22</v>
      </c>
      <c r="AZ99" s="213">
        <v>4.0599999999999996</v>
      </c>
      <c r="BA99" s="213">
        <v>4.1399999999999997</v>
      </c>
      <c r="BB99" s="213">
        <v>1.98</v>
      </c>
      <c r="BC99" s="213">
        <v>1.68</v>
      </c>
      <c r="BD99" s="213">
        <v>1.83</v>
      </c>
      <c r="BE99" s="213">
        <v>0.7</v>
      </c>
      <c r="BF99" s="213">
        <v>0.39999999999999997</v>
      </c>
      <c r="BG99" s="213">
        <v>0.54999999999999993</v>
      </c>
      <c r="BH99" s="213">
        <v>501.65</v>
      </c>
      <c r="BI99" s="213">
        <v>485.65</v>
      </c>
      <c r="BJ99" s="213">
        <v>493.65</v>
      </c>
      <c r="BK99" s="213">
        <v>42.34</v>
      </c>
      <c r="BL99" s="213">
        <v>40.980000000000004</v>
      </c>
      <c r="BM99" s="213">
        <v>41.660000000000004</v>
      </c>
      <c r="BN99" s="213">
        <v>1.08</v>
      </c>
      <c r="BO99" s="213">
        <v>0.84000000000000008</v>
      </c>
      <c r="BP99" s="213">
        <v>0.96000000000000008</v>
      </c>
      <c r="BQ99" s="213">
        <v>10.15</v>
      </c>
      <c r="BR99" s="213">
        <v>8.15</v>
      </c>
      <c r="BS99" s="213">
        <v>9.15</v>
      </c>
      <c r="BT99" s="213">
        <v>11.45</v>
      </c>
      <c r="BU99" s="213">
        <v>11.049999999999999</v>
      </c>
      <c r="BV99" s="213">
        <v>11.25</v>
      </c>
      <c r="BW99" s="213">
        <v>2.85</v>
      </c>
      <c r="BX99" s="213">
        <v>2.5700000000000003</v>
      </c>
      <c r="BY99" s="213">
        <v>2.71</v>
      </c>
      <c r="BZ99" s="213">
        <v>9.57</v>
      </c>
      <c r="CA99" s="213">
        <v>6.57</v>
      </c>
      <c r="CB99" s="213">
        <v>8.07</v>
      </c>
      <c r="CC99" s="213">
        <v>6.58</v>
      </c>
      <c r="CD99" s="213">
        <v>6.34</v>
      </c>
      <c r="CE99" s="213">
        <v>6.46</v>
      </c>
      <c r="CF99" s="213">
        <v>1.89</v>
      </c>
      <c r="CG99" s="213">
        <v>1.39</v>
      </c>
      <c r="CH99" s="213">
        <v>1.64</v>
      </c>
      <c r="CI99" s="213">
        <v>0.43</v>
      </c>
      <c r="CJ99" s="213">
        <v>0.39</v>
      </c>
      <c r="CK99" s="213">
        <v>0.41000000000000003</v>
      </c>
      <c r="CL99" s="213">
        <v>39.229999999999997</v>
      </c>
      <c r="CM99" s="213">
        <v>36.83</v>
      </c>
      <c r="CN99" s="213">
        <v>38.03</v>
      </c>
      <c r="CO99" s="213">
        <v>7.22</v>
      </c>
      <c r="CP99" s="213">
        <v>2.2199999999999998</v>
      </c>
      <c r="CQ99" s="213">
        <v>4.72</v>
      </c>
      <c r="CR99" s="213"/>
      <c r="CS99" s="213"/>
    </row>
    <row r="100" spans="1:97">
      <c r="A100" s="424">
        <v>45386</v>
      </c>
      <c r="B100" s="211" t="s">
        <v>250</v>
      </c>
      <c r="C100" s="213">
        <v>152.74</v>
      </c>
      <c r="D100" s="213">
        <v>150.74</v>
      </c>
      <c r="E100" s="213">
        <v>151.74</v>
      </c>
      <c r="F100" s="213">
        <v>166.02</v>
      </c>
      <c r="G100" s="213">
        <v>163.02000000000001</v>
      </c>
      <c r="H100" s="213">
        <v>164.52</v>
      </c>
      <c r="I100" s="213">
        <v>113.85</v>
      </c>
      <c r="J100" s="213">
        <v>110.64999999999999</v>
      </c>
      <c r="K100" s="213">
        <v>112.25</v>
      </c>
      <c r="L100" s="213">
        <v>195.98</v>
      </c>
      <c r="M100" s="213">
        <v>187.98</v>
      </c>
      <c r="N100" s="213">
        <v>191.98</v>
      </c>
      <c r="O100" s="213">
        <v>168.92</v>
      </c>
      <c r="P100" s="213">
        <v>167.11999999999998</v>
      </c>
      <c r="Q100" s="213">
        <v>168.01999999999998</v>
      </c>
      <c r="R100" s="213">
        <v>22.35</v>
      </c>
      <c r="S100" s="213">
        <v>21.75</v>
      </c>
      <c r="T100" s="213">
        <v>22.05</v>
      </c>
      <c r="U100" s="213">
        <v>14.47</v>
      </c>
      <c r="V100" s="213">
        <v>13.870000000000001</v>
      </c>
      <c r="W100" s="213">
        <v>14.170000000000002</v>
      </c>
      <c r="X100" s="213">
        <v>14.67</v>
      </c>
      <c r="Y100" s="213">
        <v>13.87</v>
      </c>
      <c r="Z100" s="213">
        <v>14.27</v>
      </c>
      <c r="AA100" s="213">
        <v>101.77</v>
      </c>
      <c r="AB100" s="213">
        <v>97.77</v>
      </c>
      <c r="AC100" s="213">
        <v>99.77</v>
      </c>
      <c r="AD100" s="213">
        <v>93.41</v>
      </c>
      <c r="AE100" s="213">
        <v>89.41</v>
      </c>
      <c r="AF100" s="213">
        <v>91.41</v>
      </c>
      <c r="AG100" s="213">
        <v>19.809999999999999</v>
      </c>
      <c r="AH100" s="213">
        <v>18.95</v>
      </c>
      <c r="AI100" s="213">
        <v>19.38</v>
      </c>
      <c r="AJ100" s="213"/>
      <c r="AK100" s="213"/>
      <c r="AL100" s="213"/>
      <c r="AM100" s="213">
        <v>113.41</v>
      </c>
      <c r="AN100" s="213">
        <v>111.75</v>
      </c>
      <c r="AO100" s="213">
        <v>112.58</v>
      </c>
      <c r="AP100" s="213">
        <v>41.32</v>
      </c>
      <c r="AQ100" s="213">
        <v>39.72</v>
      </c>
      <c r="AR100" s="213">
        <v>40.519999999999996</v>
      </c>
      <c r="AS100" s="213">
        <v>42.07</v>
      </c>
      <c r="AT100" s="213">
        <v>40.71</v>
      </c>
      <c r="AU100" s="213">
        <v>41.39</v>
      </c>
      <c r="AV100" s="213">
        <v>21.23</v>
      </c>
      <c r="AW100" s="213">
        <v>20.63</v>
      </c>
      <c r="AX100" s="213">
        <v>20.93</v>
      </c>
      <c r="AY100" s="213">
        <v>4.2300000000000004</v>
      </c>
      <c r="AZ100" s="213">
        <v>4.07</v>
      </c>
      <c r="BA100" s="213">
        <v>4.1500000000000004</v>
      </c>
      <c r="BB100" s="213">
        <v>1.98</v>
      </c>
      <c r="BC100" s="213">
        <v>1.68</v>
      </c>
      <c r="BD100" s="213">
        <v>1.83</v>
      </c>
      <c r="BE100" s="213">
        <v>0.7</v>
      </c>
      <c r="BF100" s="213">
        <v>0.39999999999999997</v>
      </c>
      <c r="BG100" s="213">
        <v>0.54999999999999993</v>
      </c>
      <c r="BH100" s="213">
        <v>502.43</v>
      </c>
      <c r="BI100" s="213">
        <v>486.43</v>
      </c>
      <c r="BJ100" s="213">
        <v>494.43</v>
      </c>
      <c r="BK100" s="213">
        <v>42.38</v>
      </c>
      <c r="BL100" s="213">
        <v>41.02</v>
      </c>
      <c r="BM100" s="213">
        <v>41.7</v>
      </c>
      <c r="BN100" s="213">
        <v>1.08</v>
      </c>
      <c r="BO100" s="213">
        <v>0.84000000000000008</v>
      </c>
      <c r="BP100" s="213">
        <v>0.96000000000000008</v>
      </c>
      <c r="BQ100" s="213">
        <v>10.18</v>
      </c>
      <c r="BR100" s="213">
        <v>8.18</v>
      </c>
      <c r="BS100" s="213">
        <v>9.18</v>
      </c>
      <c r="BT100" s="213">
        <v>11.5</v>
      </c>
      <c r="BU100" s="213">
        <v>11.1</v>
      </c>
      <c r="BV100" s="213">
        <v>11.3</v>
      </c>
      <c r="BW100" s="213">
        <v>2.85</v>
      </c>
      <c r="BX100" s="213">
        <v>2.5700000000000003</v>
      </c>
      <c r="BY100" s="213">
        <v>2.71</v>
      </c>
      <c r="BZ100" s="213">
        <v>9.6300000000000008</v>
      </c>
      <c r="CA100" s="213">
        <v>6.6300000000000008</v>
      </c>
      <c r="CB100" s="213">
        <v>8.1300000000000008</v>
      </c>
      <c r="CC100" s="213">
        <v>6.62</v>
      </c>
      <c r="CD100" s="213">
        <v>6.38</v>
      </c>
      <c r="CE100" s="213">
        <v>6.5</v>
      </c>
      <c r="CF100" s="213">
        <v>1.89</v>
      </c>
      <c r="CG100" s="213">
        <v>1.39</v>
      </c>
      <c r="CH100" s="213">
        <v>1.64</v>
      </c>
      <c r="CI100" s="213">
        <v>0.44</v>
      </c>
      <c r="CJ100" s="213">
        <v>0.4</v>
      </c>
      <c r="CK100" s="213">
        <v>0.42000000000000004</v>
      </c>
      <c r="CL100" s="213">
        <v>39.549999999999997</v>
      </c>
      <c r="CM100" s="213">
        <v>37.15</v>
      </c>
      <c r="CN100" s="213">
        <v>38.349999999999994</v>
      </c>
      <c r="CO100" s="213">
        <v>7.25</v>
      </c>
      <c r="CP100" s="213">
        <v>2.25</v>
      </c>
      <c r="CQ100" s="213">
        <v>4.75</v>
      </c>
      <c r="CR100" s="213"/>
      <c r="CS100" s="213"/>
    </row>
    <row r="101" spans="1:97">
      <c r="A101" s="424">
        <v>45387</v>
      </c>
      <c r="B101" s="211" t="s">
        <v>251</v>
      </c>
      <c r="C101" s="213">
        <v>151.99</v>
      </c>
      <c r="D101" s="213">
        <v>149.99</v>
      </c>
      <c r="E101" s="213">
        <v>150.99</v>
      </c>
      <c r="F101" s="213">
        <v>165.22</v>
      </c>
      <c r="G101" s="213">
        <v>162.22</v>
      </c>
      <c r="H101" s="213">
        <v>163.72</v>
      </c>
      <c r="I101" s="213">
        <v>113.06</v>
      </c>
      <c r="J101" s="213">
        <v>109.86</v>
      </c>
      <c r="K101" s="213">
        <v>111.46000000000001</v>
      </c>
      <c r="L101" s="213">
        <v>194.96</v>
      </c>
      <c r="M101" s="213">
        <v>186.96</v>
      </c>
      <c r="N101" s="213">
        <v>190.96</v>
      </c>
      <c r="O101" s="213">
        <v>168.39</v>
      </c>
      <c r="P101" s="213">
        <v>166.58999999999997</v>
      </c>
      <c r="Q101" s="213">
        <v>167.48999999999998</v>
      </c>
      <c r="R101" s="213">
        <v>22.25</v>
      </c>
      <c r="S101" s="213">
        <v>21.65</v>
      </c>
      <c r="T101" s="213">
        <v>21.95</v>
      </c>
      <c r="U101" s="213">
        <v>14.38</v>
      </c>
      <c r="V101" s="213">
        <v>13.780000000000001</v>
      </c>
      <c r="W101" s="213">
        <v>14.080000000000002</v>
      </c>
      <c r="X101" s="213">
        <v>14.6</v>
      </c>
      <c r="Y101" s="213">
        <v>13.799999999999999</v>
      </c>
      <c r="Z101" s="213">
        <v>14.2</v>
      </c>
      <c r="AA101" s="213">
        <v>101.53</v>
      </c>
      <c r="AB101" s="213">
        <v>97.53</v>
      </c>
      <c r="AC101" s="213">
        <v>99.53</v>
      </c>
      <c r="AD101" s="213">
        <v>93.08</v>
      </c>
      <c r="AE101" s="213">
        <v>89.08</v>
      </c>
      <c r="AF101" s="213">
        <v>91.08</v>
      </c>
      <c r="AG101" s="213">
        <v>19.72</v>
      </c>
      <c r="AH101" s="213">
        <v>18.86</v>
      </c>
      <c r="AI101" s="213">
        <v>19.29</v>
      </c>
      <c r="AJ101" s="213"/>
      <c r="AK101" s="213"/>
      <c r="AL101" s="213"/>
      <c r="AM101" s="213">
        <v>112.86</v>
      </c>
      <c r="AN101" s="213">
        <v>111.2</v>
      </c>
      <c r="AO101" s="213">
        <v>112.03</v>
      </c>
      <c r="AP101" s="213">
        <v>41.12</v>
      </c>
      <c r="AQ101" s="213">
        <v>39.519999999999996</v>
      </c>
      <c r="AR101" s="213">
        <v>40.319999999999993</v>
      </c>
      <c r="AS101" s="213">
        <v>41.87</v>
      </c>
      <c r="AT101" s="213">
        <v>40.51</v>
      </c>
      <c r="AU101" s="213">
        <v>41.19</v>
      </c>
      <c r="AV101" s="213">
        <v>21.14</v>
      </c>
      <c r="AW101" s="213">
        <v>20.54</v>
      </c>
      <c r="AX101" s="213">
        <v>20.84</v>
      </c>
      <c r="AY101" s="213">
        <v>4.1900000000000004</v>
      </c>
      <c r="AZ101" s="213">
        <v>4.03</v>
      </c>
      <c r="BA101" s="213">
        <v>4.1100000000000003</v>
      </c>
      <c r="BB101" s="213">
        <v>1.97</v>
      </c>
      <c r="BC101" s="213">
        <v>1.67</v>
      </c>
      <c r="BD101" s="213">
        <v>1.8199999999999998</v>
      </c>
      <c r="BE101" s="213">
        <v>0.7</v>
      </c>
      <c r="BF101" s="213">
        <v>0.39999999999999997</v>
      </c>
      <c r="BG101" s="213">
        <v>0.54999999999999993</v>
      </c>
      <c r="BH101" s="213">
        <v>500.14</v>
      </c>
      <c r="BI101" s="213">
        <v>484.14</v>
      </c>
      <c r="BJ101" s="213">
        <v>492.14</v>
      </c>
      <c r="BK101" s="213">
        <v>42.17</v>
      </c>
      <c r="BL101" s="213">
        <v>40.81</v>
      </c>
      <c r="BM101" s="213">
        <v>41.49</v>
      </c>
      <c r="BN101" s="213">
        <v>1.08</v>
      </c>
      <c r="BO101" s="213">
        <v>0.84000000000000008</v>
      </c>
      <c r="BP101" s="213">
        <v>0.96000000000000008</v>
      </c>
      <c r="BQ101" s="213">
        <v>10.119999999999999</v>
      </c>
      <c r="BR101" s="213">
        <v>8.1199999999999992</v>
      </c>
      <c r="BS101" s="213">
        <v>9.1199999999999992</v>
      </c>
      <c r="BT101" s="213">
        <v>11.41</v>
      </c>
      <c r="BU101" s="213">
        <v>11.01</v>
      </c>
      <c r="BV101" s="213">
        <v>11.21</v>
      </c>
      <c r="BW101" s="213">
        <v>2.84</v>
      </c>
      <c r="BX101" s="213">
        <v>2.5599999999999996</v>
      </c>
      <c r="BY101" s="213">
        <v>2.6999999999999997</v>
      </c>
      <c r="BZ101" s="213">
        <v>9.58</v>
      </c>
      <c r="CA101" s="213">
        <v>6.58</v>
      </c>
      <c r="CB101" s="213">
        <v>8.08</v>
      </c>
      <c r="CC101" s="213">
        <v>6.59</v>
      </c>
      <c r="CD101" s="213">
        <v>6.35</v>
      </c>
      <c r="CE101" s="213">
        <v>6.47</v>
      </c>
      <c r="CF101" s="213">
        <v>1.89</v>
      </c>
      <c r="CG101" s="213">
        <v>1.39</v>
      </c>
      <c r="CH101" s="213">
        <v>1.64</v>
      </c>
      <c r="CI101" s="213">
        <v>0.44</v>
      </c>
      <c r="CJ101" s="213">
        <v>0.4</v>
      </c>
      <c r="CK101" s="213">
        <v>0.42000000000000004</v>
      </c>
      <c r="CL101" s="213">
        <v>39.39</v>
      </c>
      <c r="CM101" s="213">
        <v>36.99</v>
      </c>
      <c r="CN101" s="213">
        <v>38.19</v>
      </c>
      <c r="CO101" s="213">
        <v>7.24</v>
      </c>
      <c r="CP101" s="213">
        <v>2.2400000000000002</v>
      </c>
      <c r="CQ101" s="213">
        <v>4.74</v>
      </c>
      <c r="CR101" s="213"/>
      <c r="CS101" s="213"/>
    </row>
    <row r="102" spans="1:97">
      <c r="A102" s="424">
        <v>45388</v>
      </c>
      <c r="B102" s="211" t="s">
        <v>252</v>
      </c>
      <c r="C102" s="213"/>
      <c r="D102" s="213"/>
      <c r="E102" s="213"/>
      <c r="F102" s="213"/>
      <c r="G102" s="213"/>
      <c r="H102" s="213"/>
      <c r="I102" s="213"/>
      <c r="J102" s="213"/>
      <c r="K102" s="213"/>
      <c r="L102" s="213"/>
      <c r="M102" s="213"/>
      <c r="N102" s="213"/>
      <c r="O102" s="213"/>
      <c r="P102" s="213"/>
      <c r="Q102" s="213"/>
      <c r="R102" s="213"/>
      <c r="S102" s="213"/>
      <c r="T102" s="213"/>
      <c r="U102" s="213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3"/>
      <c r="AP102" s="213"/>
      <c r="AQ102" s="213"/>
      <c r="AR102" s="213"/>
      <c r="AS102" s="213"/>
      <c r="AT102" s="213"/>
      <c r="AU102" s="213"/>
      <c r="AV102" s="213"/>
      <c r="AW102" s="213"/>
      <c r="AX102" s="213"/>
      <c r="AY102" s="213"/>
      <c r="AZ102" s="213"/>
      <c r="BA102" s="213"/>
      <c r="BB102" s="213"/>
      <c r="BC102" s="213"/>
      <c r="BD102" s="213"/>
      <c r="BE102" s="213"/>
      <c r="BF102" s="213"/>
      <c r="BG102" s="213"/>
      <c r="BH102" s="213"/>
      <c r="BI102" s="213"/>
      <c r="BJ102" s="213"/>
      <c r="BK102" s="213"/>
      <c r="BL102" s="213"/>
      <c r="BM102" s="213"/>
      <c r="BN102" s="213"/>
      <c r="BO102" s="213"/>
      <c r="BP102" s="213"/>
      <c r="BQ102" s="213"/>
      <c r="BR102" s="213"/>
      <c r="BS102" s="213"/>
      <c r="BT102" s="213"/>
      <c r="BU102" s="213"/>
      <c r="BV102" s="213"/>
      <c r="BW102" s="213"/>
      <c r="BX102" s="213"/>
      <c r="BY102" s="213"/>
      <c r="BZ102" s="213"/>
      <c r="CA102" s="213"/>
      <c r="CB102" s="213"/>
      <c r="CC102" s="213"/>
      <c r="CD102" s="213"/>
      <c r="CE102" s="213"/>
      <c r="CF102" s="213"/>
      <c r="CG102" s="213"/>
      <c r="CH102" s="213"/>
      <c r="CI102" s="213"/>
      <c r="CJ102" s="213"/>
      <c r="CK102" s="213"/>
      <c r="CL102" s="213"/>
      <c r="CM102" s="213"/>
      <c r="CN102" s="213"/>
      <c r="CO102" s="213"/>
      <c r="CP102" s="213"/>
      <c r="CQ102" s="213"/>
      <c r="CR102" s="213"/>
      <c r="CS102" s="213"/>
    </row>
    <row r="103" spans="1:97">
      <c r="A103" s="424">
        <v>45389</v>
      </c>
      <c r="B103" s="211" t="s">
        <v>253</v>
      </c>
      <c r="C103" s="213"/>
      <c r="D103" s="213"/>
      <c r="E103" s="213"/>
      <c r="F103" s="213"/>
      <c r="G103" s="213"/>
      <c r="H103" s="213"/>
      <c r="I103" s="213"/>
      <c r="J103" s="213"/>
      <c r="K103" s="213"/>
      <c r="L103" s="213"/>
      <c r="M103" s="213"/>
      <c r="N103" s="213"/>
      <c r="O103" s="213"/>
      <c r="P103" s="213"/>
      <c r="Q103" s="213"/>
      <c r="R103" s="213"/>
      <c r="S103" s="213"/>
      <c r="T103" s="213"/>
      <c r="U103" s="213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3"/>
      <c r="AP103" s="213"/>
      <c r="AQ103" s="213"/>
      <c r="AR103" s="213"/>
      <c r="AS103" s="213"/>
      <c r="AT103" s="213"/>
      <c r="AU103" s="213"/>
      <c r="AV103" s="213"/>
      <c r="AW103" s="213"/>
      <c r="AX103" s="213"/>
      <c r="AY103" s="213"/>
      <c r="AZ103" s="213"/>
      <c r="BA103" s="213"/>
      <c r="BB103" s="213"/>
      <c r="BC103" s="213"/>
      <c r="BD103" s="213"/>
      <c r="BE103" s="213"/>
      <c r="BF103" s="213"/>
      <c r="BG103" s="213"/>
      <c r="BH103" s="213"/>
      <c r="BI103" s="213"/>
      <c r="BJ103" s="213"/>
      <c r="BK103" s="213"/>
      <c r="BL103" s="213"/>
      <c r="BM103" s="213"/>
      <c r="BN103" s="213"/>
      <c r="BO103" s="213"/>
      <c r="BP103" s="213"/>
      <c r="BQ103" s="213"/>
      <c r="BR103" s="213"/>
      <c r="BS103" s="213"/>
      <c r="BT103" s="213"/>
      <c r="BU103" s="213"/>
      <c r="BV103" s="213"/>
      <c r="BW103" s="213"/>
      <c r="BX103" s="213"/>
      <c r="BY103" s="213"/>
      <c r="BZ103" s="213"/>
      <c r="CA103" s="213"/>
      <c r="CB103" s="213"/>
      <c r="CC103" s="213"/>
      <c r="CD103" s="213"/>
      <c r="CE103" s="213"/>
      <c r="CF103" s="213"/>
      <c r="CG103" s="213"/>
      <c r="CH103" s="213"/>
      <c r="CI103" s="213"/>
      <c r="CJ103" s="213"/>
      <c r="CK103" s="213"/>
      <c r="CL103" s="213"/>
      <c r="CM103" s="213"/>
      <c r="CN103" s="213"/>
      <c r="CO103" s="213"/>
      <c r="CP103" s="213"/>
      <c r="CQ103" s="213"/>
      <c r="CR103" s="213"/>
      <c r="CS103" s="213"/>
    </row>
    <row r="104" spans="1:97">
      <c r="A104" s="424">
        <v>45390</v>
      </c>
      <c r="B104" s="211" t="s">
        <v>247</v>
      </c>
      <c r="C104" s="213">
        <v>152.80000000000001</v>
      </c>
      <c r="D104" s="213">
        <v>150.80000000000001</v>
      </c>
      <c r="E104" s="213">
        <v>151.80000000000001</v>
      </c>
      <c r="F104" s="213">
        <v>165.87</v>
      </c>
      <c r="G104" s="213">
        <v>162.87</v>
      </c>
      <c r="H104" s="213">
        <v>164.37</v>
      </c>
      <c r="I104" s="213">
        <v>113.09</v>
      </c>
      <c r="J104" s="213">
        <v>109.89</v>
      </c>
      <c r="K104" s="213">
        <v>111.49000000000001</v>
      </c>
      <c r="L104" s="213">
        <v>195.54</v>
      </c>
      <c r="M104" s="213">
        <v>187.54</v>
      </c>
      <c r="N104" s="213">
        <v>191.54</v>
      </c>
      <c r="O104" s="213">
        <v>168.78</v>
      </c>
      <c r="P104" s="213">
        <v>166.98</v>
      </c>
      <c r="Q104" s="213">
        <v>167.88</v>
      </c>
      <c r="R104" s="213">
        <v>22.34</v>
      </c>
      <c r="S104" s="213">
        <v>21.74</v>
      </c>
      <c r="T104" s="213">
        <v>22.04</v>
      </c>
      <c r="U104" s="213">
        <v>14.4</v>
      </c>
      <c r="V104" s="213">
        <v>13.8</v>
      </c>
      <c r="W104" s="213">
        <v>14.100000000000001</v>
      </c>
      <c r="X104" s="213">
        <v>14.64</v>
      </c>
      <c r="Y104" s="213">
        <v>13.84</v>
      </c>
      <c r="Z104" s="213">
        <v>14.24</v>
      </c>
      <c r="AA104" s="213">
        <v>101.6</v>
      </c>
      <c r="AB104" s="213">
        <v>97.6</v>
      </c>
      <c r="AC104" s="213">
        <v>99.6</v>
      </c>
      <c r="AD104" s="213">
        <v>93.19</v>
      </c>
      <c r="AE104" s="213">
        <v>89.19</v>
      </c>
      <c r="AF104" s="213">
        <v>91.19</v>
      </c>
      <c r="AG104" s="213">
        <v>19.82</v>
      </c>
      <c r="AH104" s="213">
        <v>18.96</v>
      </c>
      <c r="AI104" s="213">
        <v>19.39</v>
      </c>
      <c r="AJ104" s="213"/>
      <c r="AK104" s="213"/>
      <c r="AL104" s="213"/>
      <c r="AM104" s="213">
        <v>113.3</v>
      </c>
      <c r="AN104" s="213">
        <v>111.64</v>
      </c>
      <c r="AO104" s="213">
        <v>112.47</v>
      </c>
      <c r="AP104" s="213">
        <v>41.33</v>
      </c>
      <c r="AQ104" s="213">
        <v>39.729999999999997</v>
      </c>
      <c r="AR104" s="213">
        <v>40.53</v>
      </c>
      <c r="AS104" s="213">
        <v>41.97</v>
      </c>
      <c r="AT104" s="213">
        <v>40.61</v>
      </c>
      <c r="AU104" s="213">
        <v>41.29</v>
      </c>
      <c r="AV104" s="213">
        <v>21.23</v>
      </c>
      <c r="AW104" s="213">
        <v>20.63</v>
      </c>
      <c r="AX104" s="213">
        <v>20.93</v>
      </c>
      <c r="AY104" s="213">
        <v>4.22</v>
      </c>
      <c r="AZ104" s="213">
        <v>4.0599999999999996</v>
      </c>
      <c r="BA104" s="213">
        <v>4.1399999999999997</v>
      </c>
      <c r="BB104" s="213">
        <v>1.98</v>
      </c>
      <c r="BC104" s="213">
        <v>1.68</v>
      </c>
      <c r="BD104" s="213">
        <v>1.83</v>
      </c>
      <c r="BE104" s="213">
        <v>0.7</v>
      </c>
      <c r="BF104" s="213">
        <v>0.39999999999999997</v>
      </c>
      <c r="BG104" s="213">
        <v>0.54999999999999993</v>
      </c>
      <c r="BH104" s="213">
        <v>502.62</v>
      </c>
      <c r="BI104" s="213">
        <v>486.62</v>
      </c>
      <c r="BJ104" s="213">
        <v>494.62</v>
      </c>
      <c r="BK104" s="213">
        <v>42.39</v>
      </c>
      <c r="BL104" s="213">
        <v>41.03</v>
      </c>
      <c r="BM104" s="213">
        <v>41.71</v>
      </c>
      <c r="BN104" s="213">
        <v>1.08</v>
      </c>
      <c r="BO104" s="213">
        <v>0.84000000000000008</v>
      </c>
      <c r="BP104" s="213">
        <v>0.96000000000000008</v>
      </c>
      <c r="BQ104" s="213">
        <v>10.210000000000001</v>
      </c>
      <c r="BR104" s="213">
        <v>8.2100000000000009</v>
      </c>
      <c r="BS104" s="213">
        <v>9.2100000000000009</v>
      </c>
      <c r="BT104" s="213">
        <v>11.42</v>
      </c>
      <c r="BU104" s="213">
        <v>11.02</v>
      </c>
      <c r="BV104" s="213">
        <v>11.219999999999999</v>
      </c>
      <c r="BW104" s="213">
        <v>2.85</v>
      </c>
      <c r="BX104" s="213">
        <v>2.5700000000000003</v>
      </c>
      <c r="BY104" s="213">
        <v>2.71</v>
      </c>
      <c r="BZ104" s="213">
        <v>9.6</v>
      </c>
      <c r="CA104" s="213">
        <v>6.6</v>
      </c>
      <c r="CB104" s="213">
        <v>8.1</v>
      </c>
      <c r="CC104" s="213">
        <v>6.61</v>
      </c>
      <c r="CD104" s="213">
        <v>6.37</v>
      </c>
      <c r="CE104" s="213">
        <v>6.49</v>
      </c>
      <c r="CF104" s="213">
        <v>1.89</v>
      </c>
      <c r="CG104" s="213">
        <v>1.39</v>
      </c>
      <c r="CH104" s="213">
        <v>1.64</v>
      </c>
      <c r="CI104" s="213">
        <v>0.44</v>
      </c>
      <c r="CJ104" s="213">
        <v>0.4</v>
      </c>
      <c r="CK104" s="213">
        <v>0.42000000000000004</v>
      </c>
      <c r="CL104" s="213">
        <v>39.61</v>
      </c>
      <c r="CM104" s="213">
        <v>37.21</v>
      </c>
      <c r="CN104" s="213">
        <v>38.409999999999997</v>
      </c>
      <c r="CO104" s="213">
        <v>7.24</v>
      </c>
      <c r="CP104" s="213">
        <v>2.2400000000000002</v>
      </c>
      <c r="CQ104" s="213">
        <v>4.74</v>
      </c>
      <c r="CR104" s="213"/>
      <c r="CS104" s="213"/>
    </row>
    <row r="105" spans="1:97">
      <c r="A105" s="424">
        <v>45391</v>
      </c>
      <c r="B105" s="211" t="s">
        <v>248</v>
      </c>
      <c r="C105" s="213">
        <v>152.97999999999999</v>
      </c>
      <c r="D105" s="213">
        <v>150.97999999999999</v>
      </c>
      <c r="E105" s="213">
        <v>151.97999999999999</v>
      </c>
      <c r="F105" s="213">
        <v>166.54</v>
      </c>
      <c r="G105" s="213">
        <v>163.54</v>
      </c>
      <c r="H105" s="213">
        <v>165.04</v>
      </c>
      <c r="I105" s="213">
        <v>113.58</v>
      </c>
      <c r="J105" s="213">
        <v>110.38</v>
      </c>
      <c r="K105" s="213">
        <v>111.97999999999999</v>
      </c>
      <c r="L105" s="213">
        <v>196.32</v>
      </c>
      <c r="M105" s="213">
        <v>188.32</v>
      </c>
      <c r="N105" s="213">
        <v>192.32</v>
      </c>
      <c r="O105" s="213">
        <v>168.7</v>
      </c>
      <c r="P105" s="213">
        <v>166.89999999999998</v>
      </c>
      <c r="Q105" s="213">
        <v>167.79999999999998</v>
      </c>
      <c r="R105" s="213">
        <v>22.43</v>
      </c>
      <c r="S105" s="213">
        <v>21.83</v>
      </c>
      <c r="T105" s="213">
        <v>22.13</v>
      </c>
      <c r="U105" s="213">
        <v>14.53</v>
      </c>
      <c r="V105" s="213">
        <v>13.93</v>
      </c>
      <c r="W105" s="213">
        <v>14.23</v>
      </c>
      <c r="X105" s="213">
        <v>14.78</v>
      </c>
      <c r="Y105" s="213">
        <v>13.979999999999999</v>
      </c>
      <c r="Z105" s="213">
        <v>14.379999999999999</v>
      </c>
      <c r="AA105" s="213">
        <v>102.38</v>
      </c>
      <c r="AB105" s="213">
        <v>98.38</v>
      </c>
      <c r="AC105" s="213">
        <v>100.38</v>
      </c>
      <c r="AD105" s="213">
        <v>93.81</v>
      </c>
      <c r="AE105" s="213">
        <v>89.81</v>
      </c>
      <c r="AF105" s="213">
        <v>91.81</v>
      </c>
      <c r="AG105" s="213">
        <v>19.84</v>
      </c>
      <c r="AH105" s="213">
        <v>18.98</v>
      </c>
      <c r="AI105" s="213">
        <v>19.41</v>
      </c>
      <c r="AJ105" s="213"/>
      <c r="AK105" s="213"/>
      <c r="AL105" s="213"/>
      <c r="AM105" s="213">
        <v>113.61</v>
      </c>
      <c r="AN105" s="213">
        <v>111.95</v>
      </c>
      <c r="AO105" s="213">
        <v>112.78</v>
      </c>
      <c r="AP105" s="213">
        <v>41.38</v>
      </c>
      <c r="AQ105" s="213">
        <v>39.78</v>
      </c>
      <c r="AR105" s="213">
        <v>40.58</v>
      </c>
      <c r="AS105" s="213">
        <v>42.14</v>
      </c>
      <c r="AT105" s="213">
        <v>40.78</v>
      </c>
      <c r="AU105" s="213">
        <v>41.46</v>
      </c>
      <c r="AV105" s="213">
        <v>21.28</v>
      </c>
      <c r="AW105" s="213">
        <v>20.68</v>
      </c>
      <c r="AX105" s="213">
        <v>20.98</v>
      </c>
      <c r="AY105" s="213">
        <v>4.22</v>
      </c>
      <c r="AZ105" s="213">
        <v>4.0599999999999996</v>
      </c>
      <c r="BA105" s="213">
        <v>4.1399999999999997</v>
      </c>
      <c r="BB105" s="213">
        <v>1.98</v>
      </c>
      <c r="BC105" s="213">
        <v>1.68</v>
      </c>
      <c r="BD105" s="213">
        <v>1.83</v>
      </c>
      <c r="BE105" s="213">
        <v>0.7</v>
      </c>
      <c r="BF105" s="213">
        <v>0.39999999999999997</v>
      </c>
      <c r="BG105" s="213">
        <v>0.54999999999999993</v>
      </c>
      <c r="BH105" s="213">
        <v>503.21</v>
      </c>
      <c r="BI105" s="213">
        <v>487.21</v>
      </c>
      <c r="BJ105" s="213">
        <v>495.21</v>
      </c>
      <c r="BK105" s="213">
        <v>42.44</v>
      </c>
      <c r="BL105" s="213">
        <v>41.08</v>
      </c>
      <c r="BM105" s="213">
        <v>41.76</v>
      </c>
      <c r="BN105" s="213">
        <v>1.08</v>
      </c>
      <c r="BO105" s="213">
        <v>0.84000000000000008</v>
      </c>
      <c r="BP105" s="213">
        <v>0.96000000000000008</v>
      </c>
      <c r="BQ105" s="213">
        <v>10.31</v>
      </c>
      <c r="BR105" s="213">
        <v>8.31</v>
      </c>
      <c r="BS105" s="213">
        <v>9.31</v>
      </c>
      <c r="BT105" s="213">
        <v>11.44</v>
      </c>
      <c r="BU105" s="213">
        <v>11.04</v>
      </c>
      <c r="BV105" s="213">
        <v>11.239999999999998</v>
      </c>
      <c r="BW105" s="213">
        <v>2.85</v>
      </c>
      <c r="BX105" s="213">
        <v>2.5700000000000003</v>
      </c>
      <c r="BY105" s="213">
        <v>2.71</v>
      </c>
      <c r="BZ105" s="213">
        <v>9.65</v>
      </c>
      <c r="CA105" s="213">
        <v>6.65</v>
      </c>
      <c r="CB105" s="213">
        <v>8.15</v>
      </c>
      <c r="CC105" s="213">
        <v>6.64</v>
      </c>
      <c r="CD105" s="213">
        <v>6.3999999999999995</v>
      </c>
      <c r="CE105" s="213">
        <v>6.52</v>
      </c>
      <c r="CF105" s="213">
        <v>1.89</v>
      </c>
      <c r="CG105" s="213">
        <v>1.39</v>
      </c>
      <c r="CH105" s="213">
        <v>1.64</v>
      </c>
      <c r="CI105" s="213">
        <v>0.44</v>
      </c>
      <c r="CJ105" s="213">
        <v>0.4</v>
      </c>
      <c r="CK105" s="213">
        <v>0.42000000000000004</v>
      </c>
      <c r="CL105" s="213">
        <v>39.909999999999997</v>
      </c>
      <c r="CM105" s="213">
        <v>37.51</v>
      </c>
      <c r="CN105" s="213">
        <v>38.709999999999994</v>
      </c>
      <c r="CO105" s="213">
        <v>7.26</v>
      </c>
      <c r="CP105" s="213">
        <v>2.2599999999999998</v>
      </c>
      <c r="CQ105" s="213">
        <v>4.76</v>
      </c>
      <c r="CR105" s="213"/>
      <c r="CS105" s="213"/>
    </row>
    <row r="106" spans="1:97">
      <c r="A106" s="424">
        <v>45392</v>
      </c>
      <c r="B106" s="211" t="s">
        <v>249</v>
      </c>
      <c r="C106" s="213">
        <v>152.82</v>
      </c>
      <c r="D106" s="213">
        <v>150.82</v>
      </c>
      <c r="E106" s="213">
        <v>151.82</v>
      </c>
      <c r="F106" s="213">
        <v>166.35</v>
      </c>
      <c r="G106" s="213">
        <v>163.35</v>
      </c>
      <c r="H106" s="213">
        <v>164.85</v>
      </c>
      <c r="I106" s="213">
        <v>113.51</v>
      </c>
      <c r="J106" s="213">
        <v>110.31</v>
      </c>
      <c r="K106" s="213">
        <v>111.91</v>
      </c>
      <c r="L106" s="213">
        <v>196.46</v>
      </c>
      <c r="M106" s="213">
        <v>188.46</v>
      </c>
      <c r="N106" s="213">
        <v>192.46</v>
      </c>
      <c r="O106" s="213">
        <v>168.95</v>
      </c>
      <c r="P106" s="213">
        <v>167.14999999999998</v>
      </c>
      <c r="Q106" s="213">
        <v>168.04999999999998</v>
      </c>
      <c r="R106" s="213">
        <v>22.4</v>
      </c>
      <c r="S106" s="213">
        <v>21.799999999999997</v>
      </c>
      <c r="T106" s="213">
        <v>22.099999999999998</v>
      </c>
      <c r="U106" s="213">
        <v>14.53</v>
      </c>
      <c r="V106" s="213">
        <v>13.93</v>
      </c>
      <c r="W106" s="213">
        <v>14.23</v>
      </c>
      <c r="X106" s="213">
        <v>14.79</v>
      </c>
      <c r="Y106" s="213">
        <v>13.989999999999998</v>
      </c>
      <c r="Z106" s="213">
        <v>14.389999999999999</v>
      </c>
      <c r="AA106" s="213">
        <v>102.64</v>
      </c>
      <c r="AB106" s="213">
        <v>98.64</v>
      </c>
      <c r="AC106" s="213">
        <v>100.64</v>
      </c>
      <c r="AD106" s="213">
        <v>94.03</v>
      </c>
      <c r="AE106" s="213">
        <v>90.03</v>
      </c>
      <c r="AF106" s="213">
        <v>92.03</v>
      </c>
      <c r="AG106" s="213">
        <v>19.809999999999999</v>
      </c>
      <c r="AH106" s="213">
        <v>18.95</v>
      </c>
      <c r="AI106" s="213">
        <v>19.38</v>
      </c>
      <c r="AJ106" s="213"/>
      <c r="AK106" s="213"/>
      <c r="AL106" s="213"/>
      <c r="AM106" s="213">
        <v>113.72</v>
      </c>
      <c r="AN106" s="213">
        <v>112.06</v>
      </c>
      <c r="AO106" s="213">
        <v>112.89</v>
      </c>
      <c r="AP106" s="213">
        <v>41.34</v>
      </c>
      <c r="AQ106" s="213">
        <v>39.74</v>
      </c>
      <c r="AR106" s="213">
        <v>40.540000000000006</v>
      </c>
      <c r="AS106" s="213">
        <v>42.09</v>
      </c>
      <c r="AT106" s="213">
        <v>40.730000000000004</v>
      </c>
      <c r="AU106" s="213">
        <v>41.410000000000004</v>
      </c>
      <c r="AV106" s="213">
        <v>21.28</v>
      </c>
      <c r="AW106" s="213">
        <v>20.68</v>
      </c>
      <c r="AX106" s="213">
        <v>20.98</v>
      </c>
      <c r="AY106" s="213">
        <v>4.25</v>
      </c>
      <c r="AZ106" s="213">
        <v>4.09</v>
      </c>
      <c r="BA106" s="213">
        <v>4.17</v>
      </c>
      <c r="BB106" s="213">
        <v>1.99</v>
      </c>
      <c r="BC106" s="213">
        <v>1.69</v>
      </c>
      <c r="BD106" s="213">
        <v>1.8399999999999999</v>
      </c>
      <c r="BE106" s="213">
        <v>0.7</v>
      </c>
      <c r="BF106" s="213">
        <v>0.39999999999999997</v>
      </c>
      <c r="BG106" s="213">
        <v>0.54999999999999993</v>
      </c>
      <c r="BH106" s="213">
        <v>502.69</v>
      </c>
      <c r="BI106" s="213">
        <v>486.69</v>
      </c>
      <c r="BJ106" s="213">
        <v>494.69</v>
      </c>
      <c r="BK106" s="213">
        <v>42.4</v>
      </c>
      <c r="BL106" s="213">
        <v>41.04</v>
      </c>
      <c r="BM106" s="213">
        <v>41.72</v>
      </c>
      <c r="BN106" s="213">
        <v>1.08</v>
      </c>
      <c r="BO106" s="213">
        <v>0.84000000000000008</v>
      </c>
      <c r="BP106" s="213">
        <v>0.96000000000000008</v>
      </c>
      <c r="BQ106" s="213">
        <v>10.27</v>
      </c>
      <c r="BR106" s="213">
        <v>8.27</v>
      </c>
      <c r="BS106" s="213">
        <v>9.27</v>
      </c>
      <c r="BT106" s="213">
        <v>11.44</v>
      </c>
      <c r="BU106" s="213">
        <v>11.04</v>
      </c>
      <c r="BV106" s="213">
        <v>11.239999999999998</v>
      </c>
      <c r="BW106" s="213">
        <v>2.84</v>
      </c>
      <c r="BX106" s="213">
        <v>2.5599999999999996</v>
      </c>
      <c r="BY106" s="213">
        <v>2.6999999999999997</v>
      </c>
      <c r="BZ106" s="213">
        <v>9.73</v>
      </c>
      <c r="CA106" s="213">
        <v>6.73</v>
      </c>
      <c r="CB106" s="213">
        <v>8.23</v>
      </c>
      <c r="CC106" s="213">
        <v>6.61</v>
      </c>
      <c r="CD106" s="213">
        <v>6.37</v>
      </c>
      <c r="CE106" s="213">
        <v>6.49</v>
      </c>
      <c r="CF106" s="213">
        <v>1.89</v>
      </c>
      <c r="CG106" s="213">
        <v>1.39</v>
      </c>
      <c r="CH106" s="213">
        <v>1.64</v>
      </c>
      <c r="CI106" s="213">
        <v>0.44</v>
      </c>
      <c r="CJ106" s="213">
        <v>0.4</v>
      </c>
      <c r="CK106" s="213">
        <v>0.42000000000000004</v>
      </c>
      <c r="CL106" s="213">
        <v>39.86</v>
      </c>
      <c r="CM106" s="213">
        <v>37.46</v>
      </c>
      <c r="CN106" s="213">
        <v>38.659999999999997</v>
      </c>
      <c r="CO106" s="213">
        <v>7.24</v>
      </c>
      <c r="CP106" s="213">
        <v>2.2400000000000002</v>
      </c>
      <c r="CQ106" s="213">
        <v>4.74</v>
      </c>
      <c r="CR106" s="213"/>
      <c r="CS106" s="213"/>
    </row>
    <row r="107" spans="1:97">
      <c r="A107" s="424">
        <v>45393</v>
      </c>
      <c r="B107" s="211" t="s">
        <v>250</v>
      </c>
      <c r="C107" s="213">
        <v>154.01</v>
      </c>
      <c r="D107" s="213">
        <v>152.01</v>
      </c>
      <c r="E107" s="213">
        <v>153.01</v>
      </c>
      <c r="F107" s="213">
        <v>165.85</v>
      </c>
      <c r="G107" s="213">
        <v>162.85</v>
      </c>
      <c r="H107" s="213">
        <v>164.35</v>
      </c>
      <c r="I107" s="213">
        <v>113.35</v>
      </c>
      <c r="J107" s="213">
        <v>110.14999999999999</v>
      </c>
      <c r="K107" s="213">
        <v>111.75</v>
      </c>
      <c r="L107" s="213">
        <v>195.83</v>
      </c>
      <c r="M107" s="213">
        <v>187.83</v>
      </c>
      <c r="N107" s="213">
        <v>191.83</v>
      </c>
      <c r="O107" s="213">
        <v>168.36</v>
      </c>
      <c r="P107" s="213">
        <v>166.56</v>
      </c>
      <c r="Q107" s="213">
        <v>167.46</v>
      </c>
      <c r="R107" s="213">
        <v>22.33</v>
      </c>
      <c r="S107" s="213">
        <v>21.729999999999997</v>
      </c>
      <c r="T107" s="213">
        <v>22.029999999999998</v>
      </c>
      <c r="U107" s="213">
        <v>14.41</v>
      </c>
      <c r="V107" s="213">
        <v>13.81</v>
      </c>
      <c r="W107" s="213">
        <v>14.11</v>
      </c>
      <c r="X107" s="213">
        <v>14.66</v>
      </c>
      <c r="Y107" s="213">
        <v>13.86</v>
      </c>
      <c r="Z107" s="213">
        <v>14.26</v>
      </c>
      <c r="AA107" s="213">
        <v>101.53</v>
      </c>
      <c r="AB107" s="213">
        <v>97.53</v>
      </c>
      <c r="AC107" s="213">
        <v>99.53</v>
      </c>
      <c r="AD107" s="213">
        <v>93.41</v>
      </c>
      <c r="AE107" s="213">
        <v>89.41</v>
      </c>
      <c r="AF107" s="213">
        <v>91.41</v>
      </c>
      <c r="AG107" s="213">
        <v>19.96</v>
      </c>
      <c r="AH107" s="213">
        <v>19.100000000000001</v>
      </c>
      <c r="AI107" s="213">
        <v>19.53</v>
      </c>
      <c r="AJ107" s="213"/>
      <c r="AK107" s="213"/>
      <c r="AL107" s="213"/>
      <c r="AM107" s="213">
        <v>113.85</v>
      </c>
      <c r="AN107" s="213">
        <v>112.19</v>
      </c>
      <c r="AO107" s="213">
        <v>113.02</v>
      </c>
      <c r="AP107" s="213">
        <v>41.66</v>
      </c>
      <c r="AQ107" s="213">
        <v>40.059999999999995</v>
      </c>
      <c r="AR107" s="213">
        <v>40.86</v>
      </c>
      <c r="AS107" s="213">
        <v>42.3</v>
      </c>
      <c r="AT107" s="213">
        <v>40.94</v>
      </c>
      <c r="AU107" s="213">
        <v>41.62</v>
      </c>
      <c r="AV107" s="213">
        <v>21.38</v>
      </c>
      <c r="AW107" s="213">
        <v>20.779999999999998</v>
      </c>
      <c r="AX107" s="213">
        <v>21.08</v>
      </c>
      <c r="AY107" s="213">
        <v>4.24</v>
      </c>
      <c r="AZ107" s="213">
        <v>4.08</v>
      </c>
      <c r="BA107" s="213">
        <v>4.16</v>
      </c>
      <c r="BB107" s="213">
        <v>1.99</v>
      </c>
      <c r="BC107" s="213">
        <v>1.69</v>
      </c>
      <c r="BD107" s="213">
        <v>1.8399999999999999</v>
      </c>
      <c r="BE107" s="213">
        <v>0.7</v>
      </c>
      <c r="BF107" s="213">
        <v>0.39999999999999997</v>
      </c>
      <c r="BG107" s="213">
        <v>0.54999999999999993</v>
      </c>
      <c r="BH107" s="213">
        <v>506.57</v>
      </c>
      <c r="BI107" s="213">
        <v>490.57</v>
      </c>
      <c r="BJ107" s="213">
        <v>498.57</v>
      </c>
      <c r="BK107" s="213">
        <v>42.73</v>
      </c>
      <c r="BL107" s="213">
        <v>41.37</v>
      </c>
      <c r="BM107" s="213">
        <v>42.05</v>
      </c>
      <c r="BN107" s="213">
        <v>1.0900000000000001</v>
      </c>
      <c r="BO107" s="213">
        <v>0.85000000000000009</v>
      </c>
      <c r="BP107" s="213">
        <v>0.97000000000000008</v>
      </c>
      <c r="BQ107" s="213">
        <v>10.3</v>
      </c>
      <c r="BR107" s="213">
        <v>8.3000000000000007</v>
      </c>
      <c r="BS107" s="213">
        <v>9.3000000000000007</v>
      </c>
      <c r="BT107" s="213">
        <v>11.43</v>
      </c>
      <c r="BU107" s="213">
        <v>11.03</v>
      </c>
      <c r="BV107" s="213">
        <v>11.23</v>
      </c>
      <c r="BW107" s="213">
        <v>2.86</v>
      </c>
      <c r="BX107" s="213">
        <v>2.58</v>
      </c>
      <c r="BY107" s="213">
        <v>2.7199999999999998</v>
      </c>
      <c r="BZ107" s="213">
        <v>9.65</v>
      </c>
      <c r="CA107" s="213">
        <v>6.65</v>
      </c>
      <c r="CB107" s="213">
        <v>8.15</v>
      </c>
      <c r="CC107" s="213">
        <v>6.59</v>
      </c>
      <c r="CD107" s="213">
        <v>6.35</v>
      </c>
      <c r="CE107" s="213">
        <v>6.47</v>
      </c>
      <c r="CF107" s="213">
        <v>1.89</v>
      </c>
      <c r="CG107" s="213">
        <v>1.39</v>
      </c>
      <c r="CH107" s="213">
        <v>1.64</v>
      </c>
      <c r="CI107" s="213">
        <v>0.44</v>
      </c>
      <c r="CJ107" s="213">
        <v>0.4</v>
      </c>
      <c r="CK107" s="213">
        <v>0.42000000000000004</v>
      </c>
      <c r="CL107" s="213">
        <v>39.74</v>
      </c>
      <c r="CM107" s="213">
        <v>37.340000000000003</v>
      </c>
      <c r="CN107" s="213">
        <v>38.540000000000006</v>
      </c>
      <c r="CO107" s="213">
        <v>7.26</v>
      </c>
      <c r="CP107" s="213">
        <v>2.2599999999999998</v>
      </c>
      <c r="CQ107" s="213">
        <v>4.76</v>
      </c>
      <c r="CR107" s="213"/>
      <c r="CS107" s="213"/>
    </row>
    <row r="108" spans="1:97">
      <c r="A108" s="424">
        <v>45394</v>
      </c>
      <c r="B108" s="211" t="s">
        <v>251</v>
      </c>
      <c r="C108" s="213">
        <v>154.09</v>
      </c>
      <c r="D108" s="213">
        <v>152.09</v>
      </c>
      <c r="E108" s="213">
        <v>153.09</v>
      </c>
      <c r="F108" s="213">
        <v>165.67</v>
      </c>
      <c r="G108" s="213">
        <v>162.66999999999999</v>
      </c>
      <c r="H108" s="213">
        <v>164.17</v>
      </c>
      <c r="I108" s="213">
        <v>113.44</v>
      </c>
      <c r="J108" s="213">
        <v>110.24</v>
      </c>
      <c r="K108" s="213">
        <v>111.84</v>
      </c>
      <c r="L108" s="213">
        <v>196.17</v>
      </c>
      <c r="M108" s="213">
        <v>188.17</v>
      </c>
      <c r="N108" s="213">
        <v>192.17</v>
      </c>
      <c r="O108" s="213">
        <v>169.13</v>
      </c>
      <c r="P108" s="213">
        <v>167.32999999999998</v>
      </c>
      <c r="Q108" s="213">
        <v>168.23</v>
      </c>
      <c r="R108" s="213">
        <v>22.31</v>
      </c>
      <c r="S108" s="213">
        <v>21.709999999999997</v>
      </c>
      <c r="T108" s="213">
        <v>22.009999999999998</v>
      </c>
      <c r="U108" s="213">
        <v>14.44</v>
      </c>
      <c r="V108" s="213">
        <v>13.84</v>
      </c>
      <c r="W108" s="213">
        <v>14.14</v>
      </c>
      <c r="X108" s="213">
        <v>14.67</v>
      </c>
      <c r="Y108" s="213">
        <v>13.87</v>
      </c>
      <c r="Z108" s="213">
        <v>14.27</v>
      </c>
      <c r="AA108" s="213">
        <v>102.09</v>
      </c>
      <c r="AB108" s="213">
        <v>98.09</v>
      </c>
      <c r="AC108" s="213">
        <v>100.09</v>
      </c>
      <c r="AD108" s="213">
        <v>93.93</v>
      </c>
      <c r="AE108" s="213">
        <v>89.93</v>
      </c>
      <c r="AF108" s="213">
        <v>91.93</v>
      </c>
      <c r="AG108" s="213">
        <v>19.96</v>
      </c>
      <c r="AH108" s="213">
        <v>19.100000000000001</v>
      </c>
      <c r="AI108" s="213">
        <v>19.53</v>
      </c>
      <c r="AJ108" s="213"/>
      <c r="AK108" s="213"/>
      <c r="AL108" s="213"/>
      <c r="AM108" s="213">
        <v>113.97</v>
      </c>
      <c r="AN108" s="213">
        <v>112.31</v>
      </c>
      <c r="AO108" s="213">
        <v>113.14</v>
      </c>
      <c r="AP108" s="213">
        <v>41.68</v>
      </c>
      <c r="AQ108" s="213">
        <v>40.08</v>
      </c>
      <c r="AR108" s="213">
        <v>40.879999999999995</v>
      </c>
      <c r="AS108" s="213">
        <v>42.44</v>
      </c>
      <c r="AT108" s="213">
        <v>41.08</v>
      </c>
      <c r="AU108" s="213">
        <v>41.76</v>
      </c>
      <c r="AV108" s="213">
        <v>21.4</v>
      </c>
      <c r="AW108" s="213">
        <v>20.799999999999997</v>
      </c>
      <c r="AX108" s="213">
        <v>21.099999999999998</v>
      </c>
      <c r="AY108" s="213">
        <v>4.28</v>
      </c>
      <c r="AZ108" s="213">
        <v>4.12</v>
      </c>
      <c r="BA108" s="213">
        <v>4.2</v>
      </c>
      <c r="BB108" s="213">
        <v>2</v>
      </c>
      <c r="BC108" s="213">
        <v>1.7</v>
      </c>
      <c r="BD108" s="213">
        <v>1.85</v>
      </c>
      <c r="BE108" s="213">
        <v>0.7</v>
      </c>
      <c r="BF108" s="213">
        <v>0.39999999999999997</v>
      </c>
      <c r="BG108" s="213">
        <v>0.54999999999999993</v>
      </c>
      <c r="BH108" s="213">
        <v>506.18</v>
      </c>
      <c r="BI108" s="213">
        <v>490.18</v>
      </c>
      <c r="BJ108" s="213">
        <v>498.18</v>
      </c>
      <c r="BK108" s="213">
        <v>42.75</v>
      </c>
      <c r="BL108" s="213">
        <v>41.39</v>
      </c>
      <c r="BM108" s="213">
        <v>42.07</v>
      </c>
      <c r="BN108" s="213">
        <v>1.0900000000000001</v>
      </c>
      <c r="BO108" s="213">
        <v>0.85000000000000009</v>
      </c>
      <c r="BP108" s="213">
        <v>0.97000000000000008</v>
      </c>
      <c r="BQ108" s="213">
        <v>10.32</v>
      </c>
      <c r="BR108" s="213">
        <v>8.32</v>
      </c>
      <c r="BS108" s="213">
        <v>9.32</v>
      </c>
      <c r="BT108" s="213">
        <v>11.41</v>
      </c>
      <c r="BU108" s="213">
        <v>11.01</v>
      </c>
      <c r="BV108" s="213">
        <v>11.21</v>
      </c>
      <c r="BW108" s="213">
        <v>2.87</v>
      </c>
      <c r="BX108" s="213">
        <v>2.59</v>
      </c>
      <c r="BY108" s="213">
        <v>2.73</v>
      </c>
      <c r="BZ108" s="213">
        <v>9.68</v>
      </c>
      <c r="CA108" s="213">
        <v>6.68</v>
      </c>
      <c r="CB108" s="213">
        <v>8.18</v>
      </c>
      <c r="CC108" s="213">
        <v>6.6</v>
      </c>
      <c r="CD108" s="213">
        <v>6.3599999999999994</v>
      </c>
      <c r="CE108" s="213">
        <v>6.4799999999999995</v>
      </c>
      <c r="CF108" s="213">
        <v>1.89</v>
      </c>
      <c r="CG108" s="213">
        <v>1.39</v>
      </c>
      <c r="CH108" s="213">
        <v>1.64</v>
      </c>
      <c r="CI108" s="213">
        <v>0.44</v>
      </c>
      <c r="CJ108" s="213">
        <v>0.4</v>
      </c>
      <c r="CK108" s="213">
        <v>0.42000000000000004</v>
      </c>
      <c r="CL108" s="213">
        <v>39.729999999999997</v>
      </c>
      <c r="CM108" s="213">
        <v>37.33</v>
      </c>
      <c r="CN108" s="213">
        <v>38.53</v>
      </c>
      <c r="CO108" s="213">
        <v>7.25</v>
      </c>
      <c r="CP108" s="213">
        <v>2.25</v>
      </c>
      <c r="CQ108" s="213">
        <v>4.75</v>
      </c>
      <c r="CR108" s="213"/>
      <c r="CS108" s="213"/>
    </row>
    <row r="109" spans="1:97">
      <c r="A109" s="424">
        <v>45395</v>
      </c>
      <c r="B109" s="211" t="s">
        <v>252</v>
      </c>
      <c r="C109" s="213"/>
      <c r="D109" s="213"/>
      <c r="E109" s="213"/>
      <c r="F109" s="213"/>
      <c r="G109" s="213"/>
      <c r="H109" s="213"/>
      <c r="I109" s="213"/>
      <c r="J109" s="213"/>
      <c r="K109" s="213"/>
      <c r="L109" s="213"/>
      <c r="M109" s="213"/>
      <c r="N109" s="213"/>
      <c r="O109" s="213"/>
      <c r="P109" s="213"/>
      <c r="Q109" s="213"/>
      <c r="R109" s="213"/>
      <c r="S109" s="213"/>
      <c r="T109" s="213"/>
      <c r="U109" s="213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13"/>
      <c r="AF109" s="213"/>
      <c r="AG109" s="213"/>
      <c r="AH109" s="213"/>
      <c r="AI109" s="213"/>
      <c r="AJ109" s="213"/>
      <c r="AK109" s="213"/>
      <c r="AL109" s="213"/>
      <c r="AM109" s="213"/>
      <c r="AN109" s="213"/>
      <c r="AO109" s="213"/>
      <c r="AP109" s="213"/>
      <c r="AQ109" s="213"/>
      <c r="AR109" s="213"/>
      <c r="AS109" s="213"/>
      <c r="AT109" s="213"/>
      <c r="AU109" s="213"/>
      <c r="AV109" s="213"/>
      <c r="AW109" s="213"/>
      <c r="AX109" s="213"/>
      <c r="AY109" s="213"/>
      <c r="AZ109" s="213"/>
      <c r="BA109" s="213"/>
      <c r="BB109" s="213"/>
      <c r="BC109" s="213"/>
      <c r="BD109" s="213"/>
      <c r="BE109" s="213"/>
      <c r="BF109" s="213"/>
      <c r="BG109" s="213"/>
      <c r="BH109" s="213"/>
      <c r="BI109" s="213"/>
      <c r="BJ109" s="213"/>
      <c r="BK109" s="213"/>
      <c r="BL109" s="213"/>
      <c r="BM109" s="213"/>
      <c r="BN109" s="213"/>
      <c r="BO109" s="213"/>
      <c r="BP109" s="213"/>
      <c r="BQ109" s="213"/>
      <c r="BR109" s="213"/>
      <c r="BS109" s="213"/>
      <c r="BT109" s="213"/>
      <c r="BU109" s="213"/>
      <c r="BV109" s="213"/>
      <c r="BW109" s="213"/>
      <c r="BX109" s="213"/>
      <c r="BY109" s="213"/>
      <c r="BZ109" s="213"/>
      <c r="CA109" s="213"/>
      <c r="CB109" s="213"/>
      <c r="CC109" s="213"/>
      <c r="CD109" s="213"/>
      <c r="CE109" s="213"/>
      <c r="CF109" s="213"/>
      <c r="CG109" s="213"/>
      <c r="CH109" s="213"/>
      <c r="CI109" s="213"/>
      <c r="CJ109" s="213"/>
      <c r="CK109" s="213"/>
      <c r="CL109" s="213"/>
      <c r="CM109" s="213"/>
      <c r="CN109" s="213"/>
      <c r="CO109" s="213"/>
      <c r="CP109" s="213"/>
      <c r="CQ109" s="213"/>
      <c r="CR109" s="213"/>
      <c r="CS109" s="213"/>
    </row>
    <row r="110" spans="1:97">
      <c r="A110" s="424">
        <v>45396</v>
      </c>
      <c r="B110" s="211" t="s">
        <v>253</v>
      </c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3"/>
      <c r="AI110" s="213"/>
      <c r="AJ110" s="213"/>
      <c r="AK110" s="213"/>
      <c r="AL110" s="213"/>
      <c r="AM110" s="213"/>
      <c r="AN110" s="213"/>
      <c r="AO110" s="213"/>
      <c r="AP110" s="213"/>
      <c r="AQ110" s="213"/>
      <c r="AR110" s="213"/>
      <c r="AS110" s="213"/>
      <c r="AT110" s="213"/>
      <c r="AU110" s="213"/>
      <c r="AV110" s="213"/>
      <c r="AW110" s="213"/>
      <c r="AX110" s="213"/>
      <c r="AY110" s="213"/>
      <c r="AZ110" s="213"/>
      <c r="BA110" s="213"/>
      <c r="BB110" s="213"/>
      <c r="BC110" s="213"/>
      <c r="BD110" s="213"/>
      <c r="BE110" s="213"/>
      <c r="BF110" s="213"/>
      <c r="BG110" s="213"/>
      <c r="BH110" s="213"/>
      <c r="BI110" s="213"/>
      <c r="BJ110" s="213"/>
      <c r="BK110" s="213"/>
      <c r="BL110" s="213"/>
      <c r="BM110" s="213"/>
      <c r="BN110" s="213"/>
      <c r="BO110" s="213"/>
      <c r="BP110" s="213"/>
      <c r="BQ110" s="213"/>
      <c r="BR110" s="213"/>
      <c r="BS110" s="213"/>
      <c r="BT110" s="213"/>
      <c r="BU110" s="213"/>
      <c r="BV110" s="213"/>
      <c r="BW110" s="213"/>
      <c r="BX110" s="213"/>
      <c r="BY110" s="213"/>
      <c r="BZ110" s="213"/>
      <c r="CA110" s="213"/>
      <c r="CB110" s="213"/>
      <c r="CC110" s="213"/>
      <c r="CD110" s="213"/>
      <c r="CE110" s="213"/>
      <c r="CF110" s="213"/>
      <c r="CG110" s="213"/>
      <c r="CH110" s="213"/>
      <c r="CI110" s="213"/>
      <c r="CJ110" s="213"/>
      <c r="CK110" s="213"/>
      <c r="CL110" s="213"/>
      <c r="CM110" s="213"/>
      <c r="CN110" s="213"/>
      <c r="CO110" s="213"/>
      <c r="CP110" s="213"/>
      <c r="CQ110" s="213"/>
      <c r="CR110" s="213"/>
      <c r="CS110" s="213"/>
    </row>
    <row r="111" spans="1:97">
      <c r="A111" s="424">
        <v>45397</v>
      </c>
      <c r="B111" s="211" t="s">
        <v>247</v>
      </c>
      <c r="C111" s="213">
        <v>154.46</v>
      </c>
      <c r="D111" s="213">
        <v>152.46</v>
      </c>
      <c r="E111" s="213">
        <v>153.46</v>
      </c>
      <c r="F111" s="213">
        <v>164.9</v>
      </c>
      <c r="G111" s="213">
        <v>161.9</v>
      </c>
      <c r="H111" s="213">
        <v>163.4</v>
      </c>
      <c r="I111" s="213">
        <v>113.05</v>
      </c>
      <c r="J111" s="213">
        <v>109.85</v>
      </c>
      <c r="K111" s="213">
        <v>111.44999999999999</v>
      </c>
      <c r="L111" s="213">
        <v>195.15</v>
      </c>
      <c r="M111" s="213">
        <v>187.15</v>
      </c>
      <c r="N111" s="213">
        <v>191.15</v>
      </c>
      <c r="O111" s="213">
        <v>168.8</v>
      </c>
      <c r="P111" s="213">
        <v>167</v>
      </c>
      <c r="Q111" s="213">
        <v>167.9</v>
      </c>
      <c r="R111" s="213">
        <v>22.2</v>
      </c>
      <c r="S111" s="213">
        <v>21.599999999999998</v>
      </c>
      <c r="T111" s="213">
        <v>21.9</v>
      </c>
      <c r="U111" s="213">
        <v>14.41</v>
      </c>
      <c r="V111" s="213">
        <v>13.81</v>
      </c>
      <c r="W111" s="213">
        <v>14.11</v>
      </c>
      <c r="X111" s="213">
        <v>14.53</v>
      </c>
      <c r="Y111" s="213">
        <v>13.729999999999999</v>
      </c>
      <c r="Z111" s="213">
        <v>14.129999999999999</v>
      </c>
      <c r="AA111" s="213">
        <v>101.33</v>
      </c>
      <c r="AB111" s="213">
        <v>97.33</v>
      </c>
      <c r="AC111" s="213">
        <v>99.33</v>
      </c>
      <c r="AD111" s="213">
        <v>93.12</v>
      </c>
      <c r="AE111" s="213">
        <v>89.12</v>
      </c>
      <c r="AF111" s="213">
        <v>91.12</v>
      </c>
      <c r="AG111" s="213">
        <v>20.010000000000002</v>
      </c>
      <c r="AH111" s="213">
        <v>19.150000000000002</v>
      </c>
      <c r="AI111" s="213">
        <v>19.580000000000002</v>
      </c>
      <c r="AJ111" s="213"/>
      <c r="AK111" s="213"/>
      <c r="AL111" s="213"/>
      <c r="AM111" s="213">
        <v>113.61</v>
      </c>
      <c r="AN111" s="213">
        <v>111.95</v>
      </c>
      <c r="AO111" s="213">
        <v>112.78</v>
      </c>
      <c r="AP111" s="213">
        <v>41.78</v>
      </c>
      <c r="AQ111" s="213">
        <v>40.18</v>
      </c>
      <c r="AR111" s="213">
        <v>40.980000000000004</v>
      </c>
      <c r="AS111" s="213">
        <v>42.54</v>
      </c>
      <c r="AT111" s="213">
        <v>41.18</v>
      </c>
      <c r="AU111" s="213">
        <v>41.86</v>
      </c>
      <c r="AV111" s="213">
        <v>21.43</v>
      </c>
      <c r="AW111" s="213">
        <v>20.83</v>
      </c>
      <c r="AX111" s="213">
        <v>21.13</v>
      </c>
      <c r="AY111" s="213">
        <v>4.26</v>
      </c>
      <c r="AZ111" s="213">
        <v>4.0999999999999996</v>
      </c>
      <c r="BA111" s="213">
        <v>4.18</v>
      </c>
      <c r="BB111" s="213">
        <v>2</v>
      </c>
      <c r="BC111" s="213">
        <v>1.7</v>
      </c>
      <c r="BD111" s="213">
        <v>1.85</v>
      </c>
      <c r="BE111" s="213">
        <v>0.7</v>
      </c>
      <c r="BF111" s="213">
        <v>0.39999999999999997</v>
      </c>
      <c r="BG111" s="213">
        <v>0.54999999999999993</v>
      </c>
      <c r="BH111" s="213">
        <v>506.89</v>
      </c>
      <c r="BI111" s="213">
        <v>490.89</v>
      </c>
      <c r="BJ111" s="213">
        <v>498.89</v>
      </c>
      <c r="BK111" s="213">
        <v>42.85</v>
      </c>
      <c r="BL111" s="213">
        <v>41.49</v>
      </c>
      <c r="BM111" s="213">
        <v>42.17</v>
      </c>
      <c r="BN111" s="213">
        <v>1.0900000000000001</v>
      </c>
      <c r="BO111" s="213">
        <v>0.85000000000000009</v>
      </c>
      <c r="BP111" s="213">
        <v>0.97000000000000008</v>
      </c>
      <c r="BQ111" s="213">
        <v>10.24</v>
      </c>
      <c r="BR111" s="213">
        <v>8.24</v>
      </c>
      <c r="BS111" s="213">
        <v>9.24</v>
      </c>
      <c r="BT111" s="213">
        <v>11.29</v>
      </c>
      <c r="BU111" s="213">
        <v>10.889999999999999</v>
      </c>
      <c r="BV111" s="213">
        <v>11.09</v>
      </c>
      <c r="BW111" s="213">
        <v>2.87</v>
      </c>
      <c r="BX111" s="213">
        <v>2.59</v>
      </c>
      <c r="BY111" s="213">
        <v>2.73</v>
      </c>
      <c r="BZ111" s="213">
        <v>9.64</v>
      </c>
      <c r="CA111" s="213">
        <v>6.6400000000000006</v>
      </c>
      <c r="CB111" s="213">
        <v>8.14</v>
      </c>
      <c r="CC111" s="213">
        <v>6.57</v>
      </c>
      <c r="CD111" s="213">
        <v>6.33</v>
      </c>
      <c r="CE111" s="213">
        <v>6.45</v>
      </c>
      <c r="CF111" s="213">
        <v>1.9</v>
      </c>
      <c r="CG111" s="213">
        <v>1.4</v>
      </c>
      <c r="CH111" s="213">
        <v>1.65</v>
      </c>
      <c r="CI111" s="213">
        <v>0.44</v>
      </c>
      <c r="CJ111" s="213">
        <v>0.4</v>
      </c>
      <c r="CK111" s="213">
        <v>0.42000000000000004</v>
      </c>
      <c r="CL111" s="213">
        <v>39.340000000000003</v>
      </c>
      <c r="CM111" s="213">
        <v>36.940000000000005</v>
      </c>
      <c r="CN111" s="213">
        <v>38.14</v>
      </c>
      <c r="CO111" s="213">
        <v>7.24</v>
      </c>
      <c r="CP111" s="213">
        <v>2.2400000000000002</v>
      </c>
      <c r="CQ111" s="213">
        <v>4.74</v>
      </c>
      <c r="CR111" s="213"/>
      <c r="CS111" s="213"/>
    </row>
    <row r="112" spans="1:97">
      <c r="A112" s="424">
        <v>45398</v>
      </c>
      <c r="B112" s="211" t="s">
        <v>248</v>
      </c>
      <c r="C112" s="213">
        <v>155.41999999999999</v>
      </c>
      <c r="D112" s="213">
        <v>153.41999999999999</v>
      </c>
      <c r="E112" s="213">
        <v>154.41999999999999</v>
      </c>
      <c r="F112" s="213">
        <v>165.49</v>
      </c>
      <c r="G112" s="213">
        <v>162.49</v>
      </c>
      <c r="H112" s="213">
        <v>163.99</v>
      </c>
      <c r="I112" s="213">
        <v>113.55</v>
      </c>
      <c r="J112" s="213">
        <v>110.35</v>
      </c>
      <c r="K112" s="213">
        <v>111.94999999999999</v>
      </c>
      <c r="L112" s="213">
        <v>196.1</v>
      </c>
      <c r="M112" s="213">
        <v>188.1</v>
      </c>
      <c r="N112" s="213">
        <v>192.1</v>
      </c>
      <c r="O112" s="213">
        <v>170.09</v>
      </c>
      <c r="P112" s="213">
        <v>168.29</v>
      </c>
      <c r="Q112" s="213">
        <v>169.19</v>
      </c>
      <c r="R112" s="213">
        <v>22.28</v>
      </c>
      <c r="S112" s="213">
        <v>21.68</v>
      </c>
      <c r="T112" s="213">
        <v>21.98</v>
      </c>
      <c r="U112" s="213">
        <v>14.39</v>
      </c>
      <c r="V112" s="213">
        <v>13.790000000000001</v>
      </c>
      <c r="W112" s="213">
        <v>14.09</v>
      </c>
      <c r="X112" s="213">
        <v>14.56</v>
      </c>
      <c r="Y112" s="213">
        <v>13.76</v>
      </c>
      <c r="Z112" s="213">
        <v>14.16</v>
      </c>
      <c r="AA112" s="213">
        <v>101.25</v>
      </c>
      <c r="AB112" s="213">
        <v>97.25</v>
      </c>
      <c r="AC112" s="213">
        <v>99.25</v>
      </c>
      <c r="AD112" s="213">
        <v>93</v>
      </c>
      <c r="AE112" s="213">
        <v>89</v>
      </c>
      <c r="AF112" s="213">
        <v>91</v>
      </c>
      <c r="AG112" s="213">
        <v>20.149999999999999</v>
      </c>
      <c r="AH112" s="213">
        <v>19.29</v>
      </c>
      <c r="AI112" s="213">
        <v>19.72</v>
      </c>
      <c r="AJ112" s="213"/>
      <c r="AK112" s="213"/>
      <c r="AL112" s="213"/>
      <c r="AM112" s="213">
        <v>114.07</v>
      </c>
      <c r="AN112" s="213">
        <v>112.41</v>
      </c>
      <c r="AO112" s="213">
        <v>113.24</v>
      </c>
      <c r="AP112" s="213">
        <v>42.03</v>
      </c>
      <c r="AQ112" s="213">
        <v>40.43</v>
      </c>
      <c r="AR112" s="213">
        <v>41.230000000000004</v>
      </c>
      <c r="AS112" s="213">
        <v>42.8</v>
      </c>
      <c r="AT112" s="213">
        <v>41.44</v>
      </c>
      <c r="AU112" s="213">
        <v>42.12</v>
      </c>
      <c r="AV112" s="213">
        <v>21.56</v>
      </c>
      <c r="AW112" s="213">
        <v>20.959999999999997</v>
      </c>
      <c r="AX112" s="213">
        <v>21.259999999999998</v>
      </c>
      <c r="AY112" s="213">
        <v>4.2699999999999996</v>
      </c>
      <c r="AZ112" s="213">
        <v>4.1099999999999994</v>
      </c>
      <c r="BA112" s="213">
        <v>4.1899999999999995</v>
      </c>
      <c r="BB112" s="213">
        <v>2.0099999999999998</v>
      </c>
      <c r="BC112" s="213">
        <v>1.7099999999999997</v>
      </c>
      <c r="BD112" s="213">
        <v>1.8599999999999999</v>
      </c>
      <c r="BE112" s="213">
        <v>0.71</v>
      </c>
      <c r="BF112" s="213">
        <v>0.41</v>
      </c>
      <c r="BG112" s="213">
        <v>0.55999999999999994</v>
      </c>
      <c r="BH112" s="213">
        <v>508.55</v>
      </c>
      <c r="BI112" s="213">
        <v>492.55</v>
      </c>
      <c r="BJ112" s="213">
        <v>500.55</v>
      </c>
      <c r="BK112" s="213">
        <v>43.1</v>
      </c>
      <c r="BL112" s="213">
        <v>41.74</v>
      </c>
      <c r="BM112" s="213">
        <v>42.42</v>
      </c>
      <c r="BN112" s="213">
        <v>1.1000000000000001</v>
      </c>
      <c r="BO112" s="213">
        <v>0.8600000000000001</v>
      </c>
      <c r="BP112" s="213">
        <v>0.98000000000000009</v>
      </c>
      <c r="BQ112" s="213">
        <v>10.24</v>
      </c>
      <c r="BR112" s="213">
        <v>8.24</v>
      </c>
      <c r="BS112" s="213">
        <v>9.24</v>
      </c>
      <c r="BT112" s="213">
        <v>11.3</v>
      </c>
      <c r="BU112" s="213">
        <v>10.9</v>
      </c>
      <c r="BV112" s="213">
        <v>11.100000000000001</v>
      </c>
      <c r="BW112" s="213">
        <v>2.88</v>
      </c>
      <c r="BX112" s="213">
        <v>2.5999999999999996</v>
      </c>
      <c r="BY112" s="213">
        <v>2.7399999999999998</v>
      </c>
      <c r="BZ112" s="213">
        <v>9.6300000000000008</v>
      </c>
      <c r="CA112" s="213">
        <v>6.6300000000000008</v>
      </c>
      <c r="CB112" s="213">
        <v>8.1300000000000008</v>
      </c>
      <c r="CC112" s="213">
        <v>6.61</v>
      </c>
      <c r="CD112" s="213">
        <v>6.37</v>
      </c>
      <c r="CE112" s="213">
        <v>6.49</v>
      </c>
      <c r="CF112" s="213">
        <v>1.9</v>
      </c>
      <c r="CG112" s="213">
        <v>1.4</v>
      </c>
      <c r="CH112" s="213">
        <v>1.65</v>
      </c>
      <c r="CI112" s="213">
        <v>0.44</v>
      </c>
      <c r="CJ112" s="213">
        <v>0.4</v>
      </c>
      <c r="CK112" s="213">
        <v>0.42000000000000004</v>
      </c>
      <c r="CL112" s="213">
        <v>39.200000000000003</v>
      </c>
      <c r="CM112" s="213">
        <v>36.800000000000004</v>
      </c>
      <c r="CN112" s="213">
        <v>38</v>
      </c>
      <c r="CO112" s="213">
        <v>7.26</v>
      </c>
      <c r="CP112" s="213">
        <v>2.2599999999999998</v>
      </c>
      <c r="CQ112" s="213">
        <v>4.76</v>
      </c>
      <c r="CR112" s="213"/>
      <c r="CS112" s="213"/>
    </row>
    <row r="113" spans="1:97">
      <c r="A113" s="424">
        <v>45399</v>
      </c>
      <c r="B113" s="211" t="s">
        <v>249</v>
      </c>
      <c r="C113" s="213">
        <v>155.79</v>
      </c>
      <c r="D113" s="213">
        <v>153.79</v>
      </c>
      <c r="E113" s="213">
        <v>154.79</v>
      </c>
      <c r="F113" s="213">
        <v>165.9</v>
      </c>
      <c r="G113" s="213">
        <v>162.9</v>
      </c>
      <c r="H113" s="213">
        <v>164.4</v>
      </c>
      <c r="I113" s="213">
        <v>113.59</v>
      </c>
      <c r="J113" s="213">
        <v>110.39</v>
      </c>
      <c r="K113" s="213">
        <v>111.99000000000001</v>
      </c>
      <c r="L113" s="213">
        <v>196.39</v>
      </c>
      <c r="M113" s="213">
        <v>188.39</v>
      </c>
      <c r="N113" s="213">
        <v>192.39</v>
      </c>
      <c r="O113" s="213">
        <v>170.55</v>
      </c>
      <c r="P113" s="213">
        <v>168.75</v>
      </c>
      <c r="Q113" s="213">
        <v>169.65</v>
      </c>
      <c r="R113" s="213">
        <v>22.34</v>
      </c>
      <c r="S113" s="213">
        <v>21.74</v>
      </c>
      <c r="T113" s="213">
        <v>22.04</v>
      </c>
      <c r="U113" s="213">
        <v>14.41</v>
      </c>
      <c r="V113" s="213">
        <v>13.81</v>
      </c>
      <c r="W113" s="213">
        <v>14.11</v>
      </c>
      <c r="X113" s="213">
        <v>14.53</v>
      </c>
      <c r="Y113" s="213">
        <v>13.729999999999999</v>
      </c>
      <c r="Z113" s="213">
        <v>14.129999999999999</v>
      </c>
      <c r="AA113" s="213">
        <v>101.27</v>
      </c>
      <c r="AB113" s="213">
        <v>97.27</v>
      </c>
      <c r="AC113" s="213">
        <v>99.27</v>
      </c>
      <c r="AD113" s="213">
        <v>93.33</v>
      </c>
      <c r="AE113" s="213">
        <v>89.33</v>
      </c>
      <c r="AF113" s="213">
        <v>91.33</v>
      </c>
      <c r="AG113" s="213">
        <v>20.190000000000001</v>
      </c>
      <c r="AH113" s="213">
        <v>19.330000000000002</v>
      </c>
      <c r="AI113" s="213">
        <v>19.760000000000002</v>
      </c>
      <c r="AJ113" s="213"/>
      <c r="AK113" s="213"/>
      <c r="AL113" s="213"/>
      <c r="AM113" s="213">
        <v>114.3</v>
      </c>
      <c r="AN113" s="213">
        <v>112.64</v>
      </c>
      <c r="AO113" s="213">
        <v>113.47</v>
      </c>
      <c r="AP113" s="213">
        <v>42.13</v>
      </c>
      <c r="AQ113" s="213">
        <v>40.53</v>
      </c>
      <c r="AR113" s="213">
        <v>41.33</v>
      </c>
      <c r="AS113" s="213">
        <v>42.9</v>
      </c>
      <c r="AT113" s="213">
        <v>41.54</v>
      </c>
      <c r="AU113" s="213">
        <v>42.22</v>
      </c>
      <c r="AV113" s="213">
        <v>21.61</v>
      </c>
      <c r="AW113" s="213">
        <v>21.009999999999998</v>
      </c>
      <c r="AX113" s="213">
        <v>21.31</v>
      </c>
      <c r="AY113" s="213">
        <v>4.3099999999999996</v>
      </c>
      <c r="AZ113" s="213">
        <v>4.1499999999999995</v>
      </c>
      <c r="BA113" s="213">
        <v>4.2299999999999995</v>
      </c>
      <c r="BB113" s="213">
        <v>2.0099999999999998</v>
      </c>
      <c r="BC113" s="213">
        <v>1.7099999999999997</v>
      </c>
      <c r="BD113" s="213">
        <v>1.8599999999999999</v>
      </c>
      <c r="BE113" s="213">
        <v>0.71</v>
      </c>
      <c r="BF113" s="213">
        <v>0.41</v>
      </c>
      <c r="BG113" s="213">
        <v>0.55999999999999994</v>
      </c>
      <c r="BH113" s="213">
        <v>511.38</v>
      </c>
      <c r="BI113" s="213">
        <v>495.38</v>
      </c>
      <c r="BJ113" s="213">
        <v>503.38</v>
      </c>
      <c r="BK113" s="213">
        <v>43.2</v>
      </c>
      <c r="BL113" s="213">
        <v>41.84</v>
      </c>
      <c r="BM113" s="213">
        <v>42.52</v>
      </c>
      <c r="BN113" s="213">
        <v>1.08</v>
      </c>
      <c r="BO113" s="213">
        <v>0.84000000000000008</v>
      </c>
      <c r="BP113" s="213">
        <v>0.96000000000000008</v>
      </c>
      <c r="BQ113" s="213">
        <v>10.09</v>
      </c>
      <c r="BR113" s="213">
        <v>8.09</v>
      </c>
      <c r="BS113" s="213">
        <v>9.09</v>
      </c>
      <c r="BT113" s="213">
        <v>11.36</v>
      </c>
      <c r="BU113" s="213">
        <v>10.959999999999999</v>
      </c>
      <c r="BV113" s="213">
        <v>11.16</v>
      </c>
      <c r="BW113" s="213">
        <v>2.88</v>
      </c>
      <c r="BX113" s="213">
        <v>2.5999999999999996</v>
      </c>
      <c r="BY113" s="213">
        <v>2.7399999999999998</v>
      </c>
      <c r="BZ113" s="213">
        <v>9.6199999999999992</v>
      </c>
      <c r="CA113" s="213">
        <v>6.6199999999999992</v>
      </c>
      <c r="CB113" s="213">
        <v>8.1199999999999992</v>
      </c>
      <c r="CC113" s="213">
        <v>6.66</v>
      </c>
      <c r="CD113" s="213">
        <v>6.42</v>
      </c>
      <c r="CE113" s="213">
        <v>6.54</v>
      </c>
      <c r="CF113" s="213">
        <v>1.89</v>
      </c>
      <c r="CG113" s="213">
        <v>1.39</v>
      </c>
      <c r="CH113" s="213">
        <v>1.64</v>
      </c>
      <c r="CI113" s="213">
        <v>0.44</v>
      </c>
      <c r="CJ113" s="213">
        <v>0.4</v>
      </c>
      <c r="CK113" s="213">
        <v>0.42000000000000004</v>
      </c>
      <c r="CL113" s="213">
        <v>38.880000000000003</v>
      </c>
      <c r="CM113" s="213">
        <v>36.480000000000004</v>
      </c>
      <c r="CN113" s="213">
        <v>37.680000000000007</v>
      </c>
      <c r="CO113" s="213">
        <v>7.27</v>
      </c>
      <c r="CP113" s="213">
        <v>2.2699999999999996</v>
      </c>
      <c r="CQ113" s="213">
        <v>4.7699999999999996</v>
      </c>
      <c r="CR113" s="213"/>
      <c r="CS113" s="213"/>
    </row>
    <row r="114" spans="1:97">
      <c r="A114" s="424">
        <v>45400</v>
      </c>
      <c r="B114" s="211" t="s">
        <v>250</v>
      </c>
      <c r="C114" s="213">
        <v>155.46</v>
      </c>
      <c r="D114" s="213">
        <v>153.46</v>
      </c>
      <c r="E114" s="213">
        <v>154.46</v>
      </c>
      <c r="F114" s="213">
        <v>166.23</v>
      </c>
      <c r="G114" s="213">
        <v>163.22999999999999</v>
      </c>
      <c r="H114" s="213">
        <v>164.73</v>
      </c>
      <c r="I114" s="213">
        <v>113.76</v>
      </c>
      <c r="J114" s="213">
        <v>110.56</v>
      </c>
      <c r="K114" s="213">
        <v>112.16</v>
      </c>
      <c r="L114" s="213">
        <v>196.32</v>
      </c>
      <c r="M114" s="213">
        <v>188.32</v>
      </c>
      <c r="N114" s="213">
        <v>192.32</v>
      </c>
      <c r="O114" s="213">
        <v>170.49</v>
      </c>
      <c r="P114" s="213">
        <v>168.69</v>
      </c>
      <c r="Q114" s="213">
        <v>169.59</v>
      </c>
      <c r="R114" s="213">
        <v>22.38</v>
      </c>
      <c r="S114" s="213">
        <v>21.779999999999998</v>
      </c>
      <c r="T114" s="213">
        <v>22.08</v>
      </c>
      <c r="U114" s="213">
        <v>14.33</v>
      </c>
      <c r="V114" s="213">
        <v>13.73</v>
      </c>
      <c r="W114" s="213">
        <v>14.030000000000001</v>
      </c>
      <c r="X114" s="213">
        <v>14.51</v>
      </c>
      <c r="Y114" s="213">
        <v>13.709999999999999</v>
      </c>
      <c r="Z114" s="213">
        <v>14.11</v>
      </c>
      <c r="AA114" s="213">
        <v>101.41</v>
      </c>
      <c r="AB114" s="213">
        <v>97.41</v>
      </c>
      <c r="AC114" s="213">
        <v>99.41</v>
      </c>
      <c r="AD114" s="213">
        <v>93.33</v>
      </c>
      <c r="AE114" s="213">
        <v>89.33</v>
      </c>
      <c r="AF114" s="213">
        <v>91.33</v>
      </c>
      <c r="AG114" s="213">
        <v>20.16</v>
      </c>
      <c r="AH114" s="213">
        <v>19.3</v>
      </c>
      <c r="AI114" s="213">
        <v>19.73</v>
      </c>
      <c r="AJ114" s="213"/>
      <c r="AK114" s="213"/>
      <c r="AL114" s="213"/>
      <c r="AM114" s="213">
        <v>114.38</v>
      </c>
      <c r="AN114" s="213">
        <v>112.72</v>
      </c>
      <c r="AO114" s="213">
        <v>113.55</v>
      </c>
      <c r="AP114" s="213">
        <v>42.04</v>
      </c>
      <c r="AQ114" s="213">
        <v>40.44</v>
      </c>
      <c r="AR114" s="213">
        <v>41.239999999999995</v>
      </c>
      <c r="AS114" s="213">
        <v>42.81</v>
      </c>
      <c r="AT114" s="213">
        <v>41.45</v>
      </c>
      <c r="AU114" s="213">
        <v>42.13</v>
      </c>
      <c r="AV114" s="213">
        <v>21.62</v>
      </c>
      <c r="AW114" s="213">
        <v>21.02</v>
      </c>
      <c r="AX114" s="213">
        <v>21.32</v>
      </c>
      <c r="AY114" s="213">
        <v>4.3</v>
      </c>
      <c r="AZ114" s="213">
        <v>4.1399999999999997</v>
      </c>
      <c r="BA114" s="213">
        <v>4.22</v>
      </c>
      <c r="BB114" s="213">
        <v>2.0099999999999998</v>
      </c>
      <c r="BC114" s="213">
        <v>1.7099999999999997</v>
      </c>
      <c r="BD114" s="213">
        <v>1.8599999999999999</v>
      </c>
      <c r="BE114" s="213">
        <v>0.71</v>
      </c>
      <c r="BF114" s="213">
        <v>0.41</v>
      </c>
      <c r="BG114" s="213">
        <v>0.55999999999999994</v>
      </c>
      <c r="BH114" s="213">
        <v>510.31</v>
      </c>
      <c r="BI114" s="213">
        <v>494.31</v>
      </c>
      <c r="BJ114" s="213">
        <v>502.31</v>
      </c>
      <c r="BK114" s="213">
        <v>43.11</v>
      </c>
      <c r="BL114" s="213">
        <v>41.75</v>
      </c>
      <c r="BM114" s="213">
        <v>42.43</v>
      </c>
      <c r="BN114" s="213">
        <v>1.08</v>
      </c>
      <c r="BO114" s="213">
        <v>0.84000000000000008</v>
      </c>
      <c r="BP114" s="213">
        <v>0.96000000000000008</v>
      </c>
      <c r="BQ114" s="213">
        <v>10.11</v>
      </c>
      <c r="BR114" s="213">
        <v>8.11</v>
      </c>
      <c r="BS114" s="213">
        <v>9.11</v>
      </c>
      <c r="BT114" s="213">
        <v>11.42</v>
      </c>
      <c r="BU114" s="213">
        <v>11.02</v>
      </c>
      <c r="BV114" s="213">
        <v>11.219999999999999</v>
      </c>
      <c r="BW114" s="213">
        <v>2.86</v>
      </c>
      <c r="BX114" s="213">
        <v>2.58</v>
      </c>
      <c r="BY114" s="213">
        <v>2.7199999999999998</v>
      </c>
      <c r="BZ114" s="213">
        <v>9.61</v>
      </c>
      <c r="CA114" s="213">
        <v>6.6099999999999994</v>
      </c>
      <c r="CB114" s="213">
        <v>8.11</v>
      </c>
      <c r="CC114" s="213">
        <v>6.65</v>
      </c>
      <c r="CD114" s="213">
        <v>6.41</v>
      </c>
      <c r="CE114" s="213">
        <v>6.53</v>
      </c>
      <c r="CF114" s="213">
        <v>1.89</v>
      </c>
      <c r="CG114" s="213">
        <v>1.39</v>
      </c>
      <c r="CH114" s="213">
        <v>1.64</v>
      </c>
      <c r="CI114" s="213">
        <v>0.44</v>
      </c>
      <c r="CJ114" s="213">
        <v>0.4</v>
      </c>
      <c r="CK114" s="213">
        <v>0.42000000000000004</v>
      </c>
      <c r="CL114" s="213">
        <v>39.200000000000003</v>
      </c>
      <c r="CM114" s="213">
        <v>36.800000000000004</v>
      </c>
      <c r="CN114" s="213">
        <v>38</v>
      </c>
      <c r="CO114" s="213">
        <v>7.26</v>
      </c>
      <c r="CP114" s="213">
        <v>2.2599999999999998</v>
      </c>
      <c r="CQ114" s="213">
        <v>4.76</v>
      </c>
      <c r="CR114" s="213"/>
      <c r="CS114" s="213"/>
    </row>
    <row r="115" spans="1:97">
      <c r="A115" s="424">
        <v>45401</v>
      </c>
      <c r="B115" s="211" t="s">
        <v>251</v>
      </c>
      <c r="C115" s="213">
        <v>155.76</v>
      </c>
      <c r="D115" s="213">
        <v>153.76</v>
      </c>
      <c r="E115" s="213">
        <v>154.76</v>
      </c>
      <c r="F115" s="213">
        <v>166.2</v>
      </c>
      <c r="G115" s="213">
        <v>163.19999999999999</v>
      </c>
      <c r="H115" s="213">
        <v>164.7</v>
      </c>
      <c r="I115" s="213">
        <v>113.92</v>
      </c>
      <c r="J115" s="213">
        <v>110.72</v>
      </c>
      <c r="K115" s="213">
        <v>112.32</v>
      </c>
      <c r="L115" s="213">
        <v>196.37</v>
      </c>
      <c r="M115" s="213">
        <v>188.37</v>
      </c>
      <c r="N115" s="213">
        <v>192.37</v>
      </c>
      <c r="O115" s="213">
        <v>170.5</v>
      </c>
      <c r="P115" s="213">
        <v>168.7</v>
      </c>
      <c r="Q115" s="213">
        <v>169.6</v>
      </c>
      <c r="R115" s="213">
        <v>22.37</v>
      </c>
      <c r="S115" s="213">
        <v>21.77</v>
      </c>
      <c r="T115" s="213">
        <v>22.07</v>
      </c>
      <c r="U115" s="213">
        <v>14.29</v>
      </c>
      <c r="V115" s="213">
        <v>13.69</v>
      </c>
      <c r="W115" s="213">
        <v>13.989999999999998</v>
      </c>
      <c r="X115" s="213">
        <v>14.49</v>
      </c>
      <c r="Y115" s="213">
        <v>13.69</v>
      </c>
      <c r="Z115" s="213">
        <v>14.09</v>
      </c>
      <c r="AA115" s="213">
        <v>101.2</v>
      </c>
      <c r="AB115" s="213">
        <v>97.2</v>
      </c>
      <c r="AC115" s="213">
        <v>99.2</v>
      </c>
      <c r="AD115" s="213">
        <v>93.29</v>
      </c>
      <c r="AE115" s="213">
        <v>89.29</v>
      </c>
      <c r="AF115" s="213">
        <v>91.29</v>
      </c>
      <c r="AG115" s="213">
        <v>20.190000000000001</v>
      </c>
      <c r="AH115" s="213">
        <v>19.330000000000002</v>
      </c>
      <c r="AI115" s="213">
        <v>19.760000000000002</v>
      </c>
      <c r="AJ115" s="213"/>
      <c r="AK115" s="213"/>
      <c r="AL115" s="213"/>
      <c r="AM115" s="213">
        <v>114.41</v>
      </c>
      <c r="AN115" s="213">
        <v>112.75</v>
      </c>
      <c r="AO115" s="213">
        <v>113.58</v>
      </c>
      <c r="AP115" s="213">
        <v>42.12</v>
      </c>
      <c r="AQ115" s="213">
        <v>40.519999999999996</v>
      </c>
      <c r="AR115" s="213">
        <v>41.319999999999993</v>
      </c>
      <c r="AS115" s="213">
        <v>42.89</v>
      </c>
      <c r="AT115" s="213">
        <v>41.53</v>
      </c>
      <c r="AU115" s="213">
        <v>42.21</v>
      </c>
      <c r="AV115" s="213">
        <v>21.64</v>
      </c>
      <c r="AW115" s="213">
        <v>21.04</v>
      </c>
      <c r="AX115" s="213">
        <v>21.34</v>
      </c>
      <c r="AY115" s="213">
        <v>4.29</v>
      </c>
      <c r="AZ115" s="213">
        <v>4.13</v>
      </c>
      <c r="BA115" s="213">
        <v>4.21</v>
      </c>
      <c r="BB115" s="213">
        <v>2.0099999999999998</v>
      </c>
      <c r="BC115" s="213">
        <v>1.7099999999999997</v>
      </c>
      <c r="BD115" s="213">
        <v>1.8599999999999999</v>
      </c>
      <c r="BE115" s="213">
        <v>0.71</v>
      </c>
      <c r="BF115" s="213">
        <v>0.41</v>
      </c>
      <c r="BG115" s="213">
        <v>0.55999999999999994</v>
      </c>
      <c r="BH115" s="213">
        <v>510.79</v>
      </c>
      <c r="BI115" s="213">
        <v>494.79</v>
      </c>
      <c r="BJ115" s="213">
        <v>502.79</v>
      </c>
      <c r="BK115" s="213">
        <v>43.2</v>
      </c>
      <c r="BL115" s="213">
        <v>41.84</v>
      </c>
      <c r="BM115" s="213">
        <v>42.52</v>
      </c>
      <c r="BN115" s="213">
        <v>1.08</v>
      </c>
      <c r="BO115" s="213">
        <v>0.84000000000000008</v>
      </c>
      <c r="BP115" s="213">
        <v>0.96000000000000008</v>
      </c>
      <c r="BQ115" s="213">
        <v>10.050000000000001</v>
      </c>
      <c r="BR115" s="213">
        <v>8.0500000000000007</v>
      </c>
      <c r="BS115" s="213">
        <v>9.0500000000000007</v>
      </c>
      <c r="BT115" s="213">
        <v>11.39</v>
      </c>
      <c r="BU115" s="213">
        <v>10.99</v>
      </c>
      <c r="BV115" s="213">
        <v>11.190000000000001</v>
      </c>
      <c r="BW115" s="213">
        <v>2.87</v>
      </c>
      <c r="BX115" s="213">
        <v>2.59</v>
      </c>
      <c r="BY115" s="213">
        <v>2.73</v>
      </c>
      <c r="BZ115" s="213">
        <v>9.56</v>
      </c>
      <c r="CA115" s="213">
        <v>6.5600000000000005</v>
      </c>
      <c r="CB115" s="213">
        <v>8.06</v>
      </c>
      <c r="CC115" s="213">
        <v>6.64</v>
      </c>
      <c r="CD115" s="213">
        <v>6.3999999999999995</v>
      </c>
      <c r="CE115" s="213">
        <v>6.52</v>
      </c>
      <c r="CF115" s="213">
        <v>1.89</v>
      </c>
      <c r="CG115" s="213">
        <v>1.39</v>
      </c>
      <c r="CH115" s="213">
        <v>1.64</v>
      </c>
      <c r="CI115" s="213">
        <v>0.44</v>
      </c>
      <c r="CJ115" s="213">
        <v>0.4</v>
      </c>
      <c r="CK115" s="213">
        <v>0.42000000000000004</v>
      </c>
      <c r="CL115" s="213">
        <v>39.17</v>
      </c>
      <c r="CM115" s="213">
        <v>36.770000000000003</v>
      </c>
      <c r="CN115" s="213">
        <v>37.97</v>
      </c>
      <c r="CO115" s="213">
        <v>7.27</v>
      </c>
      <c r="CP115" s="213">
        <v>2.2699999999999996</v>
      </c>
      <c r="CQ115" s="213">
        <v>4.7699999999999996</v>
      </c>
      <c r="CR115" s="213"/>
      <c r="CS115" s="213"/>
    </row>
    <row r="116" spans="1:97">
      <c r="A116" s="424">
        <v>45402</v>
      </c>
      <c r="B116" s="211" t="s">
        <v>252</v>
      </c>
      <c r="C116" s="213"/>
      <c r="D116" s="213"/>
      <c r="E116" s="213"/>
      <c r="F116" s="213"/>
      <c r="G116" s="213"/>
      <c r="H116" s="213"/>
      <c r="I116" s="213"/>
      <c r="J116" s="213"/>
      <c r="K116" s="213"/>
      <c r="L116" s="213"/>
      <c r="M116" s="213"/>
      <c r="N116" s="213"/>
      <c r="O116" s="213"/>
      <c r="P116" s="213"/>
      <c r="Q116" s="213"/>
      <c r="R116" s="213"/>
      <c r="S116" s="213"/>
      <c r="T116" s="213"/>
      <c r="U116" s="213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3"/>
      <c r="AP116" s="213"/>
      <c r="AQ116" s="213"/>
      <c r="AR116" s="213"/>
      <c r="AS116" s="213"/>
      <c r="AT116" s="213"/>
      <c r="AU116" s="213"/>
      <c r="AV116" s="213"/>
      <c r="AW116" s="213"/>
      <c r="AX116" s="213"/>
      <c r="AY116" s="213"/>
      <c r="AZ116" s="213"/>
      <c r="BA116" s="213"/>
      <c r="BB116" s="213"/>
      <c r="BC116" s="213"/>
      <c r="BD116" s="213"/>
      <c r="BE116" s="213"/>
      <c r="BF116" s="213"/>
      <c r="BG116" s="213"/>
      <c r="BH116" s="213"/>
      <c r="BI116" s="213"/>
      <c r="BJ116" s="213"/>
      <c r="BK116" s="213"/>
      <c r="BL116" s="213"/>
      <c r="BM116" s="213"/>
      <c r="BN116" s="213"/>
      <c r="BO116" s="213"/>
      <c r="BP116" s="213"/>
      <c r="BQ116" s="213"/>
      <c r="BR116" s="213"/>
      <c r="BS116" s="213"/>
      <c r="BT116" s="213"/>
      <c r="BU116" s="213"/>
      <c r="BV116" s="213"/>
      <c r="BW116" s="213"/>
      <c r="BX116" s="213"/>
      <c r="BY116" s="213"/>
      <c r="BZ116" s="213"/>
      <c r="CA116" s="213"/>
      <c r="CB116" s="213"/>
      <c r="CC116" s="213"/>
      <c r="CD116" s="213"/>
      <c r="CE116" s="213"/>
      <c r="CF116" s="213"/>
      <c r="CG116" s="213"/>
      <c r="CH116" s="213"/>
      <c r="CI116" s="213"/>
      <c r="CJ116" s="213"/>
      <c r="CK116" s="213"/>
      <c r="CL116" s="213"/>
      <c r="CM116" s="213"/>
      <c r="CN116" s="213"/>
      <c r="CO116" s="213"/>
      <c r="CP116" s="213"/>
      <c r="CQ116" s="213"/>
      <c r="CR116" s="213"/>
      <c r="CS116" s="213"/>
    </row>
    <row r="117" spans="1:97">
      <c r="A117" s="424">
        <v>45403</v>
      </c>
      <c r="B117" s="211" t="s">
        <v>253</v>
      </c>
      <c r="C117" s="213"/>
      <c r="D117" s="213"/>
      <c r="E117" s="213"/>
      <c r="F117" s="213"/>
      <c r="G117" s="213"/>
      <c r="H117" s="213"/>
      <c r="I117" s="213"/>
      <c r="J117" s="213"/>
      <c r="K117" s="213"/>
      <c r="L117" s="213"/>
      <c r="M117" s="213"/>
      <c r="N117" s="213"/>
      <c r="O117" s="213"/>
      <c r="P117" s="213"/>
      <c r="Q117" s="213"/>
      <c r="R117" s="213"/>
      <c r="S117" s="213"/>
      <c r="T117" s="213"/>
      <c r="U117" s="213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3"/>
      <c r="AP117" s="213"/>
      <c r="AQ117" s="213"/>
      <c r="AR117" s="213"/>
      <c r="AS117" s="213"/>
      <c r="AT117" s="213"/>
      <c r="AU117" s="213"/>
      <c r="AV117" s="213"/>
      <c r="AW117" s="213"/>
      <c r="AX117" s="213"/>
      <c r="AY117" s="213"/>
      <c r="AZ117" s="213"/>
      <c r="BA117" s="213"/>
      <c r="BB117" s="213"/>
      <c r="BC117" s="213"/>
      <c r="BD117" s="213"/>
      <c r="BE117" s="213"/>
      <c r="BF117" s="213"/>
      <c r="BG117" s="213"/>
      <c r="BH117" s="213"/>
      <c r="BI117" s="213"/>
      <c r="BJ117" s="213"/>
      <c r="BK117" s="213"/>
      <c r="BL117" s="213"/>
      <c r="BM117" s="213"/>
      <c r="BN117" s="213"/>
      <c r="BO117" s="213"/>
      <c r="BP117" s="213"/>
      <c r="BQ117" s="213"/>
      <c r="BR117" s="213"/>
      <c r="BS117" s="213"/>
      <c r="BT117" s="213"/>
      <c r="BU117" s="213"/>
      <c r="BV117" s="213"/>
      <c r="BW117" s="213"/>
      <c r="BX117" s="213"/>
      <c r="BY117" s="213"/>
      <c r="BZ117" s="213"/>
      <c r="CA117" s="213"/>
      <c r="CB117" s="213"/>
      <c r="CC117" s="213"/>
      <c r="CD117" s="213"/>
      <c r="CE117" s="213"/>
      <c r="CF117" s="213"/>
      <c r="CG117" s="213"/>
      <c r="CH117" s="213"/>
      <c r="CI117" s="213"/>
      <c r="CJ117" s="213"/>
      <c r="CK117" s="213"/>
      <c r="CL117" s="213"/>
      <c r="CM117" s="213"/>
      <c r="CN117" s="213"/>
      <c r="CO117" s="213"/>
      <c r="CP117" s="213"/>
      <c r="CQ117" s="213"/>
      <c r="CR117" s="213"/>
      <c r="CS117" s="213"/>
    </row>
    <row r="118" spans="1:97">
      <c r="A118" s="424">
        <v>45404</v>
      </c>
      <c r="B118" s="211" t="s">
        <v>247</v>
      </c>
      <c r="C118" s="213">
        <v>155.80000000000001</v>
      </c>
      <c r="D118" s="213">
        <v>153.80000000000001</v>
      </c>
      <c r="E118" s="213">
        <v>154.80000000000001</v>
      </c>
      <c r="F118" s="213">
        <v>166.49</v>
      </c>
      <c r="G118" s="213">
        <v>163.49</v>
      </c>
      <c r="H118" s="213">
        <v>164.99</v>
      </c>
      <c r="I118" s="213">
        <v>114.27</v>
      </c>
      <c r="J118" s="213">
        <v>111.07</v>
      </c>
      <c r="K118" s="213">
        <v>112.66999999999999</v>
      </c>
      <c r="L118" s="213">
        <v>195.55</v>
      </c>
      <c r="M118" s="213">
        <v>187.55</v>
      </c>
      <c r="N118" s="213">
        <v>191.55</v>
      </c>
      <c r="O118" s="213">
        <v>170.79</v>
      </c>
      <c r="P118" s="213">
        <v>168.98999999999998</v>
      </c>
      <c r="Q118" s="213">
        <v>169.89</v>
      </c>
      <c r="R118" s="213">
        <v>22.41</v>
      </c>
      <c r="S118" s="213">
        <v>21.81</v>
      </c>
      <c r="T118" s="213">
        <v>22.11</v>
      </c>
      <c r="U118" s="213">
        <v>14.37</v>
      </c>
      <c r="V118" s="213">
        <v>13.77</v>
      </c>
      <c r="W118" s="213">
        <v>14.07</v>
      </c>
      <c r="X118" s="213">
        <v>14.58</v>
      </c>
      <c r="Y118" s="213">
        <v>13.78</v>
      </c>
      <c r="Z118" s="213">
        <v>14.18</v>
      </c>
      <c r="AA118" s="213">
        <v>101.58</v>
      </c>
      <c r="AB118" s="213">
        <v>97.58</v>
      </c>
      <c r="AC118" s="213">
        <v>99.58</v>
      </c>
      <c r="AD118" s="213">
        <v>93.41</v>
      </c>
      <c r="AE118" s="213">
        <v>89.41</v>
      </c>
      <c r="AF118" s="213">
        <v>91.41</v>
      </c>
      <c r="AG118" s="213">
        <v>20.190000000000001</v>
      </c>
      <c r="AH118" s="213">
        <v>19.330000000000002</v>
      </c>
      <c r="AI118" s="213">
        <v>19.760000000000002</v>
      </c>
      <c r="AJ118" s="213"/>
      <c r="AK118" s="213"/>
      <c r="AL118" s="213"/>
      <c r="AM118" s="213">
        <v>114.39</v>
      </c>
      <c r="AN118" s="213">
        <v>112.73</v>
      </c>
      <c r="AO118" s="213">
        <v>113.56</v>
      </c>
      <c r="AP118" s="213">
        <v>42.14</v>
      </c>
      <c r="AQ118" s="213">
        <v>40.54</v>
      </c>
      <c r="AR118" s="213">
        <v>41.34</v>
      </c>
      <c r="AS118" s="213">
        <v>42.91</v>
      </c>
      <c r="AT118" s="213">
        <v>41.55</v>
      </c>
      <c r="AU118" s="213">
        <v>42.23</v>
      </c>
      <c r="AV118" s="213">
        <v>21.64</v>
      </c>
      <c r="AW118" s="213">
        <v>21.04</v>
      </c>
      <c r="AX118" s="213">
        <v>21.34</v>
      </c>
      <c r="AY118" s="213">
        <v>4.2699999999999996</v>
      </c>
      <c r="AZ118" s="213">
        <v>4.1099999999999994</v>
      </c>
      <c r="BA118" s="213">
        <v>4.1899999999999995</v>
      </c>
      <c r="BB118" s="213">
        <v>2.02</v>
      </c>
      <c r="BC118" s="213">
        <v>1.72</v>
      </c>
      <c r="BD118" s="213">
        <v>1.87</v>
      </c>
      <c r="BE118" s="213">
        <v>0.71</v>
      </c>
      <c r="BF118" s="213">
        <v>0.41</v>
      </c>
      <c r="BG118" s="213">
        <v>0.55999999999999994</v>
      </c>
      <c r="BH118" s="213">
        <v>510.92</v>
      </c>
      <c r="BI118" s="213">
        <v>494.92</v>
      </c>
      <c r="BJ118" s="213">
        <v>502.92</v>
      </c>
      <c r="BK118" s="213">
        <v>43.2</v>
      </c>
      <c r="BL118" s="213">
        <v>41.84</v>
      </c>
      <c r="BM118" s="213">
        <v>42.52</v>
      </c>
      <c r="BN118" s="213">
        <v>1.08</v>
      </c>
      <c r="BO118" s="213">
        <v>0.84000000000000008</v>
      </c>
      <c r="BP118" s="213">
        <v>0.96000000000000008</v>
      </c>
      <c r="BQ118" s="213">
        <v>10.06</v>
      </c>
      <c r="BR118" s="213">
        <v>8.06</v>
      </c>
      <c r="BS118" s="213">
        <v>9.06</v>
      </c>
      <c r="BT118" s="213">
        <v>11.41</v>
      </c>
      <c r="BU118" s="213">
        <v>11.01</v>
      </c>
      <c r="BV118" s="213">
        <v>11.21</v>
      </c>
      <c r="BW118" s="213">
        <v>2.84</v>
      </c>
      <c r="BX118" s="213">
        <v>2.5599999999999996</v>
      </c>
      <c r="BY118" s="213">
        <v>2.6999999999999997</v>
      </c>
      <c r="BZ118" s="213">
        <v>9.59</v>
      </c>
      <c r="CA118" s="213">
        <v>6.59</v>
      </c>
      <c r="CB118" s="213">
        <v>8.09</v>
      </c>
      <c r="CC118" s="213">
        <v>6.66</v>
      </c>
      <c r="CD118" s="213">
        <v>6.42</v>
      </c>
      <c r="CE118" s="213">
        <v>6.54</v>
      </c>
      <c r="CF118" s="213">
        <v>1.91</v>
      </c>
      <c r="CG118" s="213">
        <v>1.41</v>
      </c>
      <c r="CH118" s="213">
        <v>1.66</v>
      </c>
      <c r="CI118" s="213">
        <v>0.44</v>
      </c>
      <c r="CJ118" s="213">
        <v>0.4</v>
      </c>
      <c r="CK118" s="213">
        <v>0.42000000000000004</v>
      </c>
      <c r="CL118" s="213">
        <v>39.520000000000003</v>
      </c>
      <c r="CM118" s="213">
        <v>37.120000000000005</v>
      </c>
      <c r="CN118" s="213">
        <v>38.320000000000007</v>
      </c>
      <c r="CO118" s="213">
        <v>7.25</v>
      </c>
      <c r="CP118" s="213">
        <v>2.25</v>
      </c>
      <c r="CQ118" s="213">
        <v>4.75</v>
      </c>
      <c r="CR118" s="213"/>
      <c r="CS118" s="213"/>
    </row>
    <row r="119" spans="1:97">
      <c r="A119" s="424">
        <v>45405</v>
      </c>
      <c r="B119" s="211" t="s">
        <v>248</v>
      </c>
      <c r="C119" s="213">
        <v>155.85</v>
      </c>
      <c r="D119" s="213">
        <v>153.85</v>
      </c>
      <c r="E119" s="213">
        <v>154.85</v>
      </c>
      <c r="F119" s="213">
        <v>166.55</v>
      </c>
      <c r="G119" s="213">
        <v>163.55000000000001</v>
      </c>
      <c r="H119" s="213">
        <v>165.05</v>
      </c>
      <c r="I119" s="213">
        <v>114.67</v>
      </c>
      <c r="J119" s="213">
        <v>111.47</v>
      </c>
      <c r="K119" s="213">
        <v>113.07</v>
      </c>
      <c r="L119" s="213">
        <v>195.27</v>
      </c>
      <c r="M119" s="213">
        <v>187.27</v>
      </c>
      <c r="N119" s="213">
        <v>191.27</v>
      </c>
      <c r="O119" s="213">
        <v>170.73</v>
      </c>
      <c r="P119" s="213">
        <v>168.92999999999998</v>
      </c>
      <c r="Q119" s="213">
        <v>169.82999999999998</v>
      </c>
      <c r="R119" s="213">
        <v>22.42</v>
      </c>
      <c r="S119" s="213">
        <v>21.82</v>
      </c>
      <c r="T119" s="213">
        <v>22.12</v>
      </c>
      <c r="U119" s="213">
        <v>14.41</v>
      </c>
      <c r="V119" s="213">
        <v>13.81</v>
      </c>
      <c r="W119" s="213">
        <v>14.11</v>
      </c>
      <c r="X119" s="213">
        <v>14.65</v>
      </c>
      <c r="Y119" s="213">
        <v>13.85</v>
      </c>
      <c r="Z119" s="213">
        <v>14.25</v>
      </c>
      <c r="AA119" s="213">
        <v>101.99</v>
      </c>
      <c r="AB119" s="213">
        <v>97.99</v>
      </c>
      <c r="AC119" s="213">
        <v>99.99</v>
      </c>
      <c r="AD119" s="213">
        <v>93.72</v>
      </c>
      <c r="AE119" s="213">
        <v>89.72</v>
      </c>
      <c r="AF119" s="213">
        <v>91.72</v>
      </c>
      <c r="AG119" s="213">
        <v>20.190000000000001</v>
      </c>
      <c r="AH119" s="213">
        <v>19.330000000000002</v>
      </c>
      <c r="AI119" s="213">
        <v>19.760000000000002</v>
      </c>
      <c r="AJ119" s="213"/>
      <c r="AK119" s="213"/>
      <c r="AL119" s="213"/>
      <c r="AM119" s="213">
        <v>114.57</v>
      </c>
      <c r="AN119" s="213">
        <v>112.91</v>
      </c>
      <c r="AO119" s="213">
        <v>113.74</v>
      </c>
      <c r="AP119" s="213">
        <v>42.15</v>
      </c>
      <c r="AQ119" s="213">
        <v>40.549999999999997</v>
      </c>
      <c r="AR119" s="213">
        <v>41.349999999999994</v>
      </c>
      <c r="AS119" s="213">
        <v>42.8</v>
      </c>
      <c r="AT119" s="213">
        <v>41.44</v>
      </c>
      <c r="AU119" s="213">
        <v>42.12</v>
      </c>
      <c r="AV119" s="213">
        <v>21.65</v>
      </c>
      <c r="AW119" s="213">
        <v>21.049999999999997</v>
      </c>
      <c r="AX119" s="213">
        <v>21.349999999999998</v>
      </c>
      <c r="AY119" s="213">
        <v>4.26</v>
      </c>
      <c r="AZ119" s="213">
        <v>4.0999999999999996</v>
      </c>
      <c r="BA119" s="213">
        <v>4.18</v>
      </c>
      <c r="BB119" s="213">
        <v>2.02</v>
      </c>
      <c r="BC119" s="213">
        <v>1.72</v>
      </c>
      <c r="BD119" s="213">
        <v>1.87</v>
      </c>
      <c r="BE119" s="213">
        <v>0.71</v>
      </c>
      <c r="BF119" s="213">
        <v>0.41</v>
      </c>
      <c r="BG119" s="213">
        <v>0.55999999999999994</v>
      </c>
      <c r="BH119" s="213">
        <v>511.41</v>
      </c>
      <c r="BI119" s="213">
        <v>495.41</v>
      </c>
      <c r="BJ119" s="213">
        <v>503.41</v>
      </c>
      <c r="BK119" s="213">
        <v>43.09</v>
      </c>
      <c r="BL119" s="213">
        <v>41.730000000000004</v>
      </c>
      <c r="BM119" s="213">
        <v>42.410000000000004</v>
      </c>
      <c r="BN119" s="213">
        <v>1.08</v>
      </c>
      <c r="BO119" s="213">
        <v>0.84000000000000008</v>
      </c>
      <c r="BP119" s="213">
        <v>0.96000000000000008</v>
      </c>
      <c r="BQ119" s="213">
        <v>10.050000000000001</v>
      </c>
      <c r="BR119" s="213">
        <v>8.0500000000000007</v>
      </c>
      <c r="BS119" s="213">
        <v>9.0500000000000007</v>
      </c>
      <c r="BT119" s="213">
        <v>11.44</v>
      </c>
      <c r="BU119" s="213">
        <v>11.04</v>
      </c>
      <c r="BV119" s="213">
        <v>11.239999999999998</v>
      </c>
      <c r="BW119" s="213">
        <v>2.85</v>
      </c>
      <c r="BX119" s="213">
        <v>2.5700000000000003</v>
      </c>
      <c r="BY119" s="213">
        <v>2.71</v>
      </c>
      <c r="BZ119" s="213">
        <v>9.57</v>
      </c>
      <c r="CA119" s="213">
        <v>6.57</v>
      </c>
      <c r="CB119" s="213">
        <v>8.07</v>
      </c>
      <c r="CC119" s="213">
        <v>6.66</v>
      </c>
      <c r="CD119" s="213">
        <v>6.42</v>
      </c>
      <c r="CE119" s="213">
        <v>6.54</v>
      </c>
      <c r="CF119" s="213">
        <v>1.9</v>
      </c>
      <c r="CG119" s="213">
        <v>1.4</v>
      </c>
      <c r="CH119" s="213">
        <v>1.65</v>
      </c>
      <c r="CI119" s="213">
        <v>0.44</v>
      </c>
      <c r="CJ119" s="213">
        <v>0.4</v>
      </c>
      <c r="CK119" s="213">
        <v>0.42000000000000004</v>
      </c>
      <c r="CL119" s="213">
        <v>39.47</v>
      </c>
      <c r="CM119" s="213">
        <v>37.07</v>
      </c>
      <c r="CN119" s="213">
        <v>38.269999999999996</v>
      </c>
      <c r="CO119" s="213">
        <v>7.26</v>
      </c>
      <c r="CP119" s="213">
        <v>2.2599999999999998</v>
      </c>
      <c r="CQ119" s="213">
        <v>4.76</v>
      </c>
      <c r="CR119" s="213"/>
      <c r="CS119" s="213"/>
    </row>
    <row r="120" spans="1:97">
      <c r="A120" s="424">
        <v>45406</v>
      </c>
      <c r="B120" s="211" t="s">
        <v>249</v>
      </c>
      <c r="C120" s="213">
        <v>155.86000000000001</v>
      </c>
      <c r="D120" s="213">
        <v>153.86000000000001</v>
      </c>
      <c r="E120" s="213">
        <v>154.86000000000001</v>
      </c>
      <c r="F120" s="213">
        <v>167.31</v>
      </c>
      <c r="G120" s="213">
        <v>164.31</v>
      </c>
      <c r="H120" s="213">
        <v>165.81</v>
      </c>
      <c r="I120" s="213">
        <v>114.98</v>
      </c>
      <c r="J120" s="213">
        <v>111.78</v>
      </c>
      <c r="K120" s="213">
        <v>113.38</v>
      </c>
      <c r="L120" s="213">
        <v>196.96</v>
      </c>
      <c r="M120" s="213">
        <v>188.96</v>
      </c>
      <c r="N120" s="213">
        <v>192.96</v>
      </c>
      <c r="O120" s="213">
        <v>170.76</v>
      </c>
      <c r="P120" s="213">
        <v>168.95999999999998</v>
      </c>
      <c r="Q120" s="213">
        <v>169.85999999999999</v>
      </c>
      <c r="R120" s="213">
        <v>22.53</v>
      </c>
      <c r="S120" s="213">
        <v>21.93</v>
      </c>
      <c r="T120" s="213">
        <v>22.23</v>
      </c>
      <c r="U120" s="213">
        <v>14.52</v>
      </c>
      <c r="V120" s="213">
        <v>13.92</v>
      </c>
      <c r="W120" s="213">
        <v>14.219999999999999</v>
      </c>
      <c r="X120" s="213">
        <v>14.75</v>
      </c>
      <c r="Y120" s="213">
        <v>13.95</v>
      </c>
      <c r="Z120" s="213">
        <v>14.35</v>
      </c>
      <c r="AA120" s="213">
        <v>102.6</v>
      </c>
      <c r="AB120" s="213">
        <v>98.6</v>
      </c>
      <c r="AC120" s="213">
        <v>100.6</v>
      </c>
      <c r="AD120" s="213">
        <v>94.06</v>
      </c>
      <c r="AE120" s="213">
        <v>90.06</v>
      </c>
      <c r="AF120" s="213">
        <v>92.06</v>
      </c>
      <c r="AG120" s="213">
        <v>20.190000000000001</v>
      </c>
      <c r="AH120" s="213">
        <v>19.330000000000002</v>
      </c>
      <c r="AI120" s="213">
        <v>19.760000000000002</v>
      </c>
      <c r="AJ120" s="213"/>
      <c r="AK120" s="213"/>
      <c r="AL120" s="213"/>
      <c r="AM120" s="213">
        <v>114.66</v>
      </c>
      <c r="AN120" s="213">
        <v>113</v>
      </c>
      <c r="AO120" s="213">
        <v>113.83</v>
      </c>
      <c r="AP120" s="213">
        <v>42.15</v>
      </c>
      <c r="AQ120" s="213">
        <v>40.549999999999997</v>
      </c>
      <c r="AR120" s="213">
        <v>41.349999999999994</v>
      </c>
      <c r="AS120" s="213">
        <v>42.91</v>
      </c>
      <c r="AT120" s="213">
        <v>41.55</v>
      </c>
      <c r="AU120" s="213">
        <v>42.23</v>
      </c>
      <c r="AV120" s="213">
        <v>21.63</v>
      </c>
      <c r="AW120" s="213">
        <v>21.029999999999998</v>
      </c>
      <c r="AX120" s="213">
        <v>21.33</v>
      </c>
      <c r="AY120" s="213">
        <v>4.28</v>
      </c>
      <c r="AZ120" s="213">
        <v>4.12</v>
      </c>
      <c r="BA120" s="213">
        <v>4.2</v>
      </c>
      <c r="BB120" s="213">
        <v>2.02</v>
      </c>
      <c r="BC120" s="213">
        <v>1.72</v>
      </c>
      <c r="BD120" s="213">
        <v>1.87</v>
      </c>
      <c r="BE120" s="213">
        <v>0.71</v>
      </c>
      <c r="BF120" s="213">
        <v>0.41</v>
      </c>
      <c r="BG120" s="213">
        <v>0.55999999999999994</v>
      </c>
      <c r="BH120" s="213">
        <v>511.77</v>
      </c>
      <c r="BI120" s="213">
        <v>495.77</v>
      </c>
      <c r="BJ120" s="213">
        <v>503.77</v>
      </c>
      <c r="BK120" s="213">
        <v>43.24</v>
      </c>
      <c r="BL120" s="213">
        <v>41.88</v>
      </c>
      <c r="BM120" s="213">
        <v>42.56</v>
      </c>
      <c r="BN120" s="213">
        <v>1.08</v>
      </c>
      <c r="BO120" s="213">
        <v>0.84000000000000008</v>
      </c>
      <c r="BP120" s="213">
        <v>0.96000000000000008</v>
      </c>
      <c r="BQ120" s="213">
        <v>10.14</v>
      </c>
      <c r="BR120" s="213">
        <v>8.14</v>
      </c>
      <c r="BS120" s="213">
        <v>9.14</v>
      </c>
      <c r="BT120" s="213">
        <v>11.52</v>
      </c>
      <c r="BU120" s="213">
        <v>11.12</v>
      </c>
      <c r="BV120" s="213">
        <v>11.32</v>
      </c>
      <c r="BW120" s="213">
        <v>2.85</v>
      </c>
      <c r="BX120" s="213">
        <v>2.5700000000000003</v>
      </c>
      <c r="BY120" s="213">
        <v>2.71</v>
      </c>
      <c r="BZ120" s="213">
        <v>9.6</v>
      </c>
      <c r="CA120" s="213">
        <v>6.6</v>
      </c>
      <c r="CB120" s="213">
        <v>8.1</v>
      </c>
      <c r="CC120" s="213">
        <v>6.7</v>
      </c>
      <c r="CD120" s="213">
        <v>6.46</v>
      </c>
      <c r="CE120" s="213">
        <v>6.58</v>
      </c>
      <c r="CF120" s="213">
        <v>1.91</v>
      </c>
      <c r="CG120" s="213">
        <v>1.41</v>
      </c>
      <c r="CH120" s="213">
        <v>1.66</v>
      </c>
      <c r="CI120" s="213">
        <v>0.44</v>
      </c>
      <c r="CJ120" s="213">
        <v>0.4</v>
      </c>
      <c r="CK120" s="213">
        <v>0.42000000000000004</v>
      </c>
      <c r="CL120" s="213">
        <v>39.69</v>
      </c>
      <c r="CM120" s="213">
        <v>37.29</v>
      </c>
      <c r="CN120" s="213">
        <v>38.489999999999995</v>
      </c>
      <c r="CO120" s="213">
        <v>7.27</v>
      </c>
      <c r="CP120" s="213">
        <v>2.2699999999999996</v>
      </c>
      <c r="CQ120" s="213">
        <v>4.7699999999999996</v>
      </c>
      <c r="CR120" s="213"/>
      <c r="CS120" s="213"/>
    </row>
    <row r="121" spans="1:97">
      <c r="A121" s="424">
        <v>45407</v>
      </c>
      <c r="B121" s="211" t="s">
        <v>250</v>
      </c>
      <c r="C121" s="213">
        <v>156.53</v>
      </c>
      <c r="D121" s="213">
        <v>154.53</v>
      </c>
      <c r="E121" s="213">
        <v>155.53</v>
      </c>
      <c r="F121" s="213">
        <v>167.99</v>
      </c>
      <c r="G121" s="213">
        <v>164.99</v>
      </c>
      <c r="H121" s="213">
        <v>166.49</v>
      </c>
      <c r="I121" s="213">
        <v>115.16</v>
      </c>
      <c r="J121" s="213">
        <v>111.96</v>
      </c>
      <c r="K121" s="213">
        <v>113.56</v>
      </c>
      <c r="L121" s="213">
        <v>197.87</v>
      </c>
      <c r="M121" s="213">
        <v>189.87</v>
      </c>
      <c r="N121" s="213">
        <v>193.87</v>
      </c>
      <c r="O121" s="213">
        <v>170.92</v>
      </c>
      <c r="P121" s="213">
        <v>169.11999999999998</v>
      </c>
      <c r="Q121" s="213">
        <v>170.01999999999998</v>
      </c>
      <c r="R121" s="213">
        <v>22.62</v>
      </c>
      <c r="S121" s="213">
        <v>22.02</v>
      </c>
      <c r="T121" s="213">
        <v>22.32</v>
      </c>
      <c r="U121" s="213">
        <v>14.46</v>
      </c>
      <c r="V121" s="213">
        <v>13.860000000000001</v>
      </c>
      <c r="W121" s="213">
        <v>14.16</v>
      </c>
      <c r="X121" s="213">
        <v>14.7</v>
      </c>
      <c r="Y121" s="213">
        <v>13.899999999999999</v>
      </c>
      <c r="Z121" s="213">
        <v>14.299999999999999</v>
      </c>
      <c r="AA121" s="213">
        <v>103.11</v>
      </c>
      <c r="AB121" s="213">
        <v>99.11</v>
      </c>
      <c r="AC121" s="213">
        <v>101.11</v>
      </c>
      <c r="AD121" s="213">
        <v>94.37</v>
      </c>
      <c r="AE121" s="213">
        <v>90.37</v>
      </c>
      <c r="AF121" s="213">
        <v>92.37</v>
      </c>
      <c r="AG121" s="213">
        <v>20.29</v>
      </c>
      <c r="AH121" s="213">
        <v>19.43</v>
      </c>
      <c r="AI121" s="213">
        <v>19.86</v>
      </c>
      <c r="AJ121" s="213"/>
      <c r="AK121" s="213"/>
      <c r="AL121" s="213"/>
      <c r="AM121" s="213">
        <v>115.06</v>
      </c>
      <c r="AN121" s="213">
        <v>113.4</v>
      </c>
      <c r="AO121" s="213">
        <v>114.23</v>
      </c>
      <c r="AP121" s="213">
        <v>42.34</v>
      </c>
      <c r="AQ121" s="213">
        <v>40.74</v>
      </c>
      <c r="AR121" s="213">
        <v>41.540000000000006</v>
      </c>
      <c r="AS121" s="213">
        <v>43.1</v>
      </c>
      <c r="AT121" s="213">
        <v>41.74</v>
      </c>
      <c r="AU121" s="213">
        <v>42.42</v>
      </c>
      <c r="AV121" s="213">
        <v>21.68</v>
      </c>
      <c r="AW121" s="213">
        <v>21.08</v>
      </c>
      <c r="AX121" s="213">
        <v>21.38</v>
      </c>
      <c r="AY121" s="213">
        <v>4.28</v>
      </c>
      <c r="AZ121" s="213">
        <v>4.12</v>
      </c>
      <c r="BA121" s="213">
        <v>4.2</v>
      </c>
      <c r="BB121" s="213">
        <v>2.0299999999999998</v>
      </c>
      <c r="BC121" s="213">
        <v>1.7299999999999998</v>
      </c>
      <c r="BD121" s="213">
        <v>1.88</v>
      </c>
      <c r="BE121" s="213">
        <v>0.71</v>
      </c>
      <c r="BF121" s="213">
        <v>0.41</v>
      </c>
      <c r="BG121" s="213">
        <v>0.55999999999999994</v>
      </c>
      <c r="BH121" s="213">
        <v>513.95000000000005</v>
      </c>
      <c r="BI121" s="213">
        <v>497.95000000000005</v>
      </c>
      <c r="BJ121" s="213">
        <v>505.95000000000005</v>
      </c>
      <c r="BK121" s="213">
        <v>43.41</v>
      </c>
      <c r="BL121" s="213">
        <v>42.05</v>
      </c>
      <c r="BM121" s="213">
        <v>42.73</v>
      </c>
      <c r="BN121" s="213">
        <v>1.0900000000000001</v>
      </c>
      <c r="BO121" s="213">
        <v>0.85000000000000009</v>
      </c>
      <c r="BP121" s="213">
        <v>0.97000000000000008</v>
      </c>
      <c r="BQ121" s="213">
        <v>10.11</v>
      </c>
      <c r="BR121" s="213">
        <v>8.11</v>
      </c>
      <c r="BS121" s="213">
        <v>9.11</v>
      </c>
      <c r="BT121" s="213">
        <v>11.51</v>
      </c>
      <c r="BU121" s="213">
        <v>11.11</v>
      </c>
      <c r="BV121" s="213">
        <v>11.309999999999999</v>
      </c>
      <c r="BW121" s="213">
        <v>2.86</v>
      </c>
      <c r="BX121" s="213">
        <v>2.58</v>
      </c>
      <c r="BY121" s="213">
        <v>2.7199999999999998</v>
      </c>
      <c r="BZ121" s="213">
        <v>9.59</v>
      </c>
      <c r="CA121" s="213">
        <v>6.59</v>
      </c>
      <c r="CB121" s="213">
        <v>8.09</v>
      </c>
      <c r="CC121" s="213">
        <v>6.72</v>
      </c>
      <c r="CD121" s="213">
        <v>6.4799999999999995</v>
      </c>
      <c r="CE121" s="213">
        <v>6.6</v>
      </c>
      <c r="CF121" s="213">
        <v>1.94</v>
      </c>
      <c r="CG121" s="213">
        <v>1.44</v>
      </c>
      <c r="CH121" s="213">
        <v>1.69</v>
      </c>
      <c r="CI121" s="213">
        <v>0.44</v>
      </c>
      <c r="CJ121" s="213">
        <v>0.4</v>
      </c>
      <c r="CK121" s="213">
        <v>0.42000000000000004</v>
      </c>
      <c r="CL121" s="213">
        <v>39.630000000000003</v>
      </c>
      <c r="CM121" s="213">
        <v>37.230000000000004</v>
      </c>
      <c r="CN121" s="213">
        <v>38.430000000000007</v>
      </c>
      <c r="CO121" s="213">
        <v>7.29</v>
      </c>
      <c r="CP121" s="213">
        <v>2.29</v>
      </c>
      <c r="CQ121" s="213">
        <v>4.79</v>
      </c>
      <c r="CR121" s="213"/>
      <c r="CS121" s="213"/>
    </row>
    <row r="122" spans="1:97">
      <c r="A122" s="424">
        <v>45408</v>
      </c>
      <c r="B122" s="211" t="s">
        <v>251</v>
      </c>
      <c r="C122" s="213">
        <v>156.76</v>
      </c>
      <c r="D122" s="213">
        <v>154.76</v>
      </c>
      <c r="E122" s="213">
        <v>155.76</v>
      </c>
      <c r="F122" s="213">
        <v>168.55</v>
      </c>
      <c r="G122" s="213">
        <v>165.55</v>
      </c>
      <c r="H122" s="213">
        <v>167.05</v>
      </c>
      <c r="I122" s="213">
        <v>115.65</v>
      </c>
      <c r="J122" s="213">
        <v>112.45</v>
      </c>
      <c r="K122" s="213">
        <v>114.05000000000001</v>
      </c>
      <c r="L122" s="213">
        <v>198.76</v>
      </c>
      <c r="M122" s="213">
        <v>190.76</v>
      </c>
      <c r="N122" s="213">
        <v>194.76</v>
      </c>
      <c r="O122" s="213">
        <v>171.48</v>
      </c>
      <c r="P122" s="213">
        <v>169.67999999999998</v>
      </c>
      <c r="Q122" s="213">
        <v>170.57999999999998</v>
      </c>
      <c r="R122" s="213">
        <v>22.7</v>
      </c>
      <c r="S122" s="213">
        <v>22.099999999999998</v>
      </c>
      <c r="T122" s="213">
        <v>22.4</v>
      </c>
      <c r="U122" s="213">
        <v>14.51</v>
      </c>
      <c r="V122" s="213">
        <v>13.91</v>
      </c>
      <c r="W122" s="213">
        <v>14.21</v>
      </c>
      <c r="X122" s="213">
        <v>14.7</v>
      </c>
      <c r="Y122" s="213">
        <v>13.899999999999999</v>
      </c>
      <c r="Z122" s="213">
        <v>14.299999999999999</v>
      </c>
      <c r="AA122" s="213">
        <v>103.65</v>
      </c>
      <c r="AB122" s="213">
        <v>99.65</v>
      </c>
      <c r="AC122" s="213">
        <v>101.65</v>
      </c>
      <c r="AD122" s="213">
        <v>94.9</v>
      </c>
      <c r="AE122" s="213">
        <v>90.9</v>
      </c>
      <c r="AF122" s="213">
        <v>92.9</v>
      </c>
      <c r="AG122" s="213">
        <v>20.329999999999998</v>
      </c>
      <c r="AH122" s="213">
        <v>19.47</v>
      </c>
      <c r="AI122" s="213">
        <v>19.899999999999999</v>
      </c>
      <c r="AJ122" s="213"/>
      <c r="AK122" s="213"/>
      <c r="AL122" s="213"/>
      <c r="AM122" s="213">
        <v>115.42</v>
      </c>
      <c r="AN122" s="213">
        <v>113.76</v>
      </c>
      <c r="AO122" s="213">
        <v>114.59</v>
      </c>
      <c r="AP122" s="213">
        <v>42.4</v>
      </c>
      <c r="AQ122" s="213">
        <v>40.799999999999997</v>
      </c>
      <c r="AR122" s="213">
        <v>41.599999999999994</v>
      </c>
      <c r="AS122" s="213">
        <v>43.16</v>
      </c>
      <c r="AT122" s="213">
        <v>41.8</v>
      </c>
      <c r="AU122" s="213">
        <v>42.48</v>
      </c>
      <c r="AV122" s="213">
        <v>21.76</v>
      </c>
      <c r="AW122" s="213">
        <v>21.16</v>
      </c>
      <c r="AX122" s="213">
        <v>21.46</v>
      </c>
      <c r="AY122" s="213">
        <v>4.29</v>
      </c>
      <c r="AZ122" s="213">
        <v>4.13</v>
      </c>
      <c r="BA122" s="213">
        <v>4.21</v>
      </c>
      <c r="BB122" s="213">
        <v>2.0299999999999998</v>
      </c>
      <c r="BC122" s="213">
        <v>1.7299999999999998</v>
      </c>
      <c r="BD122" s="213">
        <v>1.88</v>
      </c>
      <c r="BE122" s="213">
        <v>0.71</v>
      </c>
      <c r="BF122" s="213">
        <v>0.41</v>
      </c>
      <c r="BG122" s="213">
        <v>0.55999999999999994</v>
      </c>
      <c r="BH122" s="213">
        <v>513.05999999999995</v>
      </c>
      <c r="BI122" s="213">
        <v>497.05999999999995</v>
      </c>
      <c r="BJ122" s="213">
        <v>505.05999999999995</v>
      </c>
      <c r="BK122" s="213">
        <v>43.47</v>
      </c>
      <c r="BL122" s="213">
        <v>42.11</v>
      </c>
      <c r="BM122" s="213">
        <v>42.79</v>
      </c>
      <c r="BN122" s="213">
        <v>1.0900000000000001</v>
      </c>
      <c r="BO122" s="213">
        <v>0.85000000000000009</v>
      </c>
      <c r="BP122" s="213">
        <v>0.97000000000000008</v>
      </c>
      <c r="BQ122" s="213">
        <v>10.06</v>
      </c>
      <c r="BR122" s="213">
        <v>8.06</v>
      </c>
      <c r="BS122" s="213">
        <v>9.06</v>
      </c>
      <c r="BT122" s="213">
        <v>11.55</v>
      </c>
      <c r="BU122" s="213">
        <v>11.15</v>
      </c>
      <c r="BV122" s="213">
        <v>11.350000000000001</v>
      </c>
      <c r="BW122" s="213">
        <v>2.86</v>
      </c>
      <c r="BX122" s="213">
        <v>2.58</v>
      </c>
      <c r="BY122" s="213">
        <v>2.7199999999999998</v>
      </c>
      <c r="BZ122" s="213">
        <v>9.69</v>
      </c>
      <c r="CA122" s="213">
        <v>6.6899999999999995</v>
      </c>
      <c r="CB122" s="213">
        <v>8.19</v>
      </c>
      <c r="CC122" s="213">
        <v>6.77</v>
      </c>
      <c r="CD122" s="213">
        <v>6.5299999999999994</v>
      </c>
      <c r="CE122" s="213">
        <v>6.6499999999999995</v>
      </c>
      <c r="CF122" s="213">
        <v>1.94</v>
      </c>
      <c r="CG122" s="213">
        <v>1.44</v>
      </c>
      <c r="CH122" s="213">
        <v>1.69</v>
      </c>
      <c r="CI122" s="213">
        <v>0.45</v>
      </c>
      <c r="CJ122" s="213">
        <v>0.41000000000000003</v>
      </c>
      <c r="CK122" s="213">
        <v>0.43000000000000005</v>
      </c>
      <c r="CL122" s="213">
        <v>39.950000000000003</v>
      </c>
      <c r="CM122" s="213">
        <v>37.550000000000004</v>
      </c>
      <c r="CN122" s="213">
        <v>38.75</v>
      </c>
      <c r="CO122" s="213">
        <v>7.31</v>
      </c>
      <c r="CP122" s="213">
        <v>2.3099999999999996</v>
      </c>
      <c r="CQ122" s="213">
        <v>4.8099999999999996</v>
      </c>
      <c r="CR122" s="213"/>
      <c r="CS122" s="213"/>
    </row>
    <row r="123" spans="1:97">
      <c r="A123" s="424">
        <v>45409</v>
      </c>
      <c r="B123" s="211" t="s">
        <v>252</v>
      </c>
      <c r="C123" s="213"/>
      <c r="D123" s="213"/>
      <c r="E123" s="213"/>
      <c r="F123" s="213"/>
      <c r="G123" s="213"/>
      <c r="H123" s="213"/>
      <c r="I123" s="213"/>
      <c r="J123" s="213"/>
      <c r="K123" s="213"/>
      <c r="L123" s="213"/>
      <c r="M123" s="213"/>
      <c r="N123" s="213"/>
      <c r="O123" s="213"/>
      <c r="P123" s="213"/>
      <c r="Q123" s="213"/>
      <c r="R123" s="213"/>
      <c r="S123" s="213"/>
      <c r="T123" s="213"/>
      <c r="U123" s="213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3"/>
      <c r="AP123" s="213"/>
      <c r="AQ123" s="213"/>
      <c r="AR123" s="213"/>
      <c r="AS123" s="213"/>
      <c r="AT123" s="213"/>
      <c r="AU123" s="213"/>
      <c r="AV123" s="213"/>
      <c r="AW123" s="213"/>
      <c r="AX123" s="213"/>
      <c r="AY123" s="213"/>
      <c r="AZ123" s="213"/>
      <c r="BA123" s="213"/>
      <c r="BB123" s="213"/>
      <c r="BC123" s="213"/>
      <c r="BD123" s="213"/>
      <c r="BE123" s="213"/>
      <c r="BF123" s="213"/>
      <c r="BG123" s="213"/>
      <c r="BH123" s="213"/>
      <c r="BI123" s="213"/>
      <c r="BJ123" s="213"/>
      <c r="BK123" s="213"/>
      <c r="BL123" s="213"/>
      <c r="BM123" s="213"/>
      <c r="BN123" s="213"/>
      <c r="BO123" s="213"/>
      <c r="BP123" s="213"/>
      <c r="BQ123" s="213"/>
      <c r="BR123" s="213"/>
      <c r="BS123" s="213"/>
      <c r="BT123" s="213"/>
      <c r="BU123" s="213"/>
      <c r="BV123" s="213"/>
      <c r="BW123" s="213"/>
      <c r="BX123" s="213"/>
      <c r="BY123" s="213"/>
      <c r="BZ123" s="213"/>
      <c r="CA123" s="213"/>
      <c r="CB123" s="213"/>
      <c r="CC123" s="213"/>
      <c r="CD123" s="213"/>
      <c r="CE123" s="213"/>
      <c r="CF123" s="213"/>
      <c r="CG123" s="213"/>
      <c r="CH123" s="213"/>
      <c r="CI123" s="213"/>
      <c r="CJ123" s="213"/>
      <c r="CK123" s="213"/>
      <c r="CL123" s="213"/>
      <c r="CM123" s="213"/>
      <c r="CN123" s="213"/>
      <c r="CO123" s="213"/>
      <c r="CP123" s="213"/>
      <c r="CQ123" s="213"/>
      <c r="CR123" s="213"/>
      <c r="CS123" s="213"/>
    </row>
    <row r="124" spans="1:97">
      <c r="A124" s="424">
        <v>45410</v>
      </c>
      <c r="B124" s="211" t="s">
        <v>253</v>
      </c>
      <c r="C124" s="213"/>
      <c r="D124" s="213"/>
      <c r="E124" s="213"/>
      <c r="F124" s="213"/>
      <c r="G124" s="213"/>
      <c r="H124" s="213"/>
      <c r="I124" s="213"/>
      <c r="J124" s="213"/>
      <c r="K124" s="213"/>
      <c r="L124" s="213"/>
      <c r="M124" s="213"/>
      <c r="N124" s="213"/>
      <c r="O124" s="213"/>
      <c r="P124" s="213"/>
      <c r="Q124" s="213"/>
      <c r="R124" s="213"/>
      <c r="S124" s="213"/>
      <c r="T124" s="213"/>
      <c r="U124" s="213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3"/>
      <c r="AP124" s="213"/>
      <c r="AQ124" s="213"/>
      <c r="AR124" s="213"/>
      <c r="AS124" s="213"/>
      <c r="AT124" s="213"/>
      <c r="AU124" s="213"/>
      <c r="AV124" s="213"/>
      <c r="AW124" s="213"/>
      <c r="AX124" s="213"/>
      <c r="AY124" s="213"/>
      <c r="AZ124" s="213"/>
      <c r="BA124" s="213"/>
      <c r="BB124" s="213"/>
      <c r="BC124" s="213"/>
      <c r="BD124" s="213"/>
      <c r="BE124" s="213"/>
      <c r="BF124" s="213"/>
      <c r="BG124" s="213"/>
      <c r="BH124" s="213"/>
      <c r="BI124" s="213"/>
      <c r="BJ124" s="213"/>
      <c r="BK124" s="213"/>
      <c r="BL124" s="213"/>
      <c r="BM124" s="213"/>
      <c r="BN124" s="213"/>
      <c r="BO124" s="213"/>
      <c r="BP124" s="213"/>
      <c r="BQ124" s="213"/>
      <c r="BR124" s="213"/>
      <c r="BS124" s="213"/>
      <c r="BT124" s="213"/>
      <c r="BU124" s="213"/>
      <c r="BV124" s="213"/>
      <c r="BW124" s="213"/>
      <c r="BX124" s="213"/>
      <c r="BY124" s="213"/>
      <c r="BZ124" s="213"/>
      <c r="CA124" s="213"/>
      <c r="CB124" s="213"/>
      <c r="CC124" s="213"/>
      <c r="CD124" s="213"/>
      <c r="CE124" s="213"/>
      <c r="CF124" s="213"/>
      <c r="CG124" s="213"/>
      <c r="CH124" s="213"/>
      <c r="CI124" s="213"/>
      <c r="CJ124" s="213"/>
      <c r="CK124" s="213"/>
      <c r="CL124" s="213"/>
      <c r="CM124" s="213"/>
      <c r="CN124" s="213"/>
      <c r="CO124" s="213"/>
      <c r="CP124" s="213"/>
      <c r="CQ124" s="213"/>
      <c r="CR124" s="213"/>
      <c r="CS124" s="213"/>
    </row>
    <row r="125" spans="1:97">
      <c r="A125" s="424">
        <v>45411</v>
      </c>
      <c r="B125" s="211" t="s">
        <v>247</v>
      </c>
      <c r="C125" s="213"/>
      <c r="D125" s="213"/>
      <c r="E125" s="213"/>
      <c r="F125" s="213"/>
      <c r="G125" s="213"/>
      <c r="H125" s="213"/>
      <c r="I125" s="213"/>
      <c r="J125" s="213"/>
      <c r="K125" s="213"/>
      <c r="L125" s="213"/>
      <c r="M125" s="213"/>
      <c r="N125" s="213"/>
      <c r="O125" s="213"/>
      <c r="P125" s="213"/>
      <c r="Q125" s="213"/>
      <c r="R125" s="213"/>
      <c r="S125" s="213"/>
      <c r="T125" s="213"/>
      <c r="U125" s="213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3"/>
      <c r="AP125" s="213"/>
      <c r="AQ125" s="213"/>
      <c r="AR125" s="213"/>
      <c r="AS125" s="213"/>
      <c r="AT125" s="213"/>
      <c r="AU125" s="213"/>
      <c r="AV125" s="213"/>
      <c r="AW125" s="213"/>
      <c r="AX125" s="213"/>
      <c r="AY125" s="213"/>
      <c r="AZ125" s="213"/>
      <c r="BA125" s="213"/>
      <c r="BB125" s="213"/>
      <c r="BC125" s="213"/>
      <c r="BD125" s="213"/>
      <c r="BE125" s="213"/>
      <c r="BF125" s="213"/>
      <c r="BG125" s="213"/>
      <c r="BH125" s="213"/>
      <c r="BI125" s="213"/>
      <c r="BJ125" s="213"/>
      <c r="BK125" s="213"/>
      <c r="BL125" s="213"/>
      <c r="BM125" s="213"/>
      <c r="BN125" s="213"/>
      <c r="BO125" s="213"/>
      <c r="BP125" s="213"/>
      <c r="BQ125" s="213"/>
      <c r="BR125" s="213"/>
      <c r="BS125" s="213"/>
      <c r="BT125" s="213"/>
      <c r="BU125" s="213"/>
      <c r="BV125" s="213"/>
      <c r="BW125" s="213"/>
      <c r="BX125" s="213"/>
      <c r="BY125" s="213"/>
      <c r="BZ125" s="213"/>
      <c r="CA125" s="213"/>
      <c r="CB125" s="213"/>
      <c r="CC125" s="213"/>
      <c r="CD125" s="213"/>
      <c r="CE125" s="213"/>
      <c r="CF125" s="213"/>
      <c r="CG125" s="213"/>
      <c r="CH125" s="213"/>
      <c r="CI125" s="213"/>
      <c r="CJ125" s="213"/>
      <c r="CK125" s="213"/>
      <c r="CL125" s="213"/>
      <c r="CM125" s="213"/>
      <c r="CN125" s="213"/>
      <c r="CO125" s="213"/>
      <c r="CP125" s="213"/>
      <c r="CQ125" s="213"/>
      <c r="CR125" s="213"/>
      <c r="CS125" s="213"/>
    </row>
    <row r="126" spans="1:97">
      <c r="A126" s="424">
        <v>45412</v>
      </c>
      <c r="B126" s="211" t="s">
        <v>248</v>
      </c>
      <c r="C126" s="213">
        <v>157.9</v>
      </c>
      <c r="D126" s="213">
        <v>155.9</v>
      </c>
      <c r="E126" s="213">
        <v>156.9</v>
      </c>
      <c r="F126" s="213">
        <v>169.62</v>
      </c>
      <c r="G126" s="213">
        <v>166.62</v>
      </c>
      <c r="H126" s="213">
        <v>168.12</v>
      </c>
      <c r="I126" s="213">
        <v>116.37</v>
      </c>
      <c r="J126" s="213">
        <v>113.17</v>
      </c>
      <c r="K126" s="213">
        <v>114.77000000000001</v>
      </c>
      <c r="L126" s="213">
        <v>201.02</v>
      </c>
      <c r="M126" s="213">
        <v>193.02</v>
      </c>
      <c r="N126" s="213">
        <v>197.02</v>
      </c>
      <c r="O126" s="213">
        <v>173.07</v>
      </c>
      <c r="P126" s="213">
        <v>171.26999999999998</v>
      </c>
      <c r="Q126" s="213">
        <v>172.17</v>
      </c>
      <c r="R126" s="213">
        <v>22.85</v>
      </c>
      <c r="S126" s="213">
        <v>22.25</v>
      </c>
      <c r="T126" s="213">
        <v>22.55</v>
      </c>
      <c r="U126" s="213">
        <v>14.56</v>
      </c>
      <c r="V126" s="213">
        <v>13.96</v>
      </c>
      <c r="W126" s="213">
        <v>14.260000000000002</v>
      </c>
      <c r="X126" s="213">
        <v>14.74</v>
      </c>
      <c r="Y126" s="213">
        <v>13.94</v>
      </c>
      <c r="Z126" s="213">
        <v>14.34</v>
      </c>
      <c r="AA126" s="213">
        <v>104.96</v>
      </c>
      <c r="AB126" s="213">
        <v>100.96</v>
      </c>
      <c r="AC126" s="213">
        <v>102.96</v>
      </c>
      <c r="AD126" s="213">
        <v>95.61</v>
      </c>
      <c r="AE126" s="213">
        <v>91.61</v>
      </c>
      <c r="AF126" s="213">
        <v>93.61</v>
      </c>
      <c r="AG126" s="213">
        <v>20.48</v>
      </c>
      <c r="AH126" s="213">
        <v>19.62</v>
      </c>
      <c r="AI126" s="213">
        <v>20.05</v>
      </c>
      <c r="AJ126" s="213"/>
      <c r="AK126" s="213"/>
      <c r="AL126" s="213"/>
      <c r="AM126" s="213">
        <v>116.16</v>
      </c>
      <c r="AN126" s="213">
        <v>114.5</v>
      </c>
      <c r="AO126" s="213">
        <v>115.33</v>
      </c>
      <c r="AP126" s="213">
        <v>42.7</v>
      </c>
      <c r="AQ126" s="213">
        <v>41.1</v>
      </c>
      <c r="AR126" s="213">
        <v>41.900000000000006</v>
      </c>
      <c r="AS126" s="213">
        <v>43.47</v>
      </c>
      <c r="AT126" s="213">
        <v>42.11</v>
      </c>
      <c r="AU126" s="213">
        <v>42.79</v>
      </c>
      <c r="AV126" s="213">
        <v>21.93</v>
      </c>
      <c r="AW126" s="213">
        <v>21.33</v>
      </c>
      <c r="AX126" s="213">
        <v>21.63</v>
      </c>
      <c r="AY126" s="213">
        <v>4.32</v>
      </c>
      <c r="AZ126" s="213">
        <v>4.16</v>
      </c>
      <c r="BA126" s="213">
        <v>4.24</v>
      </c>
      <c r="BB126" s="213">
        <v>2.04</v>
      </c>
      <c r="BC126" s="213">
        <v>1.74</v>
      </c>
      <c r="BD126" s="213">
        <v>1.8900000000000001</v>
      </c>
      <c r="BE126" s="213">
        <v>0.72</v>
      </c>
      <c r="BF126" s="213">
        <v>0.42</v>
      </c>
      <c r="BG126" s="213">
        <v>0.56999999999999995</v>
      </c>
      <c r="BH126" s="213">
        <v>518.58000000000004</v>
      </c>
      <c r="BI126" s="213">
        <v>502.58000000000004</v>
      </c>
      <c r="BJ126" s="213">
        <v>510.58000000000004</v>
      </c>
      <c r="BK126" s="213">
        <v>43.78</v>
      </c>
      <c r="BL126" s="213">
        <v>42.42</v>
      </c>
      <c r="BM126" s="213">
        <v>43.1</v>
      </c>
      <c r="BN126" s="213">
        <v>1.0900000000000001</v>
      </c>
      <c r="BO126" s="213">
        <v>0.85000000000000009</v>
      </c>
      <c r="BP126" s="213">
        <v>0.97000000000000008</v>
      </c>
      <c r="BQ126" s="213">
        <v>10.220000000000001</v>
      </c>
      <c r="BR126" s="213">
        <v>8.2200000000000006</v>
      </c>
      <c r="BS126" s="213">
        <v>9.2200000000000006</v>
      </c>
      <c r="BT126" s="213">
        <v>11.61</v>
      </c>
      <c r="BU126" s="213">
        <v>11.209999999999999</v>
      </c>
      <c r="BV126" s="213">
        <v>11.41</v>
      </c>
      <c r="BW126" s="213">
        <v>2.88</v>
      </c>
      <c r="BX126" s="213">
        <v>2.5999999999999996</v>
      </c>
      <c r="BY126" s="213">
        <v>2.7399999999999998</v>
      </c>
      <c r="BZ126" s="213">
        <v>9.91</v>
      </c>
      <c r="CA126" s="213">
        <v>6.91</v>
      </c>
      <c r="CB126" s="213">
        <v>8.41</v>
      </c>
      <c r="CC126" s="213">
        <v>6.81</v>
      </c>
      <c r="CD126" s="213">
        <v>6.5699999999999994</v>
      </c>
      <c r="CE126" s="213">
        <v>6.6899999999999995</v>
      </c>
      <c r="CF126" s="213">
        <v>1.94</v>
      </c>
      <c r="CG126" s="213">
        <v>1.44</v>
      </c>
      <c r="CH126" s="213">
        <v>1.69</v>
      </c>
      <c r="CI126" s="213">
        <v>0.45</v>
      </c>
      <c r="CJ126" s="213">
        <v>0.41000000000000003</v>
      </c>
      <c r="CK126" s="213">
        <v>0.43000000000000005</v>
      </c>
      <c r="CL126" s="213">
        <v>40.19</v>
      </c>
      <c r="CM126" s="213">
        <v>37.79</v>
      </c>
      <c r="CN126" s="213">
        <v>38.989999999999995</v>
      </c>
      <c r="CO126" s="213">
        <v>7.34</v>
      </c>
      <c r="CP126" s="213">
        <v>2.34</v>
      </c>
      <c r="CQ126" s="213">
        <v>4.84</v>
      </c>
      <c r="CR126" s="213"/>
      <c r="CS126" s="213"/>
    </row>
    <row r="127" spans="1:97">
      <c r="A127" s="424">
        <v>45413</v>
      </c>
      <c r="B127" s="211" t="s">
        <v>249</v>
      </c>
      <c r="C127" s="213">
        <v>158.97</v>
      </c>
      <c r="D127" s="213">
        <v>156.97</v>
      </c>
      <c r="E127" s="213">
        <v>157.97</v>
      </c>
      <c r="F127" s="213">
        <v>169.86</v>
      </c>
      <c r="G127" s="213">
        <v>166.86</v>
      </c>
      <c r="H127" s="213">
        <v>168.36</v>
      </c>
      <c r="I127" s="213">
        <v>116.24</v>
      </c>
      <c r="J127" s="213">
        <v>113.03999999999999</v>
      </c>
      <c r="K127" s="213">
        <v>114.63999999999999</v>
      </c>
      <c r="L127" s="213">
        <v>201.26</v>
      </c>
      <c r="M127" s="213">
        <v>193.26</v>
      </c>
      <c r="N127" s="213">
        <v>197.26</v>
      </c>
      <c r="O127" s="213">
        <v>172.63</v>
      </c>
      <c r="P127" s="213">
        <v>170.82999999999998</v>
      </c>
      <c r="Q127" s="213">
        <v>171.73</v>
      </c>
      <c r="R127" s="213">
        <v>22.87</v>
      </c>
      <c r="S127" s="213">
        <v>22.27</v>
      </c>
      <c r="T127" s="213">
        <v>22.57</v>
      </c>
      <c r="U127" s="213">
        <v>14.5</v>
      </c>
      <c r="V127" s="213">
        <v>13.9</v>
      </c>
      <c r="W127" s="213">
        <v>14.2</v>
      </c>
      <c r="X127" s="213">
        <v>14.73</v>
      </c>
      <c r="Y127" s="213">
        <v>13.93</v>
      </c>
      <c r="Z127" s="213">
        <v>14.33</v>
      </c>
      <c r="AA127" s="213">
        <v>104.14</v>
      </c>
      <c r="AB127" s="213">
        <v>100.14</v>
      </c>
      <c r="AC127" s="213">
        <v>102.14</v>
      </c>
      <c r="AD127" s="213">
        <v>94.9</v>
      </c>
      <c r="AE127" s="213">
        <v>90.9</v>
      </c>
      <c r="AF127" s="213">
        <v>92.9</v>
      </c>
      <c r="AG127" s="213">
        <v>20.62</v>
      </c>
      <c r="AH127" s="213">
        <v>19.760000000000002</v>
      </c>
      <c r="AI127" s="213">
        <v>20.190000000000001</v>
      </c>
      <c r="AJ127" s="213"/>
      <c r="AK127" s="213"/>
      <c r="AL127" s="213"/>
      <c r="AM127" s="213">
        <v>116.53</v>
      </c>
      <c r="AN127" s="213">
        <v>114.87</v>
      </c>
      <c r="AO127" s="213">
        <v>115.7</v>
      </c>
      <c r="AP127" s="213">
        <v>42.99</v>
      </c>
      <c r="AQ127" s="213">
        <v>41.39</v>
      </c>
      <c r="AR127" s="213">
        <v>42.19</v>
      </c>
      <c r="AS127" s="213">
        <v>43.76</v>
      </c>
      <c r="AT127" s="213">
        <v>42.4</v>
      </c>
      <c r="AU127" s="213">
        <v>43.08</v>
      </c>
      <c r="AV127" s="213">
        <v>22.06</v>
      </c>
      <c r="AW127" s="213">
        <v>21.459999999999997</v>
      </c>
      <c r="AX127" s="213">
        <v>21.759999999999998</v>
      </c>
      <c r="AY127" s="213">
        <v>4.32</v>
      </c>
      <c r="AZ127" s="213">
        <v>4.16</v>
      </c>
      <c r="BA127" s="213">
        <v>4.24</v>
      </c>
      <c r="BB127" s="213">
        <v>2.0499999999999998</v>
      </c>
      <c r="BC127" s="213">
        <v>1.7499999999999998</v>
      </c>
      <c r="BD127" s="213">
        <v>1.9</v>
      </c>
      <c r="BE127" s="213">
        <v>0.72</v>
      </c>
      <c r="BF127" s="213">
        <v>0.42</v>
      </c>
      <c r="BG127" s="213">
        <v>0.56999999999999995</v>
      </c>
      <c r="BH127" s="213">
        <v>521.55999999999995</v>
      </c>
      <c r="BI127" s="213">
        <v>505.55999999999995</v>
      </c>
      <c r="BJ127" s="213">
        <v>513.55999999999995</v>
      </c>
      <c r="BK127" s="213">
        <v>44.08</v>
      </c>
      <c r="BL127" s="213">
        <v>42.72</v>
      </c>
      <c r="BM127" s="213">
        <v>43.4</v>
      </c>
      <c r="BN127" s="213">
        <v>1.0900000000000001</v>
      </c>
      <c r="BO127" s="213">
        <v>0.85000000000000009</v>
      </c>
      <c r="BP127" s="213">
        <v>0.97000000000000008</v>
      </c>
      <c r="BQ127" s="213">
        <v>10.220000000000001</v>
      </c>
      <c r="BR127" s="213">
        <v>8.2200000000000006</v>
      </c>
      <c r="BS127" s="213">
        <v>9.2200000000000006</v>
      </c>
      <c r="BT127" s="213">
        <v>11.61</v>
      </c>
      <c r="BU127" s="213">
        <v>11.209999999999999</v>
      </c>
      <c r="BV127" s="213">
        <v>11.41</v>
      </c>
      <c r="BW127" s="213">
        <v>2.89</v>
      </c>
      <c r="BX127" s="213">
        <v>2.6100000000000003</v>
      </c>
      <c r="BY127" s="213">
        <v>2.75</v>
      </c>
      <c r="BZ127" s="213">
        <v>9.91</v>
      </c>
      <c r="CA127" s="213">
        <v>6.91</v>
      </c>
      <c r="CB127" s="213">
        <v>8.41</v>
      </c>
      <c r="CC127" s="213">
        <v>6.82</v>
      </c>
      <c r="CD127" s="213">
        <v>6.58</v>
      </c>
      <c r="CE127" s="213">
        <v>6.7</v>
      </c>
      <c r="CF127" s="213">
        <v>1.94</v>
      </c>
      <c r="CG127" s="213">
        <v>1.44</v>
      </c>
      <c r="CH127" s="213">
        <v>1.69</v>
      </c>
      <c r="CI127" s="213">
        <v>0.45</v>
      </c>
      <c r="CJ127" s="213">
        <v>0.41000000000000003</v>
      </c>
      <c r="CK127" s="213">
        <v>0.43000000000000005</v>
      </c>
      <c r="CL127" s="213">
        <v>40.06</v>
      </c>
      <c r="CM127" s="213">
        <v>37.660000000000004</v>
      </c>
      <c r="CN127" s="213">
        <v>38.86</v>
      </c>
      <c r="CO127" s="213">
        <v>7.38</v>
      </c>
      <c r="CP127" s="213">
        <v>2.38</v>
      </c>
      <c r="CQ127" s="213">
        <v>4.88</v>
      </c>
      <c r="CR127" s="213"/>
      <c r="CS127" s="213"/>
    </row>
    <row r="128" spans="1:97">
      <c r="A128" s="424">
        <v>45414</v>
      </c>
      <c r="B128" s="211" t="s">
        <v>250</v>
      </c>
      <c r="C128" s="213">
        <v>157.13999999999999</v>
      </c>
      <c r="D128" s="213">
        <v>155.13999999999999</v>
      </c>
      <c r="E128" s="213">
        <v>156.13999999999999</v>
      </c>
      <c r="F128" s="213">
        <v>168.76</v>
      </c>
      <c r="G128" s="213">
        <v>165.76</v>
      </c>
      <c r="H128" s="213">
        <v>167.26</v>
      </c>
      <c r="I128" s="213">
        <v>115.31</v>
      </c>
      <c r="J128" s="213">
        <v>112.11</v>
      </c>
      <c r="K128" s="213">
        <v>113.71000000000001</v>
      </c>
      <c r="L128" s="213">
        <v>199.66</v>
      </c>
      <c r="M128" s="213">
        <v>191.66</v>
      </c>
      <c r="N128" s="213">
        <v>195.66</v>
      </c>
      <c r="O128" s="213">
        <v>171.21</v>
      </c>
      <c r="P128" s="213">
        <v>169.41</v>
      </c>
      <c r="Q128" s="213">
        <v>170.31</v>
      </c>
      <c r="R128" s="213">
        <v>22.72</v>
      </c>
      <c r="S128" s="213">
        <v>22.119999999999997</v>
      </c>
      <c r="T128" s="213">
        <v>22.419999999999998</v>
      </c>
      <c r="U128" s="213">
        <v>14.45</v>
      </c>
      <c r="V128" s="213">
        <v>13.85</v>
      </c>
      <c r="W128" s="213">
        <v>14.149999999999999</v>
      </c>
      <c r="X128" s="213">
        <v>14.7</v>
      </c>
      <c r="Y128" s="213">
        <v>13.899999999999999</v>
      </c>
      <c r="Z128" s="213">
        <v>14.299999999999999</v>
      </c>
      <c r="AA128" s="213">
        <v>103.87</v>
      </c>
      <c r="AB128" s="213">
        <v>99.87</v>
      </c>
      <c r="AC128" s="213">
        <v>101.87</v>
      </c>
      <c r="AD128" s="213">
        <v>94.51</v>
      </c>
      <c r="AE128" s="213">
        <v>90.51</v>
      </c>
      <c r="AF128" s="213">
        <v>92.51</v>
      </c>
      <c r="AG128" s="213">
        <v>20.39</v>
      </c>
      <c r="AH128" s="213">
        <v>19.53</v>
      </c>
      <c r="AI128" s="213">
        <v>19.96</v>
      </c>
      <c r="AJ128" s="213"/>
      <c r="AK128" s="213"/>
      <c r="AL128" s="213"/>
      <c r="AM128" s="213">
        <v>115.55</v>
      </c>
      <c r="AN128" s="213">
        <v>113.89</v>
      </c>
      <c r="AO128" s="213">
        <v>114.72</v>
      </c>
      <c r="AP128" s="213">
        <v>42.5</v>
      </c>
      <c r="AQ128" s="213">
        <v>40.9</v>
      </c>
      <c r="AR128" s="213">
        <v>41.7</v>
      </c>
      <c r="AS128" s="213">
        <v>43.26</v>
      </c>
      <c r="AT128" s="213">
        <v>41.9</v>
      </c>
      <c r="AU128" s="213">
        <v>42.58</v>
      </c>
      <c r="AV128" s="213">
        <v>21.86</v>
      </c>
      <c r="AW128" s="213">
        <v>21.259999999999998</v>
      </c>
      <c r="AX128" s="213">
        <v>21.56</v>
      </c>
      <c r="AY128" s="213">
        <v>4.3</v>
      </c>
      <c r="AZ128" s="213">
        <v>4.1399999999999997</v>
      </c>
      <c r="BA128" s="213">
        <v>4.22</v>
      </c>
      <c r="BB128" s="213">
        <v>2.0299999999999998</v>
      </c>
      <c r="BC128" s="213">
        <v>1.7299999999999998</v>
      </c>
      <c r="BD128" s="213">
        <v>1.88</v>
      </c>
      <c r="BE128" s="213">
        <v>0.71</v>
      </c>
      <c r="BF128" s="213">
        <v>0.41</v>
      </c>
      <c r="BG128" s="213">
        <v>0.55999999999999994</v>
      </c>
      <c r="BH128" s="213">
        <v>515.94000000000005</v>
      </c>
      <c r="BI128" s="213">
        <v>499.94000000000005</v>
      </c>
      <c r="BJ128" s="213">
        <v>507.94000000000005</v>
      </c>
      <c r="BK128" s="213">
        <v>43.58</v>
      </c>
      <c r="BL128" s="213">
        <v>42.22</v>
      </c>
      <c r="BM128" s="213">
        <v>42.9</v>
      </c>
      <c r="BN128" s="213">
        <v>1.08</v>
      </c>
      <c r="BO128" s="213">
        <v>0.84000000000000008</v>
      </c>
      <c r="BP128" s="213">
        <v>0.96000000000000008</v>
      </c>
      <c r="BQ128" s="213">
        <v>10.220000000000001</v>
      </c>
      <c r="BR128" s="213">
        <v>8.2200000000000006</v>
      </c>
      <c r="BS128" s="213">
        <v>9.2200000000000006</v>
      </c>
      <c r="BT128" s="213">
        <v>11.52</v>
      </c>
      <c r="BU128" s="213">
        <v>11.12</v>
      </c>
      <c r="BV128" s="213">
        <v>11.32</v>
      </c>
      <c r="BW128" s="213">
        <v>2.86</v>
      </c>
      <c r="BX128" s="213">
        <v>2.58</v>
      </c>
      <c r="BY128" s="213">
        <v>2.7199999999999998</v>
      </c>
      <c r="BZ128" s="213">
        <v>9.9</v>
      </c>
      <c r="CA128" s="213">
        <v>6.9</v>
      </c>
      <c r="CB128" s="213">
        <v>8.4</v>
      </c>
      <c r="CC128" s="213">
        <v>6.8</v>
      </c>
      <c r="CD128" s="213">
        <v>6.56</v>
      </c>
      <c r="CE128" s="213">
        <v>6.68</v>
      </c>
      <c r="CF128" s="213">
        <v>1.91</v>
      </c>
      <c r="CG128" s="213">
        <v>1.41</v>
      </c>
      <c r="CH128" s="213">
        <v>1.66</v>
      </c>
      <c r="CI128" s="213">
        <v>0.45</v>
      </c>
      <c r="CJ128" s="213">
        <v>0.41000000000000003</v>
      </c>
      <c r="CK128" s="213">
        <v>0.43000000000000005</v>
      </c>
      <c r="CL128" s="213">
        <v>39.909999999999997</v>
      </c>
      <c r="CM128" s="213">
        <v>37.51</v>
      </c>
      <c r="CN128" s="213">
        <v>38.709999999999994</v>
      </c>
      <c r="CO128" s="213">
        <v>7.35</v>
      </c>
      <c r="CP128" s="213">
        <v>2.3499999999999996</v>
      </c>
      <c r="CQ128" s="213">
        <v>4.8499999999999996</v>
      </c>
      <c r="CR128" s="213"/>
      <c r="CS128" s="213"/>
    </row>
    <row r="129" spans="1:97">
      <c r="A129" s="424">
        <v>45415</v>
      </c>
      <c r="B129" s="211" t="s">
        <v>251</v>
      </c>
      <c r="C129" s="213"/>
      <c r="D129" s="213"/>
      <c r="E129" s="213"/>
      <c r="F129" s="213"/>
      <c r="G129" s="213"/>
      <c r="H129" s="213"/>
      <c r="I129" s="213"/>
      <c r="J129" s="213"/>
      <c r="K129" s="213"/>
      <c r="L129" s="213"/>
      <c r="M129" s="213"/>
      <c r="N129" s="213"/>
      <c r="O129" s="213"/>
      <c r="P129" s="213"/>
      <c r="Q129" s="213"/>
      <c r="R129" s="213"/>
      <c r="S129" s="213"/>
      <c r="T129" s="213"/>
      <c r="U129" s="213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13"/>
      <c r="AF129" s="213"/>
      <c r="AG129" s="213"/>
      <c r="AH129" s="213"/>
      <c r="AI129" s="213"/>
      <c r="AJ129" s="213"/>
      <c r="AK129" s="213"/>
      <c r="AL129" s="213"/>
      <c r="AM129" s="213"/>
      <c r="AN129" s="213"/>
      <c r="AO129" s="213"/>
      <c r="AP129" s="213"/>
      <c r="AQ129" s="213"/>
      <c r="AR129" s="213"/>
      <c r="AS129" s="213"/>
      <c r="AT129" s="213"/>
      <c r="AU129" s="213"/>
      <c r="AV129" s="213"/>
      <c r="AW129" s="213"/>
      <c r="AX129" s="213"/>
      <c r="AY129" s="213"/>
      <c r="AZ129" s="213"/>
      <c r="BA129" s="213"/>
      <c r="BB129" s="213"/>
      <c r="BC129" s="213"/>
      <c r="BD129" s="213"/>
      <c r="BE129" s="213"/>
      <c r="BF129" s="213"/>
      <c r="BG129" s="213"/>
      <c r="BH129" s="213"/>
      <c r="BI129" s="213"/>
      <c r="BJ129" s="213"/>
      <c r="BK129" s="213"/>
      <c r="BL129" s="213"/>
      <c r="BM129" s="213"/>
      <c r="BN129" s="213"/>
      <c r="BO129" s="213"/>
      <c r="BP129" s="213"/>
      <c r="BQ129" s="213"/>
      <c r="BR129" s="213"/>
      <c r="BS129" s="213"/>
      <c r="BT129" s="213"/>
      <c r="BU129" s="213"/>
      <c r="BV129" s="213"/>
      <c r="BW129" s="213"/>
      <c r="BX129" s="213"/>
      <c r="BY129" s="213"/>
      <c r="BZ129" s="213"/>
      <c r="CA129" s="213"/>
      <c r="CB129" s="213"/>
      <c r="CC129" s="213"/>
      <c r="CD129" s="213"/>
      <c r="CE129" s="213"/>
      <c r="CF129" s="213"/>
      <c r="CG129" s="213"/>
      <c r="CH129" s="213"/>
      <c r="CI129" s="213"/>
      <c r="CJ129" s="213"/>
      <c r="CK129" s="213"/>
      <c r="CL129" s="213"/>
      <c r="CM129" s="213"/>
      <c r="CN129" s="213"/>
      <c r="CO129" s="213"/>
      <c r="CP129" s="213"/>
      <c r="CQ129" s="213"/>
      <c r="CR129" s="213"/>
      <c r="CS129" s="213"/>
    </row>
    <row r="130" spans="1:97">
      <c r="A130" s="424">
        <v>45416</v>
      </c>
      <c r="B130" s="211" t="s">
        <v>252</v>
      </c>
      <c r="C130" s="213"/>
      <c r="D130" s="213"/>
      <c r="E130" s="213"/>
      <c r="F130" s="213"/>
      <c r="G130" s="213"/>
      <c r="H130" s="213"/>
      <c r="I130" s="213"/>
      <c r="J130" s="213"/>
      <c r="K130" s="213"/>
      <c r="L130" s="213"/>
      <c r="M130" s="213"/>
      <c r="N130" s="213"/>
      <c r="O130" s="213"/>
      <c r="P130" s="213"/>
      <c r="Q130" s="213"/>
      <c r="R130" s="213"/>
      <c r="S130" s="213"/>
      <c r="T130" s="213"/>
      <c r="U130" s="213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13"/>
      <c r="AF130" s="213"/>
      <c r="AG130" s="213"/>
      <c r="AH130" s="213"/>
      <c r="AI130" s="213"/>
      <c r="AJ130" s="213"/>
      <c r="AK130" s="213"/>
      <c r="AL130" s="213"/>
      <c r="AM130" s="213"/>
      <c r="AN130" s="213"/>
      <c r="AO130" s="213"/>
      <c r="AP130" s="213"/>
      <c r="AQ130" s="213"/>
      <c r="AR130" s="213"/>
      <c r="AS130" s="213"/>
      <c r="AT130" s="213"/>
      <c r="AU130" s="213"/>
      <c r="AV130" s="213"/>
      <c r="AW130" s="213"/>
      <c r="AX130" s="213"/>
      <c r="AY130" s="213"/>
      <c r="AZ130" s="213"/>
      <c r="BA130" s="213"/>
      <c r="BB130" s="213"/>
      <c r="BC130" s="213"/>
      <c r="BD130" s="213"/>
      <c r="BE130" s="213"/>
      <c r="BF130" s="213"/>
      <c r="BG130" s="213"/>
      <c r="BH130" s="213"/>
      <c r="BI130" s="213"/>
      <c r="BJ130" s="213"/>
      <c r="BK130" s="213"/>
      <c r="BL130" s="213"/>
      <c r="BM130" s="213"/>
      <c r="BN130" s="213"/>
      <c r="BO130" s="213"/>
      <c r="BP130" s="213"/>
      <c r="BQ130" s="213"/>
      <c r="BR130" s="213"/>
      <c r="BS130" s="213"/>
      <c r="BT130" s="213"/>
      <c r="BU130" s="213"/>
      <c r="BV130" s="213"/>
      <c r="BW130" s="213"/>
      <c r="BX130" s="213"/>
      <c r="BY130" s="213"/>
      <c r="BZ130" s="213"/>
      <c r="CA130" s="213"/>
      <c r="CB130" s="213"/>
      <c r="CC130" s="213"/>
      <c r="CD130" s="213"/>
      <c r="CE130" s="213"/>
      <c r="CF130" s="213"/>
      <c r="CG130" s="213"/>
      <c r="CH130" s="213"/>
      <c r="CI130" s="213"/>
      <c r="CJ130" s="213"/>
      <c r="CK130" s="213"/>
      <c r="CL130" s="213"/>
      <c r="CM130" s="213"/>
      <c r="CN130" s="213"/>
      <c r="CO130" s="213"/>
      <c r="CP130" s="213"/>
      <c r="CQ130" s="213"/>
      <c r="CR130" s="213"/>
      <c r="CS130" s="213"/>
    </row>
    <row r="131" spans="1:97">
      <c r="A131" s="424">
        <v>45417</v>
      </c>
      <c r="B131" s="211" t="s">
        <v>253</v>
      </c>
      <c r="C131" s="213"/>
      <c r="D131" s="213"/>
      <c r="E131" s="213"/>
      <c r="F131" s="213"/>
      <c r="G131" s="213"/>
      <c r="H131" s="213"/>
      <c r="I131" s="213"/>
      <c r="J131" s="213"/>
      <c r="K131" s="213"/>
      <c r="L131" s="213"/>
      <c r="M131" s="213"/>
      <c r="N131" s="213"/>
      <c r="O131" s="213"/>
      <c r="P131" s="213"/>
      <c r="Q131" s="213"/>
      <c r="R131" s="213"/>
      <c r="S131" s="213"/>
      <c r="T131" s="213"/>
      <c r="U131" s="213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3"/>
      <c r="AP131" s="213"/>
      <c r="AQ131" s="213"/>
      <c r="AR131" s="213"/>
      <c r="AS131" s="213"/>
      <c r="AT131" s="213"/>
      <c r="AU131" s="213"/>
      <c r="AV131" s="213"/>
      <c r="AW131" s="213"/>
      <c r="AX131" s="213"/>
      <c r="AY131" s="213"/>
      <c r="AZ131" s="213"/>
      <c r="BA131" s="213"/>
      <c r="BB131" s="213"/>
      <c r="BC131" s="213"/>
      <c r="BD131" s="213"/>
      <c r="BE131" s="213"/>
      <c r="BF131" s="213"/>
      <c r="BG131" s="213"/>
      <c r="BH131" s="213"/>
      <c r="BI131" s="213"/>
      <c r="BJ131" s="213"/>
      <c r="BK131" s="213"/>
      <c r="BL131" s="213"/>
      <c r="BM131" s="213"/>
      <c r="BN131" s="213"/>
      <c r="BO131" s="213"/>
      <c r="BP131" s="213"/>
      <c r="BQ131" s="213"/>
      <c r="BR131" s="213"/>
      <c r="BS131" s="213"/>
      <c r="BT131" s="213"/>
      <c r="BU131" s="213"/>
      <c r="BV131" s="213"/>
      <c r="BW131" s="213"/>
      <c r="BX131" s="213"/>
      <c r="BY131" s="213"/>
      <c r="BZ131" s="213"/>
      <c r="CA131" s="213"/>
      <c r="CB131" s="213"/>
      <c r="CC131" s="213"/>
      <c r="CD131" s="213"/>
      <c r="CE131" s="213"/>
      <c r="CF131" s="213"/>
      <c r="CG131" s="213"/>
      <c r="CH131" s="213"/>
      <c r="CI131" s="213"/>
      <c r="CJ131" s="213"/>
      <c r="CK131" s="213"/>
      <c r="CL131" s="213"/>
      <c r="CM131" s="213"/>
      <c r="CN131" s="213"/>
      <c r="CO131" s="213"/>
      <c r="CP131" s="213"/>
      <c r="CQ131" s="213"/>
      <c r="CR131" s="213"/>
      <c r="CS131" s="213"/>
    </row>
    <row r="132" spans="1:97">
      <c r="A132" s="424">
        <v>45418</v>
      </c>
      <c r="B132" s="211" t="s">
        <v>247</v>
      </c>
      <c r="C132" s="213"/>
      <c r="D132" s="213"/>
      <c r="E132" s="213"/>
      <c r="F132" s="213"/>
      <c r="G132" s="213"/>
      <c r="H132" s="213"/>
      <c r="I132" s="213"/>
      <c r="J132" s="213"/>
      <c r="K132" s="213"/>
      <c r="L132" s="213"/>
      <c r="M132" s="213"/>
      <c r="N132" s="213"/>
      <c r="O132" s="213"/>
      <c r="P132" s="213"/>
      <c r="Q132" s="213"/>
      <c r="R132" s="213"/>
      <c r="S132" s="213"/>
      <c r="T132" s="213"/>
      <c r="U132" s="213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3"/>
      <c r="AP132" s="213"/>
      <c r="AQ132" s="213"/>
      <c r="AR132" s="213"/>
      <c r="AS132" s="213"/>
      <c r="AT132" s="213"/>
      <c r="AU132" s="213"/>
      <c r="AV132" s="213"/>
      <c r="AW132" s="213"/>
      <c r="AX132" s="213"/>
      <c r="AY132" s="213"/>
      <c r="AZ132" s="213"/>
      <c r="BA132" s="213"/>
      <c r="BB132" s="213"/>
      <c r="BC132" s="213"/>
      <c r="BD132" s="213"/>
      <c r="BE132" s="213"/>
      <c r="BF132" s="213"/>
      <c r="BG132" s="213"/>
      <c r="BH132" s="213"/>
      <c r="BI132" s="213"/>
      <c r="BJ132" s="213"/>
      <c r="BK132" s="213"/>
      <c r="BL132" s="213"/>
      <c r="BM132" s="213"/>
      <c r="BN132" s="213"/>
      <c r="BO132" s="213"/>
      <c r="BP132" s="213"/>
      <c r="BQ132" s="213"/>
      <c r="BR132" s="213"/>
      <c r="BS132" s="213"/>
      <c r="BT132" s="213"/>
      <c r="BU132" s="213"/>
      <c r="BV132" s="213"/>
      <c r="BW132" s="213"/>
      <c r="BX132" s="213"/>
      <c r="BY132" s="213"/>
      <c r="BZ132" s="213"/>
      <c r="CA132" s="213"/>
      <c r="CB132" s="213"/>
      <c r="CC132" s="213"/>
      <c r="CD132" s="213"/>
      <c r="CE132" s="213"/>
      <c r="CF132" s="213"/>
      <c r="CG132" s="213"/>
      <c r="CH132" s="213"/>
      <c r="CI132" s="213"/>
      <c r="CJ132" s="213"/>
      <c r="CK132" s="213"/>
      <c r="CL132" s="213"/>
      <c r="CM132" s="213"/>
      <c r="CN132" s="213"/>
      <c r="CO132" s="213"/>
      <c r="CP132" s="213"/>
      <c r="CQ132" s="213"/>
      <c r="CR132" s="213"/>
      <c r="CS132" s="213"/>
    </row>
    <row r="133" spans="1:97">
      <c r="A133" s="424">
        <v>45419</v>
      </c>
      <c r="B133" s="211" t="s">
        <v>248</v>
      </c>
      <c r="C133" s="213">
        <v>155.11000000000001</v>
      </c>
      <c r="D133" s="213">
        <v>153.11000000000001</v>
      </c>
      <c r="E133" s="213">
        <v>154.11000000000001</v>
      </c>
      <c r="F133" s="213">
        <v>167.54</v>
      </c>
      <c r="G133" s="213">
        <v>164.54</v>
      </c>
      <c r="H133" s="213">
        <v>166.04</v>
      </c>
      <c r="I133" s="213">
        <v>114.37</v>
      </c>
      <c r="J133" s="213">
        <v>111.17</v>
      </c>
      <c r="K133" s="213">
        <v>112.77000000000001</v>
      </c>
      <c r="L133" s="213">
        <v>197.69</v>
      </c>
      <c r="M133" s="213">
        <v>189.69</v>
      </c>
      <c r="N133" s="213">
        <v>193.69</v>
      </c>
      <c r="O133" s="213">
        <v>170.89</v>
      </c>
      <c r="P133" s="213">
        <v>169.08999999999997</v>
      </c>
      <c r="Q133" s="213">
        <v>169.98999999999998</v>
      </c>
      <c r="R133" s="213">
        <v>22.55</v>
      </c>
      <c r="S133" s="213">
        <v>21.95</v>
      </c>
      <c r="T133" s="213">
        <v>22.25</v>
      </c>
      <c r="U133" s="213">
        <v>14.55</v>
      </c>
      <c r="V133" s="213">
        <v>13.950000000000001</v>
      </c>
      <c r="W133" s="213">
        <v>14.25</v>
      </c>
      <c r="X133" s="213">
        <v>14.67</v>
      </c>
      <c r="Y133" s="213">
        <v>13.87</v>
      </c>
      <c r="Z133" s="213">
        <v>14.27</v>
      </c>
      <c r="AA133" s="213">
        <v>104.3</v>
      </c>
      <c r="AB133" s="213">
        <v>100.3</v>
      </c>
      <c r="AC133" s="213">
        <v>102.3</v>
      </c>
      <c r="AD133" s="213">
        <v>94.79</v>
      </c>
      <c r="AE133" s="213">
        <v>90.79</v>
      </c>
      <c r="AF133" s="213">
        <v>92.79</v>
      </c>
      <c r="AG133" s="213">
        <v>20.14</v>
      </c>
      <c r="AH133" s="213">
        <v>19.28</v>
      </c>
      <c r="AI133" s="213">
        <v>19.71</v>
      </c>
      <c r="AJ133" s="213"/>
      <c r="AK133" s="213"/>
      <c r="AL133" s="213"/>
      <c r="AM133" s="213">
        <v>114.93</v>
      </c>
      <c r="AN133" s="213">
        <v>113.27000000000001</v>
      </c>
      <c r="AO133" s="213">
        <v>114.10000000000001</v>
      </c>
      <c r="AP133" s="213">
        <v>41.83</v>
      </c>
      <c r="AQ133" s="213">
        <v>40.229999999999997</v>
      </c>
      <c r="AR133" s="213">
        <v>41.03</v>
      </c>
      <c r="AS133" s="213">
        <v>42.71</v>
      </c>
      <c r="AT133" s="213">
        <v>41.35</v>
      </c>
      <c r="AU133" s="213">
        <v>42.03</v>
      </c>
      <c r="AV133" s="213">
        <v>21.66</v>
      </c>
      <c r="AW133" s="213">
        <v>21.06</v>
      </c>
      <c r="AX133" s="213">
        <v>21.36</v>
      </c>
      <c r="AY133" s="213">
        <v>4.2699999999999996</v>
      </c>
      <c r="AZ133" s="213">
        <v>4.1099999999999994</v>
      </c>
      <c r="BA133" s="213">
        <v>4.1899999999999995</v>
      </c>
      <c r="BB133" s="213">
        <v>2.0099999999999998</v>
      </c>
      <c r="BC133" s="213">
        <v>1.7099999999999997</v>
      </c>
      <c r="BD133" s="213">
        <v>1.8599999999999999</v>
      </c>
      <c r="BE133" s="213">
        <v>0.71</v>
      </c>
      <c r="BF133" s="213">
        <v>0.41</v>
      </c>
      <c r="BG133" s="213">
        <v>0.55999999999999994</v>
      </c>
      <c r="BH133" s="213">
        <v>508.36</v>
      </c>
      <c r="BI133" s="213">
        <v>492.36</v>
      </c>
      <c r="BJ133" s="213">
        <v>500.36</v>
      </c>
      <c r="BK133" s="213">
        <v>43.02</v>
      </c>
      <c r="BL133" s="213">
        <v>41.660000000000004</v>
      </c>
      <c r="BM133" s="213">
        <v>42.34</v>
      </c>
      <c r="BN133" s="213">
        <v>1.0900000000000001</v>
      </c>
      <c r="BO133" s="213">
        <v>0.85000000000000009</v>
      </c>
      <c r="BP133" s="213">
        <v>0.97000000000000008</v>
      </c>
      <c r="BQ133" s="213">
        <v>10.14</v>
      </c>
      <c r="BR133" s="213">
        <v>8.14</v>
      </c>
      <c r="BS133" s="213">
        <v>9.14</v>
      </c>
      <c r="BT133" s="213">
        <v>11.57</v>
      </c>
      <c r="BU133" s="213">
        <v>11.17</v>
      </c>
      <c r="BV133" s="213">
        <v>11.370000000000001</v>
      </c>
      <c r="BW133" s="213">
        <v>2.85</v>
      </c>
      <c r="BX133" s="213">
        <v>2.5700000000000003</v>
      </c>
      <c r="BY133" s="213">
        <v>2.71</v>
      </c>
      <c r="BZ133" s="213">
        <v>9.83</v>
      </c>
      <c r="CA133" s="213">
        <v>6.83</v>
      </c>
      <c r="CB133" s="213">
        <v>8.33</v>
      </c>
      <c r="CC133" s="213">
        <v>6.76</v>
      </c>
      <c r="CD133" s="213">
        <v>6.52</v>
      </c>
      <c r="CE133" s="213">
        <v>6.64</v>
      </c>
      <c r="CF133" s="213">
        <v>1.94</v>
      </c>
      <c r="CG133" s="213">
        <v>1.44</v>
      </c>
      <c r="CH133" s="213">
        <v>1.69</v>
      </c>
      <c r="CI133" s="213">
        <v>0.45</v>
      </c>
      <c r="CJ133" s="213">
        <v>0.41000000000000003</v>
      </c>
      <c r="CK133" s="213">
        <v>0.43000000000000005</v>
      </c>
      <c r="CL133" s="213">
        <v>39.770000000000003</v>
      </c>
      <c r="CM133" s="213">
        <v>37.370000000000005</v>
      </c>
      <c r="CN133" s="213">
        <v>38.570000000000007</v>
      </c>
      <c r="CO133" s="213">
        <v>7.27</v>
      </c>
      <c r="CP133" s="213">
        <v>2.2699999999999996</v>
      </c>
      <c r="CQ133" s="213">
        <v>4.7699999999999996</v>
      </c>
      <c r="CR133" s="213"/>
      <c r="CS133" s="213"/>
    </row>
    <row r="134" spans="1:97">
      <c r="A134" s="424">
        <v>45420</v>
      </c>
      <c r="B134" s="211" t="s">
        <v>249</v>
      </c>
      <c r="C134" s="213">
        <v>155.94999999999999</v>
      </c>
      <c r="D134" s="213">
        <v>153.94999999999999</v>
      </c>
      <c r="E134" s="213">
        <v>154.94999999999999</v>
      </c>
      <c r="F134" s="213">
        <v>168.06</v>
      </c>
      <c r="G134" s="213">
        <v>165.06</v>
      </c>
      <c r="H134" s="213">
        <v>166.56</v>
      </c>
      <c r="I134" s="213">
        <v>114.41</v>
      </c>
      <c r="J134" s="213">
        <v>111.21</v>
      </c>
      <c r="K134" s="213">
        <v>112.81</v>
      </c>
      <c r="L134" s="213">
        <v>197.66</v>
      </c>
      <c r="M134" s="213">
        <v>189.66</v>
      </c>
      <c r="N134" s="213">
        <v>193.66</v>
      </c>
      <c r="O134" s="213">
        <v>171.36</v>
      </c>
      <c r="P134" s="213">
        <v>169.56</v>
      </c>
      <c r="Q134" s="213">
        <v>170.46</v>
      </c>
      <c r="R134" s="213">
        <v>22.62</v>
      </c>
      <c r="S134" s="213">
        <v>22.02</v>
      </c>
      <c r="T134" s="213">
        <v>22.32</v>
      </c>
      <c r="U134" s="213">
        <v>14.47</v>
      </c>
      <c r="V134" s="213">
        <v>13.870000000000001</v>
      </c>
      <c r="W134" s="213">
        <v>14.170000000000002</v>
      </c>
      <c r="X134" s="213">
        <v>14.64</v>
      </c>
      <c r="Y134" s="213">
        <v>13.84</v>
      </c>
      <c r="Z134" s="213">
        <v>14.24</v>
      </c>
      <c r="AA134" s="213">
        <v>104.03</v>
      </c>
      <c r="AB134" s="213">
        <v>100.03</v>
      </c>
      <c r="AC134" s="213">
        <v>102.03</v>
      </c>
      <c r="AD134" s="213">
        <v>94.86</v>
      </c>
      <c r="AE134" s="213">
        <v>90.86</v>
      </c>
      <c r="AF134" s="213">
        <v>92.86</v>
      </c>
      <c r="AG134" s="213">
        <v>20.239999999999998</v>
      </c>
      <c r="AH134" s="213">
        <v>19.38</v>
      </c>
      <c r="AI134" s="213">
        <v>19.809999999999999</v>
      </c>
      <c r="AJ134" s="213"/>
      <c r="AK134" s="213"/>
      <c r="AL134" s="213"/>
      <c r="AM134" s="213">
        <v>115.18</v>
      </c>
      <c r="AN134" s="213">
        <v>113.52000000000001</v>
      </c>
      <c r="AO134" s="213">
        <v>114.35000000000001</v>
      </c>
      <c r="AP134" s="213">
        <v>42.19</v>
      </c>
      <c r="AQ134" s="213">
        <v>40.589999999999996</v>
      </c>
      <c r="AR134" s="213">
        <v>41.39</v>
      </c>
      <c r="AS134" s="213">
        <v>42.94</v>
      </c>
      <c r="AT134" s="213">
        <v>41.58</v>
      </c>
      <c r="AU134" s="213">
        <v>42.26</v>
      </c>
      <c r="AV134" s="213">
        <v>21.74</v>
      </c>
      <c r="AW134" s="213">
        <v>21.139999999999997</v>
      </c>
      <c r="AX134" s="213">
        <v>21.439999999999998</v>
      </c>
      <c r="AY134" s="213">
        <v>4.28</v>
      </c>
      <c r="AZ134" s="213">
        <v>4.12</v>
      </c>
      <c r="BA134" s="213">
        <v>4.2</v>
      </c>
      <c r="BB134" s="213">
        <v>2.0099999999999998</v>
      </c>
      <c r="BC134" s="213">
        <v>1.7099999999999997</v>
      </c>
      <c r="BD134" s="213">
        <v>1.8599999999999999</v>
      </c>
      <c r="BE134" s="213">
        <v>0.71</v>
      </c>
      <c r="BF134" s="213">
        <v>0.41</v>
      </c>
      <c r="BG134" s="213">
        <v>0.55999999999999994</v>
      </c>
      <c r="BH134" s="213">
        <v>511.57</v>
      </c>
      <c r="BI134" s="213">
        <v>495.57</v>
      </c>
      <c r="BJ134" s="213">
        <v>503.57</v>
      </c>
      <c r="BK134" s="213">
        <v>43.26</v>
      </c>
      <c r="BL134" s="213">
        <v>41.9</v>
      </c>
      <c r="BM134" s="213">
        <v>42.58</v>
      </c>
      <c r="BN134" s="213">
        <v>1.08</v>
      </c>
      <c r="BO134" s="213">
        <v>0.84000000000000008</v>
      </c>
      <c r="BP134" s="213">
        <v>0.96000000000000008</v>
      </c>
      <c r="BQ134" s="213">
        <v>10.16</v>
      </c>
      <c r="BR134" s="213">
        <v>8.16</v>
      </c>
      <c r="BS134" s="213">
        <v>9.16</v>
      </c>
      <c r="BT134" s="213">
        <v>11.57</v>
      </c>
      <c r="BU134" s="213">
        <v>11.17</v>
      </c>
      <c r="BV134" s="213">
        <v>11.370000000000001</v>
      </c>
      <c r="BW134" s="213">
        <v>2.87</v>
      </c>
      <c r="BX134" s="213">
        <v>2.59</v>
      </c>
      <c r="BY134" s="213">
        <v>2.73</v>
      </c>
      <c r="BZ134" s="213">
        <v>9.8699999999999992</v>
      </c>
      <c r="CA134" s="213">
        <v>6.8699999999999992</v>
      </c>
      <c r="CB134" s="213">
        <v>8.3699999999999992</v>
      </c>
      <c r="CC134" s="213">
        <v>6.78</v>
      </c>
      <c r="CD134" s="213">
        <v>6.54</v>
      </c>
      <c r="CE134" s="213">
        <v>6.66</v>
      </c>
      <c r="CF134" s="213">
        <v>1.95</v>
      </c>
      <c r="CG134" s="213">
        <v>1.45</v>
      </c>
      <c r="CH134" s="213">
        <v>1.7</v>
      </c>
      <c r="CI134" s="213">
        <v>0.45</v>
      </c>
      <c r="CJ134" s="213">
        <v>0.41000000000000003</v>
      </c>
      <c r="CK134" s="213">
        <v>0.43000000000000005</v>
      </c>
      <c r="CL134" s="213">
        <v>39.840000000000003</v>
      </c>
      <c r="CM134" s="213">
        <v>37.440000000000005</v>
      </c>
      <c r="CN134" s="213">
        <v>38.64</v>
      </c>
      <c r="CO134" s="213">
        <v>7.31</v>
      </c>
      <c r="CP134" s="213">
        <v>2.3099999999999996</v>
      </c>
      <c r="CQ134" s="213">
        <v>4.8099999999999996</v>
      </c>
      <c r="CR134" s="213"/>
      <c r="CS134" s="213"/>
    </row>
    <row r="135" spans="1:97">
      <c r="A135" s="424">
        <v>45421</v>
      </c>
      <c r="B135" s="211" t="s">
        <v>250</v>
      </c>
      <c r="C135" s="213">
        <v>156.65</v>
      </c>
      <c r="D135" s="213">
        <v>154.65</v>
      </c>
      <c r="E135" s="213">
        <v>155.65</v>
      </c>
      <c r="F135" s="213">
        <v>168.75</v>
      </c>
      <c r="G135" s="213">
        <v>165.75</v>
      </c>
      <c r="H135" s="213">
        <v>167.25</v>
      </c>
      <c r="I135" s="213">
        <v>114.98</v>
      </c>
      <c r="J135" s="213">
        <v>111.78</v>
      </c>
      <c r="K135" s="213">
        <v>113.38</v>
      </c>
      <c r="L135" s="213">
        <v>198.47</v>
      </c>
      <c r="M135" s="213">
        <v>190.47</v>
      </c>
      <c r="N135" s="213">
        <v>194.47</v>
      </c>
      <c r="O135" s="213">
        <v>172.23</v>
      </c>
      <c r="P135" s="213">
        <v>170.42999999999998</v>
      </c>
      <c r="Q135" s="213">
        <v>171.32999999999998</v>
      </c>
      <c r="R135" s="213">
        <v>22.72</v>
      </c>
      <c r="S135" s="213">
        <v>22.119999999999997</v>
      </c>
      <c r="T135" s="213">
        <v>22.419999999999998</v>
      </c>
      <c r="U135" s="213">
        <v>14.57</v>
      </c>
      <c r="V135" s="213">
        <v>13.97</v>
      </c>
      <c r="W135" s="213">
        <v>14.27</v>
      </c>
      <c r="X135" s="213">
        <v>14.67</v>
      </c>
      <c r="Y135" s="213">
        <v>13.87</v>
      </c>
      <c r="Z135" s="213">
        <v>14.27</v>
      </c>
      <c r="AA135" s="213">
        <v>104.32</v>
      </c>
      <c r="AB135" s="213">
        <v>100.32</v>
      </c>
      <c r="AC135" s="213">
        <v>102.32</v>
      </c>
      <c r="AD135" s="213">
        <v>95.31</v>
      </c>
      <c r="AE135" s="213">
        <v>91.31</v>
      </c>
      <c r="AF135" s="213">
        <v>93.31</v>
      </c>
      <c r="AG135" s="213">
        <v>20.34</v>
      </c>
      <c r="AH135" s="213">
        <v>19.48</v>
      </c>
      <c r="AI135" s="213">
        <v>19.91</v>
      </c>
      <c r="AJ135" s="213"/>
      <c r="AK135" s="213"/>
      <c r="AL135" s="213"/>
      <c r="AM135" s="213">
        <v>115.62</v>
      </c>
      <c r="AN135" s="213">
        <v>113.96000000000001</v>
      </c>
      <c r="AO135" s="213">
        <v>114.79</v>
      </c>
      <c r="AP135" s="213">
        <v>42.37</v>
      </c>
      <c r="AQ135" s="213">
        <v>40.769999999999996</v>
      </c>
      <c r="AR135" s="213">
        <v>41.569999999999993</v>
      </c>
      <c r="AS135" s="213">
        <v>43.13</v>
      </c>
      <c r="AT135" s="213">
        <v>41.77</v>
      </c>
      <c r="AU135" s="213">
        <v>42.45</v>
      </c>
      <c r="AV135" s="213">
        <v>21.83</v>
      </c>
      <c r="AW135" s="213">
        <v>21.229999999999997</v>
      </c>
      <c r="AX135" s="213">
        <v>21.529999999999998</v>
      </c>
      <c r="AY135" s="213">
        <v>4.3</v>
      </c>
      <c r="AZ135" s="213">
        <v>4.1399999999999997</v>
      </c>
      <c r="BA135" s="213">
        <v>4.22</v>
      </c>
      <c r="BB135" s="213">
        <v>2.0299999999999998</v>
      </c>
      <c r="BC135" s="213">
        <v>1.7299999999999998</v>
      </c>
      <c r="BD135" s="213">
        <v>1.88</v>
      </c>
      <c r="BE135" s="213">
        <v>0.71</v>
      </c>
      <c r="BF135" s="213">
        <v>0.41</v>
      </c>
      <c r="BG135" s="213">
        <v>0.55999999999999994</v>
      </c>
      <c r="BH135" s="213">
        <v>515</v>
      </c>
      <c r="BI135" s="213">
        <v>499</v>
      </c>
      <c r="BJ135" s="213">
        <v>507</v>
      </c>
      <c r="BK135" s="213">
        <v>43.45</v>
      </c>
      <c r="BL135" s="213">
        <v>42.09</v>
      </c>
      <c r="BM135" s="213">
        <v>42.77</v>
      </c>
      <c r="BN135" s="213">
        <v>1.0900000000000001</v>
      </c>
      <c r="BO135" s="213">
        <v>0.85000000000000009</v>
      </c>
      <c r="BP135" s="213">
        <v>0.97000000000000008</v>
      </c>
      <c r="BQ135" s="213">
        <v>10.199999999999999</v>
      </c>
      <c r="BR135" s="213">
        <v>8.1999999999999993</v>
      </c>
      <c r="BS135" s="213">
        <v>9.1999999999999993</v>
      </c>
      <c r="BT135" s="213">
        <v>11.6</v>
      </c>
      <c r="BU135" s="213">
        <v>11.2</v>
      </c>
      <c r="BV135" s="213">
        <v>11.399999999999999</v>
      </c>
      <c r="BW135" s="213">
        <v>2.87</v>
      </c>
      <c r="BX135" s="213">
        <v>2.59</v>
      </c>
      <c r="BY135" s="213">
        <v>2.73</v>
      </c>
      <c r="BZ135" s="213">
        <v>9.8800000000000008</v>
      </c>
      <c r="CA135" s="213">
        <v>6.8800000000000008</v>
      </c>
      <c r="CB135" s="213">
        <v>8.3800000000000008</v>
      </c>
      <c r="CC135" s="213">
        <v>6.81</v>
      </c>
      <c r="CD135" s="213">
        <v>6.5699999999999994</v>
      </c>
      <c r="CE135" s="213">
        <v>6.6899999999999995</v>
      </c>
      <c r="CF135" s="213">
        <v>1.95</v>
      </c>
      <c r="CG135" s="213">
        <v>1.45</v>
      </c>
      <c r="CH135" s="213">
        <v>1.7</v>
      </c>
      <c r="CI135" s="213">
        <v>0.45</v>
      </c>
      <c r="CJ135" s="213">
        <v>0.41000000000000003</v>
      </c>
      <c r="CK135" s="213">
        <v>0.43000000000000005</v>
      </c>
      <c r="CL135" s="213">
        <v>40.08</v>
      </c>
      <c r="CM135" s="213">
        <v>37.68</v>
      </c>
      <c r="CN135" s="213">
        <v>38.879999999999995</v>
      </c>
      <c r="CO135" s="213">
        <v>7.33</v>
      </c>
      <c r="CP135" s="213">
        <v>2.33</v>
      </c>
      <c r="CQ135" s="213">
        <v>4.83</v>
      </c>
      <c r="CR135" s="213"/>
      <c r="CS135" s="213"/>
    </row>
    <row r="136" spans="1:97">
      <c r="A136" s="424">
        <v>45422</v>
      </c>
      <c r="B136" s="211" t="s">
        <v>251</v>
      </c>
      <c r="C136" s="213">
        <v>156.69999999999999</v>
      </c>
      <c r="D136" s="213">
        <v>154.69999999999999</v>
      </c>
      <c r="E136" s="213">
        <v>155.69999999999999</v>
      </c>
      <c r="F136" s="213">
        <v>169.33</v>
      </c>
      <c r="G136" s="213">
        <v>166.33</v>
      </c>
      <c r="H136" s="213">
        <v>167.83</v>
      </c>
      <c r="I136" s="213">
        <v>115.41</v>
      </c>
      <c r="J136" s="213">
        <v>112.21</v>
      </c>
      <c r="K136" s="213">
        <v>113.81</v>
      </c>
      <c r="L136" s="213">
        <v>198.95</v>
      </c>
      <c r="M136" s="213">
        <v>190.95</v>
      </c>
      <c r="N136" s="213">
        <v>194.95</v>
      </c>
      <c r="O136" s="213">
        <v>172.62</v>
      </c>
      <c r="P136" s="213">
        <v>170.82</v>
      </c>
      <c r="Q136" s="213">
        <v>171.72</v>
      </c>
      <c r="R136" s="213">
        <v>22.79</v>
      </c>
      <c r="S136" s="213">
        <v>22.189999999999998</v>
      </c>
      <c r="T136" s="213">
        <v>22.49</v>
      </c>
      <c r="U136" s="213">
        <v>14.65</v>
      </c>
      <c r="V136" s="213">
        <v>14.05</v>
      </c>
      <c r="W136" s="213">
        <v>14.350000000000001</v>
      </c>
      <c r="X136" s="213">
        <v>14.74</v>
      </c>
      <c r="Y136" s="213">
        <v>13.94</v>
      </c>
      <c r="Z136" s="213">
        <v>14.34</v>
      </c>
      <c r="AA136" s="213">
        <v>104.95</v>
      </c>
      <c r="AB136" s="213">
        <v>100.95</v>
      </c>
      <c r="AC136" s="213">
        <v>102.95</v>
      </c>
      <c r="AD136" s="213">
        <v>95.87</v>
      </c>
      <c r="AE136" s="213">
        <v>91.87</v>
      </c>
      <c r="AF136" s="213">
        <v>93.87</v>
      </c>
      <c r="AG136" s="213">
        <v>20.350000000000001</v>
      </c>
      <c r="AH136" s="213">
        <v>19.490000000000002</v>
      </c>
      <c r="AI136" s="213">
        <v>19.920000000000002</v>
      </c>
      <c r="AJ136" s="213"/>
      <c r="AK136" s="213"/>
      <c r="AL136" s="213"/>
      <c r="AM136" s="213">
        <v>115.89</v>
      </c>
      <c r="AN136" s="213">
        <v>114.23</v>
      </c>
      <c r="AO136" s="213">
        <v>115.06</v>
      </c>
      <c r="AP136" s="213">
        <v>42.39</v>
      </c>
      <c r="AQ136" s="213">
        <v>40.79</v>
      </c>
      <c r="AR136" s="213">
        <v>41.59</v>
      </c>
      <c r="AS136" s="213">
        <v>43.14</v>
      </c>
      <c r="AT136" s="213">
        <v>41.78</v>
      </c>
      <c r="AU136" s="213">
        <v>42.46</v>
      </c>
      <c r="AV136" s="213">
        <v>21.83</v>
      </c>
      <c r="AW136" s="213">
        <v>21.229999999999997</v>
      </c>
      <c r="AX136" s="213">
        <v>21.529999999999998</v>
      </c>
      <c r="AY136" s="213">
        <v>4.32</v>
      </c>
      <c r="AZ136" s="213">
        <v>4.16</v>
      </c>
      <c r="BA136" s="213">
        <v>4.24</v>
      </c>
      <c r="BB136" s="213">
        <v>2.0299999999999998</v>
      </c>
      <c r="BC136" s="213">
        <v>1.7299999999999998</v>
      </c>
      <c r="BD136" s="213">
        <v>1.88</v>
      </c>
      <c r="BE136" s="213">
        <v>0.71</v>
      </c>
      <c r="BF136" s="213">
        <v>0.41</v>
      </c>
      <c r="BG136" s="213">
        <v>0.55999999999999994</v>
      </c>
      <c r="BH136" s="213">
        <v>515.33000000000004</v>
      </c>
      <c r="BI136" s="213">
        <v>499.33000000000004</v>
      </c>
      <c r="BJ136" s="213">
        <v>507.33000000000004</v>
      </c>
      <c r="BK136" s="213">
        <v>43.47</v>
      </c>
      <c r="BL136" s="213">
        <v>42.11</v>
      </c>
      <c r="BM136" s="213">
        <v>42.79</v>
      </c>
      <c r="BN136" s="213">
        <v>1.0900000000000001</v>
      </c>
      <c r="BO136" s="213">
        <v>0.85000000000000009</v>
      </c>
      <c r="BP136" s="213">
        <v>0.97000000000000008</v>
      </c>
      <c r="BQ136" s="213">
        <v>10.28</v>
      </c>
      <c r="BR136" s="213">
        <v>8.2799999999999994</v>
      </c>
      <c r="BS136" s="213">
        <v>9.2799999999999994</v>
      </c>
      <c r="BT136" s="213">
        <v>11.6</v>
      </c>
      <c r="BU136" s="213">
        <v>11.2</v>
      </c>
      <c r="BV136" s="213">
        <v>11.399999999999999</v>
      </c>
      <c r="BW136" s="213">
        <v>2.87</v>
      </c>
      <c r="BX136" s="213">
        <v>2.59</v>
      </c>
      <c r="BY136" s="213">
        <v>2.73</v>
      </c>
      <c r="BZ136" s="213">
        <v>9.93</v>
      </c>
      <c r="CA136" s="213">
        <v>6.93</v>
      </c>
      <c r="CB136" s="213">
        <v>8.43</v>
      </c>
      <c r="CC136" s="213">
        <v>6.86</v>
      </c>
      <c r="CD136" s="213">
        <v>6.62</v>
      </c>
      <c r="CE136" s="213">
        <v>6.74</v>
      </c>
      <c r="CF136" s="213">
        <v>1.93</v>
      </c>
      <c r="CG136" s="213">
        <v>1.43</v>
      </c>
      <c r="CH136" s="213">
        <v>1.68</v>
      </c>
      <c r="CI136" s="213">
        <v>0.45</v>
      </c>
      <c r="CJ136" s="213">
        <v>0.41000000000000003</v>
      </c>
      <c r="CK136" s="213">
        <v>0.43000000000000005</v>
      </c>
      <c r="CL136" s="213">
        <v>40.380000000000003</v>
      </c>
      <c r="CM136" s="213">
        <v>37.980000000000004</v>
      </c>
      <c r="CN136" s="213">
        <v>39.180000000000007</v>
      </c>
      <c r="CO136" s="213">
        <v>7.34</v>
      </c>
      <c r="CP136" s="213">
        <v>2.34</v>
      </c>
      <c r="CQ136" s="213">
        <v>4.84</v>
      </c>
      <c r="CR136" s="213"/>
      <c r="CS136" s="213"/>
    </row>
    <row r="137" spans="1:97">
      <c r="A137" s="424">
        <v>45423</v>
      </c>
      <c r="B137" s="211" t="s">
        <v>252</v>
      </c>
      <c r="C137" s="213"/>
      <c r="D137" s="213"/>
      <c r="E137" s="213"/>
      <c r="F137" s="213"/>
      <c r="G137" s="213"/>
      <c r="H137" s="213"/>
      <c r="I137" s="213"/>
      <c r="J137" s="213"/>
      <c r="K137" s="213"/>
      <c r="L137" s="213"/>
      <c r="M137" s="213"/>
      <c r="N137" s="213"/>
      <c r="O137" s="213"/>
      <c r="P137" s="213"/>
      <c r="Q137" s="213"/>
      <c r="R137" s="213"/>
      <c r="S137" s="213"/>
      <c r="T137" s="213"/>
      <c r="U137" s="213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3"/>
      <c r="AP137" s="213"/>
      <c r="AQ137" s="213"/>
      <c r="AR137" s="213"/>
      <c r="AS137" s="213"/>
      <c r="AT137" s="213"/>
      <c r="AU137" s="213"/>
      <c r="AV137" s="213"/>
      <c r="AW137" s="213"/>
      <c r="AX137" s="213"/>
      <c r="AY137" s="213"/>
      <c r="AZ137" s="213"/>
      <c r="BA137" s="213"/>
      <c r="BB137" s="213"/>
      <c r="BC137" s="213"/>
      <c r="BD137" s="213"/>
      <c r="BE137" s="213"/>
      <c r="BF137" s="213"/>
      <c r="BG137" s="213"/>
      <c r="BH137" s="213"/>
      <c r="BI137" s="213"/>
      <c r="BJ137" s="213"/>
      <c r="BK137" s="213"/>
      <c r="BL137" s="213"/>
      <c r="BM137" s="213"/>
      <c r="BN137" s="213"/>
      <c r="BO137" s="213"/>
      <c r="BP137" s="213"/>
      <c r="BQ137" s="213"/>
      <c r="BR137" s="213"/>
      <c r="BS137" s="213"/>
      <c r="BT137" s="213"/>
      <c r="BU137" s="213"/>
      <c r="BV137" s="213"/>
      <c r="BW137" s="213"/>
      <c r="BX137" s="213"/>
      <c r="BY137" s="213"/>
      <c r="BZ137" s="213"/>
      <c r="CA137" s="213"/>
      <c r="CB137" s="213"/>
      <c r="CC137" s="213"/>
      <c r="CD137" s="213"/>
      <c r="CE137" s="213"/>
      <c r="CF137" s="213"/>
      <c r="CG137" s="213"/>
      <c r="CH137" s="213"/>
      <c r="CI137" s="213"/>
      <c r="CJ137" s="213"/>
      <c r="CK137" s="213"/>
      <c r="CL137" s="213"/>
      <c r="CM137" s="213"/>
      <c r="CN137" s="213"/>
      <c r="CO137" s="213"/>
      <c r="CP137" s="213"/>
      <c r="CQ137" s="213"/>
      <c r="CR137" s="213"/>
      <c r="CS137" s="213"/>
    </row>
    <row r="138" spans="1:97">
      <c r="A138" s="424">
        <v>45424</v>
      </c>
      <c r="B138" s="211" t="s">
        <v>253</v>
      </c>
      <c r="C138" s="213"/>
      <c r="D138" s="213"/>
      <c r="E138" s="213"/>
      <c r="F138" s="213"/>
      <c r="G138" s="213"/>
      <c r="H138" s="213"/>
      <c r="I138" s="213"/>
      <c r="J138" s="213"/>
      <c r="K138" s="213"/>
      <c r="L138" s="213"/>
      <c r="M138" s="213"/>
      <c r="N138" s="213"/>
      <c r="O138" s="213"/>
      <c r="P138" s="213"/>
      <c r="Q138" s="213"/>
      <c r="R138" s="213"/>
      <c r="S138" s="213"/>
      <c r="T138" s="213"/>
      <c r="U138" s="213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3"/>
      <c r="AP138" s="213"/>
      <c r="AQ138" s="213"/>
      <c r="AR138" s="213"/>
      <c r="AS138" s="213"/>
      <c r="AT138" s="213"/>
      <c r="AU138" s="213"/>
      <c r="AV138" s="213"/>
      <c r="AW138" s="213"/>
      <c r="AX138" s="213"/>
      <c r="AY138" s="213"/>
      <c r="AZ138" s="213"/>
      <c r="BA138" s="213"/>
      <c r="BB138" s="213"/>
      <c r="BC138" s="213"/>
      <c r="BD138" s="213"/>
      <c r="BE138" s="213"/>
      <c r="BF138" s="213"/>
      <c r="BG138" s="213"/>
      <c r="BH138" s="213"/>
      <c r="BI138" s="213"/>
      <c r="BJ138" s="213"/>
      <c r="BK138" s="213"/>
      <c r="BL138" s="213"/>
      <c r="BM138" s="213"/>
      <c r="BN138" s="213"/>
      <c r="BO138" s="213"/>
      <c r="BP138" s="213"/>
      <c r="BQ138" s="213"/>
      <c r="BR138" s="213"/>
      <c r="BS138" s="213"/>
      <c r="BT138" s="213"/>
      <c r="BU138" s="213"/>
      <c r="BV138" s="213"/>
      <c r="BW138" s="213"/>
      <c r="BX138" s="213"/>
      <c r="BY138" s="213"/>
      <c r="BZ138" s="213"/>
      <c r="CA138" s="213"/>
      <c r="CB138" s="213"/>
      <c r="CC138" s="213"/>
      <c r="CD138" s="213"/>
      <c r="CE138" s="213"/>
      <c r="CF138" s="213"/>
      <c r="CG138" s="213"/>
      <c r="CH138" s="213"/>
      <c r="CI138" s="213"/>
      <c r="CJ138" s="213"/>
      <c r="CK138" s="213"/>
      <c r="CL138" s="213"/>
      <c r="CM138" s="213"/>
      <c r="CN138" s="213"/>
      <c r="CO138" s="213"/>
      <c r="CP138" s="213"/>
      <c r="CQ138" s="213"/>
      <c r="CR138" s="213"/>
      <c r="CS138" s="213"/>
    </row>
    <row r="139" spans="1:97">
      <c r="A139" s="424">
        <v>45425</v>
      </c>
      <c r="B139" s="211" t="s">
        <v>247</v>
      </c>
      <c r="C139" s="213">
        <v>156.97999999999999</v>
      </c>
      <c r="D139" s="213">
        <v>154.97999999999999</v>
      </c>
      <c r="E139" s="213">
        <v>155.97999999999999</v>
      </c>
      <c r="F139" s="213">
        <v>169.46</v>
      </c>
      <c r="G139" s="213">
        <v>166.46</v>
      </c>
      <c r="H139" s="213">
        <v>167.96</v>
      </c>
      <c r="I139" s="213">
        <v>115.62</v>
      </c>
      <c r="J139" s="213">
        <v>112.42</v>
      </c>
      <c r="K139" s="213">
        <v>114.02000000000001</v>
      </c>
      <c r="L139" s="213">
        <v>199.24</v>
      </c>
      <c r="M139" s="213">
        <v>191.24</v>
      </c>
      <c r="N139" s="213">
        <v>195.24</v>
      </c>
      <c r="O139" s="213">
        <v>172.93</v>
      </c>
      <c r="P139" s="213">
        <v>171.13</v>
      </c>
      <c r="Q139" s="213">
        <v>172.03</v>
      </c>
      <c r="R139" s="213">
        <v>22.82</v>
      </c>
      <c r="S139" s="213">
        <v>22.22</v>
      </c>
      <c r="T139" s="213">
        <v>22.52</v>
      </c>
      <c r="U139" s="213">
        <v>14.66</v>
      </c>
      <c r="V139" s="213">
        <v>14.06</v>
      </c>
      <c r="W139" s="213">
        <v>14.36</v>
      </c>
      <c r="X139" s="213">
        <v>14.78</v>
      </c>
      <c r="Y139" s="213">
        <v>13.979999999999999</v>
      </c>
      <c r="Z139" s="213">
        <v>14.379999999999999</v>
      </c>
      <c r="AA139" s="213">
        <v>104.88</v>
      </c>
      <c r="AB139" s="213">
        <v>100.88</v>
      </c>
      <c r="AC139" s="213">
        <v>102.88</v>
      </c>
      <c r="AD139" s="213">
        <v>95.81</v>
      </c>
      <c r="AE139" s="213">
        <v>91.81</v>
      </c>
      <c r="AF139" s="213">
        <v>93.81</v>
      </c>
      <c r="AG139" s="213">
        <v>20.39</v>
      </c>
      <c r="AH139" s="213">
        <v>19.53</v>
      </c>
      <c r="AI139" s="213">
        <v>19.96</v>
      </c>
      <c r="AJ139" s="213"/>
      <c r="AK139" s="213"/>
      <c r="AL139" s="213"/>
      <c r="AM139" s="213">
        <v>115.96</v>
      </c>
      <c r="AN139" s="213">
        <v>114.3</v>
      </c>
      <c r="AO139" s="213">
        <v>115.13</v>
      </c>
      <c r="AP139" s="213">
        <v>42.45</v>
      </c>
      <c r="AQ139" s="213">
        <v>40.85</v>
      </c>
      <c r="AR139" s="213">
        <v>41.650000000000006</v>
      </c>
      <c r="AS139" s="213">
        <v>43.22</v>
      </c>
      <c r="AT139" s="213">
        <v>41.86</v>
      </c>
      <c r="AU139" s="213">
        <v>42.54</v>
      </c>
      <c r="AV139" s="213">
        <v>21.85</v>
      </c>
      <c r="AW139" s="213">
        <v>21.25</v>
      </c>
      <c r="AX139" s="213">
        <v>21.55</v>
      </c>
      <c r="AY139" s="213">
        <v>4.32</v>
      </c>
      <c r="AZ139" s="213">
        <v>4.16</v>
      </c>
      <c r="BA139" s="213">
        <v>4.24</v>
      </c>
      <c r="BB139" s="213">
        <v>2.0299999999999998</v>
      </c>
      <c r="BC139" s="213">
        <v>1.7299999999999998</v>
      </c>
      <c r="BD139" s="213">
        <v>1.88</v>
      </c>
      <c r="BE139" s="213">
        <v>0.71</v>
      </c>
      <c r="BF139" s="213">
        <v>0.41</v>
      </c>
      <c r="BG139" s="213">
        <v>0.55999999999999994</v>
      </c>
      <c r="BH139" s="213">
        <v>516.24</v>
      </c>
      <c r="BI139" s="213">
        <v>500.24</v>
      </c>
      <c r="BJ139" s="213">
        <v>508.24</v>
      </c>
      <c r="BK139" s="213">
        <v>43.53</v>
      </c>
      <c r="BL139" s="213">
        <v>42.17</v>
      </c>
      <c r="BM139" s="213">
        <v>42.85</v>
      </c>
      <c r="BN139" s="213">
        <v>1.1000000000000001</v>
      </c>
      <c r="BO139" s="213">
        <v>0.8600000000000001</v>
      </c>
      <c r="BP139" s="213">
        <v>0.98000000000000009</v>
      </c>
      <c r="BQ139" s="213">
        <v>10.3</v>
      </c>
      <c r="BR139" s="213">
        <v>8.3000000000000007</v>
      </c>
      <c r="BS139" s="213">
        <v>9.3000000000000007</v>
      </c>
      <c r="BT139" s="213">
        <v>11.58</v>
      </c>
      <c r="BU139" s="213">
        <v>11.18</v>
      </c>
      <c r="BV139" s="213">
        <v>11.379999999999999</v>
      </c>
      <c r="BW139" s="213">
        <v>2.88</v>
      </c>
      <c r="BX139" s="213">
        <v>2.5999999999999996</v>
      </c>
      <c r="BY139" s="213">
        <v>2.7399999999999998</v>
      </c>
      <c r="BZ139" s="213">
        <v>9.9499999999999993</v>
      </c>
      <c r="CA139" s="213">
        <v>6.9499999999999993</v>
      </c>
      <c r="CB139" s="213">
        <v>8.4499999999999993</v>
      </c>
      <c r="CC139" s="213">
        <v>6.86</v>
      </c>
      <c r="CD139" s="213">
        <v>6.62</v>
      </c>
      <c r="CE139" s="213">
        <v>6.74</v>
      </c>
      <c r="CF139" s="213">
        <v>1.93</v>
      </c>
      <c r="CG139" s="213">
        <v>1.43</v>
      </c>
      <c r="CH139" s="213">
        <v>1.68</v>
      </c>
      <c r="CI139" s="213">
        <v>0.45</v>
      </c>
      <c r="CJ139" s="213">
        <v>0.41000000000000003</v>
      </c>
      <c r="CK139" s="213">
        <v>0.43000000000000005</v>
      </c>
      <c r="CL139" s="213">
        <v>40.26</v>
      </c>
      <c r="CM139" s="213">
        <v>37.86</v>
      </c>
      <c r="CN139" s="213">
        <v>39.06</v>
      </c>
      <c r="CO139" s="213">
        <v>7.35</v>
      </c>
      <c r="CP139" s="213">
        <v>2.3499999999999996</v>
      </c>
      <c r="CQ139" s="213">
        <v>4.8499999999999996</v>
      </c>
      <c r="CR139" s="213"/>
      <c r="CS139" s="213"/>
    </row>
    <row r="140" spans="1:97">
      <c r="A140" s="424">
        <v>45426</v>
      </c>
      <c r="B140" s="211" t="s">
        <v>248</v>
      </c>
      <c r="C140" s="213">
        <v>157.36000000000001</v>
      </c>
      <c r="D140" s="213">
        <v>155.36000000000001</v>
      </c>
      <c r="E140" s="213">
        <v>156.36000000000001</v>
      </c>
      <c r="F140" s="213">
        <v>170.17</v>
      </c>
      <c r="G140" s="213">
        <v>167.17</v>
      </c>
      <c r="H140" s="213">
        <v>168.67</v>
      </c>
      <c r="I140" s="213">
        <v>115.97</v>
      </c>
      <c r="J140" s="213">
        <v>112.77</v>
      </c>
      <c r="K140" s="213">
        <v>114.37</v>
      </c>
      <c r="L140" s="213">
        <v>200.34</v>
      </c>
      <c r="M140" s="213">
        <v>192.34</v>
      </c>
      <c r="N140" s="213">
        <v>196.34</v>
      </c>
      <c r="O140" s="213">
        <v>173.03</v>
      </c>
      <c r="P140" s="213">
        <v>171.23</v>
      </c>
      <c r="Q140" s="213">
        <v>172.13</v>
      </c>
      <c r="R140" s="213">
        <v>22.91</v>
      </c>
      <c r="S140" s="213">
        <v>22.31</v>
      </c>
      <c r="T140" s="213">
        <v>22.61</v>
      </c>
      <c r="U140" s="213">
        <v>14.77</v>
      </c>
      <c r="V140" s="213">
        <v>14.17</v>
      </c>
      <c r="W140" s="213">
        <v>14.469999999999999</v>
      </c>
      <c r="X140" s="213">
        <v>14.82</v>
      </c>
      <c r="Y140" s="213">
        <v>14.02</v>
      </c>
      <c r="Z140" s="213">
        <v>14.42</v>
      </c>
      <c r="AA140" s="213">
        <v>105.26</v>
      </c>
      <c r="AB140" s="213">
        <v>101.26</v>
      </c>
      <c r="AC140" s="213">
        <v>103.26</v>
      </c>
      <c r="AD140" s="213">
        <v>96.05</v>
      </c>
      <c r="AE140" s="213">
        <v>92.05</v>
      </c>
      <c r="AF140" s="213">
        <v>94.05</v>
      </c>
      <c r="AG140" s="213">
        <v>20.440000000000001</v>
      </c>
      <c r="AH140" s="213">
        <v>19.580000000000002</v>
      </c>
      <c r="AI140" s="213">
        <v>20.010000000000002</v>
      </c>
      <c r="AJ140" s="213"/>
      <c r="AK140" s="213"/>
      <c r="AL140" s="213"/>
      <c r="AM140" s="213">
        <v>116.35</v>
      </c>
      <c r="AN140" s="213">
        <v>114.69</v>
      </c>
      <c r="AO140" s="213">
        <v>115.52</v>
      </c>
      <c r="AP140" s="213">
        <v>42.55</v>
      </c>
      <c r="AQ140" s="213">
        <v>40.949999999999996</v>
      </c>
      <c r="AR140" s="213">
        <v>41.75</v>
      </c>
      <c r="AS140" s="213">
        <v>43.32</v>
      </c>
      <c r="AT140" s="213">
        <v>41.96</v>
      </c>
      <c r="AU140" s="213">
        <v>42.64</v>
      </c>
      <c r="AV140" s="213">
        <v>21.89</v>
      </c>
      <c r="AW140" s="213">
        <v>21.29</v>
      </c>
      <c r="AX140" s="213">
        <v>21.59</v>
      </c>
      <c r="AY140" s="213">
        <v>4.33</v>
      </c>
      <c r="AZ140" s="213">
        <v>4.17</v>
      </c>
      <c r="BA140" s="213">
        <v>4.25</v>
      </c>
      <c r="BB140" s="213">
        <v>2.0299999999999998</v>
      </c>
      <c r="BC140" s="213">
        <v>1.7299999999999998</v>
      </c>
      <c r="BD140" s="213">
        <v>1.88</v>
      </c>
      <c r="BE140" s="213">
        <v>0.71</v>
      </c>
      <c r="BF140" s="213">
        <v>0.41</v>
      </c>
      <c r="BG140" s="213">
        <v>0.55999999999999994</v>
      </c>
      <c r="BH140" s="213">
        <v>517.32000000000005</v>
      </c>
      <c r="BI140" s="213">
        <v>501.32000000000005</v>
      </c>
      <c r="BJ140" s="213">
        <v>509.32000000000005</v>
      </c>
      <c r="BK140" s="213">
        <v>43.64</v>
      </c>
      <c r="BL140" s="213">
        <v>42.28</v>
      </c>
      <c r="BM140" s="213">
        <v>42.96</v>
      </c>
      <c r="BN140" s="213">
        <v>1.1000000000000001</v>
      </c>
      <c r="BO140" s="213">
        <v>0.8600000000000001</v>
      </c>
      <c r="BP140" s="213">
        <v>0.98000000000000009</v>
      </c>
      <c r="BQ140" s="213">
        <v>10.31</v>
      </c>
      <c r="BR140" s="213">
        <v>8.31</v>
      </c>
      <c r="BS140" s="213">
        <v>9.31</v>
      </c>
      <c r="BT140" s="213">
        <v>11.63</v>
      </c>
      <c r="BU140" s="213">
        <v>11.23</v>
      </c>
      <c r="BV140" s="213">
        <v>11.43</v>
      </c>
      <c r="BW140" s="213">
        <v>2.86</v>
      </c>
      <c r="BX140" s="213">
        <v>2.58</v>
      </c>
      <c r="BY140" s="213">
        <v>2.7199999999999998</v>
      </c>
      <c r="BZ140" s="213">
        <v>10.02</v>
      </c>
      <c r="CA140" s="213">
        <v>7.02</v>
      </c>
      <c r="CB140" s="213">
        <v>8.52</v>
      </c>
      <c r="CC140" s="213">
        <v>6.93</v>
      </c>
      <c r="CD140" s="213">
        <v>6.6899999999999995</v>
      </c>
      <c r="CE140" s="213">
        <v>6.81</v>
      </c>
      <c r="CF140" s="213">
        <v>1.96</v>
      </c>
      <c r="CG140" s="213">
        <v>1.46</v>
      </c>
      <c r="CH140" s="213">
        <v>1.71</v>
      </c>
      <c r="CI140" s="213">
        <v>0.46</v>
      </c>
      <c r="CJ140" s="213">
        <v>0.42000000000000004</v>
      </c>
      <c r="CK140" s="213">
        <v>0.44000000000000006</v>
      </c>
      <c r="CL140" s="213">
        <v>40.58</v>
      </c>
      <c r="CM140" s="213">
        <v>38.18</v>
      </c>
      <c r="CN140" s="213">
        <v>39.379999999999995</v>
      </c>
      <c r="CO140" s="213">
        <v>7.36</v>
      </c>
      <c r="CP140" s="213">
        <v>2.3600000000000003</v>
      </c>
      <c r="CQ140" s="213">
        <v>4.8600000000000003</v>
      </c>
      <c r="CR140" s="213"/>
      <c r="CS140" s="213"/>
    </row>
    <row r="141" spans="1:97">
      <c r="A141" s="424">
        <v>45427</v>
      </c>
      <c r="B141" s="211" t="s">
        <v>249</v>
      </c>
      <c r="C141" s="213">
        <v>157.53</v>
      </c>
      <c r="D141" s="213">
        <v>155.53</v>
      </c>
      <c r="E141" s="213">
        <v>156.53</v>
      </c>
      <c r="F141" s="213">
        <v>170.83</v>
      </c>
      <c r="G141" s="213">
        <v>167.83</v>
      </c>
      <c r="H141" s="213">
        <v>169.33</v>
      </c>
      <c r="I141" s="213">
        <v>116.26</v>
      </c>
      <c r="J141" s="213">
        <v>113.06</v>
      </c>
      <c r="K141" s="213">
        <v>114.66</v>
      </c>
      <c r="L141" s="213">
        <v>201.04</v>
      </c>
      <c r="M141" s="213">
        <v>193.04</v>
      </c>
      <c r="N141" s="213">
        <v>197.04</v>
      </c>
      <c r="O141" s="213">
        <v>173.59</v>
      </c>
      <c r="P141" s="213">
        <v>171.79</v>
      </c>
      <c r="Q141" s="213">
        <v>172.69</v>
      </c>
      <c r="R141" s="213">
        <v>23</v>
      </c>
      <c r="S141" s="213">
        <v>22.4</v>
      </c>
      <c r="T141" s="213">
        <v>22.7</v>
      </c>
      <c r="U141" s="213">
        <v>14.79</v>
      </c>
      <c r="V141" s="213">
        <v>14.19</v>
      </c>
      <c r="W141" s="213">
        <v>14.489999999999998</v>
      </c>
      <c r="X141" s="213">
        <v>14.87</v>
      </c>
      <c r="Y141" s="213">
        <v>14.069999999999999</v>
      </c>
      <c r="Z141" s="213">
        <v>14.469999999999999</v>
      </c>
      <c r="AA141" s="213">
        <v>105.73</v>
      </c>
      <c r="AB141" s="213">
        <v>101.73</v>
      </c>
      <c r="AC141" s="213">
        <v>103.73</v>
      </c>
      <c r="AD141" s="213">
        <v>96.62</v>
      </c>
      <c r="AE141" s="213">
        <v>92.62</v>
      </c>
      <c r="AF141" s="213">
        <v>94.62</v>
      </c>
      <c r="AG141" s="213">
        <v>20.47</v>
      </c>
      <c r="AH141" s="213">
        <v>19.61</v>
      </c>
      <c r="AI141" s="213">
        <v>20.04</v>
      </c>
      <c r="AJ141" s="213"/>
      <c r="AK141" s="213"/>
      <c r="AL141" s="213"/>
      <c r="AM141" s="213">
        <v>116.58</v>
      </c>
      <c r="AN141" s="213">
        <v>114.92</v>
      </c>
      <c r="AO141" s="213">
        <v>115.75</v>
      </c>
      <c r="AP141" s="213">
        <v>42.61</v>
      </c>
      <c r="AQ141" s="213">
        <v>41.01</v>
      </c>
      <c r="AR141" s="213">
        <v>41.81</v>
      </c>
      <c r="AS141" s="213">
        <v>43.37</v>
      </c>
      <c r="AT141" s="213">
        <v>42.01</v>
      </c>
      <c r="AU141" s="213">
        <v>42.69</v>
      </c>
      <c r="AV141" s="213">
        <v>21.92</v>
      </c>
      <c r="AW141" s="213">
        <v>21.32</v>
      </c>
      <c r="AX141" s="213">
        <v>21.62</v>
      </c>
      <c r="AY141" s="213">
        <v>4.37</v>
      </c>
      <c r="AZ141" s="213">
        <v>4.21</v>
      </c>
      <c r="BA141" s="213">
        <v>4.29</v>
      </c>
      <c r="BB141" s="213">
        <v>2.0299999999999998</v>
      </c>
      <c r="BC141" s="213">
        <v>1.7299999999999998</v>
      </c>
      <c r="BD141" s="213">
        <v>1.88</v>
      </c>
      <c r="BE141" s="213">
        <v>0.72</v>
      </c>
      <c r="BF141" s="213">
        <v>0.42</v>
      </c>
      <c r="BG141" s="213">
        <v>0.56999999999999995</v>
      </c>
      <c r="BH141" s="213">
        <v>518.04</v>
      </c>
      <c r="BI141" s="213">
        <v>502.03999999999996</v>
      </c>
      <c r="BJ141" s="213">
        <v>510.03999999999996</v>
      </c>
      <c r="BK141" s="213">
        <v>43.69</v>
      </c>
      <c r="BL141" s="213">
        <v>42.33</v>
      </c>
      <c r="BM141" s="213">
        <v>43.01</v>
      </c>
      <c r="BN141" s="213">
        <v>1.1000000000000001</v>
      </c>
      <c r="BO141" s="213">
        <v>0.8600000000000001</v>
      </c>
      <c r="BP141" s="213">
        <v>0.98000000000000009</v>
      </c>
      <c r="BQ141" s="213">
        <v>10.29</v>
      </c>
      <c r="BR141" s="213">
        <v>8.2899999999999991</v>
      </c>
      <c r="BS141" s="213">
        <v>9.2899999999999991</v>
      </c>
      <c r="BT141" s="213">
        <v>11.68</v>
      </c>
      <c r="BU141" s="213">
        <v>11.28</v>
      </c>
      <c r="BV141" s="213">
        <v>11.48</v>
      </c>
      <c r="BW141" s="213">
        <v>2.87</v>
      </c>
      <c r="BX141" s="213">
        <v>2.59</v>
      </c>
      <c r="BY141" s="213">
        <v>2.73</v>
      </c>
      <c r="BZ141" s="213">
        <v>10.01</v>
      </c>
      <c r="CA141" s="213">
        <v>7.01</v>
      </c>
      <c r="CB141" s="213">
        <v>8.51</v>
      </c>
      <c r="CC141" s="213">
        <v>6.95</v>
      </c>
      <c r="CD141" s="213">
        <v>6.71</v>
      </c>
      <c r="CE141" s="213">
        <v>6.83</v>
      </c>
      <c r="CF141" s="213">
        <v>1.96</v>
      </c>
      <c r="CG141" s="213">
        <v>1.46</v>
      </c>
      <c r="CH141" s="213">
        <v>1.71</v>
      </c>
      <c r="CI141" s="213">
        <v>0.46</v>
      </c>
      <c r="CJ141" s="213">
        <v>0.42000000000000004</v>
      </c>
      <c r="CK141" s="213">
        <v>0.44000000000000006</v>
      </c>
      <c r="CL141" s="213">
        <v>40.869999999999997</v>
      </c>
      <c r="CM141" s="213">
        <v>38.47</v>
      </c>
      <c r="CN141" s="213">
        <v>39.67</v>
      </c>
      <c r="CO141" s="213">
        <v>7.36</v>
      </c>
      <c r="CP141" s="213">
        <v>2.3600000000000003</v>
      </c>
      <c r="CQ141" s="213">
        <v>4.8600000000000003</v>
      </c>
      <c r="CR141" s="213"/>
      <c r="CS141" s="213"/>
    </row>
    <row r="142" spans="1:97">
      <c r="A142" s="424">
        <v>45428</v>
      </c>
      <c r="B142" s="211" t="s">
        <v>250</v>
      </c>
      <c r="C142" s="213">
        <v>154.94</v>
      </c>
      <c r="D142" s="213">
        <v>152.94</v>
      </c>
      <c r="E142" s="213">
        <v>153.94</v>
      </c>
      <c r="F142" s="213">
        <v>169.17</v>
      </c>
      <c r="G142" s="213">
        <v>166.17</v>
      </c>
      <c r="H142" s="213">
        <v>167.67</v>
      </c>
      <c r="I142" s="213">
        <v>114.87</v>
      </c>
      <c r="J142" s="213">
        <v>111.67</v>
      </c>
      <c r="K142" s="213">
        <v>113.27000000000001</v>
      </c>
      <c r="L142" s="213">
        <v>199.43</v>
      </c>
      <c r="M142" s="213">
        <v>191.43</v>
      </c>
      <c r="N142" s="213">
        <v>195.43</v>
      </c>
      <c r="O142" s="213">
        <v>172</v>
      </c>
      <c r="P142" s="213">
        <v>170.2</v>
      </c>
      <c r="Q142" s="213">
        <v>171.1</v>
      </c>
      <c r="R142" s="213">
        <v>22.77</v>
      </c>
      <c r="S142" s="213">
        <v>22.169999999999998</v>
      </c>
      <c r="T142" s="213">
        <v>22.47</v>
      </c>
      <c r="U142" s="213">
        <v>14.75</v>
      </c>
      <c r="V142" s="213">
        <v>14.15</v>
      </c>
      <c r="W142" s="213">
        <v>14.45</v>
      </c>
      <c r="X142" s="213">
        <v>14.86</v>
      </c>
      <c r="Y142" s="213">
        <v>14.059999999999999</v>
      </c>
      <c r="Z142" s="213">
        <v>14.459999999999999</v>
      </c>
      <c r="AA142" s="213">
        <v>105.32</v>
      </c>
      <c r="AB142" s="213">
        <v>101.32</v>
      </c>
      <c r="AC142" s="213">
        <v>103.32</v>
      </c>
      <c r="AD142" s="213">
        <v>96.53</v>
      </c>
      <c r="AE142" s="213">
        <v>92.53</v>
      </c>
      <c r="AF142" s="213">
        <v>94.53</v>
      </c>
      <c r="AG142" s="213">
        <v>20.149999999999999</v>
      </c>
      <c r="AH142" s="213">
        <v>19.29</v>
      </c>
      <c r="AI142" s="213">
        <v>19.72</v>
      </c>
      <c r="AJ142" s="213"/>
      <c r="AK142" s="213"/>
      <c r="AL142" s="213"/>
      <c r="AM142" s="213">
        <v>115.51</v>
      </c>
      <c r="AN142" s="213">
        <v>113.85000000000001</v>
      </c>
      <c r="AO142" s="213">
        <v>114.68</v>
      </c>
      <c r="AP142" s="213">
        <v>41.92</v>
      </c>
      <c r="AQ142" s="213">
        <v>40.32</v>
      </c>
      <c r="AR142" s="213">
        <v>41.120000000000005</v>
      </c>
      <c r="AS142" s="213">
        <v>42.66</v>
      </c>
      <c r="AT142" s="213">
        <v>41.3</v>
      </c>
      <c r="AU142" s="213">
        <v>41.98</v>
      </c>
      <c r="AV142" s="213">
        <v>21.66</v>
      </c>
      <c r="AW142" s="213">
        <v>21.06</v>
      </c>
      <c r="AX142" s="213">
        <v>21.36</v>
      </c>
      <c r="AY142" s="213">
        <v>4.33</v>
      </c>
      <c r="AZ142" s="213">
        <v>4.17</v>
      </c>
      <c r="BA142" s="213">
        <v>4.25</v>
      </c>
      <c r="BB142" s="213">
        <v>2.0099999999999998</v>
      </c>
      <c r="BC142" s="213">
        <v>1.7099999999999997</v>
      </c>
      <c r="BD142" s="213">
        <v>1.8599999999999999</v>
      </c>
      <c r="BE142" s="213">
        <v>0.71</v>
      </c>
      <c r="BF142" s="213">
        <v>0.41</v>
      </c>
      <c r="BG142" s="213">
        <v>0.55999999999999994</v>
      </c>
      <c r="BH142" s="213">
        <v>508.46</v>
      </c>
      <c r="BI142" s="213">
        <v>492.46</v>
      </c>
      <c r="BJ142" s="213">
        <v>500.46</v>
      </c>
      <c r="BK142" s="213">
        <v>42.98</v>
      </c>
      <c r="BL142" s="213">
        <v>41.62</v>
      </c>
      <c r="BM142" s="213">
        <v>42.3</v>
      </c>
      <c r="BN142" s="213">
        <v>1.08</v>
      </c>
      <c r="BO142" s="213">
        <v>0.84000000000000008</v>
      </c>
      <c r="BP142" s="213">
        <v>0.96000000000000008</v>
      </c>
      <c r="BQ142" s="213">
        <v>10.23</v>
      </c>
      <c r="BR142" s="213">
        <v>8.23</v>
      </c>
      <c r="BS142" s="213">
        <v>9.23</v>
      </c>
      <c r="BT142" s="213">
        <v>11.62</v>
      </c>
      <c r="BU142" s="213">
        <v>11.219999999999999</v>
      </c>
      <c r="BV142" s="213">
        <v>11.419999999999998</v>
      </c>
      <c r="BW142" s="213">
        <v>2.84</v>
      </c>
      <c r="BX142" s="213">
        <v>2.5599999999999996</v>
      </c>
      <c r="BY142" s="213">
        <v>2.6999999999999997</v>
      </c>
      <c r="BZ142" s="213">
        <v>9.94</v>
      </c>
      <c r="CA142" s="213">
        <v>6.9399999999999995</v>
      </c>
      <c r="CB142" s="213">
        <v>8.44</v>
      </c>
      <c r="CC142" s="213">
        <v>6.9</v>
      </c>
      <c r="CD142" s="213">
        <v>6.66</v>
      </c>
      <c r="CE142" s="213">
        <v>6.78</v>
      </c>
      <c r="CF142" s="213">
        <v>1.94</v>
      </c>
      <c r="CG142" s="213">
        <v>1.44</v>
      </c>
      <c r="CH142" s="213">
        <v>1.69</v>
      </c>
      <c r="CI142" s="213">
        <v>0.46</v>
      </c>
      <c r="CJ142" s="213">
        <v>0.42000000000000004</v>
      </c>
      <c r="CK142" s="213">
        <v>0.44000000000000006</v>
      </c>
      <c r="CL142" s="213">
        <v>40.56</v>
      </c>
      <c r="CM142" s="213">
        <v>38.160000000000004</v>
      </c>
      <c r="CN142" s="213">
        <v>39.36</v>
      </c>
      <c r="CO142" s="213">
        <v>7.31</v>
      </c>
      <c r="CP142" s="213">
        <v>2.3099999999999996</v>
      </c>
      <c r="CQ142" s="213">
        <v>4.8099999999999996</v>
      </c>
      <c r="CR142" s="213"/>
      <c r="CS142" s="213"/>
    </row>
    <row r="143" spans="1:97">
      <c r="A143" s="424">
        <v>45429</v>
      </c>
      <c r="B143" s="211" t="s">
        <v>251</v>
      </c>
      <c r="C143" s="213">
        <v>156.58000000000001</v>
      </c>
      <c r="D143" s="213">
        <v>154.58000000000001</v>
      </c>
      <c r="E143" s="213">
        <v>155.58000000000001</v>
      </c>
      <c r="F143" s="213">
        <v>170.49</v>
      </c>
      <c r="G143" s="213">
        <v>167.49</v>
      </c>
      <c r="H143" s="213">
        <v>168.99</v>
      </c>
      <c r="I143" s="213">
        <v>115.82</v>
      </c>
      <c r="J143" s="213">
        <v>112.61999999999999</v>
      </c>
      <c r="K143" s="213">
        <v>114.22</v>
      </c>
      <c r="L143" s="213">
        <v>201.04</v>
      </c>
      <c r="M143" s="213">
        <v>193.04</v>
      </c>
      <c r="N143" s="213">
        <v>197.04</v>
      </c>
      <c r="O143" s="213">
        <v>172.38</v>
      </c>
      <c r="P143" s="213">
        <v>170.57999999999998</v>
      </c>
      <c r="Q143" s="213">
        <v>171.48</v>
      </c>
      <c r="R143" s="213">
        <v>22.95</v>
      </c>
      <c r="S143" s="213">
        <v>22.349999999999998</v>
      </c>
      <c r="T143" s="213">
        <v>22.65</v>
      </c>
      <c r="U143" s="213">
        <v>14.82</v>
      </c>
      <c r="V143" s="213">
        <v>14.22</v>
      </c>
      <c r="W143" s="213">
        <v>14.52</v>
      </c>
      <c r="X143" s="213">
        <v>14.9</v>
      </c>
      <c r="Y143" s="213">
        <v>14.1</v>
      </c>
      <c r="Z143" s="213">
        <v>14.5</v>
      </c>
      <c r="AA143" s="213">
        <v>105.85</v>
      </c>
      <c r="AB143" s="213">
        <v>101.85</v>
      </c>
      <c r="AC143" s="213">
        <v>103.85</v>
      </c>
      <c r="AD143" s="213">
        <v>97.18</v>
      </c>
      <c r="AE143" s="213">
        <v>93.18</v>
      </c>
      <c r="AF143" s="213">
        <v>95.18</v>
      </c>
      <c r="AG143" s="213">
        <v>20.37</v>
      </c>
      <c r="AH143" s="213">
        <v>19.510000000000002</v>
      </c>
      <c r="AI143" s="213">
        <v>19.940000000000001</v>
      </c>
      <c r="AJ143" s="213"/>
      <c r="AK143" s="213"/>
      <c r="AL143" s="213"/>
      <c r="AM143" s="213">
        <v>116.36</v>
      </c>
      <c r="AN143" s="213">
        <v>114.7</v>
      </c>
      <c r="AO143" s="213">
        <v>115.53</v>
      </c>
      <c r="AP143" s="213">
        <v>42.35</v>
      </c>
      <c r="AQ143" s="213">
        <v>40.75</v>
      </c>
      <c r="AR143" s="213">
        <v>41.55</v>
      </c>
      <c r="AS143" s="213">
        <v>43.11</v>
      </c>
      <c r="AT143" s="213">
        <v>41.75</v>
      </c>
      <c r="AU143" s="213">
        <v>42.43</v>
      </c>
      <c r="AV143" s="213">
        <v>21.83</v>
      </c>
      <c r="AW143" s="213">
        <v>21.229999999999997</v>
      </c>
      <c r="AX143" s="213">
        <v>21.529999999999998</v>
      </c>
      <c r="AY143" s="213">
        <v>4.37</v>
      </c>
      <c r="AZ143" s="213">
        <v>4.21</v>
      </c>
      <c r="BA143" s="213">
        <v>4.29</v>
      </c>
      <c r="BB143" s="213">
        <v>2.02</v>
      </c>
      <c r="BC143" s="213">
        <v>1.72</v>
      </c>
      <c r="BD143" s="213">
        <v>1.87</v>
      </c>
      <c r="BE143" s="213">
        <v>0.71</v>
      </c>
      <c r="BF143" s="213">
        <v>0.41</v>
      </c>
      <c r="BG143" s="213">
        <v>0.55999999999999994</v>
      </c>
      <c r="BH143" s="213">
        <v>515.44000000000005</v>
      </c>
      <c r="BI143" s="213">
        <v>499.44000000000005</v>
      </c>
      <c r="BJ143" s="213">
        <v>507.44000000000005</v>
      </c>
      <c r="BK143" s="213">
        <v>43.43</v>
      </c>
      <c r="BL143" s="213">
        <v>42.07</v>
      </c>
      <c r="BM143" s="213">
        <v>42.75</v>
      </c>
      <c r="BN143" s="213">
        <v>1.1000000000000001</v>
      </c>
      <c r="BO143" s="213">
        <v>0.8600000000000001</v>
      </c>
      <c r="BP143" s="213">
        <v>0.98000000000000009</v>
      </c>
      <c r="BQ143" s="213">
        <v>10.33</v>
      </c>
      <c r="BR143" s="213">
        <v>8.33</v>
      </c>
      <c r="BS143" s="213">
        <v>9.33</v>
      </c>
      <c r="BT143" s="213">
        <v>11.72</v>
      </c>
      <c r="BU143" s="213">
        <v>11.32</v>
      </c>
      <c r="BV143" s="213">
        <v>11.52</v>
      </c>
      <c r="BW143" s="213">
        <v>2.87</v>
      </c>
      <c r="BX143" s="213">
        <v>2.59</v>
      </c>
      <c r="BY143" s="213">
        <v>2.73</v>
      </c>
      <c r="BZ143" s="213">
        <v>10.050000000000001</v>
      </c>
      <c r="CA143" s="213">
        <v>7.0500000000000007</v>
      </c>
      <c r="CB143" s="213">
        <v>8.5500000000000007</v>
      </c>
      <c r="CC143" s="213">
        <v>6.97</v>
      </c>
      <c r="CD143" s="213">
        <v>6.7299999999999995</v>
      </c>
      <c r="CE143" s="213">
        <v>6.85</v>
      </c>
      <c r="CF143" s="213">
        <v>1.96</v>
      </c>
      <c r="CG143" s="213">
        <v>1.46</v>
      </c>
      <c r="CH143" s="213">
        <v>1.71</v>
      </c>
      <c r="CI143" s="213">
        <v>0.46</v>
      </c>
      <c r="CJ143" s="213">
        <v>0.42000000000000004</v>
      </c>
      <c r="CK143" s="213">
        <v>0.44000000000000006</v>
      </c>
      <c r="CL143" s="213">
        <v>40.81</v>
      </c>
      <c r="CM143" s="213">
        <v>38.410000000000004</v>
      </c>
      <c r="CN143" s="213">
        <v>39.61</v>
      </c>
      <c r="CO143" s="213">
        <v>7.34</v>
      </c>
      <c r="CP143" s="213">
        <v>2.34</v>
      </c>
      <c r="CQ143" s="213">
        <v>4.84</v>
      </c>
      <c r="CR143" s="213"/>
      <c r="CS143" s="213"/>
    </row>
    <row r="144" spans="1:97">
      <c r="A144" s="424">
        <v>45430</v>
      </c>
      <c r="B144" s="211" t="s">
        <v>252</v>
      </c>
      <c r="C144" s="213"/>
      <c r="D144" s="213"/>
      <c r="E144" s="213"/>
      <c r="F144" s="213"/>
      <c r="G144" s="213"/>
      <c r="H144" s="213"/>
      <c r="I144" s="213"/>
      <c r="J144" s="213"/>
      <c r="K144" s="213"/>
      <c r="L144" s="213"/>
      <c r="M144" s="213"/>
      <c r="N144" s="213"/>
      <c r="O144" s="213"/>
      <c r="P144" s="213"/>
      <c r="Q144" s="213"/>
      <c r="R144" s="213"/>
      <c r="S144" s="213"/>
      <c r="T144" s="213"/>
      <c r="U144" s="213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13"/>
      <c r="AF144" s="213"/>
      <c r="AG144" s="213"/>
      <c r="AH144" s="213"/>
      <c r="AI144" s="213"/>
      <c r="AJ144" s="213"/>
      <c r="AK144" s="213"/>
      <c r="AL144" s="213"/>
      <c r="AM144" s="213"/>
      <c r="AN144" s="213"/>
      <c r="AO144" s="213"/>
      <c r="AP144" s="213"/>
      <c r="AQ144" s="213"/>
      <c r="AR144" s="213"/>
      <c r="AS144" s="213"/>
      <c r="AT144" s="213"/>
      <c r="AU144" s="213"/>
      <c r="AV144" s="213"/>
      <c r="AW144" s="213"/>
      <c r="AX144" s="213"/>
      <c r="AY144" s="213"/>
      <c r="AZ144" s="213"/>
      <c r="BA144" s="213"/>
      <c r="BB144" s="213"/>
      <c r="BC144" s="213"/>
      <c r="BD144" s="213"/>
      <c r="BE144" s="213"/>
      <c r="BF144" s="213"/>
      <c r="BG144" s="213"/>
      <c r="BH144" s="213"/>
      <c r="BI144" s="213"/>
      <c r="BJ144" s="213"/>
      <c r="BK144" s="213"/>
      <c r="BL144" s="213"/>
      <c r="BM144" s="213"/>
      <c r="BN144" s="213"/>
      <c r="BO144" s="213"/>
      <c r="BP144" s="213"/>
      <c r="BQ144" s="213"/>
      <c r="BR144" s="213"/>
      <c r="BS144" s="213"/>
      <c r="BT144" s="213"/>
      <c r="BU144" s="213"/>
      <c r="BV144" s="213"/>
      <c r="BW144" s="213"/>
      <c r="BX144" s="213"/>
      <c r="BY144" s="213"/>
      <c r="BZ144" s="213"/>
      <c r="CA144" s="213"/>
      <c r="CB144" s="213"/>
      <c r="CC144" s="213"/>
      <c r="CD144" s="213"/>
      <c r="CE144" s="213"/>
      <c r="CF144" s="213"/>
      <c r="CG144" s="213"/>
      <c r="CH144" s="213"/>
      <c r="CI144" s="213"/>
      <c r="CJ144" s="213"/>
      <c r="CK144" s="213"/>
      <c r="CL144" s="213"/>
      <c r="CM144" s="213"/>
      <c r="CN144" s="213"/>
      <c r="CO144" s="213"/>
      <c r="CP144" s="213"/>
      <c r="CQ144" s="213"/>
      <c r="CR144" s="213"/>
      <c r="CS144" s="213"/>
    </row>
    <row r="145" spans="1:97">
      <c r="A145" s="424">
        <v>45431</v>
      </c>
      <c r="B145" s="211" t="s">
        <v>253</v>
      </c>
      <c r="C145" s="213"/>
      <c r="D145" s="213"/>
      <c r="E145" s="213"/>
      <c r="F145" s="213"/>
      <c r="G145" s="213"/>
      <c r="H145" s="213"/>
      <c r="I145" s="213"/>
      <c r="J145" s="213"/>
      <c r="K145" s="213"/>
      <c r="L145" s="213"/>
      <c r="M145" s="213"/>
      <c r="N145" s="213"/>
      <c r="O145" s="213"/>
      <c r="P145" s="213"/>
      <c r="Q145" s="213"/>
      <c r="R145" s="213"/>
      <c r="S145" s="213"/>
      <c r="T145" s="213"/>
      <c r="U145" s="213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13"/>
      <c r="AF145" s="213"/>
      <c r="AG145" s="213"/>
      <c r="AH145" s="213"/>
      <c r="AI145" s="213"/>
      <c r="AJ145" s="213"/>
      <c r="AK145" s="213"/>
      <c r="AL145" s="213"/>
      <c r="AM145" s="213"/>
      <c r="AN145" s="213"/>
      <c r="AO145" s="213"/>
      <c r="AP145" s="213"/>
      <c r="AQ145" s="213"/>
      <c r="AR145" s="213"/>
      <c r="AS145" s="213"/>
      <c r="AT145" s="213"/>
      <c r="AU145" s="213"/>
      <c r="AV145" s="213"/>
      <c r="AW145" s="213"/>
      <c r="AX145" s="213"/>
      <c r="AY145" s="213"/>
      <c r="AZ145" s="213"/>
      <c r="BA145" s="213"/>
      <c r="BB145" s="213"/>
      <c r="BC145" s="213"/>
      <c r="BD145" s="213"/>
      <c r="BE145" s="213"/>
      <c r="BF145" s="213"/>
      <c r="BG145" s="213"/>
      <c r="BH145" s="213"/>
      <c r="BI145" s="213"/>
      <c r="BJ145" s="213"/>
      <c r="BK145" s="213"/>
      <c r="BL145" s="213"/>
      <c r="BM145" s="213"/>
      <c r="BN145" s="213"/>
      <c r="BO145" s="213"/>
      <c r="BP145" s="213"/>
      <c r="BQ145" s="213"/>
      <c r="BR145" s="213"/>
      <c r="BS145" s="213"/>
      <c r="BT145" s="213"/>
      <c r="BU145" s="213"/>
      <c r="BV145" s="213"/>
      <c r="BW145" s="213"/>
      <c r="BX145" s="213"/>
      <c r="BY145" s="213"/>
      <c r="BZ145" s="213"/>
      <c r="CA145" s="213"/>
      <c r="CB145" s="213"/>
      <c r="CC145" s="213"/>
      <c r="CD145" s="213"/>
      <c r="CE145" s="213"/>
      <c r="CF145" s="213"/>
      <c r="CG145" s="213"/>
      <c r="CH145" s="213"/>
      <c r="CI145" s="213"/>
      <c r="CJ145" s="213"/>
      <c r="CK145" s="213"/>
      <c r="CL145" s="213"/>
      <c r="CM145" s="213"/>
      <c r="CN145" s="213"/>
      <c r="CO145" s="213"/>
      <c r="CP145" s="213"/>
      <c r="CQ145" s="213"/>
      <c r="CR145" s="213"/>
      <c r="CS145" s="213"/>
    </row>
    <row r="146" spans="1:97">
      <c r="A146" s="424">
        <v>45432</v>
      </c>
      <c r="B146" s="211" t="s">
        <v>247</v>
      </c>
      <c r="C146" s="213">
        <v>156.91</v>
      </c>
      <c r="D146" s="213">
        <v>154.91</v>
      </c>
      <c r="E146" s="213">
        <v>155.91</v>
      </c>
      <c r="F146" s="213">
        <v>171.07</v>
      </c>
      <c r="G146" s="213">
        <v>168.07</v>
      </c>
      <c r="H146" s="213">
        <v>169.57</v>
      </c>
      <c r="I146" s="213">
        <v>116.18</v>
      </c>
      <c r="J146" s="213">
        <v>112.98</v>
      </c>
      <c r="K146" s="213">
        <v>114.58000000000001</v>
      </c>
      <c r="L146" s="213">
        <v>202.1</v>
      </c>
      <c r="M146" s="213">
        <v>194.1</v>
      </c>
      <c r="N146" s="213">
        <v>198.1</v>
      </c>
      <c r="O146" s="213">
        <v>172.36</v>
      </c>
      <c r="P146" s="213">
        <v>170.56</v>
      </c>
      <c r="Q146" s="213">
        <v>171.46</v>
      </c>
      <c r="R146" s="213">
        <v>23.03</v>
      </c>
      <c r="S146" s="213">
        <v>22.43</v>
      </c>
      <c r="T146" s="213">
        <v>22.73</v>
      </c>
      <c r="U146" s="213">
        <v>14.92</v>
      </c>
      <c r="V146" s="213">
        <v>14.32</v>
      </c>
      <c r="W146" s="213">
        <v>14.620000000000001</v>
      </c>
      <c r="X146" s="213">
        <v>14.97</v>
      </c>
      <c r="Y146" s="213">
        <v>14.17</v>
      </c>
      <c r="Z146" s="213">
        <v>14.57</v>
      </c>
      <c r="AA146" s="213">
        <v>106.51</v>
      </c>
      <c r="AB146" s="213">
        <v>102.51</v>
      </c>
      <c r="AC146" s="213">
        <v>104.51</v>
      </c>
      <c r="AD146" s="213">
        <v>97.65</v>
      </c>
      <c r="AE146" s="213">
        <v>93.65</v>
      </c>
      <c r="AF146" s="213">
        <v>95.65</v>
      </c>
      <c r="AG146" s="213">
        <v>20.41</v>
      </c>
      <c r="AH146" s="213">
        <v>19.55</v>
      </c>
      <c r="AI146" s="213">
        <v>19.98</v>
      </c>
      <c r="AJ146" s="213"/>
      <c r="AK146" s="213"/>
      <c r="AL146" s="213"/>
      <c r="AM146" s="213">
        <v>116.77</v>
      </c>
      <c r="AN146" s="213">
        <v>115.11</v>
      </c>
      <c r="AO146" s="213">
        <v>115.94</v>
      </c>
      <c r="AP146" s="213">
        <v>42.43</v>
      </c>
      <c r="AQ146" s="213">
        <v>40.83</v>
      </c>
      <c r="AR146" s="213">
        <v>41.629999999999995</v>
      </c>
      <c r="AS146" s="213">
        <v>43.2</v>
      </c>
      <c r="AT146" s="213">
        <v>41.84</v>
      </c>
      <c r="AU146" s="213">
        <v>42.52</v>
      </c>
      <c r="AV146" s="213">
        <v>21.86</v>
      </c>
      <c r="AW146" s="213">
        <v>21.259999999999998</v>
      </c>
      <c r="AX146" s="213">
        <v>21.56</v>
      </c>
      <c r="AY146" s="213">
        <v>4.41</v>
      </c>
      <c r="AZ146" s="213">
        <v>4.25</v>
      </c>
      <c r="BA146" s="213">
        <v>4.33</v>
      </c>
      <c r="BB146" s="213">
        <v>2.0299999999999998</v>
      </c>
      <c r="BC146" s="213">
        <v>1.7299999999999998</v>
      </c>
      <c r="BD146" s="213">
        <v>1.88</v>
      </c>
      <c r="BE146" s="213">
        <v>0.71</v>
      </c>
      <c r="BF146" s="213">
        <v>0.41</v>
      </c>
      <c r="BG146" s="213">
        <v>0.55999999999999994</v>
      </c>
      <c r="BH146" s="213">
        <v>516.35</v>
      </c>
      <c r="BI146" s="213">
        <v>500.35</v>
      </c>
      <c r="BJ146" s="213">
        <v>508.35</v>
      </c>
      <c r="BK146" s="213">
        <v>43.52</v>
      </c>
      <c r="BL146" s="213">
        <v>42.160000000000004</v>
      </c>
      <c r="BM146" s="213">
        <v>42.84</v>
      </c>
      <c r="BN146" s="213">
        <v>1.1000000000000001</v>
      </c>
      <c r="BO146" s="213">
        <v>0.8600000000000001</v>
      </c>
      <c r="BP146" s="213">
        <v>0.98000000000000009</v>
      </c>
      <c r="BQ146" s="213">
        <v>10.4</v>
      </c>
      <c r="BR146" s="213">
        <v>8.4</v>
      </c>
      <c r="BS146" s="213">
        <v>9.4</v>
      </c>
      <c r="BT146" s="213">
        <v>11.71</v>
      </c>
      <c r="BU146" s="213">
        <v>11.31</v>
      </c>
      <c r="BV146" s="213">
        <v>11.510000000000002</v>
      </c>
      <c r="BW146" s="213">
        <v>2.87</v>
      </c>
      <c r="BX146" s="213">
        <v>2.59</v>
      </c>
      <c r="BY146" s="213">
        <v>2.73</v>
      </c>
      <c r="BZ146" s="213">
        <v>10.08</v>
      </c>
      <c r="CA146" s="213">
        <v>7.08</v>
      </c>
      <c r="CB146" s="213">
        <v>8.58</v>
      </c>
      <c r="CC146" s="213">
        <v>6.99</v>
      </c>
      <c r="CD146" s="213">
        <v>6.75</v>
      </c>
      <c r="CE146" s="213">
        <v>6.87</v>
      </c>
      <c r="CF146" s="213">
        <v>1.96</v>
      </c>
      <c r="CG146" s="213">
        <v>1.46</v>
      </c>
      <c r="CH146" s="213">
        <v>1.71</v>
      </c>
      <c r="CI146" s="213">
        <v>0.46</v>
      </c>
      <c r="CJ146" s="213">
        <v>0.42000000000000004</v>
      </c>
      <c r="CK146" s="213">
        <v>0.44000000000000006</v>
      </c>
      <c r="CL146" s="213">
        <v>41.03</v>
      </c>
      <c r="CM146" s="213">
        <v>38.630000000000003</v>
      </c>
      <c r="CN146" s="213">
        <v>39.83</v>
      </c>
      <c r="CO146" s="213">
        <v>7.36</v>
      </c>
      <c r="CP146" s="213">
        <v>2.3600000000000003</v>
      </c>
      <c r="CQ146" s="213">
        <v>4.8600000000000003</v>
      </c>
      <c r="CR146" s="213"/>
      <c r="CS146" s="213"/>
    </row>
    <row r="147" spans="1:97">
      <c r="A147" s="424">
        <v>45433</v>
      </c>
      <c r="B147" s="211" t="s">
        <v>248</v>
      </c>
      <c r="C147" s="213">
        <v>157.49</v>
      </c>
      <c r="D147" s="213">
        <v>155.49</v>
      </c>
      <c r="E147" s="213">
        <v>156.49</v>
      </c>
      <c r="F147" s="213">
        <v>171.48</v>
      </c>
      <c r="G147" s="213">
        <v>168.48</v>
      </c>
      <c r="H147" s="213">
        <v>169.98</v>
      </c>
      <c r="I147" s="213">
        <v>116.44</v>
      </c>
      <c r="J147" s="213">
        <v>113.24</v>
      </c>
      <c r="K147" s="213">
        <v>114.84</v>
      </c>
      <c r="L147" s="213">
        <v>202.93</v>
      </c>
      <c r="M147" s="213">
        <v>194.93</v>
      </c>
      <c r="N147" s="213">
        <v>198.93</v>
      </c>
      <c r="O147" s="213">
        <v>172.73</v>
      </c>
      <c r="P147" s="213">
        <v>170.92999999999998</v>
      </c>
      <c r="Q147" s="213">
        <v>171.82999999999998</v>
      </c>
      <c r="R147" s="213">
        <v>23.08</v>
      </c>
      <c r="S147" s="213">
        <v>22.479999999999997</v>
      </c>
      <c r="T147" s="213">
        <v>22.779999999999998</v>
      </c>
      <c r="U147" s="213">
        <v>14.93</v>
      </c>
      <c r="V147" s="213">
        <v>14.33</v>
      </c>
      <c r="W147" s="213">
        <v>14.629999999999999</v>
      </c>
      <c r="X147" s="213">
        <v>15.05</v>
      </c>
      <c r="Y147" s="213">
        <v>14.25</v>
      </c>
      <c r="Z147" s="213">
        <v>14.65</v>
      </c>
      <c r="AA147" s="213">
        <v>106.41</v>
      </c>
      <c r="AB147" s="213">
        <v>102.41</v>
      </c>
      <c r="AC147" s="213">
        <v>104.41</v>
      </c>
      <c r="AD147" s="213">
        <v>97.6</v>
      </c>
      <c r="AE147" s="213">
        <v>93.6</v>
      </c>
      <c r="AF147" s="213">
        <v>95.6</v>
      </c>
      <c r="AG147" s="213">
        <v>20.5</v>
      </c>
      <c r="AH147" s="213">
        <v>19.64</v>
      </c>
      <c r="AI147" s="213">
        <v>20.07</v>
      </c>
      <c r="AJ147" s="213"/>
      <c r="AK147" s="213"/>
      <c r="AL147" s="213"/>
      <c r="AM147" s="213">
        <v>116.99</v>
      </c>
      <c r="AN147" s="213">
        <v>115.33</v>
      </c>
      <c r="AO147" s="213">
        <v>116.16</v>
      </c>
      <c r="AP147" s="213">
        <v>42.59</v>
      </c>
      <c r="AQ147" s="213">
        <v>40.99</v>
      </c>
      <c r="AR147" s="213">
        <v>41.790000000000006</v>
      </c>
      <c r="AS147" s="213">
        <v>43.36</v>
      </c>
      <c r="AT147" s="213">
        <v>42</v>
      </c>
      <c r="AU147" s="213">
        <v>42.68</v>
      </c>
      <c r="AV147" s="213">
        <v>21.9</v>
      </c>
      <c r="AW147" s="213">
        <v>21.299999999999997</v>
      </c>
      <c r="AX147" s="213">
        <v>21.599999999999998</v>
      </c>
      <c r="AY147" s="213">
        <v>4.4000000000000004</v>
      </c>
      <c r="AZ147" s="213">
        <v>4.24</v>
      </c>
      <c r="BA147" s="213">
        <v>4.32</v>
      </c>
      <c r="BB147" s="213">
        <v>2.04</v>
      </c>
      <c r="BC147" s="213">
        <v>1.74</v>
      </c>
      <c r="BD147" s="213">
        <v>1.8900000000000001</v>
      </c>
      <c r="BE147" s="213">
        <v>0.71</v>
      </c>
      <c r="BF147" s="213">
        <v>0.41</v>
      </c>
      <c r="BG147" s="213">
        <v>0.55999999999999994</v>
      </c>
      <c r="BH147" s="213">
        <v>518.9</v>
      </c>
      <c r="BI147" s="213">
        <v>502.9</v>
      </c>
      <c r="BJ147" s="213">
        <v>510.9</v>
      </c>
      <c r="BK147" s="213">
        <v>43.68</v>
      </c>
      <c r="BL147" s="213">
        <v>42.32</v>
      </c>
      <c r="BM147" s="213">
        <v>43</v>
      </c>
      <c r="BN147" s="213">
        <v>1.1000000000000001</v>
      </c>
      <c r="BO147" s="213">
        <v>0.8600000000000001</v>
      </c>
      <c r="BP147" s="213">
        <v>0.98000000000000009</v>
      </c>
      <c r="BQ147" s="213">
        <v>10.46</v>
      </c>
      <c r="BR147" s="213">
        <v>8.4600000000000009</v>
      </c>
      <c r="BS147" s="213">
        <v>9.4600000000000009</v>
      </c>
      <c r="BT147" s="213">
        <v>11.69</v>
      </c>
      <c r="BU147" s="213">
        <v>11.29</v>
      </c>
      <c r="BV147" s="213">
        <v>11.489999999999998</v>
      </c>
      <c r="BW147" s="213">
        <v>2.86</v>
      </c>
      <c r="BX147" s="213">
        <v>2.58</v>
      </c>
      <c r="BY147" s="213">
        <v>2.7199999999999998</v>
      </c>
      <c r="BZ147" s="213">
        <v>10.11</v>
      </c>
      <c r="CA147" s="213">
        <v>7.1099999999999994</v>
      </c>
      <c r="CB147" s="213">
        <v>8.61</v>
      </c>
      <c r="CC147" s="213">
        <v>7</v>
      </c>
      <c r="CD147" s="213">
        <v>6.76</v>
      </c>
      <c r="CE147" s="213">
        <v>6.88</v>
      </c>
      <c r="CF147" s="213">
        <v>1.98</v>
      </c>
      <c r="CG147" s="213">
        <v>1.48</v>
      </c>
      <c r="CH147" s="213">
        <v>1.73</v>
      </c>
      <c r="CI147" s="213">
        <v>0.46</v>
      </c>
      <c r="CJ147" s="213">
        <v>0.42000000000000004</v>
      </c>
      <c r="CK147" s="213">
        <v>0.44000000000000006</v>
      </c>
      <c r="CL147" s="213">
        <v>41.19</v>
      </c>
      <c r="CM147" s="213">
        <v>38.79</v>
      </c>
      <c r="CN147" s="213">
        <v>39.989999999999995</v>
      </c>
      <c r="CO147" s="213">
        <v>7.36</v>
      </c>
      <c r="CP147" s="213">
        <v>2.3600000000000003</v>
      </c>
      <c r="CQ147" s="213">
        <v>4.8600000000000003</v>
      </c>
      <c r="CR147" s="213"/>
      <c r="CS147" s="213"/>
    </row>
    <row r="148" spans="1:97">
      <c r="A148" s="424">
        <v>45434</v>
      </c>
      <c r="B148" s="211" t="s">
        <v>249</v>
      </c>
      <c r="C148" s="213">
        <v>157.33000000000001</v>
      </c>
      <c r="D148" s="213">
        <v>155.33000000000001</v>
      </c>
      <c r="E148" s="213">
        <v>156.33000000000001</v>
      </c>
      <c r="F148" s="213">
        <v>171.26</v>
      </c>
      <c r="G148" s="213">
        <v>168.26</v>
      </c>
      <c r="H148" s="213">
        <v>169.76</v>
      </c>
      <c r="I148" s="213">
        <v>116.23</v>
      </c>
      <c r="J148" s="213">
        <v>113.03</v>
      </c>
      <c r="K148" s="213">
        <v>114.63</v>
      </c>
      <c r="L148" s="213">
        <v>202.77</v>
      </c>
      <c r="M148" s="213">
        <v>194.77</v>
      </c>
      <c r="N148" s="213">
        <v>198.77</v>
      </c>
      <c r="O148" s="213">
        <v>172.46</v>
      </c>
      <c r="P148" s="213">
        <v>170.66</v>
      </c>
      <c r="Q148" s="213">
        <v>171.56</v>
      </c>
      <c r="R148" s="213">
        <v>23.05</v>
      </c>
      <c r="S148" s="213">
        <v>22.45</v>
      </c>
      <c r="T148" s="213">
        <v>22.75</v>
      </c>
      <c r="U148" s="213">
        <v>14.96</v>
      </c>
      <c r="V148" s="213">
        <v>14.360000000000001</v>
      </c>
      <c r="W148" s="213">
        <v>14.66</v>
      </c>
      <c r="X148" s="213">
        <v>15.02</v>
      </c>
      <c r="Y148" s="213">
        <v>14.219999999999999</v>
      </c>
      <c r="Z148" s="213">
        <v>14.62</v>
      </c>
      <c r="AA148" s="213">
        <v>106.23</v>
      </c>
      <c r="AB148" s="213">
        <v>102.23</v>
      </c>
      <c r="AC148" s="213">
        <v>104.23</v>
      </c>
      <c r="AD148" s="213">
        <v>97.35</v>
      </c>
      <c r="AE148" s="213">
        <v>93.35</v>
      </c>
      <c r="AF148" s="213">
        <v>95.35</v>
      </c>
      <c r="AG148" s="213">
        <v>20.46</v>
      </c>
      <c r="AH148" s="213">
        <v>19.600000000000001</v>
      </c>
      <c r="AI148" s="213">
        <v>20.03</v>
      </c>
      <c r="AJ148" s="213"/>
      <c r="AK148" s="213"/>
      <c r="AL148" s="213"/>
      <c r="AM148" s="213">
        <v>116.91</v>
      </c>
      <c r="AN148" s="213">
        <v>115.25</v>
      </c>
      <c r="AO148" s="213">
        <v>116.08</v>
      </c>
      <c r="AP148" s="213">
        <v>42.55</v>
      </c>
      <c r="AQ148" s="213">
        <v>40.949999999999996</v>
      </c>
      <c r="AR148" s="213">
        <v>41.75</v>
      </c>
      <c r="AS148" s="213">
        <v>43.17</v>
      </c>
      <c r="AT148" s="213">
        <v>41.81</v>
      </c>
      <c r="AU148" s="213">
        <v>42.49</v>
      </c>
      <c r="AV148" s="213">
        <v>21.87</v>
      </c>
      <c r="AW148" s="213">
        <v>21.27</v>
      </c>
      <c r="AX148" s="213">
        <v>21.57</v>
      </c>
      <c r="AY148" s="213">
        <v>4.37</v>
      </c>
      <c r="AZ148" s="213">
        <v>4.21</v>
      </c>
      <c r="BA148" s="213">
        <v>4.29</v>
      </c>
      <c r="BB148" s="213">
        <v>2.04</v>
      </c>
      <c r="BC148" s="213">
        <v>1.74</v>
      </c>
      <c r="BD148" s="213">
        <v>1.8900000000000001</v>
      </c>
      <c r="BE148" s="213">
        <v>0.71</v>
      </c>
      <c r="BF148" s="213">
        <v>0.41</v>
      </c>
      <c r="BG148" s="213">
        <v>0.55999999999999994</v>
      </c>
      <c r="BH148" s="213">
        <v>518.38</v>
      </c>
      <c r="BI148" s="213">
        <v>502.38</v>
      </c>
      <c r="BJ148" s="213">
        <v>510.38</v>
      </c>
      <c r="BK148" s="213">
        <v>43.65</v>
      </c>
      <c r="BL148" s="213">
        <v>42.29</v>
      </c>
      <c r="BM148" s="213">
        <v>42.97</v>
      </c>
      <c r="BN148" s="213">
        <v>1.1000000000000001</v>
      </c>
      <c r="BO148" s="213">
        <v>0.8600000000000001</v>
      </c>
      <c r="BP148" s="213">
        <v>0.98000000000000009</v>
      </c>
      <c r="BQ148" s="213">
        <v>10.4</v>
      </c>
      <c r="BR148" s="213">
        <v>8.4</v>
      </c>
      <c r="BS148" s="213">
        <v>9.4</v>
      </c>
      <c r="BT148" s="213">
        <v>11.66</v>
      </c>
      <c r="BU148" s="213">
        <v>11.26</v>
      </c>
      <c r="BV148" s="213">
        <v>11.46</v>
      </c>
      <c r="BW148" s="213">
        <v>2.84</v>
      </c>
      <c r="BX148" s="213">
        <v>2.5599999999999996</v>
      </c>
      <c r="BY148" s="213">
        <v>2.6999999999999997</v>
      </c>
      <c r="BZ148" s="213">
        <v>10.15</v>
      </c>
      <c r="CA148" s="213">
        <v>7.15</v>
      </c>
      <c r="CB148" s="213">
        <v>8.65</v>
      </c>
      <c r="CC148" s="213">
        <v>6.99</v>
      </c>
      <c r="CD148" s="213">
        <v>6.75</v>
      </c>
      <c r="CE148" s="213">
        <v>6.87</v>
      </c>
      <c r="CF148" s="213">
        <v>1.98</v>
      </c>
      <c r="CG148" s="213">
        <v>1.48</v>
      </c>
      <c r="CH148" s="213">
        <v>1.73</v>
      </c>
      <c r="CI148" s="213">
        <v>0.46</v>
      </c>
      <c r="CJ148" s="213">
        <v>0.42000000000000004</v>
      </c>
      <c r="CK148" s="213">
        <v>0.44000000000000006</v>
      </c>
      <c r="CL148" s="213">
        <v>41.15</v>
      </c>
      <c r="CM148" s="213">
        <v>38.75</v>
      </c>
      <c r="CN148" s="213">
        <v>39.950000000000003</v>
      </c>
      <c r="CO148" s="213">
        <v>7.36</v>
      </c>
      <c r="CP148" s="213">
        <v>2.3600000000000003</v>
      </c>
      <c r="CQ148" s="213">
        <v>4.8600000000000003</v>
      </c>
      <c r="CR148" s="213"/>
      <c r="CS148" s="213"/>
    </row>
    <row r="149" spans="1:97">
      <c r="A149" s="424">
        <v>45435</v>
      </c>
      <c r="B149" s="211" t="s">
        <v>250</v>
      </c>
      <c r="C149" s="213">
        <v>157.91999999999999</v>
      </c>
      <c r="D149" s="213">
        <v>155.91999999999999</v>
      </c>
      <c r="E149" s="213">
        <v>156.91999999999999</v>
      </c>
      <c r="F149" s="213">
        <v>171.37</v>
      </c>
      <c r="G149" s="213">
        <v>168.37</v>
      </c>
      <c r="H149" s="213">
        <v>169.87</v>
      </c>
      <c r="I149" s="213">
        <v>116.23</v>
      </c>
      <c r="J149" s="213">
        <v>113.03</v>
      </c>
      <c r="K149" s="213">
        <v>114.63</v>
      </c>
      <c r="L149" s="213">
        <v>203.63</v>
      </c>
      <c r="M149" s="213">
        <v>195.63</v>
      </c>
      <c r="N149" s="213">
        <v>199.63</v>
      </c>
      <c r="O149" s="213">
        <v>172.32</v>
      </c>
      <c r="P149" s="213">
        <v>170.51999999999998</v>
      </c>
      <c r="Q149" s="213">
        <v>171.42</v>
      </c>
      <c r="R149" s="213">
        <v>23.06</v>
      </c>
      <c r="S149" s="213">
        <v>22.459999999999997</v>
      </c>
      <c r="T149" s="213">
        <v>22.759999999999998</v>
      </c>
      <c r="U149" s="213">
        <v>14.96</v>
      </c>
      <c r="V149" s="213">
        <v>14.360000000000001</v>
      </c>
      <c r="W149" s="213">
        <v>14.66</v>
      </c>
      <c r="X149" s="213">
        <v>15.02</v>
      </c>
      <c r="Y149" s="213">
        <v>14.219999999999999</v>
      </c>
      <c r="Z149" s="213">
        <v>14.62</v>
      </c>
      <c r="AA149" s="213">
        <v>105.9</v>
      </c>
      <c r="AB149" s="213">
        <v>101.9</v>
      </c>
      <c r="AC149" s="213">
        <v>103.9</v>
      </c>
      <c r="AD149" s="213">
        <v>97.82</v>
      </c>
      <c r="AE149" s="213">
        <v>93.82</v>
      </c>
      <c r="AF149" s="213">
        <v>95.82</v>
      </c>
      <c r="AG149" s="213">
        <v>20.53</v>
      </c>
      <c r="AH149" s="213">
        <v>19.670000000000002</v>
      </c>
      <c r="AI149" s="213">
        <v>20.100000000000001</v>
      </c>
      <c r="AJ149" s="213"/>
      <c r="AK149" s="213"/>
      <c r="AL149" s="213"/>
      <c r="AM149" s="213">
        <v>117.03</v>
      </c>
      <c r="AN149" s="213">
        <v>115.37</v>
      </c>
      <c r="AO149" s="213">
        <v>116.2</v>
      </c>
      <c r="AP149" s="213">
        <v>42.71</v>
      </c>
      <c r="AQ149" s="213">
        <v>41.11</v>
      </c>
      <c r="AR149" s="213">
        <v>41.91</v>
      </c>
      <c r="AS149" s="213">
        <v>43.47</v>
      </c>
      <c r="AT149" s="213">
        <v>42.11</v>
      </c>
      <c r="AU149" s="213">
        <v>42.79</v>
      </c>
      <c r="AV149" s="213">
        <v>21.93</v>
      </c>
      <c r="AW149" s="213">
        <v>21.33</v>
      </c>
      <c r="AX149" s="213">
        <v>21.63</v>
      </c>
      <c r="AY149" s="213">
        <v>4.3899999999999997</v>
      </c>
      <c r="AZ149" s="213">
        <v>4.2299999999999995</v>
      </c>
      <c r="BA149" s="213">
        <v>4.3099999999999996</v>
      </c>
      <c r="BB149" s="213">
        <v>2.0499999999999998</v>
      </c>
      <c r="BC149" s="213">
        <v>1.7499999999999998</v>
      </c>
      <c r="BD149" s="213">
        <v>1.9</v>
      </c>
      <c r="BE149" s="213">
        <v>0.72</v>
      </c>
      <c r="BF149" s="213">
        <v>0.42</v>
      </c>
      <c r="BG149" s="213">
        <v>0.56999999999999995</v>
      </c>
      <c r="BH149" s="213">
        <v>520.30999999999995</v>
      </c>
      <c r="BI149" s="213">
        <v>504.30999999999995</v>
      </c>
      <c r="BJ149" s="213">
        <v>512.30999999999995</v>
      </c>
      <c r="BK149" s="213">
        <v>43.81</v>
      </c>
      <c r="BL149" s="213">
        <v>42.45</v>
      </c>
      <c r="BM149" s="213">
        <v>43.13</v>
      </c>
      <c r="BN149" s="213">
        <v>1.1100000000000001</v>
      </c>
      <c r="BO149" s="213">
        <v>0.87000000000000011</v>
      </c>
      <c r="BP149" s="213">
        <v>0.9900000000000001</v>
      </c>
      <c r="BQ149" s="213">
        <v>10.42</v>
      </c>
      <c r="BR149" s="213">
        <v>8.42</v>
      </c>
      <c r="BS149" s="213">
        <v>9.42</v>
      </c>
      <c r="BT149" s="213">
        <v>11.72</v>
      </c>
      <c r="BU149" s="213">
        <v>11.32</v>
      </c>
      <c r="BV149" s="213">
        <v>11.52</v>
      </c>
      <c r="BW149" s="213">
        <v>2.86</v>
      </c>
      <c r="BX149" s="213">
        <v>2.58</v>
      </c>
      <c r="BY149" s="213">
        <v>2.7199999999999998</v>
      </c>
      <c r="BZ149" s="213">
        <v>10.08</v>
      </c>
      <c r="CA149" s="213">
        <v>7.08</v>
      </c>
      <c r="CB149" s="213">
        <v>8.58</v>
      </c>
      <c r="CC149" s="213">
        <v>7</v>
      </c>
      <c r="CD149" s="213">
        <v>6.76</v>
      </c>
      <c r="CE149" s="213">
        <v>6.88</v>
      </c>
      <c r="CF149" s="213">
        <v>1.99</v>
      </c>
      <c r="CG149" s="213">
        <v>1.49</v>
      </c>
      <c r="CH149" s="213">
        <v>1.74</v>
      </c>
      <c r="CI149" s="213">
        <v>0.46</v>
      </c>
      <c r="CJ149" s="213">
        <v>0.42000000000000004</v>
      </c>
      <c r="CK149" s="213">
        <v>0.44000000000000006</v>
      </c>
      <c r="CL149" s="213">
        <v>41.06</v>
      </c>
      <c r="CM149" s="213">
        <v>38.660000000000004</v>
      </c>
      <c r="CN149" s="213">
        <v>39.86</v>
      </c>
      <c r="CO149" s="213">
        <v>7.38</v>
      </c>
      <c r="CP149" s="213">
        <v>2.38</v>
      </c>
      <c r="CQ149" s="213">
        <v>4.88</v>
      </c>
      <c r="CR149" s="213"/>
      <c r="CS149" s="213"/>
    </row>
    <row r="150" spans="1:97">
      <c r="A150" s="424">
        <v>45436</v>
      </c>
      <c r="B150" s="211" t="s">
        <v>251</v>
      </c>
      <c r="C150" s="213">
        <v>158.16</v>
      </c>
      <c r="D150" s="213">
        <v>156.16</v>
      </c>
      <c r="E150" s="213">
        <v>157.16</v>
      </c>
      <c r="F150" s="213">
        <v>171.42</v>
      </c>
      <c r="G150" s="213">
        <v>168.42</v>
      </c>
      <c r="H150" s="213">
        <v>169.92</v>
      </c>
      <c r="I150" s="213">
        <v>116.04</v>
      </c>
      <c r="J150" s="213">
        <v>112.84</v>
      </c>
      <c r="K150" s="213">
        <v>114.44</v>
      </c>
      <c r="L150" s="213">
        <v>203.53</v>
      </c>
      <c r="M150" s="213">
        <v>195.53</v>
      </c>
      <c r="N150" s="213">
        <v>199.53</v>
      </c>
      <c r="O150" s="213">
        <v>172.68</v>
      </c>
      <c r="P150" s="213">
        <v>170.88</v>
      </c>
      <c r="Q150" s="213">
        <v>171.78</v>
      </c>
      <c r="R150" s="213">
        <v>23.07</v>
      </c>
      <c r="S150" s="213">
        <v>22.47</v>
      </c>
      <c r="T150" s="213">
        <v>22.77</v>
      </c>
      <c r="U150" s="213">
        <v>15.03</v>
      </c>
      <c r="V150" s="213">
        <v>14.43</v>
      </c>
      <c r="W150" s="213">
        <v>14.73</v>
      </c>
      <c r="X150" s="213">
        <v>15.04</v>
      </c>
      <c r="Y150" s="213">
        <v>14.239999999999998</v>
      </c>
      <c r="Z150" s="213">
        <v>14.639999999999999</v>
      </c>
      <c r="AA150" s="213">
        <v>105.76</v>
      </c>
      <c r="AB150" s="213">
        <v>101.76</v>
      </c>
      <c r="AC150" s="213">
        <v>103.76</v>
      </c>
      <c r="AD150" s="213">
        <v>97.76</v>
      </c>
      <c r="AE150" s="213">
        <v>93.76</v>
      </c>
      <c r="AF150" s="213">
        <v>95.76</v>
      </c>
      <c r="AG150" s="213">
        <v>20.55</v>
      </c>
      <c r="AH150" s="213">
        <v>19.690000000000001</v>
      </c>
      <c r="AI150" s="213">
        <v>20.12</v>
      </c>
      <c r="AJ150" s="213"/>
      <c r="AK150" s="213"/>
      <c r="AL150" s="213"/>
      <c r="AM150" s="213">
        <v>117.08</v>
      </c>
      <c r="AN150" s="213">
        <v>115.42</v>
      </c>
      <c r="AO150" s="213">
        <v>116.25</v>
      </c>
      <c r="AP150" s="213">
        <v>42.78</v>
      </c>
      <c r="AQ150" s="213">
        <v>41.18</v>
      </c>
      <c r="AR150" s="213">
        <v>41.980000000000004</v>
      </c>
      <c r="AS150" s="213">
        <v>43.55</v>
      </c>
      <c r="AT150" s="213">
        <v>42.19</v>
      </c>
      <c r="AU150" s="213">
        <v>42.87</v>
      </c>
      <c r="AV150" s="213">
        <v>21.95</v>
      </c>
      <c r="AW150" s="213">
        <v>21.349999999999998</v>
      </c>
      <c r="AX150" s="213">
        <v>21.65</v>
      </c>
      <c r="AY150" s="213">
        <v>4.38</v>
      </c>
      <c r="AZ150" s="213">
        <v>4.22</v>
      </c>
      <c r="BA150" s="213">
        <v>4.3</v>
      </c>
      <c r="BB150" s="213">
        <v>2.0499999999999998</v>
      </c>
      <c r="BC150" s="213">
        <v>1.7499999999999998</v>
      </c>
      <c r="BD150" s="213">
        <v>1.9</v>
      </c>
      <c r="BE150" s="213">
        <v>0.72</v>
      </c>
      <c r="BF150" s="213">
        <v>0.42</v>
      </c>
      <c r="BG150" s="213">
        <v>0.56999999999999995</v>
      </c>
      <c r="BH150" s="213">
        <v>520.91999999999996</v>
      </c>
      <c r="BI150" s="213">
        <v>504.91999999999996</v>
      </c>
      <c r="BJ150" s="213">
        <v>512.91999999999996</v>
      </c>
      <c r="BK150" s="213">
        <v>43.88</v>
      </c>
      <c r="BL150" s="213">
        <v>42.52</v>
      </c>
      <c r="BM150" s="213">
        <v>43.2</v>
      </c>
      <c r="BN150" s="213">
        <v>1.1100000000000001</v>
      </c>
      <c r="BO150" s="213">
        <v>0.87000000000000011</v>
      </c>
      <c r="BP150" s="213">
        <v>0.9900000000000001</v>
      </c>
      <c r="BQ150" s="213">
        <v>10.4</v>
      </c>
      <c r="BR150" s="213">
        <v>8.4</v>
      </c>
      <c r="BS150" s="213">
        <v>9.4</v>
      </c>
      <c r="BT150" s="213">
        <v>11.69</v>
      </c>
      <c r="BU150" s="213">
        <v>11.29</v>
      </c>
      <c r="BV150" s="213">
        <v>11.489999999999998</v>
      </c>
      <c r="BW150" s="213">
        <v>2.86</v>
      </c>
      <c r="BX150" s="213">
        <v>2.58</v>
      </c>
      <c r="BY150" s="213">
        <v>2.7199999999999998</v>
      </c>
      <c r="BZ150" s="213">
        <v>10.01</v>
      </c>
      <c r="CA150" s="213">
        <v>7.01</v>
      </c>
      <c r="CB150" s="213">
        <v>8.51</v>
      </c>
      <c r="CC150" s="213">
        <v>6.99</v>
      </c>
      <c r="CD150" s="213">
        <v>6.75</v>
      </c>
      <c r="CE150" s="213">
        <v>6.87</v>
      </c>
      <c r="CF150" s="213">
        <v>1.97</v>
      </c>
      <c r="CG150" s="213">
        <v>1.47</v>
      </c>
      <c r="CH150" s="213">
        <v>1.72</v>
      </c>
      <c r="CI150" s="213">
        <v>0.46</v>
      </c>
      <c r="CJ150" s="213">
        <v>0.42000000000000004</v>
      </c>
      <c r="CK150" s="213">
        <v>0.44000000000000006</v>
      </c>
      <c r="CL150" s="213">
        <v>41.08</v>
      </c>
      <c r="CM150" s="213">
        <v>38.68</v>
      </c>
      <c r="CN150" s="213">
        <v>39.879999999999995</v>
      </c>
      <c r="CO150" s="213">
        <v>7.4</v>
      </c>
      <c r="CP150" s="213">
        <v>2.4000000000000004</v>
      </c>
      <c r="CQ150" s="213">
        <v>4.9000000000000004</v>
      </c>
      <c r="CR150" s="213"/>
      <c r="CS150" s="213"/>
    </row>
    <row r="151" spans="1:97">
      <c r="A151" s="424">
        <v>45437</v>
      </c>
      <c r="B151" s="211" t="s">
        <v>252</v>
      </c>
      <c r="C151" s="213"/>
      <c r="D151" s="213"/>
      <c r="E151" s="213"/>
      <c r="F151" s="213"/>
      <c r="G151" s="213"/>
      <c r="H151" s="213"/>
      <c r="I151" s="213"/>
      <c r="J151" s="213"/>
      <c r="K151" s="213"/>
      <c r="L151" s="213"/>
      <c r="M151" s="213"/>
      <c r="N151" s="213"/>
      <c r="O151" s="213"/>
      <c r="P151" s="213"/>
      <c r="Q151" s="213"/>
      <c r="R151" s="213"/>
      <c r="S151" s="213"/>
      <c r="T151" s="213"/>
      <c r="U151" s="213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3"/>
      <c r="AP151" s="213"/>
      <c r="AQ151" s="213"/>
      <c r="AR151" s="213"/>
      <c r="AS151" s="213"/>
      <c r="AT151" s="213"/>
      <c r="AU151" s="213"/>
      <c r="AV151" s="213"/>
      <c r="AW151" s="213"/>
      <c r="AX151" s="213"/>
      <c r="AY151" s="213"/>
      <c r="AZ151" s="213"/>
      <c r="BA151" s="213"/>
      <c r="BB151" s="213"/>
      <c r="BC151" s="213"/>
      <c r="BD151" s="213"/>
      <c r="BE151" s="213"/>
      <c r="BF151" s="213"/>
      <c r="BG151" s="213"/>
      <c r="BH151" s="213"/>
      <c r="BI151" s="213"/>
      <c r="BJ151" s="213"/>
      <c r="BK151" s="213"/>
      <c r="BL151" s="213"/>
      <c r="BM151" s="213"/>
      <c r="BN151" s="213"/>
      <c r="BO151" s="213"/>
      <c r="BP151" s="213"/>
      <c r="BQ151" s="213"/>
      <c r="BR151" s="213"/>
      <c r="BS151" s="213"/>
      <c r="BT151" s="213"/>
      <c r="BU151" s="213"/>
      <c r="BV151" s="213"/>
      <c r="BW151" s="213"/>
      <c r="BX151" s="213"/>
      <c r="BY151" s="213"/>
      <c r="BZ151" s="213"/>
      <c r="CA151" s="213"/>
      <c r="CB151" s="213"/>
      <c r="CC151" s="213"/>
      <c r="CD151" s="213"/>
      <c r="CE151" s="213"/>
      <c r="CF151" s="213"/>
      <c r="CG151" s="213"/>
      <c r="CH151" s="213"/>
      <c r="CI151" s="213"/>
      <c r="CJ151" s="213"/>
      <c r="CK151" s="213"/>
      <c r="CL151" s="213"/>
      <c r="CM151" s="213"/>
      <c r="CN151" s="213"/>
      <c r="CO151" s="213"/>
      <c r="CP151" s="213"/>
      <c r="CQ151" s="213"/>
      <c r="CR151" s="213"/>
      <c r="CS151" s="213"/>
    </row>
    <row r="152" spans="1:97">
      <c r="A152" s="424">
        <v>45438</v>
      </c>
      <c r="B152" s="211" t="s">
        <v>253</v>
      </c>
      <c r="C152" s="213"/>
      <c r="D152" s="213"/>
      <c r="E152" s="213"/>
      <c r="F152" s="213"/>
      <c r="G152" s="213"/>
      <c r="H152" s="213"/>
      <c r="I152" s="213"/>
      <c r="J152" s="213"/>
      <c r="K152" s="213"/>
      <c r="L152" s="213"/>
      <c r="M152" s="213"/>
      <c r="N152" s="213"/>
      <c r="O152" s="213"/>
      <c r="P152" s="213"/>
      <c r="Q152" s="213"/>
      <c r="R152" s="213"/>
      <c r="S152" s="213"/>
      <c r="T152" s="213"/>
      <c r="U152" s="213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3"/>
      <c r="AP152" s="213"/>
      <c r="AQ152" s="213"/>
      <c r="AR152" s="213"/>
      <c r="AS152" s="213"/>
      <c r="AT152" s="213"/>
      <c r="AU152" s="213"/>
      <c r="AV152" s="213"/>
      <c r="AW152" s="213"/>
      <c r="AX152" s="213"/>
      <c r="AY152" s="213"/>
      <c r="AZ152" s="213"/>
      <c r="BA152" s="213"/>
      <c r="BB152" s="213"/>
      <c r="BC152" s="213"/>
      <c r="BD152" s="213"/>
      <c r="BE152" s="213"/>
      <c r="BF152" s="213"/>
      <c r="BG152" s="213"/>
      <c r="BH152" s="213"/>
      <c r="BI152" s="213"/>
      <c r="BJ152" s="213"/>
      <c r="BK152" s="213"/>
      <c r="BL152" s="213"/>
      <c r="BM152" s="213"/>
      <c r="BN152" s="213"/>
      <c r="BO152" s="213"/>
      <c r="BP152" s="213"/>
      <c r="BQ152" s="213"/>
      <c r="BR152" s="213"/>
      <c r="BS152" s="213"/>
      <c r="BT152" s="213"/>
      <c r="BU152" s="213"/>
      <c r="BV152" s="213"/>
      <c r="BW152" s="213"/>
      <c r="BX152" s="213"/>
      <c r="BY152" s="213"/>
      <c r="BZ152" s="213"/>
      <c r="CA152" s="213"/>
      <c r="CB152" s="213"/>
      <c r="CC152" s="213"/>
      <c r="CD152" s="213"/>
      <c r="CE152" s="213"/>
      <c r="CF152" s="213"/>
      <c r="CG152" s="213"/>
      <c r="CH152" s="213"/>
      <c r="CI152" s="213"/>
      <c r="CJ152" s="213"/>
      <c r="CK152" s="213"/>
      <c r="CL152" s="213"/>
      <c r="CM152" s="213"/>
      <c r="CN152" s="213"/>
      <c r="CO152" s="213"/>
      <c r="CP152" s="213"/>
      <c r="CQ152" s="213"/>
      <c r="CR152" s="213"/>
      <c r="CS152" s="213"/>
    </row>
    <row r="153" spans="1:97">
      <c r="A153" s="424">
        <v>45439</v>
      </c>
      <c r="B153" s="211" t="s">
        <v>247</v>
      </c>
      <c r="C153" s="213">
        <v>157.87</v>
      </c>
      <c r="D153" s="213">
        <v>155.87</v>
      </c>
      <c r="E153" s="213">
        <v>156.87</v>
      </c>
      <c r="F153" s="213">
        <v>171.67</v>
      </c>
      <c r="G153" s="213">
        <v>168.67</v>
      </c>
      <c r="H153" s="213">
        <v>170.17</v>
      </c>
      <c r="I153" s="213">
        <v>116.36</v>
      </c>
      <c r="J153" s="213">
        <v>113.16</v>
      </c>
      <c r="K153" s="213">
        <v>114.75999999999999</v>
      </c>
      <c r="L153" s="213">
        <v>203.84</v>
      </c>
      <c r="M153" s="213">
        <v>195.84</v>
      </c>
      <c r="N153" s="213">
        <v>199.84</v>
      </c>
      <c r="O153" s="213">
        <v>172.4</v>
      </c>
      <c r="P153" s="213">
        <v>170.6</v>
      </c>
      <c r="Q153" s="213">
        <v>171.5</v>
      </c>
      <c r="R153" s="213">
        <v>23.11</v>
      </c>
      <c r="S153" s="213">
        <v>22.509999999999998</v>
      </c>
      <c r="T153" s="213">
        <v>22.81</v>
      </c>
      <c r="U153" s="213">
        <v>15.11</v>
      </c>
      <c r="V153" s="213">
        <v>14.51</v>
      </c>
      <c r="W153" s="213">
        <v>14.809999999999999</v>
      </c>
      <c r="X153" s="213">
        <v>15.1</v>
      </c>
      <c r="Y153" s="213">
        <v>14.299999999999999</v>
      </c>
      <c r="Z153" s="213">
        <v>14.7</v>
      </c>
      <c r="AA153" s="213">
        <v>105.94</v>
      </c>
      <c r="AB153" s="213">
        <v>101.94</v>
      </c>
      <c r="AC153" s="213">
        <v>103.94</v>
      </c>
      <c r="AD153" s="213">
        <v>98.05</v>
      </c>
      <c r="AE153" s="213">
        <v>94.05</v>
      </c>
      <c r="AF153" s="213">
        <v>96.05</v>
      </c>
      <c r="AG153" s="213">
        <v>20.51</v>
      </c>
      <c r="AH153" s="213">
        <v>19.650000000000002</v>
      </c>
      <c r="AI153" s="213">
        <v>20.080000000000002</v>
      </c>
      <c r="AJ153" s="213"/>
      <c r="AK153" s="213"/>
      <c r="AL153" s="213"/>
      <c r="AM153" s="213">
        <v>117.07</v>
      </c>
      <c r="AN153" s="213">
        <v>115.41</v>
      </c>
      <c r="AO153" s="213">
        <v>116.24</v>
      </c>
      <c r="AP153" s="213">
        <v>42.57</v>
      </c>
      <c r="AQ153" s="213">
        <v>40.97</v>
      </c>
      <c r="AR153" s="213">
        <v>41.769999999999996</v>
      </c>
      <c r="AS153" s="213">
        <v>43.46</v>
      </c>
      <c r="AT153" s="213">
        <v>42.1</v>
      </c>
      <c r="AU153" s="213">
        <v>42.78</v>
      </c>
      <c r="AV153" s="213">
        <v>21.9</v>
      </c>
      <c r="AW153" s="213">
        <v>21.299999999999997</v>
      </c>
      <c r="AX153" s="213">
        <v>21.599999999999998</v>
      </c>
      <c r="AY153" s="213">
        <v>4.3600000000000003</v>
      </c>
      <c r="AZ153" s="213">
        <v>4.2</v>
      </c>
      <c r="BA153" s="213">
        <v>4.28</v>
      </c>
      <c r="BB153" s="213">
        <v>2.0499999999999998</v>
      </c>
      <c r="BC153" s="213">
        <v>1.7499999999999998</v>
      </c>
      <c r="BD153" s="213">
        <v>1.9</v>
      </c>
      <c r="BE153" s="213">
        <v>0.72</v>
      </c>
      <c r="BF153" s="213">
        <v>0.42</v>
      </c>
      <c r="BG153" s="213">
        <v>0.56999999999999995</v>
      </c>
      <c r="BH153" s="213">
        <v>519.98</v>
      </c>
      <c r="BI153" s="213">
        <v>503.98</v>
      </c>
      <c r="BJ153" s="213">
        <v>511.98</v>
      </c>
      <c r="BK153" s="213">
        <v>43.79</v>
      </c>
      <c r="BL153" s="213">
        <v>42.43</v>
      </c>
      <c r="BM153" s="213">
        <v>43.11</v>
      </c>
      <c r="BN153" s="213">
        <v>1.1000000000000001</v>
      </c>
      <c r="BO153" s="213">
        <v>0.8600000000000001</v>
      </c>
      <c r="BP153" s="213">
        <v>0.98000000000000009</v>
      </c>
      <c r="BQ153" s="213">
        <v>10.4</v>
      </c>
      <c r="BR153" s="213">
        <v>8.4</v>
      </c>
      <c r="BS153" s="213">
        <v>9.4</v>
      </c>
      <c r="BT153" s="213">
        <v>11.69</v>
      </c>
      <c r="BU153" s="213">
        <v>11.29</v>
      </c>
      <c r="BV153" s="213">
        <v>11.489999999999998</v>
      </c>
      <c r="BW153" s="213">
        <v>2.85</v>
      </c>
      <c r="BX153" s="213">
        <v>2.5700000000000003</v>
      </c>
      <c r="BY153" s="213">
        <v>2.71</v>
      </c>
      <c r="BZ153" s="213">
        <v>10</v>
      </c>
      <c r="CA153" s="213">
        <v>7</v>
      </c>
      <c r="CB153" s="213">
        <v>8.5</v>
      </c>
      <c r="CC153" s="213">
        <v>7.04</v>
      </c>
      <c r="CD153" s="213">
        <v>6.8</v>
      </c>
      <c r="CE153" s="213">
        <v>6.92</v>
      </c>
      <c r="CF153" s="213">
        <v>2</v>
      </c>
      <c r="CG153" s="213">
        <v>1.5</v>
      </c>
      <c r="CH153" s="213">
        <v>1.75</v>
      </c>
      <c r="CI153" s="213">
        <v>0.46</v>
      </c>
      <c r="CJ153" s="213">
        <v>0.42000000000000004</v>
      </c>
      <c r="CK153" s="213">
        <v>0.44000000000000006</v>
      </c>
      <c r="CL153" s="213">
        <v>41.23</v>
      </c>
      <c r="CM153" s="213">
        <v>38.83</v>
      </c>
      <c r="CN153" s="213">
        <v>40.03</v>
      </c>
      <c r="CO153" s="213">
        <v>7.38</v>
      </c>
      <c r="CP153" s="213">
        <v>2.38</v>
      </c>
      <c r="CQ153" s="213">
        <v>4.88</v>
      </c>
      <c r="CR153" s="213"/>
      <c r="CS153" s="213"/>
    </row>
    <row r="154" spans="1:97">
      <c r="A154" s="424">
        <v>45440</v>
      </c>
      <c r="B154" s="211" t="s">
        <v>248</v>
      </c>
      <c r="C154" s="213">
        <v>157.94</v>
      </c>
      <c r="D154" s="213">
        <v>155.94</v>
      </c>
      <c r="E154" s="213">
        <v>156.94</v>
      </c>
      <c r="F154" s="213">
        <v>172.08</v>
      </c>
      <c r="G154" s="213">
        <v>169.08</v>
      </c>
      <c r="H154" s="213">
        <v>170.58</v>
      </c>
      <c r="I154" s="213">
        <v>116.77</v>
      </c>
      <c r="J154" s="213">
        <v>113.57</v>
      </c>
      <c r="K154" s="213">
        <v>115.16999999999999</v>
      </c>
      <c r="L154" s="213">
        <v>204.49</v>
      </c>
      <c r="M154" s="213">
        <v>196.49</v>
      </c>
      <c r="N154" s="213">
        <v>200.49</v>
      </c>
      <c r="O154" s="213">
        <v>172.81</v>
      </c>
      <c r="P154" s="213">
        <v>171.01</v>
      </c>
      <c r="Q154" s="213">
        <v>171.91</v>
      </c>
      <c r="R154" s="213">
        <v>23.16</v>
      </c>
      <c r="S154" s="213">
        <v>22.56</v>
      </c>
      <c r="T154" s="213">
        <v>22.86</v>
      </c>
      <c r="U154" s="213">
        <v>15.26</v>
      </c>
      <c r="V154" s="213">
        <v>14.66</v>
      </c>
      <c r="W154" s="213">
        <v>14.96</v>
      </c>
      <c r="X154" s="213">
        <v>15.2</v>
      </c>
      <c r="Y154" s="213">
        <v>14.399999999999999</v>
      </c>
      <c r="Z154" s="213">
        <v>14.799999999999999</v>
      </c>
      <c r="AA154" s="213">
        <v>106.46</v>
      </c>
      <c r="AB154" s="213">
        <v>102.46</v>
      </c>
      <c r="AC154" s="213">
        <v>104.46</v>
      </c>
      <c r="AD154" s="213">
        <v>98.63</v>
      </c>
      <c r="AE154" s="213">
        <v>94.63</v>
      </c>
      <c r="AF154" s="213">
        <v>96.63</v>
      </c>
      <c r="AG154" s="213">
        <v>20.53</v>
      </c>
      <c r="AH154" s="213">
        <v>19.670000000000002</v>
      </c>
      <c r="AI154" s="213">
        <v>20.100000000000001</v>
      </c>
      <c r="AJ154" s="213"/>
      <c r="AK154" s="213"/>
      <c r="AL154" s="213"/>
      <c r="AM154" s="213">
        <v>117.22</v>
      </c>
      <c r="AN154" s="213">
        <v>115.56</v>
      </c>
      <c r="AO154" s="213">
        <v>116.39</v>
      </c>
      <c r="AP154" s="213">
        <v>42.71</v>
      </c>
      <c r="AQ154" s="213">
        <v>41.11</v>
      </c>
      <c r="AR154" s="213">
        <v>41.91</v>
      </c>
      <c r="AS154" s="213">
        <v>43.48</v>
      </c>
      <c r="AT154" s="213">
        <v>42.12</v>
      </c>
      <c r="AU154" s="213">
        <v>42.8</v>
      </c>
      <c r="AV154" s="213">
        <v>21.91</v>
      </c>
      <c r="AW154" s="213">
        <v>21.31</v>
      </c>
      <c r="AX154" s="213">
        <v>21.61</v>
      </c>
      <c r="AY154" s="213">
        <v>4.37</v>
      </c>
      <c r="AZ154" s="213">
        <v>4.21</v>
      </c>
      <c r="BA154" s="213">
        <v>4.29</v>
      </c>
      <c r="BB154" s="213">
        <v>2.0499999999999998</v>
      </c>
      <c r="BC154" s="213">
        <v>1.7499999999999998</v>
      </c>
      <c r="BD154" s="213">
        <v>1.9</v>
      </c>
      <c r="BE154" s="213">
        <v>0.72</v>
      </c>
      <c r="BF154" s="213">
        <v>0.42</v>
      </c>
      <c r="BG154" s="213">
        <v>0.56999999999999995</v>
      </c>
      <c r="BH154" s="213">
        <v>520.54</v>
      </c>
      <c r="BI154" s="213">
        <v>504.53999999999996</v>
      </c>
      <c r="BJ154" s="213">
        <v>512.54</v>
      </c>
      <c r="BK154" s="213">
        <v>43.69</v>
      </c>
      <c r="BL154" s="213">
        <v>42.33</v>
      </c>
      <c r="BM154" s="213">
        <v>43.01</v>
      </c>
      <c r="BN154" s="213">
        <v>1.1000000000000001</v>
      </c>
      <c r="BO154" s="213">
        <v>0.8600000000000001</v>
      </c>
      <c r="BP154" s="213">
        <v>0.98000000000000009</v>
      </c>
      <c r="BQ154" s="213">
        <v>10.41</v>
      </c>
      <c r="BR154" s="213">
        <v>8.41</v>
      </c>
      <c r="BS154" s="213">
        <v>9.41</v>
      </c>
      <c r="BT154" s="213">
        <v>11.74</v>
      </c>
      <c r="BU154" s="213">
        <v>11.34</v>
      </c>
      <c r="BV154" s="213">
        <v>11.54</v>
      </c>
      <c r="BW154" s="213">
        <v>2.86</v>
      </c>
      <c r="BX154" s="213">
        <v>2.58</v>
      </c>
      <c r="BY154" s="213">
        <v>2.7199999999999998</v>
      </c>
      <c r="BZ154" s="213">
        <v>10.039999999999999</v>
      </c>
      <c r="CA154" s="213">
        <v>7.0399999999999991</v>
      </c>
      <c r="CB154" s="213">
        <v>8.5399999999999991</v>
      </c>
      <c r="CC154" s="213">
        <v>7.03</v>
      </c>
      <c r="CD154" s="213">
        <v>6.79</v>
      </c>
      <c r="CE154" s="213">
        <v>6.91</v>
      </c>
      <c r="CF154" s="213">
        <v>2.02</v>
      </c>
      <c r="CG154" s="213">
        <v>1.52</v>
      </c>
      <c r="CH154" s="213">
        <v>1.77</v>
      </c>
      <c r="CI154" s="213">
        <v>0.46</v>
      </c>
      <c r="CJ154" s="213">
        <v>0.42000000000000004</v>
      </c>
      <c r="CK154" s="213">
        <v>0.44000000000000006</v>
      </c>
      <c r="CL154" s="213">
        <v>41.25</v>
      </c>
      <c r="CM154" s="213">
        <v>38.85</v>
      </c>
      <c r="CN154" s="213">
        <v>40.049999999999997</v>
      </c>
      <c r="CO154" s="213">
        <v>7.37</v>
      </c>
      <c r="CP154" s="213">
        <v>2.37</v>
      </c>
      <c r="CQ154" s="213">
        <v>4.87</v>
      </c>
      <c r="CR154" s="213"/>
      <c r="CS154" s="213"/>
    </row>
    <row r="155" spans="1:97">
      <c r="A155" s="424">
        <v>45441</v>
      </c>
      <c r="B155" s="211" t="s">
        <v>249</v>
      </c>
      <c r="C155" s="213">
        <v>158.4</v>
      </c>
      <c r="D155" s="213">
        <v>156.4</v>
      </c>
      <c r="E155" s="213">
        <v>157.4</v>
      </c>
      <c r="F155" s="213">
        <v>172.29</v>
      </c>
      <c r="G155" s="213">
        <v>169.29</v>
      </c>
      <c r="H155" s="213">
        <v>170.79</v>
      </c>
      <c r="I155" s="213">
        <v>116.86</v>
      </c>
      <c r="J155" s="213">
        <v>113.66</v>
      </c>
      <c r="K155" s="213">
        <v>115.25999999999999</v>
      </c>
      <c r="L155" s="213">
        <v>204.78</v>
      </c>
      <c r="M155" s="213">
        <v>196.78</v>
      </c>
      <c r="N155" s="213">
        <v>200.78</v>
      </c>
      <c r="O155" s="213">
        <v>173.37</v>
      </c>
      <c r="P155" s="213">
        <v>171.57</v>
      </c>
      <c r="Q155" s="213">
        <v>172.47</v>
      </c>
      <c r="R155" s="213">
        <v>23.19</v>
      </c>
      <c r="S155" s="213">
        <v>22.59</v>
      </c>
      <c r="T155" s="213">
        <v>22.89</v>
      </c>
      <c r="U155" s="213">
        <v>15.27</v>
      </c>
      <c r="V155" s="213">
        <v>14.67</v>
      </c>
      <c r="W155" s="213">
        <v>14.969999999999999</v>
      </c>
      <c r="X155" s="213">
        <v>15.26</v>
      </c>
      <c r="Y155" s="213">
        <v>14.459999999999999</v>
      </c>
      <c r="Z155" s="213">
        <v>14.86</v>
      </c>
      <c r="AA155" s="213">
        <v>106.53</v>
      </c>
      <c r="AB155" s="213">
        <v>102.53</v>
      </c>
      <c r="AC155" s="213">
        <v>104.53</v>
      </c>
      <c r="AD155" s="213">
        <v>98.55</v>
      </c>
      <c r="AE155" s="213">
        <v>94.55</v>
      </c>
      <c r="AF155" s="213">
        <v>96.55</v>
      </c>
      <c r="AG155" s="213">
        <v>20.58</v>
      </c>
      <c r="AH155" s="213">
        <v>19.72</v>
      </c>
      <c r="AI155" s="213">
        <v>20.149999999999999</v>
      </c>
      <c r="AJ155" s="213"/>
      <c r="AK155" s="213"/>
      <c r="AL155" s="213"/>
      <c r="AM155" s="213">
        <v>117.49</v>
      </c>
      <c r="AN155" s="213">
        <v>115.83</v>
      </c>
      <c r="AO155" s="213">
        <v>116.66</v>
      </c>
      <c r="AP155" s="213">
        <v>42.84</v>
      </c>
      <c r="AQ155" s="213">
        <v>41.24</v>
      </c>
      <c r="AR155" s="213">
        <v>42.040000000000006</v>
      </c>
      <c r="AS155" s="213">
        <v>43.6</v>
      </c>
      <c r="AT155" s="213">
        <v>42.24</v>
      </c>
      <c r="AU155" s="213">
        <v>42.92</v>
      </c>
      <c r="AV155" s="213">
        <v>21.96</v>
      </c>
      <c r="AW155" s="213">
        <v>21.36</v>
      </c>
      <c r="AX155" s="213">
        <v>21.66</v>
      </c>
      <c r="AY155" s="213">
        <v>4.37</v>
      </c>
      <c r="AZ155" s="213">
        <v>4.21</v>
      </c>
      <c r="BA155" s="213">
        <v>4.29</v>
      </c>
      <c r="BB155" s="213">
        <v>2.0499999999999998</v>
      </c>
      <c r="BC155" s="213">
        <v>1.7499999999999998</v>
      </c>
      <c r="BD155" s="213">
        <v>1.9</v>
      </c>
      <c r="BE155" s="213">
        <v>0.72</v>
      </c>
      <c r="BF155" s="213">
        <v>0.42</v>
      </c>
      <c r="BG155" s="213">
        <v>0.56999999999999995</v>
      </c>
      <c r="BH155" s="213">
        <v>522.21</v>
      </c>
      <c r="BI155" s="213">
        <v>506.21000000000004</v>
      </c>
      <c r="BJ155" s="213">
        <v>514.21</v>
      </c>
      <c r="BK155" s="213">
        <v>43.95</v>
      </c>
      <c r="BL155" s="213">
        <v>42.59</v>
      </c>
      <c r="BM155" s="213">
        <v>43.27</v>
      </c>
      <c r="BN155" s="213">
        <v>1.1000000000000001</v>
      </c>
      <c r="BO155" s="213">
        <v>0.8600000000000001</v>
      </c>
      <c r="BP155" s="213">
        <v>0.98000000000000009</v>
      </c>
      <c r="BQ155" s="213">
        <v>10.37</v>
      </c>
      <c r="BR155" s="213">
        <v>8.3699999999999992</v>
      </c>
      <c r="BS155" s="213">
        <v>9.3699999999999992</v>
      </c>
      <c r="BT155" s="213">
        <v>11.74</v>
      </c>
      <c r="BU155" s="213">
        <v>11.34</v>
      </c>
      <c r="BV155" s="213">
        <v>11.54</v>
      </c>
      <c r="BW155" s="213">
        <v>2.88</v>
      </c>
      <c r="BX155" s="213">
        <v>2.5999999999999996</v>
      </c>
      <c r="BY155" s="213">
        <v>2.7399999999999998</v>
      </c>
      <c r="BZ155" s="213">
        <v>10.1</v>
      </c>
      <c r="CA155" s="213">
        <v>7.1</v>
      </c>
      <c r="CB155" s="213">
        <v>8.6</v>
      </c>
      <c r="CC155" s="213">
        <v>7.05</v>
      </c>
      <c r="CD155" s="213">
        <v>6.81</v>
      </c>
      <c r="CE155" s="213">
        <v>6.93</v>
      </c>
      <c r="CF155" s="213">
        <v>2.0299999999999998</v>
      </c>
      <c r="CG155" s="213">
        <v>1.5299999999999998</v>
      </c>
      <c r="CH155" s="213">
        <v>1.7799999999999998</v>
      </c>
      <c r="CI155" s="213">
        <v>0.46</v>
      </c>
      <c r="CJ155" s="213">
        <v>0.42000000000000004</v>
      </c>
      <c r="CK155" s="213">
        <v>0.44000000000000006</v>
      </c>
      <c r="CL155" s="213">
        <v>41.38</v>
      </c>
      <c r="CM155" s="213">
        <v>38.980000000000004</v>
      </c>
      <c r="CN155" s="213">
        <v>40.180000000000007</v>
      </c>
      <c r="CO155" s="213">
        <v>7.39</v>
      </c>
      <c r="CP155" s="213">
        <v>2.3899999999999997</v>
      </c>
      <c r="CQ155" s="213">
        <v>4.8899999999999997</v>
      </c>
      <c r="CR155" s="213"/>
      <c r="CS155" s="213"/>
    </row>
    <row r="156" spans="1:97">
      <c r="A156" s="424">
        <v>45442</v>
      </c>
      <c r="B156" s="211" t="s">
        <v>250</v>
      </c>
      <c r="C156" s="213">
        <v>158.62</v>
      </c>
      <c r="D156" s="213">
        <v>156.62</v>
      </c>
      <c r="E156" s="213">
        <v>157.62</v>
      </c>
      <c r="F156" s="213">
        <v>171.65</v>
      </c>
      <c r="G156" s="213">
        <v>168.65</v>
      </c>
      <c r="H156" s="213">
        <v>170.15</v>
      </c>
      <c r="I156" s="213">
        <v>116.48</v>
      </c>
      <c r="J156" s="213">
        <v>113.28</v>
      </c>
      <c r="K156" s="213">
        <v>114.88</v>
      </c>
      <c r="L156" s="213">
        <v>204.08</v>
      </c>
      <c r="M156" s="213">
        <v>196.08</v>
      </c>
      <c r="N156" s="213">
        <v>200.08</v>
      </c>
      <c r="O156" s="213">
        <v>173.39</v>
      </c>
      <c r="P156" s="213">
        <v>171.58999999999997</v>
      </c>
      <c r="Q156" s="213">
        <v>172.48999999999998</v>
      </c>
      <c r="R156" s="213">
        <v>23.11</v>
      </c>
      <c r="S156" s="213">
        <v>22.509999999999998</v>
      </c>
      <c r="T156" s="213">
        <v>22.81</v>
      </c>
      <c r="U156" s="213">
        <v>15.18</v>
      </c>
      <c r="V156" s="213">
        <v>14.58</v>
      </c>
      <c r="W156" s="213">
        <v>14.879999999999999</v>
      </c>
      <c r="X156" s="213">
        <v>15.15</v>
      </c>
      <c r="Y156" s="213">
        <v>14.35</v>
      </c>
      <c r="Z156" s="213">
        <v>14.75</v>
      </c>
      <c r="AA156" s="213">
        <v>106.19</v>
      </c>
      <c r="AB156" s="213">
        <v>102.19</v>
      </c>
      <c r="AC156" s="213">
        <v>104.19</v>
      </c>
      <c r="AD156" s="213">
        <v>98.23</v>
      </c>
      <c r="AE156" s="213">
        <v>94.23</v>
      </c>
      <c r="AF156" s="213">
        <v>96.23</v>
      </c>
      <c r="AG156" s="213">
        <v>20.6</v>
      </c>
      <c r="AH156" s="213">
        <v>19.740000000000002</v>
      </c>
      <c r="AI156" s="213">
        <v>20.170000000000002</v>
      </c>
      <c r="AJ156" s="213"/>
      <c r="AK156" s="213"/>
      <c r="AL156" s="213"/>
      <c r="AM156" s="213">
        <v>117.35</v>
      </c>
      <c r="AN156" s="213">
        <v>115.69</v>
      </c>
      <c r="AO156" s="213">
        <v>116.52</v>
      </c>
      <c r="AP156" s="213">
        <v>42.9</v>
      </c>
      <c r="AQ156" s="213">
        <v>41.3</v>
      </c>
      <c r="AR156" s="213">
        <v>42.099999999999994</v>
      </c>
      <c r="AS156" s="213">
        <v>43.66</v>
      </c>
      <c r="AT156" s="213">
        <v>42.3</v>
      </c>
      <c r="AU156" s="213">
        <v>42.98</v>
      </c>
      <c r="AV156" s="213">
        <v>21.97</v>
      </c>
      <c r="AW156" s="213">
        <v>21.369999999999997</v>
      </c>
      <c r="AX156" s="213">
        <v>21.669999999999998</v>
      </c>
      <c r="AY156" s="213">
        <v>4.3600000000000003</v>
      </c>
      <c r="AZ156" s="213">
        <v>4.2</v>
      </c>
      <c r="BA156" s="213">
        <v>4.28</v>
      </c>
      <c r="BB156" s="213">
        <v>2.0499999999999998</v>
      </c>
      <c r="BC156" s="213">
        <v>1.7499999999999998</v>
      </c>
      <c r="BD156" s="213">
        <v>1.9</v>
      </c>
      <c r="BE156" s="213">
        <v>0.72</v>
      </c>
      <c r="BF156" s="213">
        <v>0.42</v>
      </c>
      <c r="BG156" s="213">
        <v>0.56999999999999995</v>
      </c>
      <c r="BH156" s="213">
        <v>522.59</v>
      </c>
      <c r="BI156" s="213">
        <v>506.59000000000003</v>
      </c>
      <c r="BJ156" s="213">
        <v>514.59</v>
      </c>
      <c r="BK156" s="213">
        <v>43.99</v>
      </c>
      <c r="BL156" s="213">
        <v>42.63</v>
      </c>
      <c r="BM156" s="213">
        <v>43.31</v>
      </c>
      <c r="BN156" s="213">
        <v>1.1000000000000001</v>
      </c>
      <c r="BO156" s="213">
        <v>0.8600000000000001</v>
      </c>
      <c r="BP156" s="213">
        <v>0.98000000000000009</v>
      </c>
      <c r="BQ156" s="213">
        <v>10.24</v>
      </c>
      <c r="BR156" s="213">
        <v>8.24</v>
      </c>
      <c r="BS156" s="213">
        <v>9.24</v>
      </c>
      <c r="BT156" s="213">
        <v>11.68</v>
      </c>
      <c r="BU156" s="213">
        <v>11.28</v>
      </c>
      <c r="BV156" s="213">
        <v>11.48</v>
      </c>
      <c r="BW156" s="213">
        <v>2.86</v>
      </c>
      <c r="BX156" s="213">
        <v>2.58</v>
      </c>
      <c r="BY156" s="213">
        <v>2.7199999999999998</v>
      </c>
      <c r="BZ156" s="213">
        <v>10.039999999999999</v>
      </c>
      <c r="CA156" s="213">
        <v>7.0399999999999991</v>
      </c>
      <c r="CB156" s="213">
        <v>8.5399999999999991</v>
      </c>
      <c r="CC156" s="213">
        <v>7</v>
      </c>
      <c r="CD156" s="213">
        <v>6.76</v>
      </c>
      <c r="CE156" s="213">
        <v>6.88</v>
      </c>
      <c r="CF156" s="213">
        <v>2.0099999999999998</v>
      </c>
      <c r="CG156" s="213">
        <v>1.5099999999999998</v>
      </c>
      <c r="CH156" s="213">
        <v>1.7599999999999998</v>
      </c>
      <c r="CI156" s="213">
        <v>0.46</v>
      </c>
      <c r="CJ156" s="213">
        <v>0.42000000000000004</v>
      </c>
      <c r="CK156" s="213">
        <v>0.44000000000000006</v>
      </c>
      <c r="CL156" s="213">
        <v>40.96</v>
      </c>
      <c r="CM156" s="213">
        <v>38.56</v>
      </c>
      <c r="CN156" s="213">
        <v>39.760000000000005</v>
      </c>
      <c r="CO156" s="213">
        <v>7.39</v>
      </c>
      <c r="CP156" s="213">
        <v>2.3899999999999997</v>
      </c>
      <c r="CQ156" s="213">
        <v>4.8899999999999997</v>
      </c>
      <c r="CR156" s="213"/>
      <c r="CS156" s="213"/>
    </row>
    <row r="157" spans="1:97">
      <c r="A157" s="424">
        <v>45443</v>
      </c>
      <c r="B157" s="211" t="s">
        <v>251</v>
      </c>
      <c r="C157" s="213">
        <v>157.74</v>
      </c>
      <c r="D157" s="213">
        <v>155.74</v>
      </c>
      <c r="E157" s="213">
        <v>156.74</v>
      </c>
      <c r="F157" s="213">
        <v>171.28</v>
      </c>
      <c r="G157" s="213">
        <v>168.28</v>
      </c>
      <c r="H157" s="213">
        <v>169.78</v>
      </c>
      <c r="I157" s="213">
        <v>116.15</v>
      </c>
      <c r="J157" s="213">
        <v>112.95</v>
      </c>
      <c r="K157" s="213">
        <v>114.55000000000001</v>
      </c>
      <c r="L157" s="213">
        <v>203.61</v>
      </c>
      <c r="M157" s="213">
        <v>195.61</v>
      </c>
      <c r="N157" s="213">
        <v>199.61</v>
      </c>
      <c r="O157" s="213">
        <v>174.5</v>
      </c>
      <c r="P157" s="213">
        <v>172.7</v>
      </c>
      <c r="Q157" s="213">
        <v>173.6</v>
      </c>
      <c r="R157" s="213">
        <v>23.06</v>
      </c>
      <c r="S157" s="213">
        <v>22.459999999999997</v>
      </c>
      <c r="T157" s="213">
        <v>22.759999999999998</v>
      </c>
      <c r="U157" s="213">
        <v>15.15</v>
      </c>
      <c r="V157" s="213">
        <v>14.55</v>
      </c>
      <c r="W157" s="213">
        <v>14.850000000000001</v>
      </c>
      <c r="X157" s="213">
        <v>15.19</v>
      </c>
      <c r="Y157" s="213">
        <v>14.389999999999999</v>
      </c>
      <c r="Z157" s="213">
        <v>14.79</v>
      </c>
      <c r="AA157" s="213">
        <v>106.01</v>
      </c>
      <c r="AB157" s="213">
        <v>102.01</v>
      </c>
      <c r="AC157" s="213">
        <v>104.01</v>
      </c>
      <c r="AD157" s="213">
        <v>97.96</v>
      </c>
      <c r="AE157" s="213">
        <v>93.96</v>
      </c>
      <c r="AF157" s="213">
        <v>95.96</v>
      </c>
      <c r="AG157" s="213">
        <v>20.48</v>
      </c>
      <c r="AH157" s="213">
        <v>19.62</v>
      </c>
      <c r="AI157" s="213">
        <v>20.05</v>
      </c>
      <c r="AJ157" s="213"/>
      <c r="AK157" s="213"/>
      <c r="AL157" s="213"/>
      <c r="AM157" s="213">
        <v>116.95</v>
      </c>
      <c r="AN157" s="213">
        <v>115.29</v>
      </c>
      <c r="AO157" s="213">
        <v>116.12</v>
      </c>
      <c r="AP157" s="213">
        <v>42.65</v>
      </c>
      <c r="AQ157" s="213">
        <v>41.05</v>
      </c>
      <c r="AR157" s="213">
        <v>41.849999999999994</v>
      </c>
      <c r="AS157" s="213">
        <v>43.42</v>
      </c>
      <c r="AT157" s="213">
        <v>42.06</v>
      </c>
      <c r="AU157" s="213">
        <v>42.74</v>
      </c>
      <c r="AV157" s="213">
        <v>21.91</v>
      </c>
      <c r="AW157" s="213">
        <v>21.31</v>
      </c>
      <c r="AX157" s="213">
        <v>21.61</v>
      </c>
      <c r="AY157" s="213">
        <v>4.3499999999999996</v>
      </c>
      <c r="AZ157" s="213">
        <v>4.1899999999999995</v>
      </c>
      <c r="BA157" s="213">
        <v>4.2699999999999996</v>
      </c>
      <c r="BB157" s="213">
        <v>2.04</v>
      </c>
      <c r="BC157" s="213">
        <v>1.74</v>
      </c>
      <c r="BD157" s="213">
        <v>1.8900000000000001</v>
      </c>
      <c r="BE157" s="213">
        <v>0.72</v>
      </c>
      <c r="BF157" s="213">
        <v>0.42</v>
      </c>
      <c r="BG157" s="213">
        <v>0.56999999999999995</v>
      </c>
      <c r="BH157" s="213">
        <v>518.39</v>
      </c>
      <c r="BI157" s="213">
        <v>502.39</v>
      </c>
      <c r="BJ157" s="213">
        <v>510.39</v>
      </c>
      <c r="BK157" s="213">
        <v>43.75</v>
      </c>
      <c r="BL157" s="213">
        <v>42.39</v>
      </c>
      <c r="BM157" s="213">
        <v>43.07</v>
      </c>
      <c r="BN157" s="213">
        <v>1.0900000000000001</v>
      </c>
      <c r="BO157" s="213">
        <v>0.85000000000000009</v>
      </c>
      <c r="BP157" s="213">
        <v>0.97000000000000008</v>
      </c>
      <c r="BQ157" s="213">
        <v>10.210000000000001</v>
      </c>
      <c r="BR157" s="213">
        <v>8.2100000000000009</v>
      </c>
      <c r="BS157" s="213">
        <v>9.2100000000000009</v>
      </c>
      <c r="BT157" s="213">
        <v>11.58</v>
      </c>
      <c r="BU157" s="213">
        <v>11.18</v>
      </c>
      <c r="BV157" s="213">
        <v>11.379999999999999</v>
      </c>
      <c r="BW157" s="213">
        <v>2.83</v>
      </c>
      <c r="BX157" s="213">
        <v>2.5499999999999998</v>
      </c>
      <c r="BY157" s="213">
        <v>2.69</v>
      </c>
      <c r="BZ157" s="213">
        <v>9.8800000000000008</v>
      </c>
      <c r="CA157" s="213">
        <v>6.8800000000000008</v>
      </c>
      <c r="CB157" s="213">
        <v>8.3800000000000008</v>
      </c>
      <c r="CC157" s="213">
        <v>6.98</v>
      </c>
      <c r="CD157" s="213">
        <v>6.74</v>
      </c>
      <c r="CE157" s="213">
        <v>6.86</v>
      </c>
      <c r="CF157" s="213">
        <v>1.99</v>
      </c>
      <c r="CG157" s="213">
        <v>1.49</v>
      </c>
      <c r="CH157" s="213">
        <v>1.74</v>
      </c>
      <c r="CI157" s="213">
        <v>0.46</v>
      </c>
      <c r="CJ157" s="213">
        <v>0.42000000000000004</v>
      </c>
      <c r="CK157" s="213">
        <v>0.44000000000000006</v>
      </c>
      <c r="CL157" s="213">
        <v>40.86</v>
      </c>
      <c r="CM157" s="213">
        <v>38.46</v>
      </c>
      <c r="CN157" s="213">
        <v>39.659999999999997</v>
      </c>
      <c r="CO157" s="213">
        <v>7.37</v>
      </c>
      <c r="CP157" s="213">
        <v>2.37</v>
      </c>
      <c r="CQ157" s="213">
        <v>4.87</v>
      </c>
      <c r="CR157" s="213"/>
      <c r="CS157" s="213"/>
    </row>
    <row r="158" spans="1:97">
      <c r="A158" s="424">
        <v>45444</v>
      </c>
      <c r="B158" s="211" t="s">
        <v>252</v>
      </c>
      <c r="C158" s="213"/>
      <c r="D158" s="213"/>
      <c r="E158" s="213"/>
      <c r="F158" s="213"/>
      <c r="G158" s="213"/>
      <c r="H158" s="213"/>
      <c r="I158" s="213"/>
      <c r="J158" s="213"/>
      <c r="K158" s="213"/>
      <c r="L158" s="213"/>
      <c r="M158" s="213"/>
      <c r="N158" s="213"/>
      <c r="O158" s="213"/>
      <c r="P158" s="213"/>
      <c r="Q158" s="213"/>
      <c r="R158" s="213"/>
      <c r="S158" s="213"/>
      <c r="T158" s="213"/>
      <c r="U158" s="213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3"/>
      <c r="AP158" s="213"/>
      <c r="AQ158" s="213"/>
      <c r="AR158" s="213"/>
      <c r="AS158" s="213"/>
      <c r="AT158" s="213"/>
      <c r="AU158" s="213"/>
      <c r="AV158" s="213"/>
      <c r="AW158" s="213"/>
      <c r="AX158" s="213"/>
      <c r="AY158" s="213"/>
      <c r="AZ158" s="213"/>
      <c r="BA158" s="213"/>
      <c r="BB158" s="213"/>
      <c r="BC158" s="213"/>
      <c r="BD158" s="213"/>
      <c r="BE158" s="213"/>
      <c r="BF158" s="213"/>
      <c r="BG158" s="213"/>
      <c r="BH158" s="213"/>
      <c r="BI158" s="213"/>
      <c r="BJ158" s="213"/>
      <c r="BK158" s="213"/>
      <c r="BL158" s="213"/>
      <c r="BM158" s="213"/>
      <c r="BN158" s="213"/>
      <c r="BO158" s="213"/>
      <c r="BP158" s="213"/>
      <c r="BQ158" s="213"/>
      <c r="BR158" s="213"/>
      <c r="BS158" s="213"/>
      <c r="BT158" s="213"/>
      <c r="BU158" s="213"/>
      <c r="BV158" s="213"/>
      <c r="BW158" s="213"/>
      <c r="BX158" s="213"/>
      <c r="BY158" s="213"/>
      <c r="BZ158" s="213"/>
      <c r="CA158" s="213"/>
      <c r="CB158" s="213"/>
      <c r="CC158" s="213"/>
      <c r="CD158" s="213"/>
      <c r="CE158" s="213"/>
      <c r="CF158" s="213"/>
      <c r="CG158" s="213"/>
      <c r="CH158" s="213"/>
      <c r="CI158" s="213"/>
      <c r="CJ158" s="213"/>
      <c r="CK158" s="213"/>
      <c r="CL158" s="213"/>
      <c r="CM158" s="213"/>
      <c r="CN158" s="213"/>
      <c r="CO158" s="213"/>
      <c r="CP158" s="213"/>
      <c r="CQ158" s="213"/>
      <c r="CR158" s="213"/>
      <c r="CS158" s="213"/>
    </row>
    <row r="159" spans="1:97">
      <c r="A159" s="424">
        <v>45445</v>
      </c>
      <c r="B159" s="211" t="s">
        <v>253</v>
      </c>
      <c r="C159" s="213"/>
      <c r="D159" s="213"/>
      <c r="E159" s="213"/>
      <c r="F159" s="213"/>
      <c r="G159" s="213"/>
      <c r="H159" s="213"/>
      <c r="I159" s="213"/>
      <c r="J159" s="213"/>
      <c r="K159" s="213"/>
      <c r="L159" s="213"/>
      <c r="M159" s="213"/>
      <c r="N159" s="213"/>
      <c r="O159" s="213"/>
      <c r="P159" s="213"/>
      <c r="Q159" s="213"/>
      <c r="R159" s="213"/>
      <c r="S159" s="213"/>
      <c r="T159" s="213"/>
      <c r="U159" s="213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3"/>
      <c r="AP159" s="213"/>
      <c r="AQ159" s="213"/>
      <c r="AR159" s="213"/>
      <c r="AS159" s="213"/>
      <c r="AT159" s="213"/>
      <c r="AU159" s="213"/>
      <c r="AV159" s="213"/>
      <c r="AW159" s="213"/>
      <c r="AX159" s="213"/>
      <c r="AY159" s="213"/>
      <c r="AZ159" s="213"/>
      <c r="BA159" s="213"/>
      <c r="BB159" s="213"/>
      <c r="BC159" s="213"/>
      <c r="BD159" s="213"/>
      <c r="BE159" s="213"/>
      <c r="BF159" s="213"/>
      <c r="BG159" s="213"/>
      <c r="BH159" s="213"/>
      <c r="BI159" s="213"/>
      <c r="BJ159" s="213"/>
      <c r="BK159" s="213"/>
      <c r="BL159" s="213"/>
      <c r="BM159" s="213"/>
      <c r="BN159" s="213"/>
      <c r="BO159" s="213"/>
      <c r="BP159" s="213"/>
      <c r="BQ159" s="213"/>
      <c r="BR159" s="213"/>
      <c r="BS159" s="213"/>
      <c r="BT159" s="213"/>
      <c r="BU159" s="213"/>
      <c r="BV159" s="213"/>
      <c r="BW159" s="213"/>
      <c r="BX159" s="213"/>
      <c r="BY159" s="213"/>
      <c r="BZ159" s="213"/>
      <c r="CA159" s="213"/>
      <c r="CB159" s="213"/>
      <c r="CC159" s="213"/>
      <c r="CD159" s="213"/>
      <c r="CE159" s="213"/>
      <c r="CF159" s="213"/>
      <c r="CG159" s="213"/>
      <c r="CH159" s="213"/>
      <c r="CI159" s="213"/>
      <c r="CJ159" s="213"/>
      <c r="CK159" s="213"/>
      <c r="CL159" s="213"/>
      <c r="CM159" s="213"/>
      <c r="CN159" s="213"/>
      <c r="CO159" s="213"/>
      <c r="CP159" s="213"/>
      <c r="CQ159" s="213"/>
      <c r="CR159" s="213"/>
      <c r="CS159" s="213"/>
    </row>
    <row r="160" spans="1:97">
      <c r="A160" s="424">
        <v>45446</v>
      </c>
      <c r="B160" s="211" t="s">
        <v>247</v>
      </c>
      <c r="C160" s="213">
        <v>158.18</v>
      </c>
      <c r="D160" s="213">
        <v>156.18</v>
      </c>
      <c r="E160" s="213">
        <v>157.18</v>
      </c>
      <c r="F160" s="213">
        <v>172.12</v>
      </c>
      <c r="G160" s="213">
        <v>169.12</v>
      </c>
      <c r="H160" s="213">
        <v>170.62</v>
      </c>
      <c r="I160" s="213">
        <v>117.09</v>
      </c>
      <c r="J160" s="213">
        <v>113.89</v>
      </c>
      <c r="K160" s="213">
        <v>115.49000000000001</v>
      </c>
      <c r="L160" s="213">
        <v>204.44</v>
      </c>
      <c r="M160" s="213">
        <v>196.44</v>
      </c>
      <c r="N160" s="213">
        <v>200.44</v>
      </c>
      <c r="O160" s="213">
        <v>175.31</v>
      </c>
      <c r="P160" s="213">
        <v>173.51</v>
      </c>
      <c r="Q160" s="213">
        <v>174.41</v>
      </c>
      <c r="R160" s="213">
        <v>23.17</v>
      </c>
      <c r="S160" s="213">
        <v>22.57</v>
      </c>
      <c r="T160" s="213">
        <v>22.87</v>
      </c>
      <c r="U160" s="213">
        <v>15.28</v>
      </c>
      <c r="V160" s="213">
        <v>14.68</v>
      </c>
      <c r="W160" s="213">
        <v>14.98</v>
      </c>
      <c r="X160" s="213">
        <v>15.35</v>
      </c>
      <c r="Y160" s="213">
        <v>14.549999999999999</v>
      </c>
      <c r="Z160" s="213">
        <v>14.95</v>
      </c>
      <c r="AA160" s="213">
        <v>106.71</v>
      </c>
      <c r="AB160" s="213">
        <v>102.71</v>
      </c>
      <c r="AC160" s="213">
        <v>104.71</v>
      </c>
      <c r="AD160" s="213">
        <v>98.76</v>
      </c>
      <c r="AE160" s="213">
        <v>94.76</v>
      </c>
      <c r="AF160" s="213">
        <v>96.76</v>
      </c>
      <c r="AG160" s="213">
        <v>20.53</v>
      </c>
      <c r="AH160" s="213">
        <v>19.670000000000002</v>
      </c>
      <c r="AI160" s="213">
        <v>20.100000000000001</v>
      </c>
      <c r="AJ160" s="213"/>
      <c r="AK160" s="213"/>
      <c r="AL160" s="213"/>
      <c r="AM160" s="213">
        <v>117.23</v>
      </c>
      <c r="AN160" s="213">
        <v>115.57000000000001</v>
      </c>
      <c r="AO160" s="213">
        <v>116.4</v>
      </c>
      <c r="AP160" s="213">
        <v>42.77</v>
      </c>
      <c r="AQ160" s="213">
        <v>41.17</v>
      </c>
      <c r="AR160" s="213">
        <v>41.97</v>
      </c>
      <c r="AS160" s="213">
        <v>43.54</v>
      </c>
      <c r="AT160" s="213">
        <v>42.18</v>
      </c>
      <c r="AU160" s="213">
        <v>42.86</v>
      </c>
      <c r="AV160" s="213">
        <v>21.94</v>
      </c>
      <c r="AW160" s="213">
        <v>21.34</v>
      </c>
      <c r="AX160" s="213">
        <v>21.64</v>
      </c>
      <c r="AY160" s="213">
        <v>4.3600000000000003</v>
      </c>
      <c r="AZ160" s="213">
        <v>4.2</v>
      </c>
      <c r="BA160" s="213">
        <v>4.28</v>
      </c>
      <c r="BB160" s="213">
        <v>2.0499999999999998</v>
      </c>
      <c r="BC160" s="213">
        <v>1.7499999999999998</v>
      </c>
      <c r="BD160" s="213">
        <v>1.9</v>
      </c>
      <c r="BE160" s="213">
        <v>0.72</v>
      </c>
      <c r="BF160" s="213">
        <v>0.42</v>
      </c>
      <c r="BG160" s="213">
        <v>0.56999999999999995</v>
      </c>
      <c r="BH160" s="213">
        <v>519.65</v>
      </c>
      <c r="BI160" s="213">
        <v>503.65</v>
      </c>
      <c r="BJ160" s="213">
        <v>511.65</v>
      </c>
      <c r="BK160" s="213">
        <v>43.87</v>
      </c>
      <c r="BL160" s="213">
        <v>42.51</v>
      </c>
      <c r="BM160" s="213">
        <v>43.19</v>
      </c>
      <c r="BN160" s="213">
        <v>1.0900000000000001</v>
      </c>
      <c r="BO160" s="213">
        <v>0.85000000000000009</v>
      </c>
      <c r="BP160" s="213">
        <v>0.97000000000000008</v>
      </c>
      <c r="BQ160" s="213">
        <v>10.27</v>
      </c>
      <c r="BR160" s="213">
        <v>8.27</v>
      </c>
      <c r="BS160" s="213">
        <v>9.27</v>
      </c>
      <c r="BT160" s="213">
        <v>11.61</v>
      </c>
      <c r="BU160" s="213">
        <v>11.209999999999999</v>
      </c>
      <c r="BV160" s="213">
        <v>11.41</v>
      </c>
      <c r="BW160" s="213">
        <v>2.85</v>
      </c>
      <c r="BX160" s="213">
        <v>2.5700000000000003</v>
      </c>
      <c r="BY160" s="213">
        <v>2.71</v>
      </c>
      <c r="BZ160" s="213">
        <v>9.8800000000000008</v>
      </c>
      <c r="CA160" s="213">
        <v>6.8800000000000008</v>
      </c>
      <c r="CB160" s="213">
        <v>8.3800000000000008</v>
      </c>
      <c r="CC160" s="213">
        <v>7.04</v>
      </c>
      <c r="CD160" s="213">
        <v>6.8</v>
      </c>
      <c r="CE160" s="213">
        <v>6.92</v>
      </c>
      <c r="CF160" s="213">
        <v>1.99</v>
      </c>
      <c r="CG160" s="213">
        <v>1.49</v>
      </c>
      <c r="CH160" s="213">
        <v>1.74</v>
      </c>
      <c r="CI160" s="213">
        <v>0.46</v>
      </c>
      <c r="CJ160" s="213">
        <v>0.42000000000000004</v>
      </c>
      <c r="CK160" s="213">
        <v>0.44000000000000006</v>
      </c>
      <c r="CL160" s="213">
        <v>41.15</v>
      </c>
      <c r="CM160" s="213">
        <v>38.75</v>
      </c>
      <c r="CN160" s="213">
        <v>39.950000000000003</v>
      </c>
      <c r="CO160" s="213">
        <v>7.37</v>
      </c>
      <c r="CP160" s="213">
        <v>2.37</v>
      </c>
      <c r="CQ160" s="213">
        <v>4.87</v>
      </c>
      <c r="CR160" s="213"/>
      <c r="CS160" s="213"/>
    </row>
    <row r="161" spans="1:97">
      <c r="A161" s="424">
        <v>45447</v>
      </c>
      <c r="B161" s="211" t="s">
        <v>248</v>
      </c>
      <c r="C161" s="213">
        <v>157.47</v>
      </c>
      <c r="D161" s="213">
        <v>155.47</v>
      </c>
      <c r="E161" s="213">
        <v>156.47</v>
      </c>
      <c r="F161" s="213">
        <v>172.3</v>
      </c>
      <c r="G161" s="213">
        <v>169.3</v>
      </c>
      <c r="H161" s="213">
        <v>170.8</v>
      </c>
      <c r="I161" s="213">
        <v>116.45</v>
      </c>
      <c r="J161" s="213">
        <v>113.25</v>
      </c>
      <c r="K161" s="213">
        <v>114.85</v>
      </c>
      <c r="L161" s="213">
        <v>204.47</v>
      </c>
      <c r="M161" s="213">
        <v>196.47</v>
      </c>
      <c r="N161" s="213">
        <v>200.47</v>
      </c>
      <c r="O161" s="213">
        <v>175.69</v>
      </c>
      <c r="P161" s="213">
        <v>173.89</v>
      </c>
      <c r="Q161" s="213">
        <v>174.79</v>
      </c>
      <c r="R161" s="213">
        <v>23.2</v>
      </c>
      <c r="S161" s="213">
        <v>22.599999999999998</v>
      </c>
      <c r="T161" s="213">
        <v>22.9</v>
      </c>
      <c r="U161" s="213">
        <v>15.28</v>
      </c>
      <c r="V161" s="213">
        <v>14.68</v>
      </c>
      <c r="W161" s="213">
        <v>14.98</v>
      </c>
      <c r="X161" s="213">
        <v>15.44</v>
      </c>
      <c r="Y161" s="213">
        <v>14.639999999999999</v>
      </c>
      <c r="Z161" s="213">
        <v>15.04</v>
      </c>
      <c r="AA161" s="213">
        <v>106.68</v>
      </c>
      <c r="AB161" s="213">
        <v>102.68</v>
      </c>
      <c r="AC161" s="213">
        <v>104.68</v>
      </c>
      <c r="AD161" s="213">
        <v>98.89</v>
      </c>
      <c r="AE161" s="213">
        <v>94.89</v>
      </c>
      <c r="AF161" s="213">
        <v>96.89</v>
      </c>
      <c r="AG161" s="213">
        <v>20.440000000000001</v>
      </c>
      <c r="AH161" s="213">
        <v>19.580000000000002</v>
      </c>
      <c r="AI161" s="213">
        <v>20.010000000000002</v>
      </c>
      <c r="AJ161" s="213"/>
      <c r="AK161" s="213"/>
      <c r="AL161" s="213"/>
      <c r="AM161" s="213">
        <v>117.06</v>
      </c>
      <c r="AN161" s="213">
        <v>115.4</v>
      </c>
      <c r="AO161" s="213">
        <v>116.23</v>
      </c>
      <c r="AP161" s="213">
        <v>42.58</v>
      </c>
      <c r="AQ161" s="213">
        <v>40.98</v>
      </c>
      <c r="AR161" s="213">
        <v>41.78</v>
      </c>
      <c r="AS161" s="213">
        <v>43.35</v>
      </c>
      <c r="AT161" s="213">
        <v>41.99</v>
      </c>
      <c r="AU161" s="213">
        <v>42.67</v>
      </c>
      <c r="AV161" s="213">
        <v>21.87</v>
      </c>
      <c r="AW161" s="213">
        <v>21.27</v>
      </c>
      <c r="AX161" s="213">
        <v>21.57</v>
      </c>
      <c r="AY161" s="213">
        <v>4.3600000000000003</v>
      </c>
      <c r="AZ161" s="213">
        <v>4.2</v>
      </c>
      <c r="BA161" s="213">
        <v>4.28</v>
      </c>
      <c r="BB161" s="213">
        <v>2.04</v>
      </c>
      <c r="BC161" s="213">
        <v>1.74</v>
      </c>
      <c r="BD161" s="213">
        <v>1.8900000000000001</v>
      </c>
      <c r="BE161" s="213">
        <v>0.71</v>
      </c>
      <c r="BF161" s="213">
        <v>0.41</v>
      </c>
      <c r="BG161" s="213">
        <v>0.55999999999999994</v>
      </c>
      <c r="BH161" s="213">
        <v>519.16999999999996</v>
      </c>
      <c r="BI161" s="213">
        <v>503.16999999999996</v>
      </c>
      <c r="BJ161" s="213">
        <v>511.16999999999996</v>
      </c>
      <c r="BK161" s="213">
        <v>43.67</v>
      </c>
      <c r="BL161" s="213">
        <v>42.31</v>
      </c>
      <c r="BM161" s="213">
        <v>42.99</v>
      </c>
      <c r="BN161" s="213">
        <v>1.0900000000000001</v>
      </c>
      <c r="BO161" s="213">
        <v>0.85000000000000009</v>
      </c>
      <c r="BP161" s="213">
        <v>0.97000000000000008</v>
      </c>
      <c r="BQ161" s="213">
        <v>9.89</v>
      </c>
      <c r="BR161" s="213">
        <v>7.8900000000000006</v>
      </c>
      <c r="BS161" s="213">
        <v>8.89</v>
      </c>
      <c r="BT161" s="213">
        <v>11.61</v>
      </c>
      <c r="BU161" s="213">
        <v>11.209999999999999</v>
      </c>
      <c r="BV161" s="213">
        <v>11.41</v>
      </c>
      <c r="BW161" s="213">
        <v>2.83</v>
      </c>
      <c r="BX161" s="213">
        <v>2.5499999999999998</v>
      </c>
      <c r="BY161" s="213">
        <v>2.69</v>
      </c>
      <c r="BZ161" s="213">
        <v>9.94</v>
      </c>
      <c r="CA161" s="213">
        <v>6.9399999999999995</v>
      </c>
      <c r="CB161" s="213">
        <v>8.44</v>
      </c>
      <c r="CC161" s="213">
        <v>7.05</v>
      </c>
      <c r="CD161" s="213">
        <v>6.81</v>
      </c>
      <c r="CE161" s="213">
        <v>6.93</v>
      </c>
      <c r="CF161" s="213">
        <v>2</v>
      </c>
      <c r="CG161" s="213">
        <v>1.5</v>
      </c>
      <c r="CH161" s="213">
        <v>1.75</v>
      </c>
      <c r="CI161" s="213">
        <v>0.46</v>
      </c>
      <c r="CJ161" s="213">
        <v>0.42000000000000004</v>
      </c>
      <c r="CK161" s="213">
        <v>0.44000000000000006</v>
      </c>
      <c r="CL161" s="213">
        <v>41.2</v>
      </c>
      <c r="CM161" s="213">
        <v>38.800000000000004</v>
      </c>
      <c r="CN161" s="213">
        <v>40</v>
      </c>
      <c r="CO161" s="213">
        <v>7.37</v>
      </c>
      <c r="CP161" s="213">
        <v>2.37</v>
      </c>
      <c r="CQ161" s="213">
        <v>4.87</v>
      </c>
      <c r="CR161" s="213"/>
      <c r="CS161" s="213"/>
    </row>
    <row r="162" spans="1:97">
      <c r="A162" s="424">
        <v>45448</v>
      </c>
      <c r="B162" s="211" t="s">
        <v>249</v>
      </c>
      <c r="C162" s="213">
        <v>156.30000000000001</v>
      </c>
      <c r="D162" s="213">
        <v>154.30000000000001</v>
      </c>
      <c r="E162" s="213">
        <v>155.30000000000001</v>
      </c>
      <c r="F162" s="213">
        <v>170.51</v>
      </c>
      <c r="G162" s="213">
        <v>167.51</v>
      </c>
      <c r="H162" s="213">
        <v>169.01</v>
      </c>
      <c r="I162" s="213">
        <v>115.14</v>
      </c>
      <c r="J162" s="213">
        <v>111.94</v>
      </c>
      <c r="K162" s="213">
        <v>113.53999999999999</v>
      </c>
      <c r="L162" s="213">
        <v>202.36</v>
      </c>
      <c r="M162" s="213">
        <v>194.36</v>
      </c>
      <c r="N162" s="213">
        <v>198.36</v>
      </c>
      <c r="O162" s="213">
        <v>175.26</v>
      </c>
      <c r="P162" s="213">
        <v>173.45999999999998</v>
      </c>
      <c r="Q162" s="213">
        <v>174.35999999999999</v>
      </c>
      <c r="R162" s="213">
        <v>22.95</v>
      </c>
      <c r="S162" s="213">
        <v>22.349999999999998</v>
      </c>
      <c r="T162" s="213">
        <v>22.65</v>
      </c>
      <c r="U162" s="213">
        <v>15.01</v>
      </c>
      <c r="V162" s="213">
        <v>14.41</v>
      </c>
      <c r="W162" s="213">
        <v>14.71</v>
      </c>
      <c r="X162" s="213">
        <v>15.3</v>
      </c>
      <c r="Y162" s="213">
        <v>14.5</v>
      </c>
      <c r="Z162" s="213">
        <v>14.9</v>
      </c>
      <c r="AA162" s="213">
        <v>105.29</v>
      </c>
      <c r="AB162" s="213">
        <v>101.29</v>
      </c>
      <c r="AC162" s="213">
        <v>103.29</v>
      </c>
      <c r="AD162" s="213">
        <v>97.99</v>
      </c>
      <c r="AE162" s="213">
        <v>93.99</v>
      </c>
      <c r="AF162" s="213">
        <v>95.99</v>
      </c>
      <c r="AG162" s="213">
        <v>20.309999999999999</v>
      </c>
      <c r="AH162" s="213">
        <v>19.45</v>
      </c>
      <c r="AI162" s="213">
        <v>19.88</v>
      </c>
      <c r="AJ162" s="213"/>
      <c r="AK162" s="213"/>
      <c r="AL162" s="213"/>
      <c r="AM162" s="213">
        <v>116.17</v>
      </c>
      <c r="AN162" s="213">
        <v>114.51</v>
      </c>
      <c r="AO162" s="213">
        <v>115.34</v>
      </c>
      <c r="AP162" s="213">
        <v>42.28</v>
      </c>
      <c r="AQ162" s="213">
        <v>40.68</v>
      </c>
      <c r="AR162" s="213">
        <v>41.480000000000004</v>
      </c>
      <c r="AS162" s="213">
        <v>43.03</v>
      </c>
      <c r="AT162" s="213">
        <v>41.67</v>
      </c>
      <c r="AU162" s="213">
        <v>42.35</v>
      </c>
      <c r="AV162" s="213">
        <v>21.72</v>
      </c>
      <c r="AW162" s="213">
        <v>21.119999999999997</v>
      </c>
      <c r="AX162" s="213">
        <v>21.419999999999998</v>
      </c>
      <c r="AY162" s="213">
        <v>4.32</v>
      </c>
      <c r="AZ162" s="213">
        <v>4.16</v>
      </c>
      <c r="BA162" s="213">
        <v>4.24</v>
      </c>
      <c r="BB162" s="213">
        <v>2.02</v>
      </c>
      <c r="BC162" s="213">
        <v>1.72</v>
      </c>
      <c r="BD162" s="213">
        <v>1.87</v>
      </c>
      <c r="BE162" s="213">
        <v>0.71</v>
      </c>
      <c r="BF162" s="213">
        <v>0.41</v>
      </c>
      <c r="BG162" s="213">
        <v>0.55999999999999994</v>
      </c>
      <c r="BH162" s="213">
        <v>515.85</v>
      </c>
      <c r="BI162" s="213">
        <v>499.85</v>
      </c>
      <c r="BJ162" s="213">
        <v>507.85</v>
      </c>
      <c r="BK162" s="213">
        <v>43.36</v>
      </c>
      <c r="BL162" s="213">
        <v>42</v>
      </c>
      <c r="BM162" s="213">
        <v>42.68</v>
      </c>
      <c r="BN162" s="213">
        <v>1.08</v>
      </c>
      <c r="BO162" s="213">
        <v>0.84000000000000008</v>
      </c>
      <c r="BP162" s="213">
        <v>0.96000000000000008</v>
      </c>
      <c r="BQ162" s="213">
        <v>9.74</v>
      </c>
      <c r="BR162" s="213">
        <v>7.74</v>
      </c>
      <c r="BS162" s="213">
        <v>8.74</v>
      </c>
      <c r="BT162" s="213">
        <v>11.51</v>
      </c>
      <c r="BU162" s="213">
        <v>11.11</v>
      </c>
      <c r="BV162" s="213">
        <v>11.309999999999999</v>
      </c>
      <c r="BW162" s="213">
        <v>2.8</v>
      </c>
      <c r="BX162" s="213">
        <v>2.5199999999999996</v>
      </c>
      <c r="BY162" s="213">
        <v>2.6599999999999997</v>
      </c>
      <c r="BZ162" s="213">
        <v>9.8000000000000007</v>
      </c>
      <c r="CA162" s="213">
        <v>6.8000000000000007</v>
      </c>
      <c r="CB162" s="213">
        <v>8.3000000000000007</v>
      </c>
      <c r="CC162" s="213">
        <v>6.96</v>
      </c>
      <c r="CD162" s="213">
        <v>6.72</v>
      </c>
      <c r="CE162" s="213">
        <v>6.84</v>
      </c>
      <c r="CF162" s="213">
        <v>2</v>
      </c>
      <c r="CG162" s="213">
        <v>1.5</v>
      </c>
      <c r="CH162" s="213">
        <v>1.75</v>
      </c>
      <c r="CI162" s="213">
        <v>0.45</v>
      </c>
      <c r="CJ162" s="213">
        <v>0.41000000000000003</v>
      </c>
      <c r="CK162" s="213">
        <v>0.43000000000000005</v>
      </c>
      <c r="CL162" s="213">
        <v>40.409999999999997</v>
      </c>
      <c r="CM162" s="213">
        <v>38.01</v>
      </c>
      <c r="CN162" s="213">
        <v>39.209999999999994</v>
      </c>
      <c r="CO162" s="213">
        <v>7.26</v>
      </c>
      <c r="CP162" s="213">
        <v>2.2599999999999998</v>
      </c>
      <c r="CQ162" s="213">
        <v>4.76</v>
      </c>
      <c r="CR162" s="213"/>
      <c r="CS162" s="213"/>
    </row>
    <row r="163" spans="1:97">
      <c r="A163" s="424">
        <v>45449</v>
      </c>
      <c r="B163" s="211" t="s">
        <v>250</v>
      </c>
      <c r="C163" s="213">
        <v>156.78</v>
      </c>
      <c r="D163" s="213">
        <v>154.78</v>
      </c>
      <c r="E163" s="213">
        <v>155.78</v>
      </c>
      <c r="F163" s="213">
        <v>171</v>
      </c>
      <c r="G163" s="213">
        <v>168</v>
      </c>
      <c r="H163" s="213">
        <v>169.5</v>
      </c>
      <c r="I163" s="213">
        <v>115.45</v>
      </c>
      <c r="J163" s="213">
        <v>112.25</v>
      </c>
      <c r="K163" s="213">
        <v>113.85</v>
      </c>
      <c r="L163" s="213">
        <v>203.45</v>
      </c>
      <c r="M163" s="213">
        <v>195.45</v>
      </c>
      <c r="N163" s="213">
        <v>199.45</v>
      </c>
      <c r="O163" s="213">
        <v>175.58</v>
      </c>
      <c r="P163" s="213">
        <v>173.78</v>
      </c>
      <c r="Q163" s="213">
        <v>174.68</v>
      </c>
      <c r="R163" s="213">
        <v>23.02</v>
      </c>
      <c r="S163" s="213">
        <v>22.419999999999998</v>
      </c>
      <c r="T163" s="213">
        <v>22.72</v>
      </c>
      <c r="U163" s="213">
        <v>15.04</v>
      </c>
      <c r="V163" s="213">
        <v>14.44</v>
      </c>
      <c r="W163" s="213">
        <v>14.739999999999998</v>
      </c>
      <c r="X163" s="213">
        <v>15.41</v>
      </c>
      <c r="Y163" s="213">
        <v>14.61</v>
      </c>
      <c r="Z163" s="213">
        <v>15.01</v>
      </c>
      <c r="AA163" s="213">
        <v>105.83</v>
      </c>
      <c r="AB163" s="213">
        <v>101.83</v>
      </c>
      <c r="AC163" s="213">
        <v>103.83</v>
      </c>
      <c r="AD163" s="213">
        <v>98.66</v>
      </c>
      <c r="AE163" s="213">
        <v>94.66</v>
      </c>
      <c r="AF163" s="213">
        <v>96.66</v>
      </c>
      <c r="AG163" s="213">
        <v>20.38</v>
      </c>
      <c r="AH163" s="213">
        <v>19.52</v>
      </c>
      <c r="AI163" s="213">
        <v>19.95</v>
      </c>
      <c r="AJ163" s="213"/>
      <c r="AK163" s="213"/>
      <c r="AL163" s="213"/>
      <c r="AM163" s="213">
        <v>116.49</v>
      </c>
      <c r="AN163" s="213">
        <v>114.83</v>
      </c>
      <c r="AO163" s="213">
        <v>115.66</v>
      </c>
      <c r="AP163" s="213">
        <v>42.41</v>
      </c>
      <c r="AQ163" s="213">
        <v>40.809999999999995</v>
      </c>
      <c r="AR163" s="213">
        <v>41.61</v>
      </c>
      <c r="AS163" s="213">
        <v>43.16</v>
      </c>
      <c r="AT163" s="213">
        <v>41.8</v>
      </c>
      <c r="AU163" s="213">
        <v>42.48</v>
      </c>
      <c r="AV163" s="213">
        <v>21.76</v>
      </c>
      <c r="AW163" s="213">
        <v>21.16</v>
      </c>
      <c r="AX163" s="213">
        <v>21.46</v>
      </c>
      <c r="AY163" s="213">
        <v>4.34</v>
      </c>
      <c r="AZ163" s="213">
        <v>4.18</v>
      </c>
      <c r="BA163" s="213">
        <v>4.26</v>
      </c>
      <c r="BB163" s="213">
        <v>2.0299999999999998</v>
      </c>
      <c r="BC163" s="213">
        <v>1.7299999999999998</v>
      </c>
      <c r="BD163" s="213">
        <v>1.88</v>
      </c>
      <c r="BE163" s="213">
        <v>0.71</v>
      </c>
      <c r="BF163" s="213">
        <v>0.41</v>
      </c>
      <c r="BG163" s="213">
        <v>0.55999999999999994</v>
      </c>
      <c r="BH163" s="213">
        <v>517.41999999999996</v>
      </c>
      <c r="BI163" s="213">
        <v>501.41999999999996</v>
      </c>
      <c r="BJ163" s="213">
        <v>509.41999999999996</v>
      </c>
      <c r="BK163" s="213">
        <v>43.48</v>
      </c>
      <c r="BL163" s="213">
        <v>42.12</v>
      </c>
      <c r="BM163" s="213">
        <v>42.8</v>
      </c>
      <c r="BN163" s="213">
        <v>1.08</v>
      </c>
      <c r="BO163" s="213">
        <v>0.84000000000000008</v>
      </c>
      <c r="BP163" s="213">
        <v>0.96000000000000008</v>
      </c>
      <c r="BQ163" s="213">
        <v>9.91</v>
      </c>
      <c r="BR163" s="213">
        <v>7.91</v>
      </c>
      <c r="BS163" s="213">
        <v>8.91</v>
      </c>
      <c r="BT163" s="213">
        <v>11.6</v>
      </c>
      <c r="BU163" s="213">
        <v>11.2</v>
      </c>
      <c r="BV163" s="213">
        <v>11.399999999999999</v>
      </c>
      <c r="BW163" s="213">
        <v>2.81</v>
      </c>
      <c r="BX163" s="213">
        <v>2.5300000000000002</v>
      </c>
      <c r="BY163" s="213">
        <v>2.67</v>
      </c>
      <c r="BZ163" s="213">
        <v>9.74</v>
      </c>
      <c r="CA163" s="213">
        <v>6.74</v>
      </c>
      <c r="CB163" s="213">
        <v>8.24</v>
      </c>
      <c r="CC163" s="213">
        <v>7</v>
      </c>
      <c r="CD163" s="213">
        <v>6.76</v>
      </c>
      <c r="CE163" s="213">
        <v>6.88</v>
      </c>
      <c r="CF163" s="213">
        <v>2</v>
      </c>
      <c r="CG163" s="213">
        <v>1.5</v>
      </c>
      <c r="CH163" s="213">
        <v>1.75</v>
      </c>
      <c r="CI163" s="213">
        <v>0.45</v>
      </c>
      <c r="CJ163" s="213">
        <v>0.41000000000000003</v>
      </c>
      <c r="CK163" s="213">
        <v>0.43000000000000005</v>
      </c>
      <c r="CL163" s="213">
        <v>40.72</v>
      </c>
      <c r="CM163" s="213">
        <v>38.32</v>
      </c>
      <c r="CN163" s="213">
        <v>39.519999999999996</v>
      </c>
      <c r="CO163" s="213">
        <v>7.34</v>
      </c>
      <c r="CP163" s="213">
        <v>2.34</v>
      </c>
      <c r="CQ163" s="213">
        <v>4.84</v>
      </c>
      <c r="CR163" s="213"/>
      <c r="CS163" s="213"/>
    </row>
    <row r="164" spans="1:97">
      <c r="A164" s="424">
        <v>45450</v>
      </c>
      <c r="B164" s="211" t="s">
        <v>251</v>
      </c>
      <c r="C164" s="213">
        <v>156.81</v>
      </c>
      <c r="D164" s="213">
        <v>154.81</v>
      </c>
      <c r="E164" s="213">
        <v>155.81</v>
      </c>
      <c r="F164" s="213">
        <v>171.19</v>
      </c>
      <c r="G164" s="213">
        <v>168.19</v>
      </c>
      <c r="H164" s="213">
        <v>169.69</v>
      </c>
      <c r="I164" s="213">
        <v>115.6</v>
      </c>
      <c r="J164" s="213">
        <v>112.39999999999999</v>
      </c>
      <c r="K164" s="213">
        <v>114</v>
      </c>
      <c r="L164" s="213">
        <v>203.3</v>
      </c>
      <c r="M164" s="213">
        <v>195.3</v>
      </c>
      <c r="N164" s="213">
        <v>199.3</v>
      </c>
      <c r="O164" s="213">
        <v>175.91</v>
      </c>
      <c r="P164" s="213">
        <v>174.10999999999999</v>
      </c>
      <c r="Q164" s="213">
        <v>175.01</v>
      </c>
      <c r="R164" s="213">
        <v>23.05</v>
      </c>
      <c r="S164" s="213">
        <v>22.45</v>
      </c>
      <c r="T164" s="213">
        <v>22.75</v>
      </c>
      <c r="U164" s="213">
        <v>15.05</v>
      </c>
      <c r="V164" s="213">
        <v>14.450000000000001</v>
      </c>
      <c r="W164" s="213">
        <v>14.75</v>
      </c>
      <c r="X164" s="213">
        <v>15.41</v>
      </c>
      <c r="Y164" s="213">
        <v>14.61</v>
      </c>
      <c r="Z164" s="213">
        <v>15.01</v>
      </c>
      <c r="AA164" s="213">
        <v>105.91</v>
      </c>
      <c r="AB164" s="213">
        <v>101.91</v>
      </c>
      <c r="AC164" s="213">
        <v>103.91</v>
      </c>
      <c r="AD164" s="213">
        <v>98.54</v>
      </c>
      <c r="AE164" s="213">
        <v>94.54</v>
      </c>
      <c r="AF164" s="213">
        <v>96.54</v>
      </c>
      <c r="AG164" s="213">
        <v>20.38</v>
      </c>
      <c r="AH164" s="213">
        <v>19.52</v>
      </c>
      <c r="AI164" s="213">
        <v>19.95</v>
      </c>
      <c r="AJ164" s="213"/>
      <c r="AK164" s="213"/>
      <c r="AL164" s="213"/>
      <c r="AM164" s="213">
        <v>116.66</v>
      </c>
      <c r="AN164" s="213">
        <v>115</v>
      </c>
      <c r="AO164" s="213">
        <v>115.83</v>
      </c>
      <c r="AP164" s="213">
        <v>42.42</v>
      </c>
      <c r="AQ164" s="213">
        <v>40.82</v>
      </c>
      <c r="AR164" s="213">
        <v>41.620000000000005</v>
      </c>
      <c r="AS164" s="213">
        <v>43.07</v>
      </c>
      <c r="AT164" s="213">
        <v>41.71</v>
      </c>
      <c r="AU164" s="213">
        <v>42.39</v>
      </c>
      <c r="AV164" s="213">
        <v>21.76</v>
      </c>
      <c r="AW164" s="213">
        <v>21.16</v>
      </c>
      <c r="AX164" s="213">
        <v>21.46</v>
      </c>
      <c r="AY164" s="213">
        <v>4.3600000000000003</v>
      </c>
      <c r="AZ164" s="213">
        <v>4.2</v>
      </c>
      <c r="BA164" s="213">
        <v>4.28</v>
      </c>
      <c r="BB164" s="213">
        <v>2.0299999999999998</v>
      </c>
      <c r="BC164" s="213">
        <v>1.7299999999999998</v>
      </c>
      <c r="BD164" s="213">
        <v>1.88</v>
      </c>
      <c r="BE164" s="213">
        <v>0.71</v>
      </c>
      <c r="BF164" s="213">
        <v>0.41</v>
      </c>
      <c r="BG164" s="213">
        <v>0.55999999999999994</v>
      </c>
      <c r="BH164" s="213">
        <v>516.02</v>
      </c>
      <c r="BI164" s="213">
        <v>500.02</v>
      </c>
      <c r="BJ164" s="213">
        <v>508.02</v>
      </c>
      <c r="BK164" s="213">
        <v>43.5</v>
      </c>
      <c r="BL164" s="213">
        <v>42.14</v>
      </c>
      <c r="BM164" s="213">
        <v>42.82</v>
      </c>
      <c r="BN164" s="213">
        <v>1.08</v>
      </c>
      <c r="BO164" s="213">
        <v>0.84000000000000008</v>
      </c>
      <c r="BP164" s="213">
        <v>0.96000000000000008</v>
      </c>
      <c r="BQ164" s="213">
        <v>9.68</v>
      </c>
      <c r="BR164" s="213">
        <v>7.68</v>
      </c>
      <c r="BS164" s="213">
        <v>8.68</v>
      </c>
      <c r="BT164" s="213">
        <v>11.65</v>
      </c>
      <c r="BU164" s="213">
        <v>11.25</v>
      </c>
      <c r="BV164" s="213">
        <v>11.45</v>
      </c>
      <c r="BW164" s="213">
        <v>2.82</v>
      </c>
      <c r="BX164" s="213">
        <v>2.54</v>
      </c>
      <c r="BY164" s="213">
        <v>2.6799999999999997</v>
      </c>
      <c r="BZ164" s="213">
        <v>9.7200000000000006</v>
      </c>
      <c r="CA164" s="213">
        <v>6.7200000000000006</v>
      </c>
      <c r="CB164" s="213">
        <v>8.2200000000000006</v>
      </c>
      <c r="CC164" s="213">
        <v>7.04</v>
      </c>
      <c r="CD164" s="213">
        <v>6.8</v>
      </c>
      <c r="CE164" s="213">
        <v>6.92</v>
      </c>
      <c r="CF164" s="213">
        <v>2</v>
      </c>
      <c r="CG164" s="213">
        <v>1.5</v>
      </c>
      <c r="CH164" s="213">
        <v>1.75</v>
      </c>
      <c r="CI164" s="213">
        <v>0.46</v>
      </c>
      <c r="CJ164" s="213">
        <v>0.42000000000000004</v>
      </c>
      <c r="CK164" s="213">
        <v>0.44000000000000006</v>
      </c>
      <c r="CL164" s="213">
        <v>40.82</v>
      </c>
      <c r="CM164" s="213">
        <v>38.42</v>
      </c>
      <c r="CN164" s="213">
        <v>39.620000000000005</v>
      </c>
      <c r="CO164" s="213">
        <v>7.36</v>
      </c>
      <c r="CP164" s="213">
        <v>2.3600000000000003</v>
      </c>
      <c r="CQ164" s="213">
        <v>4.8600000000000003</v>
      </c>
      <c r="CR164" s="213"/>
      <c r="CS164" s="213"/>
    </row>
    <row r="165" spans="1:97">
      <c r="A165" s="424">
        <v>45451</v>
      </c>
      <c r="B165" s="211" t="s">
        <v>252</v>
      </c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213"/>
      <c r="AI165" s="213"/>
      <c r="AJ165" s="213"/>
      <c r="AK165" s="213"/>
      <c r="AL165" s="213"/>
      <c r="AM165" s="213"/>
      <c r="AN165" s="213"/>
      <c r="AO165" s="213"/>
      <c r="AP165" s="213"/>
      <c r="AQ165" s="213"/>
      <c r="AR165" s="213"/>
      <c r="AS165" s="213"/>
      <c r="AT165" s="213"/>
      <c r="AU165" s="213"/>
      <c r="AV165" s="213"/>
      <c r="AW165" s="213"/>
      <c r="AX165" s="213"/>
      <c r="AY165" s="213"/>
      <c r="AZ165" s="213"/>
      <c r="BA165" s="213"/>
      <c r="BB165" s="213"/>
      <c r="BC165" s="213"/>
      <c r="BD165" s="213"/>
      <c r="BE165" s="213"/>
      <c r="BF165" s="213"/>
      <c r="BG165" s="213"/>
      <c r="BH165" s="213"/>
      <c r="BI165" s="213"/>
      <c r="BJ165" s="213"/>
      <c r="BK165" s="213"/>
      <c r="BL165" s="213"/>
      <c r="BM165" s="213"/>
      <c r="BN165" s="213"/>
      <c r="BO165" s="213"/>
      <c r="BP165" s="213"/>
      <c r="BQ165" s="213"/>
      <c r="BR165" s="213"/>
      <c r="BS165" s="213"/>
      <c r="BT165" s="213"/>
      <c r="BU165" s="213"/>
      <c r="BV165" s="213"/>
      <c r="BW165" s="213"/>
      <c r="BX165" s="213"/>
      <c r="BY165" s="213"/>
      <c r="BZ165" s="213"/>
      <c r="CA165" s="213"/>
      <c r="CB165" s="213"/>
      <c r="CC165" s="213"/>
      <c r="CD165" s="213"/>
      <c r="CE165" s="213"/>
      <c r="CF165" s="213"/>
      <c r="CG165" s="213"/>
      <c r="CH165" s="213"/>
      <c r="CI165" s="213"/>
      <c r="CJ165" s="213"/>
      <c r="CK165" s="213"/>
      <c r="CL165" s="213"/>
      <c r="CM165" s="213"/>
      <c r="CN165" s="213"/>
      <c r="CO165" s="213"/>
      <c r="CP165" s="213"/>
      <c r="CQ165" s="213"/>
      <c r="CR165" s="213"/>
      <c r="CS165" s="213"/>
    </row>
    <row r="166" spans="1:97">
      <c r="A166" s="424">
        <v>45452</v>
      </c>
      <c r="B166" s="211" t="s">
        <v>253</v>
      </c>
      <c r="C166" s="213"/>
      <c r="D166" s="213"/>
      <c r="E166" s="213"/>
      <c r="F166" s="213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13"/>
      <c r="AF166" s="213"/>
      <c r="AG166" s="213"/>
      <c r="AH166" s="213"/>
      <c r="AI166" s="213"/>
      <c r="AJ166" s="213"/>
      <c r="AK166" s="213"/>
      <c r="AL166" s="213"/>
      <c r="AM166" s="213"/>
      <c r="AN166" s="213"/>
      <c r="AO166" s="213"/>
      <c r="AP166" s="213"/>
      <c r="AQ166" s="213"/>
      <c r="AR166" s="213"/>
      <c r="AS166" s="213"/>
      <c r="AT166" s="213"/>
      <c r="AU166" s="213"/>
      <c r="AV166" s="213"/>
      <c r="AW166" s="213"/>
      <c r="AX166" s="213"/>
      <c r="AY166" s="213"/>
      <c r="AZ166" s="213"/>
      <c r="BA166" s="213"/>
      <c r="BB166" s="213"/>
      <c r="BC166" s="213"/>
      <c r="BD166" s="213"/>
      <c r="BE166" s="213"/>
      <c r="BF166" s="213"/>
      <c r="BG166" s="213"/>
      <c r="BH166" s="213"/>
      <c r="BI166" s="213"/>
      <c r="BJ166" s="213"/>
      <c r="BK166" s="213"/>
      <c r="BL166" s="213"/>
      <c r="BM166" s="213"/>
      <c r="BN166" s="213"/>
      <c r="BO166" s="213"/>
      <c r="BP166" s="213"/>
      <c r="BQ166" s="213"/>
      <c r="BR166" s="213"/>
      <c r="BS166" s="213"/>
      <c r="BT166" s="213"/>
      <c r="BU166" s="213"/>
      <c r="BV166" s="213"/>
      <c r="BW166" s="213"/>
      <c r="BX166" s="213"/>
      <c r="BY166" s="213"/>
      <c r="BZ166" s="213"/>
      <c r="CA166" s="213"/>
      <c r="CB166" s="213"/>
      <c r="CC166" s="213"/>
      <c r="CD166" s="213"/>
      <c r="CE166" s="213"/>
      <c r="CF166" s="213"/>
      <c r="CG166" s="213"/>
      <c r="CH166" s="213"/>
      <c r="CI166" s="213"/>
      <c r="CJ166" s="213"/>
      <c r="CK166" s="213"/>
      <c r="CL166" s="213"/>
      <c r="CM166" s="213"/>
      <c r="CN166" s="213"/>
      <c r="CO166" s="213"/>
      <c r="CP166" s="213"/>
      <c r="CQ166" s="213"/>
      <c r="CR166" s="213"/>
      <c r="CS166" s="213"/>
    </row>
    <row r="167" spans="1:97">
      <c r="A167" s="424">
        <v>45453</v>
      </c>
      <c r="B167" s="211" t="s">
        <v>247</v>
      </c>
      <c r="C167" s="213">
        <v>158.01</v>
      </c>
      <c r="D167" s="213">
        <v>156.01</v>
      </c>
      <c r="E167" s="213">
        <v>157.01</v>
      </c>
      <c r="F167" s="213">
        <v>170.73</v>
      </c>
      <c r="G167" s="213">
        <v>167.73</v>
      </c>
      <c r="H167" s="213">
        <v>169.23</v>
      </c>
      <c r="I167" s="213">
        <v>115.66</v>
      </c>
      <c r="J167" s="213">
        <v>112.46</v>
      </c>
      <c r="K167" s="213">
        <v>114.06</v>
      </c>
      <c r="L167" s="213">
        <v>203.72</v>
      </c>
      <c r="M167" s="213">
        <v>195.72</v>
      </c>
      <c r="N167" s="213">
        <v>199.72</v>
      </c>
      <c r="O167" s="213">
        <v>175.96</v>
      </c>
      <c r="P167" s="213">
        <v>174.16</v>
      </c>
      <c r="Q167" s="213">
        <v>175.06</v>
      </c>
      <c r="R167" s="213">
        <v>22.98</v>
      </c>
      <c r="S167" s="213">
        <v>22.38</v>
      </c>
      <c r="T167" s="213">
        <v>22.68</v>
      </c>
      <c r="U167" s="213">
        <v>14.93</v>
      </c>
      <c r="V167" s="213">
        <v>14.33</v>
      </c>
      <c r="W167" s="213">
        <v>14.629999999999999</v>
      </c>
      <c r="X167" s="213">
        <v>15.27</v>
      </c>
      <c r="Y167" s="213">
        <v>14.469999999999999</v>
      </c>
      <c r="Z167" s="213">
        <v>14.87</v>
      </c>
      <c r="AA167" s="213">
        <v>105.23</v>
      </c>
      <c r="AB167" s="213">
        <v>101.23</v>
      </c>
      <c r="AC167" s="213">
        <v>103.23</v>
      </c>
      <c r="AD167" s="213">
        <v>97.79</v>
      </c>
      <c r="AE167" s="213">
        <v>93.79</v>
      </c>
      <c r="AF167" s="213">
        <v>95.79</v>
      </c>
      <c r="AG167" s="213">
        <v>20.53</v>
      </c>
      <c r="AH167" s="213">
        <v>19.670000000000002</v>
      </c>
      <c r="AI167" s="213">
        <v>20.100000000000001</v>
      </c>
      <c r="AJ167" s="213"/>
      <c r="AK167" s="213"/>
      <c r="AL167" s="213"/>
      <c r="AM167" s="213">
        <v>116.89</v>
      </c>
      <c r="AN167" s="213">
        <v>115.23</v>
      </c>
      <c r="AO167" s="213">
        <v>116.06</v>
      </c>
      <c r="AP167" s="213">
        <v>42.73</v>
      </c>
      <c r="AQ167" s="213">
        <v>41.129999999999995</v>
      </c>
      <c r="AR167" s="213">
        <v>41.929999999999993</v>
      </c>
      <c r="AS167" s="213">
        <v>43.5</v>
      </c>
      <c r="AT167" s="213">
        <v>42.14</v>
      </c>
      <c r="AU167" s="213">
        <v>42.82</v>
      </c>
      <c r="AV167" s="213">
        <v>21.91</v>
      </c>
      <c r="AW167" s="213">
        <v>21.31</v>
      </c>
      <c r="AX167" s="213">
        <v>21.61</v>
      </c>
      <c r="AY167" s="213">
        <v>4.34</v>
      </c>
      <c r="AZ167" s="213">
        <v>4.18</v>
      </c>
      <c r="BA167" s="213">
        <v>4.26</v>
      </c>
      <c r="BB167" s="213">
        <v>2.04</v>
      </c>
      <c r="BC167" s="213">
        <v>1.74</v>
      </c>
      <c r="BD167" s="213">
        <v>1.8900000000000001</v>
      </c>
      <c r="BE167" s="213">
        <v>0.72</v>
      </c>
      <c r="BF167" s="213">
        <v>0.42</v>
      </c>
      <c r="BG167" s="213">
        <v>0.56999999999999995</v>
      </c>
      <c r="BH167" s="213">
        <v>519.27</v>
      </c>
      <c r="BI167" s="213">
        <v>503.27</v>
      </c>
      <c r="BJ167" s="213">
        <v>511.27</v>
      </c>
      <c r="BK167" s="213">
        <v>43.81</v>
      </c>
      <c r="BL167" s="213">
        <v>42.45</v>
      </c>
      <c r="BM167" s="213">
        <v>43.13</v>
      </c>
      <c r="BN167" s="213">
        <v>1.0900000000000001</v>
      </c>
      <c r="BO167" s="213">
        <v>0.85000000000000009</v>
      </c>
      <c r="BP167" s="213">
        <v>0.97000000000000008</v>
      </c>
      <c r="BQ167" s="213">
        <v>9.5399999999999991</v>
      </c>
      <c r="BR167" s="213">
        <v>7.5399999999999991</v>
      </c>
      <c r="BS167" s="213">
        <v>8.5399999999999991</v>
      </c>
      <c r="BT167" s="213">
        <v>11.59</v>
      </c>
      <c r="BU167" s="213">
        <v>11.19</v>
      </c>
      <c r="BV167" s="213">
        <v>11.39</v>
      </c>
      <c r="BW167" s="213">
        <v>2.84</v>
      </c>
      <c r="BX167" s="213">
        <v>2.5599999999999996</v>
      </c>
      <c r="BY167" s="213">
        <v>2.6999999999999997</v>
      </c>
      <c r="BZ167" s="213">
        <v>9.81</v>
      </c>
      <c r="CA167" s="213">
        <v>6.8100000000000005</v>
      </c>
      <c r="CB167" s="213">
        <v>8.31</v>
      </c>
      <c r="CC167" s="213">
        <v>6.99</v>
      </c>
      <c r="CD167" s="213">
        <v>6.75</v>
      </c>
      <c r="CE167" s="213">
        <v>6.87</v>
      </c>
      <c r="CF167" s="213">
        <v>2.02</v>
      </c>
      <c r="CG167" s="213">
        <v>1.52</v>
      </c>
      <c r="CH167" s="213">
        <v>1.77</v>
      </c>
      <c r="CI167" s="213">
        <v>0.45</v>
      </c>
      <c r="CJ167" s="213">
        <v>0.41000000000000003</v>
      </c>
      <c r="CK167" s="213">
        <v>0.43000000000000005</v>
      </c>
      <c r="CL167" s="213">
        <v>40.47</v>
      </c>
      <c r="CM167" s="213">
        <v>38.07</v>
      </c>
      <c r="CN167" s="213">
        <v>39.269999999999996</v>
      </c>
      <c r="CO167" s="213">
        <v>7.32</v>
      </c>
      <c r="CP167" s="213">
        <v>2.3200000000000003</v>
      </c>
      <c r="CQ167" s="213">
        <v>4.82</v>
      </c>
      <c r="CR167" s="213"/>
      <c r="CS167" s="213"/>
    </row>
    <row r="168" spans="1:97">
      <c r="A168" s="424">
        <v>45454</v>
      </c>
      <c r="B168" s="211" t="s">
        <v>248</v>
      </c>
      <c r="C168" s="213">
        <v>158.33000000000001</v>
      </c>
      <c r="D168" s="213">
        <v>156.33000000000001</v>
      </c>
      <c r="E168" s="213">
        <v>157.33000000000001</v>
      </c>
      <c r="F168" s="213">
        <v>170.83</v>
      </c>
      <c r="G168" s="213">
        <v>167.83</v>
      </c>
      <c r="H168" s="213">
        <v>169.33</v>
      </c>
      <c r="I168" s="213">
        <v>115.9</v>
      </c>
      <c r="J168" s="213">
        <v>112.7</v>
      </c>
      <c r="K168" s="213">
        <v>114.30000000000001</v>
      </c>
      <c r="L168" s="213">
        <v>204.27</v>
      </c>
      <c r="M168" s="213">
        <v>196.27</v>
      </c>
      <c r="N168" s="213">
        <v>200.27</v>
      </c>
      <c r="O168" s="213">
        <v>176.26</v>
      </c>
      <c r="P168" s="213">
        <v>174.45999999999998</v>
      </c>
      <c r="Q168" s="213">
        <v>175.35999999999999</v>
      </c>
      <c r="R168" s="213">
        <v>23</v>
      </c>
      <c r="S168" s="213">
        <v>22.4</v>
      </c>
      <c r="T168" s="213">
        <v>22.7</v>
      </c>
      <c r="U168" s="213">
        <v>15.08</v>
      </c>
      <c r="V168" s="213">
        <v>14.48</v>
      </c>
      <c r="W168" s="213">
        <v>14.780000000000001</v>
      </c>
      <c r="X168" s="213">
        <v>15.4</v>
      </c>
      <c r="Y168" s="213">
        <v>14.6</v>
      </c>
      <c r="Z168" s="213">
        <v>15</v>
      </c>
      <c r="AA168" s="213">
        <v>105.9</v>
      </c>
      <c r="AB168" s="213">
        <v>101.9</v>
      </c>
      <c r="AC168" s="213">
        <v>103.9</v>
      </c>
      <c r="AD168" s="213">
        <v>98.41</v>
      </c>
      <c r="AE168" s="213">
        <v>94.41</v>
      </c>
      <c r="AF168" s="213">
        <v>96.41</v>
      </c>
      <c r="AG168" s="213">
        <v>20.57</v>
      </c>
      <c r="AH168" s="213">
        <v>19.71</v>
      </c>
      <c r="AI168" s="213">
        <v>20.14</v>
      </c>
      <c r="AJ168" s="213"/>
      <c r="AK168" s="213"/>
      <c r="AL168" s="213"/>
      <c r="AM168" s="213">
        <v>117.1</v>
      </c>
      <c r="AN168" s="213">
        <v>115.44</v>
      </c>
      <c r="AO168" s="213">
        <v>116.27</v>
      </c>
      <c r="AP168" s="213">
        <v>42.82</v>
      </c>
      <c r="AQ168" s="213">
        <v>41.22</v>
      </c>
      <c r="AR168" s="213">
        <v>42.019999999999996</v>
      </c>
      <c r="AS168" s="213">
        <v>43.58</v>
      </c>
      <c r="AT168" s="213">
        <v>42.22</v>
      </c>
      <c r="AU168" s="213">
        <v>42.9</v>
      </c>
      <c r="AV168" s="213">
        <v>21.94</v>
      </c>
      <c r="AW168" s="213">
        <v>21.34</v>
      </c>
      <c r="AX168" s="213">
        <v>21.64</v>
      </c>
      <c r="AY168" s="213">
        <v>4.3600000000000003</v>
      </c>
      <c r="AZ168" s="213">
        <v>4.2</v>
      </c>
      <c r="BA168" s="213">
        <v>4.28</v>
      </c>
      <c r="BB168" s="213">
        <v>2.04</v>
      </c>
      <c r="BC168" s="213">
        <v>1.74</v>
      </c>
      <c r="BD168" s="213">
        <v>1.8900000000000001</v>
      </c>
      <c r="BE168" s="213">
        <v>0.72</v>
      </c>
      <c r="BF168" s="213">
        <v>0.42</v>
      </c>
      <c r="BG168" s="213">
        <v>0.56999999999999995</v>
      </c>
      <c r="BH168" s="213">
        <v>521.80999999999995</v>
      </c>
      <c r="BI168" s="213">
        <v>505.80999999999995</v>
      </c>
      <c r="BJ168" s="213">
        <v>513.80999999999995</v>
      </c>
      <c r="BK168" s="213">
        <v>43.91</v>
      </c>
      <c r="BL168" s="213">
        <v>42.55</v>
      </c>
      <c r="BM168" s="213">
        <v>43.23</v>
      </c>
      <c r="BN168" s="213">
        <v>1.0900000000000001</v>
      </c>
      <c r="BO168" s="213">
        <v>0.85000000000000009</v>
      </c>
      <c r="BP168" s="213">
        <v>0.97000000000000008</v>
      </c>
      <c r="BQ168" s="213">
        <v>9.5500000000000007</v>
      </c>
      <c r="BR168" s="213">
        <v>7.5500000000000007</v>
      </c>
      <c r="BS168" s="213">
        <v>8.5500000000000007</v>
      </c>
      <c r="BT168" s="213">
        <v>11.63</v>
      </c>
      <c r="BU168" s="213">
        <v>11.23</v>
      </c>
      <c r="BV168" s="213">
        <v>11.43</v>
      </c>
      <c r="BW168" s="213">
        <v>2.84</v>
      </c>
      <c r="BX168" s="213">
        <v>2.5599999999999996</v>
      </c>
      <c r="BY168" s="213">
        <v>2.6999999999999997</v>
      </c>
      <c r="BZ168" s="213">
        <v>9.89</v>
      </c>
      <c r="CA168" s="213">
        <v>6.8900000000000006</v>
      </c>
      <c r="CB168" s="213">
        <v>8.39</v>
      </c>
      <c r="CC168" s="213">
        <v>7</v>
      </c>
      <c r="CD168" s="213">
        <v>6.76</v>
      </c>
      <c r="CE168" s="213">
        <v>6.88</v>
      </c>
      <c r="CF168" s="213">
        <v>2.02</v>
      </c>
      <c r="CG168" s="213">
        <v>1.52</v>
      </c>
      <c r="CH168" s="213">
        <v>1.77</v>
      </c>
      <c r="CI168" s="213">
        <v>0.45</v>
      </c>
      <c r="CJ168" s="213">
        <v>0.41000000000000003</v>
      </c>
      <c r="CK168" s="213">
        <v>0.43000000000000005</v>
      </c>
      <c r="CL168" s="213">
        <v>40.380000000000003</v>
      </c>
      <c r="CM168" s="213">
        <v>37.980000000000004</v>
      </c>
      <c r="CN168" s="213">
        <v>39.180000000000007</v>
      </c>
      <c r="CO168" s="213">
        <v>7.37</v>
      </c>
      <c r="CP168" s="213">
        <v>2.37</v>
      </c>
      <c r="CQ168" s="213">
        <v>4.87</v>
      </c>
      <c r="CR168" s="213"/>
      <c r="CS168" s="213"/>
    </row>
    <row r="169" spans="1:97">
      <c r="A169" s="424">
        <v>45455</v>
      </c>
      <c r="B169" s="211" t="s">
        <v>249</v>
      </c>
      <c r="C169" s="213">
        <v>158.21</v>
      </c>
      <c r="D169" s="213">
        <v>156.21</v>
      </c>
      <c r="E169" s="213">
        <v>157.21</v>
      </c>
      <c r="F169" s="213">
        <v>170.28</v>
      </c>
      <c r="G169" s="213">
        <v>167.28</v>
      </c>
      <c r="H169" s="213">
        <v>168.78</v>
      </c>
      <c r="I169" s="213">
        <v>115.87</v>
      </c>
      <c r="J169" s="213">
        <v>112.67</v>
      </c>
      <c r="K169" s="213">
        <v>114.27000000000001</v>
      </c>
      <c r="L169" s="213">
        <v>204.19</v>
      </c>
      <c r="M169" s="213">
        <v>196.19</v>
      </c>
      <c r="N169" s="213">
        <v>200.19</v>
      </c>
      <c r="O169" s="213">
        <v>175.89</v>
      </c>
      <c r="P169" s="213">
        <v>174.08999999999997</v>
      </c>
      <c r="Q169" s="213">
        <v>174.98999999999998</v>
      </c>
      <c r="R169" s="213">
        <v>22.93</v>
      </c>
      <c r="S169" s="213">
        <v>22.33</v>
      </c>
      <c r="T169" s="213">
        <v>22.63</v>
      </c>
      <c r="U169" s="213">
        <v>14.98</v>
      </c>
      <c r="V169" s="213">
        <v>14.38</v>
      </c>
      <c r="W169" s="213">
        <v>14.68</v>
      </c>
      <c r="X169" s="213">
        <v>15.39</v>
      </c>
      <c r="Y169" s="213">
        <v>14.59</v>
      </c>
      <c r="Z169" s="213">
        <v>14.99</v>
      </c>
      <c r="AA169" s="213">
        <v>105.71</v>
      </c>
      <c r="AB169" s="213">
        <v>101.71</v>
      </c>
      <c r="AC169" s="213">
        <v>103.71</v>
      </c>
      <c r="AD169" s="213">
        <v>98.45</v>
      </c>
      <c r="AE169" s="213">
        <v>94.45</v>
      </c>
      <c r="AF169" s="213">
        <v>96.45</v>
      </c>
      <c r="AG169" s="213">
        <v>20.56</v>
      </c>
      <c r="AH169" s="213">
        <v>19.7</v>
      </c>
      <c r="AI169" s="213">
        <v>20.13</v>
      </c>
      <c r="AJ169" s="213"/>
      <c r="AK169" s="213"/>
      <c r="AL169" s="213"/>
      <c r="AM169" s="213">
        <v>117.01</v>
      </c>
      <c r="AN169" s="213">
        <v>115.35000000000001</v>
      </c>
      <c r="AO169" s="213">
        <v>116.18</v>
      </c>
      <c r="AP169" s="213">
        <v>42.79</v>
      </c>
      <c r="AQ169" s="213">
        <v>41.19</v>
      </c>
      <c r="AR169" s="213">
        <v>41.989999999999995</v>
      </c>
      <c r="AS169" s="213">
        <v>43.55</v>
      </c>
      <c r="AT169" s="213">
        <v>42.19</v>
      </c>
      <c r="AU169" s="213">
        <v>42.87</v>
      </c>
      <c r="AV169" s="213">
        <v>21.91</v>
      </c>
      <c r="AW169" s="213">
        <v>21.31</v>
      </c>
      <c r="AX169" s="213">
        <v>21.61</v>
      </c>
      <c r="AY169" s="213">
        <v>4.3600000000000003</v>
      </c>
      <c r="AZ169" s="213">
        <v>4.2</v>
      </c>
      <c r="BA169" s="213">
        <v>4.28</v>
      </c>
      <c r="BB169" s="213">
        <v>2.04</v>
      </c>
      <c r="BC169" s="213">
        <v>1.74</v>
      </c>
      <c r="BD169" s="213">
        <v>1.8900000000000001</v>
      </c>
      <c r="BE169" s="213">
        <v>0.72</v>
      </c>
      <c r="BF169" s="213">
        <v>0.42</v>
      </c>
      <c r="BG169" s="213">
        <v>0.56999999999999995</v>
      </c>
      <c r="BH169" s="213">
        <v>521.59</v>
      </c>
      <c r="BI169" s="213">
        <v>505.59000000000003</v>
      </c>
      <c r="BJ169" s="213">
        <v>513.59</v>
      </c>
      <c r="BK169" s="213">
        <v>43.88</v>
      </c>
      <c r="BL169" s="213">
        <v>42.52</v>
      </c>
      <c r="BM169" s="213">
        <v>43.2</v>
      </c>
      <c r="BN169" s="213">
        <v>1.0900000000000001</v>
      </c>
      <c r="BO169" s="213">
        <v>0.85000000000000009</v>
      </c>
      <c r="BP169" s="213">
        <v>0.97000000000000008</v>
      </c>
      <c r="BQ169" s="213">
        <v>9.4600000000000009</v>
      </c>
      <c r="BR169" s="213">
        <v>7.4600000000000009</v>
      </c>
      <c r="BS169" s="213">
        <v>8.4600000000000009</v>
      </c>
      <c r="BT169" s="213">
        <v>11.61</v>
      </c>
      <c r="BU169" s="213">
        <v>11.209999999999999</v>
      </c>
      <c r="BV169" s="213">
        <v>11.41</v>
      </c>
      <c r="BW169" s="213">
        <v>2.84</v>
      </c>
      <c r="BX169" s="213">
        <v>2.5599999999999996</v>
      </c>
      <c r="BY169" s="213">
        <v>2.6999999999999997</v>
      </c>
      <c r="BZ169" s="213">
        <v>9.9600000000000009</v>
      </c>
      <c r="CA169" s="213">
        <v>6.9600000000000009</v>
      </c>
      <c r="CB169" s="213">
        <v>8.4600000000000009</v>
      </c>
      <c r="CC169" s="213">
        <v>6.95</v>
      </c>
      <c r="CD169" s="213">
        <v>6.71</v>
      </c>
      <c r="CE169" s="213">
        <v>6.83</v>
      </c>
      <c r="CF169" s="213">
        <v>2.0099999999999998</v>
      </c>
      <c r="CG169" s="213">
        <v>1.5099999999999998</v>
      </c>
      <c r="CH169" s="213">
        <v>1.7599999999999998</v>
      </c>
      <c r="CI169" s="213">
        <v>0.45</v>
      </c>
      <c r="CJ169" s="213">
        <v>0.41000000000000003</v>
      </c>
      <c r="CK169" s="213">
        <v>0.43000000000000005</v>
      </c>
      <c r="CL169" s="213">
        <v>40.11</v>
      </c>
      <c r="CM169" s="213">
        <v>37.71</v>
      </c>
      <c r="CN169" s="213">
        <v>38.909999999999997</v>
      </c>
      <c r="CO169" s="213">
        <v>7.37</v>
      </c>
      <c r="CP169" s="213">
        <v>2.37</v>
      </c>
      <c r="CQ169" s="213">
        <v>4.87</v>
      </c>
      <c r="CR169" s="213"/>
      <c r="CS169" s="213"/>
    </row>
    <row r="170" spans="1:97">
      <c r="A170" s="424">
        <v>45456</v>
      </c>
      <c r="B170" s="211" t="s">
        <v>250</v>
      </c>
      <c r="C170" s="213">
        <v>157.88999999999999</v>
      </c>
      <c r="D170" s="213">
        <v>155.88999999999999</v>
      </c>
      <c r="E170" s="213">
        <v>156.88999999999999</v>
      </c>
      <c r="F170" s="213">
        <v>171.11</v>
      </c>
      <c r="G170" s="213">
        <v>168.11</v>
      </c>
      <c r="H170" s="213">
        <v>169.61</v>
      </c>
      <c r="I170" s="213">
        <v>115.88</v>
      </c>
      <c r="J170" s="213">
        <v>112.67999999999999</v>
      </c>
      <c r="K170" s="213">
        <v>114.28</v>
      </c>
      <c r="L170" s="213">
        <v>204.74</v>
      </c>
      <c r="M170" s="213">
        <v>196.74</v>
      </c>
      <c r="N170" s="213">
        <v>200.74</v>
      </c>
      <c r="O170" s="213">
        <v>176.31</v>
      </c>
      <c r="P170" s="213">
        <v>174.51</v>
      </c>
      <c r="Q170" s="213">
        <v>175.41</v>
      </c>
      <c r="R170" s="213">
        <v>23.04</v>
      </c>
      <c r="S170" s="213">
        <v>22.439999999999998</v>
      </c>
      <c r="T170" s="213">
        <v>22.74</v>
      </c>
      <c r="U170" s="213">
        <v>15.13</v>
      </c>
      <c r="V170" s="213">
        <v>14.530000000000001</v>
      </c>
      <c r="W170" s="213">
        <v>14.830000000000002</v>
      </c>
      <c r="X170" s="213">
        <v>15.51</v>
      </c>
      <c r="Y170" s="213">
        <v>14.709999999999999</v>
      </c>
      <c r="Z170" s="213">
        <v>15.11</v>
      </c>
      <c r="AA170" s="213">
        <v>106.43</v>
      </c>
      <c r="AB170" s="213">
        <v>102.43</v>
      </c>
      <c r="AC170" s="213">
        <v>104.43</v>
      </c>
      <c r="AD170" s="213">
        <v>98.97</v>
      </c>
      <c r="AE170" s="213">
        <v>94.97</v>
      </c>
      <c r="AF170" s="213">
        <v>96.97</v>
      </c>
      <c r="AG170" s="213">
        <v>20.52</v>
      </c>
      <c r="AH170" s="213">
        <v>19.66</v>
      </c>
      <c r="AI170" s="213">
        <v>20.09</v>
      </c>
      <c r="AJ170" s="213"/>
      <c r="AK170" s="213"/>
      <c r="AL170" s="213"/>
      <c r="AM170" s="213">
        <v>117.16</v>
      </c>
      <c r="AN170" s="213">
        <v>115.5</v>
      </c>
      <c r="AO170" s="213">
        <v>116.33</v>
      </c>
      <c r="AP170" s="213">
        <v>42.69</v>
      </c>
      <c r="AQ170" s="213">
        <v>41.089999999999996</v>
      </c>
      <c r="AR170" s="213">
        <v>41.89</v>
      </c>
      <c r="AS170" s="213">
        <v>43.46</v>
      </c>
      <c r="AT170" s="213">
        <v>42.1</v>
      </c>
      <c r="AU170" s="213">
        <v>42.78</v>
      </c>
      <c r="AV170" s="213">
        <v>21.9</v>
      </c>
      <c r="AW170" s="213">
        <v>21.299999999999997</v>
      </c>
      <c r="AX170" s="213">
        <v>21.599999999999998</v>
      </c>
      <c r="AY170" s="213">
        <v>4.37</v>
      </c>
      <c r="AZ170" s="213">
        <v>4.21</v>
      </c>
      <c r="BA170" s="213">
        <v>4.29</v>
      </c>
      <c r="BB170" s="213">
        <v>2.04</v>
      </c>
      <c r="BC170" s="213">
        <v>1.74</v>
      </c>
      <c r="BD170" s="213">
        <v>1.8900000000000001</v>
      </c>
      <c r="BE170" s="213">
        <v>0.72</v>
      </c>
      <c r="BF170" s="213">
        <v>0.42</v>
      </c>
      <c r="BG170" s="213">
        <v>0.56999999999999995</v>
      </c>
      <c r="BH170" s="213">
        <v>521.04999999999995</v>
      </c>
      <c r="BI170" s="213">
        <v>505.04999999999995</v>
      </c>
      <c r="BJ170" s="213">
        <v>513.04999999999995</v>
      </c>
      <c r="BK170" s="213">
        <v>43.79</v>
      </c>
      <c r="BL170" s="213">
        <v>42.43</v>
      </c>
      <c r="BM170" s="213">
        <v>43.11</v>
      </c>
      <c r="BN170" s="213">
        <v>1.0900000000000001</v>
      </c>
      <c r="BO170" s="213">
        <v>0.85000000000000009</v>
      </c>
      <c r="BP170" s="213">
        <v>0.97000000000000008</v>
      </c>
      <c r="BQ170" s="213">
        <v>9.34</v>
      </c>
      <c r="BR170" s="213">
        <v>7.34</v>
      </c>
      <c r="BS170" s="213">
        <v>8.34</v>
      </c>
      <c r="BT170" s="213">
        <v>11.68</v>
      </c>
      <c r="BU170" s="213">
        <v>11.28</v>
      </c>
      <c r="BV170" s="213">
        <v>11.48</v>
      </c>
      <c r="BW170" s="213">
        <v>2.83</v>
      </c>
      <c r="BX170" s="213">
        <v>2.5499999999999998</v>
      </c>
      <c r="BY170" s="213">
        <v>2.69</v>
      </c>
      <c r="BZ170" s="213">
        <v>10.039999999999999</v>
      </c>
      <c r="CA170" s="213">
        <v>7.0399999999999991</v>
      </c>
      <c r="CB170" s="213">
        <v>8.5399999999999991</v>
      </c>
      <c r="CC170" s="213">
        <v>7</v>
      </c>
      <c r="CD170" s="213">
        <v>6.76</v>
      </c>
      <c r="CE170" s="213">
        <v>6.88</v>
      </c>
      <c r="CF170" s="213">
        <v>2.0099999999999998</v>
      </c>
      <c r="CG170" s="213">
        <v>1.5099999999999998</v>
      </c>
      <c r="CH170" s="213">
        <v>1.7599999999999998</v>
      </c>
      <c r="CI170" s="213">
        <v>0.45</v>
      </c>
      <c r="CJ170" s="213">
        <v>0.41000000000000003</v>
      </c>
      <c r="CK170" s="213">
        <v>0.43000000000000005</v>
      </c>
      <c r="CL170" s="213">
        <v>40.380000000000003</v>
      </c>
      <c r="CM170" s="213">
        <v>37.980000000000004</v>
      </c>
      <c r="CN170" s="213">
        <v>39.180000000000007</v>
      </c>
      <c r="CO170" s="213">
        <v>7.37</v>
      </c>
      <c r="CP170" s="213">
        <v>2.37</v>
      </c>
      <c r="CQ170" s="213">
        <v>4.87</v>
      </c>
      <c r="CR170" s="213"/>
      <c r="CS170" s="213"/>
    </row>
    <row r="171" spans="1:97">
      <c r="A171" s="424">
        <v>45457</v>
      </c>
      <c r="B171" s="211" t="s">
        <v>251</v>
      </c>
      <c r="C171" s="213">
        <v>158.31</v>
      </c>
      <c r="D171" s="213">
        <v>156.31</v>
      </c>
      <c r="E171" s="213">
        <v>157.31</v>
      </c>
      <c r="F171" s="213">
        <v>170.44</v>
      </c>
      <c r="G171" s="213">
        <v>167.44</v>
      </c>
      <c r="H171" s="213">
        <v>168.94</v>
      </c>
      <c r="I171" s="213">
        <v>116.03</v>
      </c>
      <c r="J171" s="213">
        <v>112.83</v>
      </c>
      <c r="K171" s="213">
        <v>114.43</v>
      </c>
      <c r="L171" s="213">
        <v>204.62</v>
      </c>
      <c r="M171" s="213">
        <v>196.62</v>
      </c>
      <c r="N171" s="213">
        <v>200.62</v>
      </c>
      <c r="O171" s="213">
        <v>176.8</v>
      </c>
      <c r="P171" s="213">
        <v>175</v>
      </c>
      <c r="Q171" s="213">
        <v>175.9</v>
      </c>
      <c r="R171" s="213">
        <v>22.95</v>
      </c>
      <c r="S171" s="213">
        <v>22.349999999999998</v>
      </c>
      <c r="T171" s="213">
        <v>22.65</v>
      </c>
      <c r="U171" s="213">
        <v>15.06</v>
      </c>
      <c r="V171" s="213">
        <v>14.46</v>
      </c>
      <c r="W171" s="213">
        <v>14.760000000000002</v>
      </c>
      <c r="X171" s="213">
        <v>15.4</v>
      </c>
      <c r="Y171" s="213">
        <v>14.6</v>
      </c>
      <c r="Z171" s="213">
        <v>15</v>
      </c>
      <c r="AA171" s="213">
        <v>106.17</v>
      </c>
      <c r="AB171" s="213">
        <v>102.17</v>
      </c>
      <c r="AC171" s="213">
        <v>104.17</v>
      </c>
      <c r="AD171" s="213">
        <v>98.76</v>
      </c>
      <c r="AE171" s="213">
        <v>94.76</v>
      </c>
      <c r="AF171" s="213">
        <v>96.76</v>
      </c>
      <c r="AG171" s="213">
        <v>20.57</v>
      </c>
      <c r="AH171" s="213">
        <v>19.71</v>
      </c>
      <c r="AI171" s="213">
        <v>20.14</v>
      </c>
      <c r="AJ171" s="213"/>
      <c r="AK171" s="213"/>
      <c r="AL171" s="213"/>
      <c r="AM171" s="213">
        <v>117.24</v>
      </c>
      <c r="AN171" s="213">
        <v>115.58</v>
      </c>
      <c r="AO171" s="213">
        <v>116.41</v>
      </c>
      <c r="AP171" s="213">
        <v>42.82</v>
      </c>
      <c r="AQ171" s="213">
        <v>41.22</v>
      </c>
      <c r="AR171" s="213">
        <v>42.019999999999996</v>
      </c>
      <c r="AS171" s="213">
        <v>43.58</v>
      </c>
      <c r="AT171" s="213">
        <v>42.22</v>
      </c>
      <c r="AU171" s="213">
        <v>42.9</v>
      </c>
      <c r="AV171" s="213">
        <v>21.93</v>
      </c>
      <c r="AW171" s="213">
        <v>21.33</v>
      </c>
      <c r="AX171" s="213">
        <v>21.63</v>
      </c>
      <c r="AY171" s="213">
        <v>4.3600000000000003</v>
      </c>
      <c r="AZ171" s="213">
        <v>4.2</v>
      </c>
      <c r="BA171" s="213">
        <v>4.28</v>
      </c>
      <c r="BB171" s="213">
        <v>2.04</v>
      </c>
      <c r="BC171" s="213">
        <v>1.74</v>
      </c>
      <c r="BD171" s="213">
        <v>1.8900000000000001</v>
      </c>
      <c r="BE171" s="213">
        <v>0.72</v>
      </c>
      <c r="BF171" s="213">
        <v>0.42</v>
      </c>
      <c r="BG171" s="213">
        <v>0.56999999999999995</v>
      </c>
      <c r="BH171" s="213">
        <v>522.25</v>
      </c>
      <c r="BI171" s="213">
        <v>506.25</v>
      </c>
      <c r="BJ171" s="213">
        <v>514.25</v>
      </c>
      <c r="BK171" s="213">
        <v>43.91</v>
      </c>
      <c r="BL171" s="213">
        <v>42.55</v>
      </c>
      <c r="BM171" s="213">
        <v>43.23</v>
      </c>
      <c r="BN171" s="213">
        <v>1.0900000000000001</v>
      </c>
      <c r="BO171" s="213">
        <v>0.85000000000000009</v>
      </c>
      <c r="BP171" s="213">
        <v>0.97000000000000008</v>
      </c>
      <c r="BQ171" s="213">
        <v>9.5299999999999994</v>
      </c>
      <c r="BR171" s="213">
        <v>7.5299999999999994</v>
      </c>
      <c r="BS171" s="213">
        <v>8.5299999999999994</v>
      </c>
      <c r="BT171" s="213">
        <v>11.64</v>
      </c>
      <c r="BU171" s="213">
        <v>11.24</v>
      </c>
      <c r="BV171" s="213">
        <v>11.440000000000001</v>
      </c>
      <c r="BW171" s="213">
        <v>2.85</v>
      </c>
      <c r="BX171" s="213">
        <v>2.5700000000000003</v>
      </c>
      <c r="BY171" s="213">
        <v>2.71</v>
      </c>
      <c r="BZ171" s="213">
        <v>10.02</v>
      </c>
      <c r="CA171" s="213">
        <v>7.02</v>
      </c>
      <c r="CB171" s="213">
        <v>8.52</v>
      </c>
      <c r="CC171" s="213">
        <v>6.96</v>
      </c>
      <c r="CD171" s="213">
        <v>6.72</v>
      </c>
      <c r="CE171" s="213">
        <v>6.84</v>
      </c>
      <c r="CF171" s="213">
        <v>2.0499999999999998</v>
      </c>
      <c r="CG171" s="213">
        <v>1.5499999999999998</v>
      </c>
      <c r="CH171" s="213">
        <v>1.7999999999999998</v>
      </c>
      <c r="CI171" s="213">
        <v>0.45</v>
      </c>
      <c r="CJ171" s="213">
        <v>0.41000000000000003</v>
      </c>
      <c r="CK171" s="213">
        <v>0.43000000000000005</v>
      </c>
      <c r="CL171" s="213">
        <v>40.090000000000003</v>
      </c>
      <c r="CM171" s="213">
        <v>37.690000000000005</v>
      </c>
      <c r="CN171" s="213">
        <v>38.89</v>
      </c>
      <c r="CO171" s="213">
        <v>7.38</v>
      </c>
      <c r="CP171" s="213">
        <v>2.38</v>
      </c>
      <c r="CQ171" s="213">
        <v>4.88</v>
      </c>
      <c r="CR171" s="213"/>
      <c r="CS171" s="213"/>
    </row>
    <row r="172" spans="1:97">
      <c r="A172" s="424">
        <v>45458</v>
      </c>
      <c r="B172" s="211" t="s">
        <v>252</v>
      </c>
      <c r="C172" s="213"/>
      <c r="D172" s="213"/>
      <c r="E172" s="213"/>
      <c r="F172" s="213"/>
      <c r="G172" s="213"/>
      <c r="H172" s="213"/>
      <c r="I172" s="213"/>
      <c r="J172" s="213"/>
      <c r="K172" s="213"/>
      <c r="L172" s="213"/>
      <c r="M172" s="213"/>
      <c r="N172" s="213"/>
      <c r="O172" s="213"/>
      <c r="P172" s="213"/>
      <c r="Q172" s="213"/>
      <c r="R172" s="213"/>
      <c r="S172" s="213"/>
      <c r="T172" s="213"/>
      <c r="U172" s="213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13"/>
      <c r="AF172" s="213"/>
      <c r="AG172" s="213"/>
      <c r="AH172" s="213"/>
      <c r="AI172" s="213"/>
      <c r="AJ172" s="213"/>
      <c r="AK172" s="213"/>
      <c r="AL172" s="213"/>
      <c r="AM172" s="213"/>
      <c r="AN172" s="213"/>
      <c r="AO172" s="213"/>
      <c r="AP172" s="213"/>
      <c r="AQ172" s="213"/>
      <c r="AR172" s="213"/>
      <c r="AS172" s="213"/>
      <c r="AT172" s="213"/>
      <c r="AU172" s="213"/>
      <c r="AV172" s="213"/>
      <c r="AW172" s="213"/>
      <c r="AX172" s="213"/>
      <c r="AY172" s="213"/>
      <c r="AZ172" s="213"/>
      <c r="BA172" s="213"/>
      <c r="BB172" s="213"/>
      <c r="BC172" s="213"/>
      <c r="BD172" s="213"/>
      <c r="BE172" s="213"/>
      <c r="BF172" s="213"/>
      <c r="BG172" s="213"/>
      <c r="BH172" s="213"/>
      <c r="BI172" s="213"/>
      <c r="BJ172" s="213"/>
      <c r="BK172" s="213"/>
      <c r="BL172" s="213"/>
      <c r="BM172" s="213"/>
      <c r="BN172" s="213"/>
      <c r="BO172" s="213"/>
      <c r="BP172" s="213"/>
      <c r="BQ172" s="213"/>
      <c r="BR172" s="213"/>
      <c r="BS172" s="213"/>
      <c r="BT172" s="213"/>
      <c r="BU172" s="213"/>
      <c r="BV172" s="213"/>
      <c r="BW172" s="213"/>
      <c r="BX172" s="213"/>
      <c r="BY172" s="213"/>
      <c r="BZ172" s="213"/>
      <c r="CA172" s="213"/>
      <c r="CB172" s="213"/>
      <c r="CC172" s="213"/>
      <c r="CD172" s="213"/>
      <c r="CE172" s="213"/>
      <c r="CF172" s="213"/>
      <c r="CG172" s="213"/>
      <c r="CH172" s="213"/>
      <c r="CI172" s="213"/>
      <c r="CJ172" s="213"/>
      <c r="CK172" s="213"/>
      <c r="CL172" s="213"/>
      <c r="CM172" s="213"/>
      <c r="CN172" s="213"/>
      <c r="CO172" s="213"/>
      <c r="CP172" s="213"/>
      <c r="CQ172" s="213"/>
      <c r="CR172" s="213"/>
      <c r="CS172" s="213"/>
    </row>
    <row r="173" spans="1:97">
      <c r="A173" s="424">
        <v>45459</v>
      </c>
      <c r="B173" s="211" t="s">
        <v>253</v>
      </c>
      <c r="C173" s="213"/>
      <c r="D173" s="213"/>
      <c r="E173" s="213"/>
      <c r="F173" s="213"/>
      <c r="G173" s="213"/>
      <c r="H173" s="213"/>
      <c r="I173" s="213"/>
      <c r="J173" s="213"/>
      <c r="K173" s="213"/>
      <c r="L173" s="213"/>
      <c r="M173" s="213"/>
      <c r="N173" s="213"/>
      <c r="O173" s="213"/>
      <c r="P173" s="213"/>
      <c r="Q173" s="213"/>
      <c r="R173" s="213"/>
      <c r="S173" s="213"/>
      <c r="T173" s="213"/>
      <c r="U173" s="213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13"/>
      <c r="AF173" s="213"/>
      <c r="AG173" s="213"/>
      <c r="AH173" s="213"/>
      <c r="AI173" s="213"/>
      <c r="AJ173" s="213"/>
      <c r="AK173" s="213"/>
      <c r="AL173" s="213"/>
      <c r="AM173" s="213"/>
      <c r="AN173" s="213"/>
      <c r="AO173" s="213"/>
      <c r="AP173" s="213"/>
      <c r="AQ173" s="213"/>
      <c r="AR173" s="213"/>
      <c r="AS173" s="213"/>
      <c r="AT173" s="213"/>
      <c r="AU173" s="213"/>
      <c r="AV173" s="213"/>
      <c r="AW173" s="213"/>
      <c r="AX173" s="213"/>
      <c r="AY173" s="213"/>
      <c r="AZ173" s="213"/>
      <c r="BA173" s="213"/>
      <c r="BB173" s="213"/>
      <c r="BC173" s="213"/>
      <c r="BD173" s="213"/>
      <c r="BE173" s="213"/>
      <c r="BF173" s="213"/>
      <c r="BG173" s="213"/>
      <c r="BH173" s="213"/>
      <c r="BI173" s="213"/>
      <c r="BJ173" s="213"/>
      <c r="BK173" s="213"/>
      <c r="BL173" s="213"/>
      <c r="BM173" s="213"/>
      <c r="BN173" s="213"/>
      <c r="BO173" s="213"/>
      <c r="BP173" s="213"/>
      <c r="BQ173" s="213"/>
      <c r="BR173" s="213"/>
      <c r="BS173" s="213"/>
      <c r="BT173" s="213"/>
      <c r="BU173" s="213"/>
      <c r="BV173" s="213"/>
      <c r="BW173" s="213"/>
      <c r="BX173" s="213"/>
      <c r="BY173" s="213"/>
      <c r="BZ173" s="213"/>
      <c r="CA173" s="213"/>
      <c r="CB173" s="213"/>
      <c r="CC173" s="213"/>
      <c r="CD173" s="213"/>
      <c r="CE173" s="213"/>
      <c r="CF173" s="213"/>
      <c r="CG173" s="213"/>
      <c r="CH173" s="213"/>
      <c r="CI173" s="213"/>
      <c r="CJ173" s="213"/>
      <c r="CK173" s="213"/>
      <c r="CL173" s="213"/>
      <c r="CM173" s="213"/>
      <c r="CN173" s="213"/>
      <c r="CO173" s="213"/>
      <c r="CP173" s="213"/>
      <c r="CQ173" s="213"/>
      <c r="CR173" s="213"/>
      <c r="CS173" s="213"/>
    </row>
    <row r="174" spans="1:97">
      <c r="A174" s="424">
        <v>45460</v>
      </c>
      <c r="B174" s="211" t="s">
        <v>247</v>
      </c>
      <c r="C174" s="213">
        <v>158.53</v>
      </c>
      <c r="D174" s="213">
        <v>156.53</v>
      </c>
      <c r="E174" s="213">
        <v>157.53</v>
      </c>
      <c r="F174" s="213">
        <v>170.14</v>
      </c>
      <c r="G174" s="213">
        <v>167.14</v>
      </c>
      <c r="H174" s="213">
        <v>168.64</v>
      </c>
      <c r="I174" s="213">
        <v>116.29</v>
      </c>
      <c r="J174" s="213">
        <v>113.09</v>
      </c>
      <c r="K174" s="213">
        <v>114.69</v>
      </c>
      <c r="L174" s="213">
        <v>203.87</v>
      </c>
      <c r="M174" s="213">
        <v>195.87</v>
      </c>
      <c r="N174" s="213">
        <v>199.87</v>
      </c>
      <c r="O174" s="213">
        <v>177.74</v>
      </c>
      <c r="P174" s="213">
        <v>175.94</v>
      </c>
      <c r="Q174" s="213">
        <v>176.84</v>
      </c>
      <c r="R174" s="213">
        <v>22.9</v>
      </c>
      <c r="S174" s="213">
        <v>22.299999999999997</v>
      </c>
      <c r="T174" s="213">
        <v>22.599999999999998</v>
      </c>
      <c r="U174" s="213">
        <v>15.07</v>
      </c>
      <c r="V174" s="213">
        <v>14.47</v>
      </c>
      <c r="W174" s="213">
        <v>14.77</v>
      </c>
      <c r="X174" s="213">
        <v>15.37</v>
      </c>
      <c r="Y174" s="213">
        <v>14.569999999999999</v>
      </c>
      <c r="Z174" s="213">
        <v>14.969999999999999</v>
      </c>
      <c r="AA174" s="213">
        <v>106.17</v>
      </c>
      <c r="AB174" s="213">
        <v>102.17</v>
      </c>
      <c r="AC174" s="213">
        <v>104.17</v>
      </c>
      <c r="AD174" s="213">
        <v>98.66</v>
      </c>
      <c r="AE174" s="213">
        <v>94.66</v>
      </c>
      <c r="AF174" s="213">
        <v>96.66</v>
      </c>
      <c r="AG174" s="213">
        <v>20.59</v>
      </c>
      <c r="AH174" s="213">
        <v>19.73</v>
      </c>
      <c r="AI174" s="213">
        <v>20.16</v>
      </c>
      <c r="AJ174" s="213"/>
      <c r="AK174" s="213"/>
      <c r="AL174" s="213"/>
      <c r="AM174" s="213">
        <v>117.3</v>
      </c>
      <c r="AN174" s="213">
        <v>115.64</v>
      </c>
      <c r="AO174" s="213">
        <v>116.47</v>
      </c>
      <c r="AP174" s="213">
        <v>42.88</v>
      </c>
      <c r="AQ174" s="213">
        <v>41.28</v>
      </c>
      <c r="AR174" s="213">
        <v>42.08</v>
      </c>
      <c r="AS174" s="213">
        <v>43.64</v>
      </c>
      <c r="AT174" s="213">
        <v>42.28</v>
      </c>
      <c r="AU174" s="213">
        <v>42.96</v>
      </c>
      <c r="AV174" s="213">
        <v>21.96</v>
      </c>
      <c r="AW174" s="213">
        <v>21.36</v>
      </c>
      <c r="AX174" s="213">
        <v>21.66</v>
      </c>
      <c r="AY174" s="213">
        <v>4.38</v>
      </c>
      <c r="AZ174" s="213">
        <v>4.22</v>
      </c>
      <c r="BA174" s="213">
        <v>4.3</v>
      </c>
      <c r="BB174" s="213">
        <v>2.0499999999999998</v>
      </c>
      <c r="BC174" s="213">
        <v>1.7499999999999998</v>
      </c>
      <c r="BD174" s="213">
        <v>1.9</v>
      </c>
      <c r="BE174" s="213">
        <v>0.72</v>
      </c>
      <c r="BF174" s="213">
        <v>0.42</v>
      </c>
      <c r="BG174" s="213">
        <v>0.56999999999999995</v>
      </c>
      <c r="BH174" s="213">
        <v>522.47</v>
      </c>
      <c r="BI174" s="213">
        <v>506.47</v>
      </c>
      <c r="BJ174" s="213">
        <v>514.47</v>
      </c>
      <c r="BK174" s="213">
        <v>43.97</v>
      </c>
      <c r="BL174" s="213">
        <v>42.61</v>
      </c>
      <c r="BM174" s="213">
        <v>43.29</v>
      </c>
      <c r="BN174" s="213">
        <v>1.08</v>
      </c>
      <c r="BO174" s="213">
        <v>0.84000000000000008</v>
      </c>
      <c r="BP174" s="213">
        <v>0.96000000000000008</v>
      </c>
      <c r="BQ174" s="213">
        <v>9.51</v>
      </c>
      <c r="BR174" s="213">
        <v>7.51</v>
      </c>
      <c r="BS174" s="213">
        <v>8.51</v>
      </c>
      <c r="BT174" s="213">
        <v>11.63</v>
      </c>
      <c r="BU174" s="213">
        <v>11.23</v>
      </c>
      <c r="BV174" s="213">
        <v>11.43</v>
      </c>
      <c r="BW174" s="213">
        <v>2.84</v>
      </c>
      <c r="BX174" s="213">
        <v>2.5599999999999996</v>
      </c>
      <c r="BY174" s="213">
        <v>2.6999999999999997</v>
      </c>
      <c r="BZ174" s="213">
        <v>10.08</v>
      </c>
      <c r="CA174" s="213">
        <v>7.08</v>
      </c>
      <c r="CB174" s="213">
        <v>8.58</v>
      </c>
      <c r="CC174" s="213">
        <v>6.95</v>
      </c>
      <c r="CD174" s="213">
        <v>6.71</v>
      </c>
      <c r="CE174" s="213">
        <v>6.83</v>
      </c>
      <c r="CF174" s="213">
        <v>2.0099999999999998</v>
      </c>
      <c r="CG174" s="213">
        <v>1.5099999999999998</v>
      </c>
      <c r="CH174" s="213">
        <v>1.7599999999999998</v>
      </c>
      <c r="CI174" s="213">
        <v>0.44</v>
      </c>
      <c r="CJ174" s="213">
        <v>0.4</v>
      </c>
      <c r="CK174" s="213">
        <v>0.42000000000000004</v>
      </c>
      <c r="CL174" s="213">
        <v>39.74</v>
      </c>
      <c r="CM174" s="213">
        <v>37.340000000000003</v>
      </c>
      <c r="CN174" s="213">
        <v>38.540000000000006</v>
      </c>
      <c r="CO174" s="213">
        <v>7.34</v>
      </c>
      <c r="CP174" s="213">
        <v>2.34</v>
      </c>
      <c r="CQ174" s="213">
        <v>4.84</v>
      </c>
      <c r="CR174" s="213"/>
      <c r="CS174" s="213"/>
    </row>
    <row r="175" spans="1:97">
      <c r="A175" s="424">
        <v>45461</v>
      </c>
      <c r="B175" s="211" t="s">
        <v>248</v>
      </c>
      <c r="C175" s="213">
        <v>158.74</v>
      </c>
      <c r="D175" s="213">
        <v>156.74</v>
      </c>
      <c r="E175" s="213">
        <v>157.74</v>
      </c>
      <c r="F175" s="213">
        <v>170.83</v>
      </c>
      <c r="G175" s="213">
        <v>167.83</v>
      </c>
      <c r="H175" s="213">
        <v>169.33</v>
      </c>
      <c r="I175" s="213">
        <v>116.6</v>
      </c>
      <c r="J175" s="213">
        <v>113.39999999999999</v>
      </c>
      <c r="K175" s="213">
        <v>115</v>
      </c>
      <c r="L175" s="213">
        <v>204.52</v>
      </c>
      <c r="M175" s="213">
        <v>196.52</v>
      </c>
      <c r="N175" s="213">
        <v>200.52</v>
      </c>
      <c r="O175" s="213">
        <v>178.5</v>
      </c>
      <c r="P175" s="213">
        <v>176.7</v>
      </c>
      <c r="Q175" s="213">
        <v>177.6</v>
      </c>
      <c r="R175" s="213">
        <v>23</v>
      </c>
      <c r="S175" s="213">
        <v>22.4</v>
      </c>
      <c r="T175" s="213">
        <v>22.7</v>
      </c>
      <c r="U175" s="213">
        <v>15.09</v>
      </c>
      <c r="V175" s="213">
        <v>14.49</v>
      </c>
      <c r="W175" s="213">
        <v>14.79</v>
      </c>
      <c r="X175" s="213">
        <v>15.45</v>
      </c>
      <c r="Y175" s="213">
        <v>14.649999999999999</v>
      </c>
      <c r="Z175" s="213">
        <v>15.049999999999999</v>
      </c>
      <c r="AA175" s="213">
        <v>106.39</v>
      </c>
      <c r="AB175" s="213">
        <v>102.39</v>
      </c>
      <c r="AC175" s="213">
        <v>104.39</v>
      </c>
      <c r="AD175" s="213">
        <v>98.82</v>
      </c>
      <c r="AE175" s="213">
        <v>94.82</v>
      </c>
      <c r="AF175" s="213">
        <v>96.82</v>
      </c>
      <c r="AG175" s="213">
        <v>20.62</v>
      </c>
      <c r="AH175" s="213">
        <v>19.760000000000002</v>
      </c>
      <c r="AI175" s="213">
        <v>20.190000000000001</v>
      </c>
      <c r="AJ175" s="213"/>
      <c r="AK175" s="213"/>
      <c r="AL175" s="213"/>
      <c r="AM175" s="213">
        <v>117.49</v>
      </c>
      <c r="AN175" s="213">
        <v>115.83</v>
      </c>
      <c r="AO175" s="213">
        <v>116.66</v>
      </c>
      <c r="AP175" s="213">
        <v>42.91</v>
      </c>
      <c r="AQ175" s="213">
        <v>41.309999999999995</v>
      </c>
      <c r="AR175" s="213">
        <v>42.11</v>
      </c>
      <c r="AS175" s="213">
        <v>43.7</v>
      </c>
      <c r="AT175" s="213">
        <v>42.34</v>
      </c>
      <c r="AU175" s="213">
        <v>43.02</v>
      </c>
      <c r="AV175" s="213">
        <v>21.99</v>
      </c>
      <c r="AW175" s="213">
        <v>21.389999999999997</v>
      </c>
      <c r="AX175" s="213">
        <v>21.689999999999998</v>
      </c>
      <c r="AY175" s="213">
        <v>4.37</v>
      </c>
      <c r="AZ175" s="213">
        <v>4.21</v>
      </c>
      <c r="BA175" s="213">
        <v>4.29</v>
      </c>
      <c r="BB175" s="213">
        <v>2.0499999999999998</v>
      </c>
      <c r="BC175" s="213">
        <v>1.7499999999999998</v>
      </c>
      <c r="BD175" s="213">
        <v>1.9</v>
      </c>
      <c r="BE175" s="213">
        <v>0.72</v>
      </c>
      <c r="BF175" s="213">
        <v>0.42</v>
      </c>
      <c r="BG175" s="213">
        <v>0.56999999999999995</v>
      </c>
      <c r="BH175" s="213">
        <v>523.15</v>
      </c>
      <c r="BI175" s="213">
        <v>507.15</v>
      </c>
      <c r="BJ175" s="213">
        <v>515.15</v>
      </c>
      <c r="BK175" s="213">
        <v>44.03</v>
      </c>
      <c r="BL175" s="213">
        <v>42.67</v>
      </c>
      <c r="BM175" s="213">
        <v>43.35</v>
      </c>
      <c r="BN175" s="213">
        <v>1.0900000000000001</v>
      </c>
      <c r="BO175" s="213">
        <v>0.85000000000000009</v>
      </c>
      <c r="BP175" s="213">
        <v>0.97000000000000008</v>
      </c>
      <c r="BQ175" s="213">
        <v>9.51</v>
      </c>
      <c r="BR175" s="213">
        <v>7.51</v>
      </c>
      <c r="BS175" s="213">
        <v>8.51</v>
      </c>
      <c r="BT175" s="213">
        <v>11.64</v>
      </c>
      <c r="BU175" s="213">
        <v>11.24</v>
      </c>
      <c r="BV175" s="213">
        <v>11.440000000000001</v>
      </c>
      <c r="BW175" s="213">
        <v>2.85</v>
      </c>
      <c r="BX175" s="213">
        <v>2.5700000000000003</v>
      </c>
      <c r="BY175" s="213">
        <v>2.71</v>
      </c>
      <c r="BZ175" s="213">
        <v>10.15</v>
      </c>
      <c r="CA175" s="213">
        <v>7.15</v>
      </c>
      <c r="CB175" s="213">
        <v>8.65</v>
      </c>
      <c r="CC175" s="213">
        <v>6.98</v>
      </c>
      <c r="CD175" s="213">
        <v>6.74</v>
      </c>
      <c r="CE175" s="213">
        <v>6.86</v>
      </c>
      <c r="CF175" s="213">
        <v>2.0299999999999998</v>
      </c>
      <c r="CG175" s="213">
        <v>1.5299999999999998</v>
      </c>
      <c r="CH175" s="213">
        <v>1.7799999999999998</v>
      </c>
      <c r="CI175" s="213">
        <v>0.45</v>
      </c>
      <c r="CJ175" s="213">
        <v>0.41000000000000003</v>
      </c>
      <c r="CK175" s="213">
        <v>0.43000000000000005</v>
      </c>
      <c r="CL175" s="213">
        <v>40.18</v>
      </c>
      <c r="CM175" s="213">
        <v>37.78</v>
      </c>
      <c r="CN175" s="213">
        <v>38.980000000000004</v>
      </c>
      <c r="CO175" s="213">
        <v>7.31</v>
      </c>
      <c r="CP175" s="213">
        <v>2.3099999999999996</v>
      </c>
      <c r="CQ175" s="213">
        <v>4.8099999999999996</v>
      </c>
      <c r="CR175" s="213"/>
      <c r="CS175" s="213"/>
    </row>
    <row r="176" spans="1:97">
      <c r="A176" s="424">
        <v>45462</v>
      </c>
      <c r="B176" s="211" t="s">
        <v>249</v>
      </c>
      <c r="C176" s="213">
        <v>158.96</v>
      </c>
      <c r="D176" s="213">
        <v>156.96</v>
      </c>
      <c r="E176" s="213">
        <v>157.96</v>
      </c>
      <c r="F176" s="213">
        <v>171.09</v>
      </c>
      <c r="G176" s="213">
        <v>168.09</v>
      </c>
      <c r="H176" s="213">
        <v>169.59</v>
      </c>
      <c r="I176" s="213">
        <v>116.71</v>
      </c>
      <c r="J176" s="213">
        <v>113.50999999999999</v>
      </c>
      <c r="K176" s="213">
        <v>115.10999999999999</v>
      </c>
      <c r="L176" s="213">
        <v>204.67</v>
      </c>
      <c r="M176" s="213">
        <v>196.67</v>
      </c>
      <c r="N176" s="213">
        <v>200.67</v>
      </c>
      <c r="O176" s="213">
        <v>179.51</v>
      </c>
      <c r="P176" s="213">
        <v>177.70999999999998</v>
      </c>
      <c r="Q176" s="213">
        <v>178.60999999999999</v>
      </c>
      <c r="R176" s="213">
        <v>23.03</v>
      </c>
      <c r="S176" s="213">
        <v>22.43</v>
      </c>
      <c r="T176" s="213">
        <v>22.73</v>
      </c>
      <c r="U176" s="213">
        <v>15.22</v>
      </c>
      <c r="V176" s="213">
        <v>14.620000000000001</v>
      </c>
      <c r="W176" s="213">
        <v>14.920000000000002</v>
      </c>
      <c r="X176" s="213">
        <v>15.51</v>
      </c>
      <c r="Y176" s="213">
        <v>14.709999999999999</v>
      </c>
      <c r="Z176" s="213">
        <v>15.11</v>
      </c>
      <c r="AA176" s="213">
        <v>107.2</v>
      </c>
      <c r="AB176" s="213">
        <v>103.2</v>
      </c>
      <c r="AC176" s="213">
        <v>105.2</v>
      </c>
      <c r="AD176" s="213">
        <v>98.94</v>
      </c>
      <c r="AE176" s="213">
        <v>94.94</v>
      </c>
      <c r="AF176" s="213">
        <v>96.94</v>
      </c>
      <c r="AG176" s="213">
        <v>20.66</v>
      </c>
      <c r="AH176" s="213">
        <v>19.8</v>
      </c>
      <c r="AI176" s="213">
        <v>20.23</v>
      </c>
      <c r="AJ176" s="213"/>
      <c r="AK176" s="213"/>
      <c r="AL176" s="213"/>
      <c r="AM176" s="213">
        <v>117.69</v>
      </c>
      <c r="AN176" s="213">
        <v>116.03</v>
      </c>
      <c r="AO176" s="213">
        <v>116.86</v>
      </c>
      <c r="AP176" s="213">
        <v>42.97</v>
      </c>
      <c r="AQ176" s="213">
        <v>41.37</v>
      </c>
      <c r="AR176" s="213">
        <v>42.17</v>
      </c>
      <c r="AS176" s="213">
        <v>43.76</v>
      </c>
      <c r="AT176" s="213">
        <v>42.4</v>
      </c>
      <c r="AU176" s="213">
        <v>43.08</v>
      </c>
      <c r="AV176" s="213">
        <v>22.01</v>
      </c>
      <c r="AW176" s="213">
        <v>21.41</v>
      </c>
      <c r="AX176" s="213">
        <v>21.71</v>
      </c>
      <c r="AY176" s="213">
        <v>4.38</v>
      </c>
      <c r="AZ176" s="213">
        <v>4.22</v>
      </c>
      <c r="BA176" s="213">
        <v>4.3</v>
      </c>
      <c r="BB176" s="213">
        <v>2.0499999999999998</v>
      </c>
      <c r="BC176" s="213">
        <v>1.7499999999999998</v>
      </c>
      <c r="BD176" s="213">
        <v>1.9</v>
      </c>
      <c r="BE176" s="213">
        <v>0.72</v>
      </c>
      <c r="BF176" s="213">
        <v>0.42</v>
      </c>
      <c r="BG176" s="213">
        <v>0.56999999999999995</v>
      </c>
      <c r="BH176" s="213">
        <v>524.04</v>
      </c>
      <c r="BI176" s="213">
        <v>508.03999999999996</v>
      </c>
      <c r="BJ176" s="213">
        <v>516.04</v>
      </c>
      <c r="BK176" s="213">
        <v>44.09</v>
      </c>
      <c r="BL176" s="213">
        <v>42.730000000000004</v>
      </c>
      <c r="BM176" s="213">
        <v>43.410000000000004</v>
      </c>
      <c r="BN176" s="213">
        <v>1.0900000000000001</v>
      </c>
      <c r="BO176" s="213">
        <v>0.85000000000000009</v>
      </c>
      <c r="BP176" s="213">
        <v>0.97000000000000008</v>
      </c>
      <c r="BQ176" s="213">
        <v>9.58</v>
      </c>
      <c r="BR176" s="213">
        <v>7.58</v>
      </c>
      <c r="BS176" s="213">
        <v>8.58</v>
      </c>
      <c r="BT176" s="213">
        <v>11.65</v>
      </c>
      <c r="BU176" s="213">
        <v>11.25</v>
      </c>
      <c r="BV176" s="213">
        <v>11.45</v>
      </c>
      <c r="BW176" s="213">
        <v>2.85</v>
      </c>
      <c r="BX176" s="213">
        <v>2.5700000000000003</v>
      </c>
      <c r="BY176" s="213">
        <v>2.71</v>
      </c>
      <c r="BZ176" s="213">
        <v>10.25</v>
      </c>
      <c r="CA176" s="213">
        <v>7.25</v>
      </c>
      <c r="CB176" s="213">
        <v>8.75</v>
      </c>
      <c r="CC176" s="213">
        <v>6.95</v>
      </c>
      <c r="CD176" s="213">
        <v>6.71</v>
      </c>
      <c r="CE176" s="213">
        <v>6.83</v>
      </c>
      <c r="CF176" s="213">
        <v>2.1</v>
      </c>
      <c r="CG176" s="213">
        <v>1.6</v>
      </c>
      <c r="CH176" s="213">
        <v>1.85</v>
      </c>
      <c r="CI176" s="213">
        <v>0.45</v>
      </c>
      <c r="CJ176" s="213">
        <v>0.41000000000000003</v>
      </c>
      <c r="CK176" s="213">
        <v>0.43000000000000005</v>
      </c>
      <c r="CL176" s="213">
        <v>40.31</v>
      </c>
      <c r="CM176" s="213">
        <v>37.910000000000004</v>
      </c>
      <c r="CN176" s="213">
        <v>39.11</v>
      </c>
      <c r="CO176" s="213">
        <v>7.37</v>
      </c>
      <c r="CP176" s="213">
        <v>2.37</v>
      </c>
      <c r="CQ176" s="213">
        <v>4.87</v>
      </c>
      <c r="CR176" s="213"/>
      <c r="CS176" s="213"/>
    </row>
    <row r="177" spans="1:97">
      <c r="A177" s="424">
        <v>45463</v>
      </c>
      <c r="B177" s="211" t="s">
        <v>250</v>
      </c>
      <c r="C177" s="213">
        <v>159.16</v>
      </c>
      <c r="D177" s="213">
        <v>157.16</v>
      </c>
      <c r="E177" s="213">
        <v>158.16</v>
      </c>
      <c r="F177" s="213">
        <v>171.47</v>
      </c>
      <c r="G177" s="213">
        <v>168.47</v>
      </c>
      <c r="H177" s="213">
        <v>169.97</v>
      </c>
      <c r="I177" s="213">
        <v>116.94</v>
      </c>
      <c r="J177" s="213">
        <v>113.74</v>
      </c>
      <c r="K177" s="213">
        <v>115.34</v>
      </c>
      <c r="L177" s="213">
        <v>205.16</v>
      </c>
      <c r="M177" s="213">
        <v>197.16</v>
      </c>
      <c r="N177" s="213">
        <v>201.16</v>
      </c>
      <c r="O177" s="213">
        <v>179.75</v>
      </c>
      <c r="P177" s="213">
        <v>177.95</v>
      </c>
      <c r="Q177" s="213">
        <v>178.85</v>
      </c>
      <c r="R177" s="213">
        <v>23.09</v>
      </c>
      <c r="S177" s="213">
        <v>22.49</v>
      </c>
      <c r="T177" s="213">
        <v>22.79</v>
      </c>
      <c r="U177" s="213">
        <v>15.27</v>
      </c>
      <c r="V177" s="213">
        <v>14.67</v>
      </c>
      <c r="W177" s="213">
        <v>14.969999999999999</v>
      </c>
      <c r="X177" s="213">
        <v>15.53</v>
      </c>
      <c r="Y177" s="213">
        <v>14.729999999999999</v>
      </c>
      <c r="Z177" s="213">
        <v>15.129999999999999</v>
      </c>
      <c r="AA177" s="213">
        <v>107.56</v>
      </c>
      <c r="AB177" s="213">
        <v>103.56</v>
      </c>
      <c r="AC177" s="213">
        <v>105.56</v>
      </c>
      <c r="AD177" s="213">
        <v>99.02</v>
      </c>
      <c r="AE177" s="213">
        <v>95.02</v>
      </c>
      <c r="AF177" s="213">
        <v>97.02</v>
      </c>
      <c r="AG177" s="213">
        <v>20.69</v>
      </c>
      <c r="AH177" s="213">
        <v>19.830000000000002</v>
      </c>
      <c r="AI177" s="213">
        <v>20.260000000000002</v>
      </c>
      <c r="AJ177" s="213"/>
      <c r="AK177" s="213"/>
      <c r="AL177" s="213"/>
      <c r="AM177" s="213">
        <v>117.94</v>
      </c>
      <c r="AN177" s="213">
        <v>116.28</v>
      </c>
      <c r="AO177" s="213">
        <v>117.11</v>
      </c>
      <c r="AP177" s="213">
        <v>43.03</v>
      </c>
      <c r="AQ177" s="213">
        <v>41.43</v>
      </c>
      <c r="AR177" s="213">
        <v>42.230000000000004</v>
      </c>
      <c r="AS177" s="213">
        <v>43.81</v>
      </c>
      <c r="AT177" s="213">
        <v>42.45</v>
      </c>
      <c r="AU177" s="213">
        <v>43.13</v>
      </c>
      <c r="AV177" s="213">
        <v>22.02</v>
      </c>
      <c r="AW177" s="213">
        <v>21.419999999999998</v>
      </c>
      <c r="AX177" s="213">
        <v>21.72</v>
      </c>
      <c r="AY177" s="213">
        <v>4.4000000000000004</v>
      </c>
      <c r="AZ177" s="213">
        <v>4.24</v>
      </c>
      <c r="BA177" s="213">
        <v>4.32</v>
      </c>
      <c r="BB177" s="213">
        <v>2.06</v>
      </c>
      <c r="BC177" s="213">
        <v>1.76</v>
      </c>
      <c r="BD177" s="213">
        <v>1.9100000000000001</v>
      </c>
      <c r="BE177" s="213">
        <v>0.72</v>
      </c>
      <c r="BF177" s="213">
        <v>0.42</v>
      </c>
      <c r="BG177" s="213">
        <v>0.56999999999999995</v>
      </c>
      <c r="BH177" s="213">
        <v>524.86</v>
      </c>
      <c r="BI177" s="213">
        <v>508.86</v>
      </c>
      <c r="BJ177" s="213">
        <v>516.86</v>
      </c>
      <c r="BK177" s="213">
        <v>44.14</v>
      </c>
      <c r="BL177" s="213">
        <v>42.78</v>
      </c>
      <c r="BM177" s="213">
        <v>43.46</v>
      </c>
      <c r="BN177" s="213">
        <v>1.0900000000000001</v>
      </c>
      <c r="BO177" s="213">
        <v>0.85000000000000009</v>
      </c>
      <c r="BP177" s="213">
        <v>0.97000000000000008</v>
      </c>
      <c r="BQ177" s="213">
        <v>9.58</v>
      </c>
      <c r="BR177" s="213">
        <v>7.58</v>
      </c>
      <c r="BS177" s="213">
        <v>8.58</v>
      </c>
      <c r="BT177" s="213">
        <v>11.66</v>
      </c>
      <c r="BU177" s="213">
        <v>11.26</v>
      </c>
      <c r="BV177" s="213">
        <v>11.46</v>
      </c>
      <c r="BW177" s="213">
        <v>2.85</v>
      </c>
      <c r="BX177" s="213">
        <v>2.5700000000000003</v>
      </c>
      <c r="BY177" s="213">
        <v>2.71</v>
      </c>
      <c r="BZ177" s="213">
        <v>10.31</v>
      </c>
      <c r="CA177" s="213">
        <v>7.3100000000000005</v>
      </c>
      <c r="CB177" s="213">
        <v>8.81</v>
      </c>
      <c r="CC177" s="213">
        <v>6.95</v>
      </c>
      <c r="CD177" s="213">
        <v>6.71</v>
      </c>
      <c r="CE177" s="213">
        <v>6.83</v>
      </c>
      <c r="CF177" s="213">
        <v>2.17</v>
      </c>
      <c r="CG177" s="213">
        <v>1.67</v>
      </c>
      <c r="CH177" s="213">
        <v>1.92</v>
      </c>
      <c r="CI177" s="213">
        <v>0.45</v>
      </c>
      <c r="CJ177" s="213">
        <v>0.41000000000000003</v>
      </c>
      <c r="CK177" s="213">
        <v>0.43000000000000005</v>
      </c>
      <c r="CL177" s="213">
        <v>40.520000000000003</v>
      </c>
      <c r="CM177" s="213">
        <v>38.120000000000005</v>
      </c>
      <c r="CN177" s="213">
        <v>39.320000000000007</v>
      </c>
      <c r="CO177" s="213">
        <v>7.37</v>
      </c>
      <c r="CP177" s="213">
        <v>2.37</v>
      </c>
      <c r="CQ177" s="213">
        <v>4.87</v>
      </c>
      <c r="CR177" s="213"/>
      <c r="CS177" s="213"/>
    </row>
    <row r="178" spans="1:97">
      <c r="A178" s="424">
        <v>45464</v>
      </c>
      <c r="B178" s="211" t="s">
        <v>251</v>
      </c>
      <c r="C178" s="213">
        <v>160.1</v>
      </c>
      <c r="D178" s="213">
        <v>158.1</v>
      </c>
      <c r="E178" s="213">
        <v>159.1</v>
      </c>
      <c r="F178" s="213">
        <v>171.83</v>
      </c>
      <c r="G178" s="213">
        <v>168.83</v>
      </c>
      <c r="H178" s="213">
        <v>170.33</v>
      </c>
      <c r="I178" s="213">
        <v>117.82</v>
      </c>
      <c r="J178" s="213">
        <v>114.61999999999999</v>
      </c>
      <c r="K178" s="213">
        <v>116.22</v>
      </c>
      <c r="L178" s="213">
        <v>205.37</v>
      </c>
      <c r="M178" s="213">
        <v>197.37</v>
      </c>
      <c r="N178" s="213">
        <v>201.37</v>
      </c>
      <c r="O178" s="213">
        <v>179.26</v>
      </c>
      <c r="P178" s="213">
        <v>177.45999999999998</v>
      </c>
      <c r="Q178" s="213">
        <v>178.35999999999999</v>
      </c>
      <c r="R178" s="213">
        <v>23.13</v>
      </c>
      <c r="S178" s="213">
        <v>22.529999999999998</v>
      </c>
      <c r="T178" s="213">
        <v>22.83</v>
      </c>
      <c r="U178" s="213">
        <v>15.4</v>
      </c>
      <c r="V178" s="213">
        <v>14.8</v>
      </c>
      <c r="W178" s="213">
        <v>15.100000000000001</v>
      </c>
      <c r="X178" s="213">
        <v>15.55</v>
      </c>
      <c r="Y178" s="213">
        <v>14.75</v>
      </c>
      <c r="Z178" s="213">
        <v>15.15</v>
      </c>
      <c r="AA178" s="213">
        <v>107.9</v>
      </c>
      <c r="AB178" s="213">
        <v>103.9</v>
      </c>
      <c r="AC178" s="213">
        <v>105.9</v>
      </c>
      <c r="AD178" s="213">
        <v>99.34</v>
      </c>
      <c r="AE178" s="213">
        <v>95.34</v>
      </c>
      <c r="AF178" s="213">
        <v>97.34</v>
      </c>
      <c r="AG178" s="213">
        <v>20.82</v>
      </c>
      <c r="AH178" s="213">
        <v>19.96</v>
      </c>
      <c r="AI178" s="213">
        <v>20.39</v>
      </c>
      <c r="AJ178" s="213"/>
      <c r="AK178" s="213"/>
      <c r="AL178" s="213"/>
      <c r="AM178" s="213">
        <v>118.31</v>
      </c>
      <c r="AN178" s="213">
        <v>116.65</v>
      </c>
      <c r="AO178" s="213">
        <v>117.48</v>
      </c>
      <c r="AP178" s="213">
        <v>43.28</v>
      </c>
      <c r="AQ178" s="213">
        <v>41.68</v>
      </c>
      <c r="AR178" s="213">
        <v>42.480000000000004</v>
      </c>
      <c r="AS178" s="213">
        <v>44.07</v>
      </c>
      <c r="AT178" s="213">
        <v>42.71</v>
      </c>
      <c r="AU178" s="213">
        <v>43.39</v>
      </c>
      <c r="AV178" s="213">
        <v>22.11</v>
      </c>
      <c r="AW178" s="213">
        <v>21.509999999999998</v>
      </c>
      <c r="AX178" s="213">
        <v>21.81</v>
      </c>
      <c r="AY178" s="213">
        <v>4.42</v>
      </c>
      <c r="AZ178" s="213">
        <v>4.26</v>
      </c>
      <c r="BA178" s="213">
        <v>4.34</v>
      </c>
      <c r="BB178" s="213">
        <v>2.06</v>
      </c>
      <c r="BC178" s="213">
        <v>1.76</v>
      </c>
      <c r="BD178" s="213">
        <v>1.9100000000000001</v>
      </c>
      <c r="BE178" s="213">
        <v>0.73</v>
      </c>
      <c r="BF178" s="213">
        <v>0.43</v>
      </c>
      <c r="BG178" s="213">
        <v>0.57999999999999996</v>
      </c>
      <c r="BH178" s="213">
        <v>527.6</v>
      </c>
      <c r="BI178" s="213">
        <v>511.6</v>
      </c>
      <c r="BJ178" s="213">
        <v>519.6</v>
      </c>
      <c r="BK178" s="213">
        <v>44.4</v>
      </c>
      <c r="BL178" s="213">
        <v>43.04</v>
      </c>
      <c r="BM178" s="213">
        <v>43.72</v>
      </c>
      <c r="BN178" s="213">
        <v>1.0900000000000001</v>
      </c>
      <c r="BO178" s="213">
        <v>0.85000000000000009</v>
      </c>
      <c r="BP178" s="213">
        <v>0.97000000000000008</v>
      </c>
      <c r="BQ178" s="213">
        <v>9.67</v>
      </c>
      <c r="BR178" s="213">
        <v>7.67</v>
      </c>
      <c r="BS178" s="213">
        <v>8.67</v>
      </c>
      <c r="BT178" s="213">
        <v>11.66</v>
      </c>
      <c r="BU178" s="213">
        <v>11.26</v>
      </c>
      <c r="BV178" s="213">
        <v>11.46</v>
      </c>
      <c r="BW178" s="213">
        <v>2.87</v>
      </c>
      <c r="BX178" s="213">
        <v>2.59</v>
      </c>
      <c r="BY178" s="213">
        <v>2.73</v>
      </c>
      <c r="BZ178" s="213">
        <v>10.35</v>
      </c>
      <c r="CA178" s="213">
        <v>7.35</v>
      </c>
      <c r="CB178" s="213">
        <v>8.85</v>
      </c>
      <c r="CC178" s="213">
        <v>6.96</v>
      </c>
      <c r="CD178" s="213">
        <v>6.72</v>
      </c>
      <c r="CE178" s="213">
        <v>6.84</v>
      </c>
      <c r="CF178" s="213">
        <v>2.0699999999999998</v>
      </c>
      <c r="CG178" s="213">
        <v>1.5699999999999998</v>
      </c>
      <c r="CH178" s="213">
        <v>1.8199999999999998</v>
      </c>
      <c r="CI178" s="213">
        <v>0.45</v>
      </c>
      <c r="CJ178" s="213">
        <v>0.41000000000000003</v>
      </c>
      <c r="CK178" s="213">
        <v>0.43000000000000005</v>
      </c>
      <c r="CL178" s="213">
        <v>40.590000000000003</v>
      </c>
      <c r="CM178" s="213">
        <v>38.190000000000005</v>
      </c>
      <c r="CN178" s="213">
        <v>39.39</v>
      </c>
      <c r="CO178" s="213">
        <v>7.37</v>
      </c>
      <c r="CP178" s="213">
        <v>2.37</v>
      </c>
      <c r="CQ178" s="213">
        <v>4.87</v>
      </c>
      <c r="CR178" s="213"/>
      <c r="CS178" s="213"/>
    </row>
    <row r="179" spans="1:97">
      <c r="A179" s="424">
        <v>45465</v>
      </c>
      <c r="B179" s="211" t="s">
        <v>252</v>
      </c>
      <c r="C179" s="213"/>
      <c r="D179" s="213"/>
      <c r="E179" s="213"/>
      <c r="F179" s="213"/>
      <c r="G179" s="213"/>
      <c r="H179" s="213"/>
      <c r="I179" s="213"/>
      <c r="J179" s="213"/>
      <c r="K179" s="213"/>
      <c r="L179" s="213"/>
      <c r="M179" s="213"/>
      <c r="N179" s="213"/>
      <c r="O179" s="213"/>
      <c r="P179" s="213"/>
      <c r="Q179" s="213"/>
      <c r="R179" s="213"/>
      <c r="S179" s="213"/>
      <c r="T179" s="213"/>
      <c r="U179" s="21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13"/>
      <c r="AF179" s="213"/>
      <c r="AG179" s="213"/>
      <c r="AH179" s="213"/>
      <c r="AI179" s="213"/>
      <c r="AJ179" s="213"/>
      <c r="AK179" s="213"/>
      <c r="AL179" s="213"/>
      <c r="AM179" s="213"/>
      <c r="AN179" s="213"/>
      <c r="AO179" s="213"/>
      <c r="AP179" s="213"/>
      <c r="AQ179" s="213"/>
      <c r="AR179" s="213"/>
      <c r="AS179" s="213"/>
      <c r="AT179" s="213"/>
      <c r="AU179" s="213"/>
      <c r="AV179" s="213"/>
      <c r="AW179" s="213"/>
      <c r="AX179" s="213"/>
      <c r="AY179" s="213"/>
      <c r="AZ179" s="213"/>
      <c r="BA179" s="213"/>
      <c r="BB179" s="213"/>
      <c r="BC179" s="213"/>
      <c r="BD179" s="213"/>
      <c r="BE179" s="213"/>
      <c r="BF179" s="213"/>
      <c r="BG179" s="213"/>
      <c r="BH179" s="213"/>
      <c r="BI179" s="213"/>
      <c r="BJ179" s="213"/>
      <c r="BK179" s="213"/>
      <c r="BL179" s="213"/>
      <c r="BM179" s="213"/>
      <c r="BN179" s="213"/>
      <c r="BO179" s="213"/>
      <c r="BP179" s="213"/>
      <c r="BQ179" s="213"/>
      <c r="BR179" s="213"/>
      <c r="BS179" s="213"/>
      <c r="BT179" s="213"/>
      <c r="BU179" s="213"/>
      <c r="BV179" s="213"/>
      <c r="BW179" s="213"/>
      <c r="BX179" s="213"/>
      <c r="BY179" s="213"/>
      <c r="BZ179" s="213"/>
      <c r="CA179" s="213"/>
      <c r="CB179" s="213"/>
      <c r="CC179" s="213"/>
      <c r="CD179" s="213"/>
      <c r="CE179" s="213"/>
      <c r="CF179" s="213"/>
      <c r="CG179" s="213"/>
      <c r="CH179" s="213"/>
      <c r="CI179" s="213"/>
      <c r="CJ179" s="213"/>
      <c r="CK179" s="213"/>
      <c r="CL179" s="213"/>
      <c r="CM179" s="213"/>
      <c r="CN179" s="213"/>
      <c r="CO179" s="213"/>
      <c r="CP179" s="213"/>
      <c r="CQ179" s="213"/>
      <c r="CR179" s="213"/>
      <c r="CS179" s="213"/>
    </row>
    <row r="180" spans="1:97">
      <c r="A180" s="424">
        <v>45466</v>
      </c>
      <c r="B180" s="211" t="s">
        <v>253</v>
      </c>
      <c r="C180" s="213"/>
      <c r="D180" s="213"/>
      <c r="E180" s="213"/>
      <c r="F180" s="213"/>
      <c r="G180" s="213"/>
      <c r="H180" s="213"/>
      <c r="I180" s="213"/>
      <c r="J180" s="213"/>
      <c r="K180" s="213"/>
      <c r="L180" s="213"/>
      <c r="M180" s="213"/>
      <c r="N180" s="213"/>
      <c r="O180" s="213"/>
      <c r="P180" s="213"/>
      <c r="Q180" s="213"/>
      <c r="R180" s="213"/>
      <c r="S180" s="213"/>
      <c r="T180" s="213"/>
      <c r="U180" s="213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13"/>
      <c r="AF180" s="213"/>
      <c r="AG180" s="213"/>
      <c r="AH180" s="213"/>
      <c r="AI180" s="213"/>
      <c r="AJ180" s="213"/>
      <c r="AK180" s="213"/>
      <c r="AL180" s="213"/>
      <c r="AM180" s="213"/>
      <c r="AN180" s="213"/>
      <c r="AO180" s="213"/>
      <c r="AP180" s="213"/>
      <c r="AQ180" s="213"/>
      <c r="AR180" s="213"/>
      <c r="AS180" s="213"/>
      <c r="AT180" s="213"/>
      <c r="AU180" s="213"/>
      <c r="AV180" s="213"/>
      <c r="AW180" s="213"/>
      <c r="AX180" s="213"/>
      <c r="AY180" s="213"/>
      <c r="AZ180" s="213"/>
      <c r="BA180" s="213"/>
      <c r="BB180" s="213"/>
      <c r="BC180" s="213"/>
      <c r="BD180" s="213"/>
      <c r="BE180" s="213"/>
      <c r="BF180" s="213"/>
      <c r="BG180" s="213"/>
      <c r="BH180" s="213"/>
      <c r="BI180" s="213"/>
      <c r="BJ180" s="213"/>
      <c r="BK180" s="213"/>
      <c r="BL180" s="213"/>
      <c r="BM180" s="213"/>
      <c r="BN180" s="213"/>
      <c r="BO180" s="213"/>
      <c r="BP180" s="213"/>
      <c r="BQ180" s="213"/>
      <c r="BR180" s="213"/>
      <c r="BS180" s="213"/>
      <c r="BT180" s="213"/>
      <c r="BU180" s="213"/>
      <c r="BV180" s="213"/>
      <c r="BW180" s="213"/>
      <c r="BX180" s="213"/>
      <c r="BY180" s="213"/>
      <c r="BZ180" s="213"/>
      <c r="CA180" s="213"/>
      <c r="CB180" s="213"/>
      <c r="CC180" s="213"/>
      <c r="CD180" s="213"/>
      <c r="CE180" s="213"/>
      <c r="CF180" s="213"/>
      <c r="CG180" s="213"/>
      <c r="CH180" s="213"/>
      <c r="CI180" s="213"/>
      <c r="CJ180" s="213"/>
      <c r="CK180" s="213"/>
      <c r="CL180" s="213"/>
      <c r="CM180" s="213"/>
      <c r="CN180" s="213"/>
      <c r="CO180" s="213"/>
      <c r="CP180" s="213"/>
      <c r="CQ180" s="213"/>
      <c r="CR180" s="213"/>
      <c r="CS180" s="213"/>
    </row>
    <row r="181" spans="1:97">
      <c r="A181" s="424">
        <v>45467</v>
      </c>
      <c r="B181" s="211" t="s">
        <v>247</v>
      </c>
      <c r="C181" s="213">
        <v>160.88</v>
      </c>
      <c r="D181" s="213">
        <v>158.88</v>
      </c>
      <c r="E181" s="213">
        <v>159.88</v>
      </c>
      <c r="F181" s="213">
        <v>172.46</v>
      </c>
      <c r="G181" s="213">
        <v>169.46</v>
      </c>
      <c r="H181" s="213">
        <v>170.96</v>
      </c>
      <c r="I181" s="213">
        <v>118.33</v>
      </c>
      <c r="J181" s="213">
        <v>115.13</v>
      </c>
      <c r="K181" s="213">
        <v>116.72999999999999</v>
      </c>
      <c r="L181" s="213">
        <v>206.17</v>
      </c>
      <c r="M181" s="213">
        <v>198.17</v>
      </c>
      <c r="N181" s="213">
        <v>202.17</v>
      </c>
      <c r="O181" s="213">
        <v>179.74</v>
      </c>
      <c r="P181" s="213">
        <v>177.94</v>
      </c>
      <c r="Q181" s="213">
        <v>178.84</v>
      </c>
      <c r="R181" s="213">
        <v>23.22</v>
      </c>
      <c r="S181" s="213">
        <v>22.619999999999997</v>
      </c>
      <c r="T181" s="213">
        <v>22.919999999999998</v>
      </c>
      <c r="U181" s="213">
        <v>15.42</v>
      </c>
      <c r="V181" s="213">
        <v>14.82</v>
      </c>
      <c r="W181" s="213">
        <v>15.120000000000001</v>
      </c>
      <c r="X181" s="213">
        <v>15.61</v>
      </c>
      <c r="Y181" s="213">
        <v>14.809999999999999</v>
      </c>
      <c r="Z181" s="213">
        <v>15.209999999999999</v>
      </c>
      <c r="AA181" s="213">
        <v>108.16</v>
      </c>
      <c r="AB181" s="213">
        <v>104.16</v>
      </c>
      <c r="AC181" s="213">
        <v>106.16</v>
      </c>
      <c r="AD181" s="213">
        <v>99.8</v>
      </c>
      <c r="AE181" s="213">
        <v>95.8</v>
      </c>
      <c r="AF181" s="213">
        <v>97.8</v>
      </c>
      <c r="AG181" s="213">
        <v>20.92</v>
      </c>
      <c r="AH181" s="213">
        <v>20.060000000000002</v>
      </c>
      <c r="AI181" s="213">
        <v>20.490000000000002</v>
      </c>
      <c r="AJ181" s="213"/>
      <c r="AK181" s="213"/>
      <c r="AL181" s="213"/>
      <c r="AM181" s="213">
        <v>118.8</v>
      </c>
      <c r="AN181" s="213">
        <v>117.14</v>
      </c>
      <c r="AO181" s="213">
        <v>117.97</v>
      </c>
      <c r="AP181" s="213">
        <v>43.36</v>
      </c>
      <c r="AQ181" s="213">
        <v>41.76</v>
      </c>
      <c r="AR181" s="213">
        <v>42.56</v>
      </c>
      <c r="AS181" s="213">
        <v>44.28</v>
      </c>
      <c r="AT181" s="213">
        <v>42.92</v>
      </c>
      <c r="AU181" s="213">
        <v>43.6</v>
      </c>
      <c r="AV181" s="213">
        <v>22.23</v>
      </c>
      <c r="AW181" s="213">
        <v>21.63</v>
      </c>
      <c r="AX181" s="213">
        <v>21.93</v>
      </c>
      <c r="AY181" s="213">
        <v>4.43</v>
      </c>
      <c r="AZ181" s="213">
        <v>4.2699999999999996</v>
      </c>
      <c r="BA181" s="213">
        <v>4.3499999999999996</v>
      </c>
      <c r="BB181" s="213">
        <v>2.0699999999999998</v>
      </c>
      <c r="BC181" s="213">
        <v>1.7699999999999998</v>
      </c>
      <c r="BD181" s="213">
        <v>1.92</v>
      </c>
      <c r="BE181" s="213">
        <v>0.73</v>
      </c>
      <c r="BF181" s="213">
        <v>0.43</v>
      </c>
      <c r="BG181" s="213">
        <v>0.57999999999999996</v>
      </c>
      <c r="BH181" s="213">
        <v>529.97</v>
      </c>
      <c r="BI181" s="213">
        <v>513.97</v>
      </c>
      <c r="BJ181" s="213">
        <v>521.97</v>
      </c>
      <c r="BK181" s="213">
        <v>44.62</v>
      </c>
      <c r="BL181" s="213">
        <v>43.26</v>
      </c>
      <c r="BM181" s="213">
        <v>43.94</v>
      </c>
      <c r="BN181" s="213">
        <v>1.1000000000000001</v>
      </c>
      <c r="BO181" s="213">
        <v>0.8600000000000001</v>
      </c>
      <c r="BP181" s="213">
        <v>0.98000000000000009</v>
      </c>
      <c r="BQ181" s="213">
        <v>9.83</v>
      </c>
      <c r="BR181" s="213">
        <v>7.83</v>
      </c>
      <c r="BS181" s="213">
        <v>8.83</v>
      </c>
      <c r="BT181" s="213">
        <v>11.71</v>
      </c>
      <c r="BU181" s="213">
        <v>11.31</v>
      </c>
      <c r="BV181" s="213">
        <v>11.510000000000002</v>
      </c>
      <c r="BW181" s="213">
        <v>2.88</v>
      </c>
      <c r="BX181" s="213">
        <v>2.5999999999999996</v>
      </c>
      <c r="BY181" s="213">
        <v>2.7399999999999998</v>
      </c>
      <c r="BZ181" s="213">
        <v>10.38</v>
      </c>
      <c r="CA181" s="213">
        <v>7.3800000000000008</v>
      </c>
      <c r="CB181" s="213">
        <v>8.8800000000000008</v>
      </c>
      <c r="CC181" s="213">
        <v>6.97</v>
      </c>
      <c r="CD181" s="213">
        <v>6.7299999999999995</v>
      </c>
      <c r="CE181" s="213">
        <v>6.85</v>
      </c>
      <c r="CF181" s="213">
        <v>2.0499999999999998</v>
      </c>
      <c r="CG181" s="213">
        <v>1.5499999999999998</v>
      </c>
      <c r="CH181" s="213">
        <v>1.7999999999999998</v>
      </c>
      <c r="CI181" s="213">
        <v>0.45</v>
      </c>
      <c r="CJ181" s="213">
        <v>0.41000000000000003</v>
      </c>
      <c r="CK181" s="213">
        <v>0.43000000000000005</v>
      </c>
      <c r="CL181" s="213">
        <v>40.74</v>
      </c>
      <c r="CM181" s="213">
        <v>38.340000000000003</v>
      </c>
      <c r="CN181" s="213">
        <v>39.540000000000006</v>
      </c>
      <c r="CO181" s="213">
        <v>7.39</v>
      </c>
      <c r="CP181" s="213">
        <v>2.3899999999999997</v>
      </c>
      <c r="CQ181" s="213">
        <v>4.8899999999999997</v>
      </c>
      <c r="CR181" s="213"/>
      <c r="CS181" s="213"/>
    </row>
    <row r="182" spans="1:97">
      <c r="A182" s="424">
        <v>45468</v>
      </c>
      <c r="B182" s="211" t="s">
        <v>248</v>
      </c>
      <c r="C182" s="213">
        <v>160.56</v>
      </c>
      <c r="D182" s="213">
        <v>158.56</v>
      </c>
      <c r="E182" s="213">
        <v>159.56</v>
      </c>
      <c r="F182" s="213">
        <v>172.79</v>
      </c>
      <c r="G182" s="213">
        <v>169.79</v>
      </c>
      <c r="H182" s="213">
        <v>171.29</v>
      </c>
      <c r="I182" s="213">
        <v>118.44</v>
      </c>
      <c r="J182" s="213">
        <v>115.24</v>
      </c>
      <c r="K182" s="213">
        <v>116.84</v>
      </c>
      <c r="L182" s="213">
        <v>206.47</v>
      </c>
      <c r="M182" s="213">
        <v>198.47</v>
      </c>
      <c r="N182" s="213">
        <v>202.47</v>
      </c>
      <c r="O182" s="213">
        <v>179.74</v>
      </c>
      <c r="P182" s="213">
        <v>177.94</v>
      </c>
      <c r="Q182" s="213">
        <v>178.84</v>
      </c>
      <c r="R182" s="213">
        <v>23.26</v>
      </c>
      <c r="S182" s="213">
        <v>22.66</v>
      </c>
      <c r="T182" s="213">
        <v>22.96</v>
      </c>
      <c r="U182" s="213">
        <v>15.43</v>
      </c>
      <c r="V182" s="213">
        <v>14.83</v>
      </c>
      <c r="W182" s="213">
        <v>15.129999999999999</v>
      </c>
      <c r="X182" s="213">
        <v>15.62</v>
      </c>
      <c r="Y182" s="213">
        <v>14.819999999999999</v>
      </c>
      <c r="Z182" s="213">
        <v>15.219999999999999</v>
      </c>
      <c r="AA182" s="213">
        <v>108.17</v>
      </c>
      <c r="AB182" s="213">
        <v>104.17</v>
      </c>
      <c r="AC182" s="213">
        <v>106.17</v>
      </c>
      <c r="AD182" s="213">
        <v>99.65</v>
      </c>
      <c r="AE182" s="213">
        <v>95.65</v>
      </c>
      <c r="AF182" s="213">
        <v>97.65</v>
      </c>
      <c r="AG182" s="213">
        <v>20.87</v>
      </c>
      <c r="AH182" s="213">
        <v>20.010000000000002</v>
      </c>
      <c r="AI182" s="213">
        <v>20.440000000000001</v>
      </c>
      <c r="AJ182" s="213"/>
      <c r="AK182" s="213"/>
      <c r="AL182" s="213"/>
      <c r="AM182" s="213">
        <v>118.81</v>
      </c>
      <c r="AN182" s="213">
        <v>117.15</v>
      </c>
      <c r="AO182" s="213">
        <v>117.98</v>
      </c>
      <c r="AP182" s="213">
        <v>43.39</v>
      </c>
      <c r="AQ182" s="213">
        <v>41.79</v>
      </c>
      <c r="AR182" s="213">
        <v>42.59</v>
      </c>
      <c r="AS182" s="213">
        <v>44.05</v>
      </c>
      <c r="AT182" s="213">
        <v>42.69</v>
      </c>
      <c r="AU182" s="213">
        <v>43.37</v>
      </c>
      <c r="AV182" s="213">
        <v>22.21</v>
      </c>
      <c r="AW182" s="213">
        <v>21.61</v>
      </c>
      <c r="AX182" s="213">
        <v>21.91</v>
      </c>
      <c r="AY182" s="213">
        <v>4.4400000000000004</v>
      </c>
      <c r="AZ182" s="213">
        <v>4.28</v>
      </c>
      <c r="BA182" s="213">
        <v>4.3600000000000003</v>
      </c>
      <c r="BB182" s="213">
        <v>2.0699999999999998</v>
      </c>
      <c r="BC182" s="213">
        <v>1.7699999999999998</v>
      </c>
      <c r="BD182" s="213">
        <v>1.92</v>
      </c>
      <c r="BE182" s="213">
        <v>0.72</v>
      </c>
      <c r="BF182" s="213">
        <v>0.42</v>
      </c>
      <c r="BG182" s="213">
        <v>0.56999999999999995</v>
      </c>
      <c r="BH182" s="213">
        <v>529.27</v>
      </c>
      <c r="BI182" s="213">
        <v>513.27</v>
      </c>
      <c r="BJ182" s="213">
        <v>521.27</v>
      </c>
      <c r="BK182" s="213">
        <v>44.53</v>
      </c>
      <c r="BL182" s="213">
        <v>43.17</v>
      </c>
      <c r="BM182" s="213">
        <v>43.85</v>
      </c>
      <c r="BN182" s="213">
        <v>1.1000000000000001</v>
      </c>
      <c r="BO182" s="213">
        <v>0.8600000000000001</v>
      </c>
      <c r="BP182" s="213">
        <v>0.98000000000000009</v>
      </c>
      <c r="BQ182" s="213">
        <v>9.89</v>
      </c>
      <c r="BR182" s="213">
        <v>7.8900000000000006</v>
      </c>
      <c r="BS182" s="213">
        <v>8.89</v>
      </c>
      <c r="BT182" s="213">
        <v>11.73</v>
      </c>
      <c r="BU182" s="213">
        <v>11.33</v>
      </c>
      <c r="BV182" s="213">
        <v>11.530000000000001</v>
      </c>
      <c r="BW182" s="213">
        <v>2.87</v>
      </c>
      <c r="BX182" s="213">
        <v>2.59</v>
      </c>
      <c r="BY182" s="213">
        <v>2.73</v>
      </c>
      <c r="BZ182" s="213">
        <v>10.31</v>
      </c>
      <c r="CA182" s="213">
        <v>7.3100000000000005</v>
      </c>
      <c r="CB182" s="213">
        <v>8.81</v>
      </c>
      <c r="CC182" s="213">
        <v>7.01</v>
      </c>
      <c r="CD182" s="213">
        <v>6.77</v>
      </c>
      <c r="CE182" s="213">
        <v>6.89</v>
      </c>
      <c r="CF182" s="213">
        <v>2.0699999999999998</v>
      </c>
      <c r="CG182" s="213">
        <v>1.5699999999999998</v>
      </c>
      <c r="CH182" s="213">
        <v>1.8199999999999998</v>
      </c>
      <c r="CI182" s="213">
        <v>0.45</v>
      </c>
      <c r="CJ182" s="213">
        <v>0.41000000000000003</v>
      </c>
      <c r="CK182" s="213">
        <v>0.43000000000000005</v>
      </c>
      <c r="CL182" s="213">
        <v>41.12</v>
      </c>
      <c r="CM182" s="213">
        <v>38.72</v>
      </c>
      <c r="CN182" s="213">
        <v>39.92</v>
      </c>
      <c r="CO182" s="213">
        <v>7.35</v>
      </c>
      <c r="CP182" s="213">
        <v>2.3499999999999996</v>
      </c>
      <c r="CQ182" s="213">
        <v>4.8499999999999996</v>
      </c>
      <c r="CR182" s="213"/>
      <c r="CS182" s="213"/>
    </row>
    <row r="183" spans="1:97">
      <c r="A183" s="424">
        <v>45469</v>
      </c>
      <c r="B183" s="211" t="s">
        <v>249</v>
      </c>
      <c r="C183" s="213">
        <v>160.78</v>
      </c>
      <c r="D183" s="213">
        <v>158.78</v>
      </c>
      <c r="E183" s="213">
        <v>159.78</v>
      </c>
      <c r="F183" s="213">
        <v>172.58</v>
      </c>
      <c r="G183" s="213">
        <v>169.58</v>
      </c>
      <c r="H183" s="213">
        <v>171.08</v>
      </c>
      <c r="I183" s="213">
        <v>118.52</v>
      </c>
      <c r="J183" s="213">
        <v>115.32</v>
      </c>
      <c r="K183" s="213">
        <v>116.91999999999999</v>
      </c>
      <c r="L183" s="213">
        <v>206.7</v>
      </c>
      <c r="M183" s="213">
        <v>198.7</v>
      </c>
      <c r="N183" s="213">
        <v>202.7</v>
      </c>
      <c r="O183" s="213">
        <v>179.31</v>
      </c>
      <c r="P183" s="213">
        <v>177.51</v>
      </c>
      <c r="Q183" s="213">
        <v>178.41</v>
      </c>
      <c r="R183" s="213">
        <v>23.24</v>
      </c>
      <c r="S183" s="213">
        <v>22.639999999999997</v>
      </c>
      <c r="T183" s="213">
        <v>22.939999999999998</v>
      </c>
      <c r="U183" s="213">
        <v>15.33</v>
      </c>
      <c r="V183" s="213">
        <v>14.73</v>
      </c>
      <c r="W183" s="213">
        <v>15.030000000000001</v>
      </c>
      <c r="X183" s="213">
        <v>15.6</v>
      </c>
      <c r="Y183" s="213">
        <v>14.799999999999999</v>
      </c>
      <c r="Z183" s="213">
        <v>15.2</v>
      </c>
      <c r="AA183" s="213">
        <v>108.09</v>
      </c>
      <c r="AB183" s="213">
        <v>104.09</v>
      </c>
      <c r="AC183" s="213">
        <v>106.09</v>
      </c>
      <c r="AD183" s="213">
        <v>99.75</v>
      </c>
      <c r="AE183" s="213">
        <v>95.75</v>
      </c>
      <c r="AF183" s="213">
        <v>97.75</v>
      </c>
      <c r="AG183" s="213">
        <v>20.89</v>
      </c>
      <c r="AH183" s="213">
        <v>20.03</v>
      </c>
      <c r="AI183" s="213">
        <v>20.46</v>
      </c>
      <c r="AJ183" s="213"/>
      <c r="AK183" s="213"/>
      <c r="AL183" s="213"/>
      <c r="AM183" s="213">
        <v>118.77</v>
      </c>
      <c r="AN183" s="213">
        <v>117.11</v>
      </c>
      <c r="AO183" s="213">
        <v>117.94</v>
      </c>
      <c r="AP183" s="213">
        <v>43.45</v>
      </c>
      <c r="AQ183" s="213">
        <v>41.85</v>
      </c>
      <c r="AR183" s="213">
        <v>42.650000000000006</v>
      </c>
      <c r="AS183" s="213">
        <v>44.25</v>
      </c>
      <c r="AT183" s="213">
        <v>42.89</v>
      </c>
      <c r="AU183" s="213">
        <v>43.57</v>
      </c>
      <c r="AV183" s="213">
        <v>22.22</v>
      </c>
      <c r="AW183" s="213">
        <v>21.619999999999997</v>
      </c>
      <c r="AX183" s="213">
        <v>21.919999999999998</v>
      </c>
      <c r="AY183" s="213">
        <v>4.42</v>
      </c>
      <c r="AZ183" s="213">
        <v>4.26</v>
      </c>
      <c r="BA183" s="213">
        <v>4.34</v>
      </c>
      <c r="BB183" s="213">
        <v>2.0699999999999998</v>
      </c>
      <c r="BC183" s="213">
        <v>1.7699999999999998</v>
      </c>
      <c r="BD183" s="213">
        <v>1.92</v>
      </c>
      <c r="BE183" s="213">
        <v>0.73</v>
      </c>
      <c r="BF183" s="213">
        <v>0.43</v>
      </c>
      <c r="BG183" s="213">
        <v>0.57999999999999996</v>
      </c>
      <c r="BH183" s="213">
        <v>528.12</v>
      </c>
      <c r="BI183" s="213">
        <v>512.12</v>
      </c>
      <c r="BJ183" s="213">
        <v>520.12</v>
      </c>
      <c r="BK183" s="213">
        <v>44.59</v>
      </c>
      <c r="BL183" s="213">
        <v>43.230000000000004</v>
      </c>
      <c r="BM183" s="213">
        <v>43.910000000000004</v>
      </c>
      <c r="BN183" s="213">
        <v>1.1000000000000001</v>
      </c>
      <c r="BO183" s="213">
        <v>0.8600000000000001</v>
      </c>
      <c r="BP183" s="213">
        <v>0.98000000000000009</v>
      </c>
      <c r="BQ183" s="213">
        <v>9.81</v>
      </c>
      <c r="BR183" s="213">
        <v>7.8100000000000005</v>
      </c>
      <c r="BS183" s="213">
        <v>8.81</v>
      </c>
      <c r="BT183" s="213">
        <v>11.7</v>
      </c>
      <c r="BU183" s="213">
        <v>11.299999999999999</v>
      </c>
      <c r="BV183" s="213">
        <v>11.5</v>
      </c>
      <c r="BW183" s="213">
        <v>2.88</v>
      </c>
      <c r="BX183" s="213">
        <v>2.5999999999999996</v>
      </c>
      <c r="BY183" s="213">
        <v>2.7399999999999998</v>
      </c>
      <c r="BZ183" s="213">
        <v>10.25</v>
      </c>
      <c r="CA183" s="213">
        <v>7.25</v>
      </c>
      <c r="CB183" s="213">
        <v>8.75</v>
      </c>
      <c r="CC183" s="213">
        <v>7.02</v>
      </c>
      <c r="CD183" s="213">
        <v>6.7799999999999994</v>
      </c>
      <c r="CE183" s="213">
        <v>6.8999999999999995</v>
      </c>
      <c r="CF183" s="213">
        <v>2.08</v>
      </c>
      <c r="CG183" s="213">
        <v>1.58</v>
      </c>
      <c r="CH183" s="213">
        <v>1.83</v>
      </c>
      <c r="CI183" s="213">
        <v>0.45</v>
      </c>
      <c r="CJ183" s="213">
        <v>0.41000000000000003</v>
      </c>
      <c r="CK183" s="213">
        <v>0.43000000000000005</v>
      </c>
      <c r="CL183" s="213">
        <v>41.01</v>
      </c>
      <c r="CM183" s="213">
        <v>38.61</v>
      </c>
      <c r="CN183" s="213">
        <v>39.81</v>
      </c>
      <c r="CO183" s="213">
        <v>7.35</v>
      </c>
      <c r="CP183" s="213">
        <v>2.3499999999999996</v>
      </c>
      <c r="CQ183" s="213">
        <v>4.8499999999999996</v>
      </c>
      <c r="CR183" s="213"/>
      <c r="CS183" s="213"/>
    </row>
    <row r="184" spans="1:97">
      <c r="A184" s="424">
        <v>45470</v>
      </c>
      <c r="B184" s="211" t="s">
        <v>250</v>
      </c>
      <c r="C184" s="213">
        <v>161.78</v>
      </c>
      <c r="D184" s="213">
        <v>159.78</v>
      </c>
      <c r="E184" s="213">
        <v>160.78</v>
      </c>
      <c r="F184" s="213">
        <v>173.15</v>
      </c>
      <c r="G184" s="213">
        <v>170.15</v>
      </c>
      <c r="H184" s="213">
        <v>171.65</v>
      </c>
      <c r="I184" s="213">
        <v>118.87</v>
      </c>
      <c r="J184" s="213">
        <v>115.67</v>
      </c>
      <c r="K184" s="213">
        <v>117.27000000000001</v>
      </c>
      <c r="L184" s="213">
        <v>206.79</v>
      </c>
      <c r="M184" s="213">
        <v>198.79</v>
      </c>
      <c r="N184" s="213">
        <v>202.79</v>
      </c>
      <c r="O184" s="213">
        <v>179.98</v>
      </c>
      <c r="P184" s="213">
        <v>178.17999999999998</v>
      </c>
      <c r="Q184" s="213">
        <v>179.07999999999998</v>
      </c>
      <c r="R184" s="213">
        <v>23.31</v>
      </c>
      <c r="S184" s="213">
        <v>22.709999999999997</v>
      </c>
      <c r="T184" s="213">
        <v>23.009999999999998</v>
      </c>
      <c r="U184" s="213">
        <v>15.33</v>
      </c>
      <c r="V184" s="213">
        <v>14.73</v>
      </c>
      <c r="W184" s="213">
        <v>15.030000000000001</v>
      </c>
      <c r="X184" s="213">
        <v>15.59</v>
      </c>
      <c r="Y184" s="213">
        <v>14.79</v>
      </c>
      <c r="Z184" s="213">
        <v>15.19</v>
      </c>
      <c r="AA184" s="213">
        <v>108.76</v>
      </c>
      <c r="AB184" s="213">
        <v>104.76</v>
      </c>
      <c r="AC184" s="213">
        <v>106.76</v>
      </c>
      <c r="AD184" s="213">
        <v>99.61</v>
      </c>
      <c r="AE184" s="213">
        <v>95.61</v>
      </c>
      <c r="AF184" s="213">
        <v>97.61</v>
      </c>
      <c r="AG184" s="213">
        <v>21.02</v>
      </c>
      <c r="AH184" s="213">
        <v>20.16</v>
      </c>
      <c r="AI184" s="213">
        <v>20.59</v>
      </c>
      <c r="AJ184" s="213"/>
      <c r="AK184" s="213"/>
      <c r="AL184" s="213"/>
      <c r="AM184" s="213">
        <v>119.12</v>
      </c>
      <c r="AN184" s="213">
        <v>117.46000000000001</v>
      </c>
      <c r="AO184" s="213">
        <v>118.29</v>
      </c>
      <c r="AP184" s="213">
        <v>43.73</v>
      </c>
      <c r="AQ184" s="213">
        <v>42.129999999999995</v>
      </c>
      <c r="AR184" s="213">
        <v>42.929999999999993</v>
      </c>
      <c r="AS184" s="213">
        <v>44.53</v>
      </c>
      <c r="AT184" s="213">
        <v>43.17</v>
      </c>
      <c r="AU184" s="213">
        <v>43.85</v>
      </c>
      <c r="AV184" s="213">
        <v>22.31</v>
      </c>
      <c r="AW184" s="213">
        <v>21.709999999999997</v>
      </c>
      <c r="AX184" s="213">
        <v>22.009999999999998</v>
      </c>
      <c r="AY184" s="213">
        <v>4.43</v>
      </c>
      <c r="AZ184" s="213">
        <v>4.2699999999999996</v>
      </c>
      <c r="BA184" s="213">
        <v>4.3499999999999996</v>
      </c>
      <c r="BB184" s="213">
        <v>2.08</v>
      </c>
      <c r="BC184" s="213">
        <v>1.78</v>
      </c>
      <c r="BD184" s="213">
        <v>1.9300000000000002</v>
      </c>
      <c r="BE184" s="213">
        <v>0.73</v>
      </c>
      <c r="BF184" s="213">
        <v>0.43</v>
      </c>
      <c r="BG184" s="213">
        <v>0.57999999999999996</v>
      </c>
      <c r="BH184" s="213">
        <v>532.91</v>
      </c>
      <c r="BI184" s="213">
        <v>516.91</v>
      </c>
      <c r="BJ184" s="213">
        <v>524.91</v>
      </c>
      <c r="BK184" s="213">
        <v>44.86</v>
      </c>
      <c r="BL184" s="213">
        <v>43.5</v>
      </c>
      <c r="BM184" s="213">
        <v>44.18</v>
      </c>
      <c r="BN184" s="213">
        <v>1.1000000000000001</v>
      </c>
      <c r="BO184" s="213">
        <v>0.8600000000000001</v>
      </c>
      <c r="BP184" s="213">
        <v>0.98000000000000009</v>
      </c>
      <c r="BQ184" s="213">
        <v>9.77</v>
      </c>
      <c r="BR184" s="213">
        <v>7.77</v>
      </c>
      <c r="BS184" s="213">
        <v>8.77</v>
      </c>
      <c r="BT184" s="213">
        <v>11.77</v>
      </c>
      <c r="BU184" s="213">
        <v>11.37</v>
      </c>
      <c r="BV184" s="213">
        <v>11.57</v>
      </c>
      <c r="BW184" s="213">
        <v>2.89</v>
      </c>
      <c r="BX184" s="213">
        <v>2.6100000000000003</v>
      </c>
      <c r="BY184" s="213">
        <v>2.75</v>
      </c>
      <c r="BZ184" s="213">
        <v>10.35</v>
      </c>
      <c r="CA184" s="213">
        <v>7.35</v>
      </c>
      <c r="CB184" s="213">
        <v>8.85</v>
      </c>
      <c r="CC184" s="213">
        <v>7.02</v>
      </c>
      <c r="CD184" s="213">
        <v>6.7799999999999994</v>
      </c>
      <c r="CE184" s="213">
        <v>6.8999999999999995</v>
      </c>
      <c r="CF184" s="213">
        <v>2.0699999999999998</v>
      </c>
      <c r="CG184" s="213">
        <v>1.5699999999999998</v>
      </c>
      <c r="CH184" s="213">
        <v>1.8199999999999998</v>
      </c>
      <c r="CI184" s="213">
        <v>0.45</v>
      </c>
      <c r="CJ184" s="213">
        <v>0.41000000000000003</v>
      </c>
      <c r="CK184" s="213">
        <v>0.43000000000000005</v>
      </c>
      <c r="CL184" s="213">
        <v>41</v>
      </c>
      <c r="CM184" s="213">
        <v>38.6</v>
      </c>
      <c r="CN184" s="213">
        <v>39.799999999999997</v>
      </c>
      <c r="CO184" s="213">
        <v>7.41</v>
      </c>
      <c r="CP184" s="213">
        <v>2.41</v>
      </c>
      <c r="CQ184" s="213">
        <v>4.91</v>
      </c>
      <c r="CR184" s="213"/>
      <c r="CS184" s="213"/>
    </row>
    <row r="185" spans="1:97">
      <c r="A185" s="424">
        <v>45471</v>
      </c>
      <c r="B185" s="211" t="s">
        <v>251</v>
      </c>
      <c r="C185" s="213">
        <v>162.07</v>
      </c>
      <c r="D185" s="213">
        <v>160.07</v>
      </c>
      <c r="E185" s="213">
        <v>161.07</v>
      </c>
      <c r="F185" s="213">
        <v>173.83</v>
      </c>
      <c r="G185" s="213">
        <v>170.83</v>
      </c>
      <c r="H185" s="213">
        <v>172.33</v>
      </c>
      <c r="I185" s="213">
        <v>119.02</v>
      </c>
      <c r="J185" s="213">
        <v>115.82</v>
      </c>
      <c r="K185" s="213">
        <v>117.41999999999999</v>
      </c>
      <c r="L185" s="213">
        <v>207.48</v>
      </c>
      <c r="M185" s="213">
        <v>199.48</v>
      </c>
      <c r="N185" s="213">
        <v>203.48</v>
      </c>
      <c r="O185" s="213">
        <v>179.97</v>
      </c>
      <c r="P185" s="213">
        <v>178.17</v>
      </c>
      <c r="Q185" s="213">
        <v>179.07</v>
      </c>
      <c r="R185" s="213">
        <v>23.4</v>
      </c>
      <c r="S185" s="213">
        <v>22.799999999999997</v>
      </c>
      <c r="T185" s="213">
        <v>23.099999999999998</v>
      </c>
      <c r="U185" s="213">
        <v>15.38</v>
      </c>
      <c r="V185" s="213">
        <v>14.780000000000001</v>
      </c>
      <c r="W185" s="213">
        <v>15.080000000000002</v>
      </c>
      <c r="X185" s="213">
        <v>15.54</v>
      </c>
      <c r="Y185" s="213">
        <v>14.739999999999998</v>
      </c>
      <c r="Z185" s="213">
        <v>15.139999999999999</v>
      </c>
      <c r="AA185" s="213">
        <v>109</v>
      </c>
      <c r="AB185" s="213">
        <v>105</v>
      </c>
      <c r="AC185" s="213">
        <v>107</v>
      </c>
      <c r="AD185" s="213">
        <v>99.82</v>
      </c>
      <c r="AE185" s="213">
        <v>95.82</v>
      </c>
      <c r="AF185" s="213">
        <v>97.82</v>
      </c>
      <c r="AG185" s="213">
        <v>21.06</v>
      </c>
      <c r="AH185" s="213">
        <v>20.2</v>
      </c>
      <c r="AI185" s="213">
        <v>20.63</v>
      </c>
      <c r="AJ185" s="213"/>
      <c r="AK185" s="213"/>
      <c r="AL185" s="213"/>
      <c r="AM185" s="213">
        <v>119.32</v>
      </c>
      <c r="AN185" s="213">
        <v>117.66</v>
      </c>
      <c r="AO185" s="213">
        <v>118.49</v>
      </c>
      <c r="AP185" s="213">
        <v>43.82</v>
      </c>
      <c r="AQ185" s="213">
        <v>42.22</v>
      </c>
      <c r="AR185" s="213">
        <v>43.019999999999996</v>
      </c>
      <c r="AS185" s="213">
        <v>44.6</v>
      </c>
      <c r="AT185" s="213">
        <v>43.24</v>
      </c>
      <c r="AU185" s="213">
        <v>43.92</v>
      </c>
      <c r="AV185" s="213">
        <v>22.34</v>
      </c>
      <c r="AW185" s="213">
        <v>21.74</v>
      </c>
      <c r="AX185" s="213">
        <v>22.04</v>
      </c>
      <c r="AY185" s="213">
        <v>4.4400000000000004</v>
      </c>
      <c r="AZ185" s="213">
        <v>4.28</v>
      </c>
      <c r="BA185" s="213">
        <v>4.3600000000000003</v>
      </c>
      <c r="BB185" s="213">
        <v>2.09</v>
      </c>
      <c r="BC185" s="213">
        <v>1.7899999999999998</v>
      </c>
      <c r="BD185" s="213">
        <v>1.94</v>
      </c>
      <c r="BE185" s="213">
        <v>0.73</v>
      </c>
      <c r="BF185" s="213">
        <v>0.43</v>
      </c>
      <c r="BG185" s="213">
        <v>0.57999999999999996</v>
      </c>
      <c r="BH185" s="213">
        <v>534.03</v>
      </c>
      <c r="BI185" s="213">
        <v>518.03</v>
      </c>
      <c r="BJ185" s="213">
        <v>526.03</v>
      </c>
      <c r="BK185" s="213">
        <v>44.94</v>
      </c>
      <c r="BL185" s="213">
        <v>43.58</v>
      </c>
      <c r="BM185" s="213">
        <v>44.26</v>
      </c>
      <c r="BN185" s="213">
        <v>1.1100000000000001</v>
      </c>
      <c r="BO185" s="213">
        <v>0.87000000000000011</v>
      </c>
      <c r="BP185" s="213">
        <v>0.9900000000000001</v>
      </c>
      <c r="BQ185" s="213">
        <v>9.7200000000000006</v>
      </c>
      <c r="BR185" s="213">
        <v>7.7200000000000006</v>
      </c>
      <c r="BS185" s="213">
        <v>8.7200000000000006</v>
      </c>
      <c r="BT185" s="213">
        <v>11.84</v>
      </c>
      <c r="BU185" s="213">
        <v>11.44</v>
      </c>
      <c r="BV185" s="213">
        <v>11.64</v>
      </c>
      <c r="BW185" s="213">
        <v>2.9</v>
      </c>
      <c r="BX185" s="213">
        <v>2.62</v>
      </c>
      <c r="BY185" s="213">
        <v>2.76</v>
      </c>
      <c r="BZ185" s="213">
        <v>10.220000000000001</v>
      </c>
      <c r="CA185" s="213">
        <v>7.2200000000000006</v>
      </c>
      <c r="CB185" s="213">
        <v>8.7200000000000006</v>
      </c>
      <c r="CC185" s="213">
        <v>6.99</v>
      </c>
      <c r="CD185" s="213">
        <v>6.75</v>
      </c>
      <c r="CE185" s="213">
        <v>6.87</v>
      </c>
      <c r="CF185" s="213">
        <v>2.15</v>
      </c>
      <c r="CG185" s="213">
        <v>1.65</v>
      </c>
      <c r="CH185" s="213">
        <v>1.9</v>
      </c>
      <c r="CI185" s="213">
        <v>0.45</v>
      </c>
      <c r="CJ185" s="213">
        <v>0.41000000000000003</v>
      </c>
      <c r="CK185" s="213">
        <v>0.43000000000000005</v>
      </c>
      <c r="CL185" s="213">
        <v>41.15</v>
      </c>
      <c r="CM185" s="213">
        <v>38.75</v>
      </c>
      <c r="CN185" s="213">
        <v>39.950000000000003</v>
      </c>
      <c r="CO185" s="213">
        <v>7.4</v>
      </c>
      <c r="CP185" s="213">
        <v>2.4000000000000004</v>
      </c>
      <c r="CQ185" s="213">
        <v>4.9000000000000004</v>
      </c>
      <c r="CR185" s="213"/>
      <c r="CS185" s="213"/>
    </row>
    <row r="186" spans="1:97">
      <c r="A186" s="424">
        <v>45472</v>
      </c>
      <c r="B186" s="211" t="s">
        <v>252</v>
      </c>
      <c r="C186" s="213"/>
      <c r="D186" s="213"/>
      <c r="E186" s="213"/>
      <c r="F186" s="213"/>
      <c r="G186" s="213"/>
      <c r="H186" s="213"/>
      <c r="I186" s="213"/>
      <c r="J186" s="213"/>
      <c r="K186" s="213"/>
      <c r="L186" s="213"/>
      <c r="M186" s="213"/>
      <c r="N186" s="213"/>
      <c r="O186" s="213"/>
      <c r="P186" s="213"/>
      <c r="Q186" s="213"/>
      <c r="R186" s="213"/>
      <c r="S186" s="213"/>
      <c r="T186" s="213"/>
      <c r="U186" s="213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13"/>
      <c r="AF186" s="213"/>
      <c r="AG186" s="213"/>
      <c r="AH186" s="213"/>
      <c r="AI186" s="213"/>
      <c r="AJ186" s="213"/>
      <c r="AK186" s="213"/>
      <c r="AL186" s="213"/>
      <c r="AM186" s="213"/>
      <c r="AN186" s="213"/>
      <c r="AO186" s="213"/>
      <c r="AP186" s="213"/>
      <c r="AQ186" s="213"/>
      <c r="AR186" s="213"/>
      <c r="AS186" s="213"/>
      <c r="AT186" s="213"/>
      <c r="AU186" s="213"/>
      <c r="AV186" s="213"/>
      <c r="AW186" s="213"/>
      <c r="AX186" s="213"/>
      <c r="AY186" s="213"/>
      <c r="AZ186" s="213"/>
      <c r="BA186" s="213"/>
      <c r="BB186" s="213"/>
      <c r="BC186" s="213"/>
      <c r="BD186" s="213"/>
      <c r="BE186" s="213"/>
      <c r="BF186" s="213"/>
      <c r="BG186" s="213"/>
      <c r="BH186" s="213"/>
      <c r="BI186" s="213"/>
      <c r="BJ186" s="213"/>
      <c r="BK186" s="213"/>
      <c r="BL186" s="213"/>
      <c r="BM186" s="213"/>
      <c r="BN186" s="213"/>
      <c r="BO186" s="213"/>
      <c r="BP186" s="213"/>
      <c r="BQ186" s="213"/>
      <c r="BR186" s="213"/>
      <c r="BS186" s="213"/>
      <c r="BT186" s="213"/>
      <c r="BU186" s="213"/>
      <c r="BV186" s="213"/>
      <c r="BW186" s="213"/>
      <c r="BX186" s="213"/>
      <c r="BY186" s="213"/>
      <c r="BZ186" s="213"/>
      <c r="CA186" s="213"/>
      <c r="CB186" s="213"/>
      <c r="CC186" s="213"/>
      <c r="CD186" s="213"/>
      <c r="CE186" s="213"/>
      <c r="CF186" s="213"/>
      <c r="CG186" s="213"/>
      <c r="CH186" s="213"/>
      <c r="CI186" s="213"/>
      <c r="CJ186" s="213"/>
      <c r="CK186" s="213"/>
      <c r="CL186" s="213"/>
      <c r="CM186" s="213"/>
      <c r="CN186" s="213"/>
      <c r="CO186" s="213"/>
      <c r="CP186" s="213"/>
      <c r="CQ186" s="213"/>
      <c r="CR186" s="213"/>
      <c r="CS186" s="213"/>
    </row>
    <row r="187" spans="1:97">
      <c r="A187" s="424">
        <v>45473</v>
      </c>
      <c r="B187" s="211" t="s">
        <v>253</v>
      </c>
      <c r="C187" s="213"/>
      <c r="D187" s="213"/>
      <c r="E187" s="213"/>
      <c r="F187" s="213"/>
      <c r="G187" s="213"/>
      <c r="H187" s="213"/>
      <c r="I187" s="213"/>
      <c r="J187" s="213"/>
      <c r="K187" s="213"/>
      <c r="L187" s="213"/>
      <c r="M187" s="213"/>
      <c r="N187" s="213"/>
      <c r="O187" s="213"/>
      <c r="P187" s="213"/>
      <c r="Q187" s="213"/>
      <c r="R187" s="213"/>
      <c r="S187" s="213"/>
      <c r="T187" s="213"/>
      <c r="U187" s="213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13"/>
      <c r="AF187" s="213"/>
      <c r="AG187" s="213"/>
      <c r="AH187" s="213"/>
      <c r="AI187" s="213"/>
      <c r="AJ187" s="213"/>
      <c r="AK187" s="213"/>
      <c r="AL187" s="213"/>
      <c r="AM187" s="213"/>
      <c r="AN187" s="213"/>
      <c r="AO187" s="213"/>
      <c r="AP187" s="213"/>
      <c r="AQ187" s="213"/>
      <c r="AR187" s="213"/>
      <c r="AS187" s="213"/>
      <c r="AT187" s="213"/>
      <c r="AU187" s="213"/>
      <c r="AV187" s="213"/>
      <c r="AW187" s="213"/>
      <c r="AX187" s="213"/>
      <c r="AY187" s="213"/>
      <c r="AZ187" s="213"/>
      <c r="BA187" s="213"/>
      <c r="BB187" s="213"/>
      <c r="BC187" s="213"/>
      <c r="BD187" s="213"/>
      <c r="BE187" s="213"/>
      <c r="BF187" s="213"/>
      <c r="BG187" s="213"/>
      <c r="BH187" s="213"/>
      <c r="BI187" s="213"/>
      <c r="BJ187" s="213"/>
      <c r="BK187" s="213"/>
      <c r="BL187" s="213"/>
      <c r="BM187" s="213"/>
      <c r="BN187" s="213"/>
      <c r="BO187" s="213"/>
      <c r="BP187" s="213"/>
      <c r="BQ187" s="213"/>
      <c r="BR187" s="213"/>
      <c r="BS187" s="213"/>
      <c r="BT187" s="213"/>
      <c r="BU187" s="213"/>
      <c r="BV187" s="213"/>
      <c r="BW187" s="213"/>
      <c r="BX187" s="213"/>
      <c r="BY187" s="213"/>
      <c r="BZ187" s="213"/>
      <c r="CA187" s="213"/>
      <c r="CB187" s="213"/>
      <c r="CC187" s="213"/>
      <c r="CD187" s="213"/>
      <c r="CE187" s="213"/>
      <c r="CF187" s="213"/>
      <c r="CG187" s="213"/>
      <c r="CH187" s="213"/>
      <c r="CI187" s="213"/>
      <c r="CJ187" s="213"/>
      <c r="CK187" s="213"/>
      <c r="CL187" s="213"/>
      <c r="CM187" s="213"/>
      <c r="CN187" s="213"/>
      <c r="CO187" s="213"/>
      <c r="CP187" s="213"/>
      <c r="CQ187" s="213"/>
      <c r="CR187" s="213"/>
      <c r="CS187" s="213"/>
    </row>
    <row r="188" spans="1:97">
      <c r="A188" s="424">
        <v>45474</v>
      </c>
      <c r="B188" s="211" t="s">
        <v>247</v>
      </c>
      <c r="C188" s="213">
        <v>162.22999999999999</v>
      </c>
      <c r="D188" s="213">
        <v>160.22999999999999</v>
      </c>
      <c r="E188" s="213">
        <v>161.22999999999999</v>
      </c>
      <c r="F188" s="213">
        <v>174.76</v>
      </c>
      <c r="G188" s="213">
        <v>171.76</v>
      </c>
      <c r="H188" s="213">
        <v>173.26</v>
      </c>
      <c r="I188" s="213">
        <v>119.51</v>
      </c>
      <c r="J188" s="213">
        <v>116.31</v>
      </c>
      <c r="K188" s="213">
        <v>117.91</v>
      </c>
      <c r="L188" s="213">
        <v>207.97</v>
      </c>
      <c r="M188" s="213">
        <v>199.97</v>
      </c>
      <c r="N188" s="213">
        <v>203.97</v>
      </c>
      <c r="O188" s="213">
        <v>180.08</v>
      </c>
      <c r="P188" s="213">
        <v>178.28</v>
      </c>
      <c r="Q188" s="213">
        <v>179.18</v>
      </c>
      <c r="R188" s="213">
        <v>23.53</v>
      </c>
      <c r="S188" s="213">
        <v>22.93</v>
      </c>
      <c r="T188" s="213">
        <v>23.23</v>
      </c>
      <c r="U188" s="213">
        <v>15.41</v>
      </c>
      <c r="V188" s="213">
        <v>14.81</v>
      </c>
      <c r="W188" s="213">
        <v>15.11</v>
      </c>
      <c r="X188" s="213">
        <v>15.65</v>
      </c>
      <c r="Y188" s="213">
        <v>14.85</v>
      </c>
      <c r="Z188" s="213">
        <v>15.25</v>
      </c>
      <c r="AA188" s="213">
        <v>109.48</v>
      </c>
      <c r="AB188" s="213">
        <v>105.48</v>
      </c>
      <c r="AC188" s="213">
        <v>107.48</v>
      </c>
      <c r="AD188" s="213">
        <v>100.32</v>
      </c>
      <c r="AE188" s="213">
        <v>96.32</v>
      </c>
      <c r="AF188" s="213">
        <v>98.32</v>
      </c>
      <c r="AG188" s="213">
        <v>21.08</v>
      </c>
      <c r="AH188" s="213">
        <v>20.22</v>
      </c>
      <c r="AI188" s="213">
        <v>20.65</v>
      </c>
      <c r="AJ188" s="213" t="s">
        <v>254</v>
      </c>
      <c r="AK188" s="213"/>
      <c r="AL188" s="213"/>
      <c r="AM188" s="213">
        <v>119.81</v>
      </c>
      <c r="AN188" s="213">
        <v>118.15</v>
      </c>
      <c r="AO188" s="213">
        <v>118.98</v>
      </c>
      <c r="AP188" s="213">
        <v>43.84</v>
      </c>
      <c r="AQ188" s="213">
        <v>42.24</v>
      </c>
      <c r="AR188" s="213">
        <v>43.040000000000006</v>
      </c>
      <c r="AS188" s="213">
        <v>44.65</v>
      </c>
      <c r="AT188" s="213">
        <v>43.29</v>
      </c>
      <c r="AU188" s="213">
        <v>43.97</v>
      </c>
      <c r="AV188" s="213">
        <v>22.38</v>
      </c>
      <c r="AW188" s="213">
        <v>21.779999999999998</v>
      </c>
      <c r="AX188" s="213">
        <v>22.08</v>
      </c>
      <c r="AY188" s="213">
        <v>4.46</v>
      </c>
      <c r="AZ188" s="213">
        <v>4.3</v>
      </c>
      <c r="BA188" s="213">
        <v>4.38</v>
      </c>
      <c r="BB188" s="213">
        <v>2.09</v>
      </c>
      <c r="BC188" s="213">
        <v>1.7899999999999998</v>
      </c>
      <c r="BD188" s="213">
        <v>1.94</v>
      </c>
      <c r="BE188" s="213">
        <v>0.73</v>
      </c>
      <c r="BF188" s="213">
        <v>0.43</v>
      </c>
      <c r="BG188" s="213">
        <v>0.57999999999999996</v>
      </c>
      <c r="BH188" s="213">
        <v>534.54999999999995</v>
      </c>
      <c r="BI188" s="213">
        <v>518.54999999999995</v>
      </c>
      <c r="BJ188" s="213">
        <v>526.54999999999995</v>
      </c>
      <c r="BK188" s="213">
        <v>44.97</v>
      </c>
      <c r="BL188" s="213">
        <v>43.61</v>
      </c>
      <c r="BM188" s="213">
        <v>44.29</v>
      </c>
      <c r="BN188" s="213">
        <v>1.1100000000000001</v>
      </c>
      <c r="BO188" s="213">
        <v>0.87000000000000011</v>
      </c>
      <c r="BP188" s="213">
        <v>0.9900000000000001</v>
      </c>
      <c r="BQ188" s="213">
        <v>9.82</v>
      </c>
      <c r="BR188" s="213">
        <v>7.82</v>
      </c>
      <c r="BS188" s="213">
        <v>8.82</v>
      </c>
      <c r="BT188" s="213">
        <v>11.87</v>
      </c>
      <c r="BU188" s="213">
        <v>11.469999999999999</v>
      </c>
      <c r="BV188" s="213">
        <v>11.669999999999998</v>
      </c>
      <c r="BW188" s="213">
        <v>2.91</v>
      </c>
      <c r="BX188" s="213">
        <v>2.63</v>
      </c>
      <c r="BY188" s="213">
        <v>2.77</v>
      </c>
      <c r="BZ188" s="213">
        <v>10.43</v>
      </c>
      <c r="CA188" s="213">
        <v>7.43</v>
      </c>
      <c r="CB188" s="213">
        <v>8.93</v>
      </c>
      <c r="CC188" s="213">
        <v>7.05</v>
      </c>
      <c r="CD188" s="213">
        <v>6.81</v>
      </c>
      <c r="CE188" s="213">
        <v>6.93</v>
      </c>
      <c r="CF188" s="213">
        <v>2.13</v>
      </c>
      <c r="CG188" s="213">
        <v>1.63</v>
      </c>
      <c r="CH188" s="213">
        <v>1.88</v>
      </c>
      <c r="CI188" s="213">
        <v>0.46</v>
      </c>
      <c r="CJ188" s="213">
        <v>0.42000000000000004</v>
      </c>
      <c r="CK188" s="213">
        <v>0.44000000000000006</v>
      </c>
      <c r="CL188" s="213">
        <v>41.36</v>
      </c>
      <c r="CM188" s="213">
        <v>38.96</v>
      </c>
      <c r="CN188" s="213">
        <v>40.159999999999997</v>
      </c>
      <c r="CO188" s="213">
        <v>7.41</v>
      </c>
      <c r="CP188" s="213">
        <v>2.41</v>
      </c>
      <c r="CQ188" s="213">
        <v>4.91</v>
      </c>
      <c r="CR188" s="213"/>
      <c r="CS188" s="213"/>
    </row>
    <row r="189" spans="1:97">
      <c r="A189" s="424">
        <v>45475</v>
      </c>
      <c r="B189" s="211" t="s">
        <v>248</v>
      </c>
      <c r="C189" s="213">
        <v>162.71</v>
      </c>
      <c r="D189" s="213">
        <v>160.71</v>
      </c>
      <c r="E189" s="213">
        <v>161.71</v>
      </c>
      <c r="F189" s="213">
        <v>175.01</v>
      </c>
      <c r="G189" s="213">
        <v>172.01</v>
      </c>
      <c r="H189" s="213">
        <v>173.51</v>
      </c>
      <c r="I189" s="213">
        <v>119.28</v>
      </c>
      <c r="J189" s="213">
        <v>116.08</v>
      </c>
      <c r="K189" s="213">
        <v>117.68</v>
      </c>
      <c r="L189" s="213">
        <v>208.39</v>
      </c>
      <c r="M189" s="213">
        <v>200.39</v>
      </c>
      <c r="N189" s="213">
        <v>204.39</v>
      </c>
      <c r="O189" s="213">
        <v>179.78</v>
      </c>
      <c r="P189" s="213">
        <v>177.98</v>
      </c>
      <c r="Q189" s="213">
        <v>178.88</v>
      </c>
      <c r="R189" s="213">
        <v>23.56</v>
      </c>
      <c r="S189" s="213">
        <v>22.959999999999997</v>
      </c>
      <c r="T189" s="213">
        <v>23.259999999999998</v>
      </c>
      <c r="U189" s="213">
        <v>15.47</v>
      </c>
      <c r="V189" s="213">
        <v>14.870000000000001</v>
      </c>
      <c r="W189" s="213">
        <v>15.170000000000002</v>
      </c>
      <c r="X189" s="213">
        <v>15.61</v>
      </c>
      <c r="Y189" s="213">
        <v>14.809999999999999</v>
      </c>
      <c r="Z189" s="213">
        <v>15.209999999999999</v>
      </c>
      <c r="AA189" s="213">
        <v>109.49</v>
      </c>
      <c r="AB189" s="213">
        <v>105.49</v>
      </c>
      <c r="AC189" s="213">
        <v>107.49</v>
      </c>
      <c r="AD189" s="213">
        <v>99.95</v>
      </c>
      <c r="AE189" s="213">
        <v>95.95</v>
      </c>
      <c r="AF189" s="213">
        <v>97.95</v>
      </c>
      <c r="AG189" s="213">
        <v>21.13</v>
      </c>
      <c r="AH189" s="213">
        <v>20.27</v>
      </c>
      <c r="AI189" s="213">
        <v>20.7</v>
      </c>
      <c r="AJ189" s="213" t="s">
        <v>255</v>
      </c>
      <c r="AK189" s="213"/>
      <c r="AL189" s="213"/>
      <c r="AM189" s="213">
        <v>119.88</v>
      </c>
      <c r="AN189" s="213">
        <v>118.22</v>
      </c>
      <c r="AO189" s="213">
        <v>119.05</v>
      </c>
      <c r="AP189" s="213">
        <v>43.97</v>
      </c>
      <c r="AQ189" s="213">
        <v>42.37</v>
      </c>
      <c r="AR189" s="213">
        <v>43.17</v>
      </c>
      <c r="AS189" s="213">
        <v>44.78</v>
      </c>
      <c r="AT189" s="213">
        <v>43.42</v>
      </c>
      <c r="AU189" s="213">
        <v>44.1</v>
      </c>
      <c r="AV189" s="213">
        <v>22.44</v>
      </c>
      <c r="AW189" s="213">
        <v>21.84</v>
      </c>
      <c r="AX189" s="213">
        <v>22.14</v>
      </c>
      <c r="AY189" s="213">
        <v>4.47</v>
      </c>
      <c r="AZ189" s="213">
        <v>4.3099999999999996</v>
      </c>
      <c r="BA189" s="213">
        <v>4.3899999999999997</v>
      </c>
      <c r="BB189" s="213">
        <v>2.1</v>
      </c>
      <c r="BC189" s="213">
        <v>1.8</v>
      </c>
      <c r="BD189" s="213">
        <v>1.9500000000000002</v>
      </c>
      <c r="BE189" s="213">
        <v>0.73</v>
      </c>
      <c r="BF189" s="213">
        <v>0.43</v>
      </c>
      <c r="BG189" s="213">
        <v>0.57999999999999996</v>
      </c>
      <c r="BH189" s="213">
        <v>536.46</v>
      </c>
      <c r="BI189" s="213">
        <v>520.46</v>
      </c>
      <c r="BJ189" s="213">
        <v>528.46</v>
      </c>
      <c r="BK189" s="213">
        <v>45.12</v>
      </c>
      <c r="BL189" s="213">
        <v>43.76</v>
      </c>
      <c r="BM189" s="213">
        <v>44.44</v>
      </c>
      <c r="BN189" s="213">
        <v>1.1100000000000001</v>
      </c>
      <c r="BO189" s="213">
        <v>0.87000000000000011</v>
      </c>
      <c r="BP189" s="213">
        <v>0.9900000000000001</v>
      </c>
      <c r="BQ189" s="213">
        <v>9.8000000000000007</v>
      </c>
      <c r="BR189" s="213">
        <v>7.8000000000000007</v>
      </c>
      <c r="BS189" s="213">
        <v>8.8000000000000007</v>
      </c>
      <c r="BT189" s="213">
        <v>11.88</v>
      </c>
      <c r="BU189" s="213">
        <v>11.48</v>
      </c>
      <c r="BV189" s="213">
        <v>11.68</v>
      </c>
      <c r="BW189" s="213">
        <v>2.92</v>
      </c>
      <c r="BX189" s="213">
        <v>2.6399999999999997</v>
      </c>
      <c r="BY189" s="213">
        <v>2.78</v>
      </c>
      <c r="BZ189" s="213">
        <v>10.3</v>
      </c>
      <c r="CA189" s="213">
        <v>7.3000000000000007</v>
      </c>
      <c r="CB189" s="213">
        <v>8.8000000000000007</v>
      </c>
      <c r="CC189" s="213">
        <v>7.02</v>
      </c>
      <c r="CD189" s="213">
        <v>6.7799999999999994</v>
      </c>
      <c r="CE189" s="213">
        <v>6.8999999999999995</v>
      </c>
      <c r="CF189" s="213">
        <v>2.11</v>
      </c>
      <c r="CG189" s="213">
        <v>1.6099999999999999</v>
      </c>
      <c r="CH189" s="213">
        <v>1.8599999999999999</v>
      </c>
      <c r="CI189" s="213">
        <v>0.46</v>
      </c>
      <c r="CJ189" s="213">
        <v>0.42000000000000004</v>
      </c>
      <c r="CK189" s="213">
        <v>0.44000000000000006</v>
      </c>
      <c r="CL189" s="213">
        <v>41.44</v>
      </c>
      <c r="CM189" s="213">
        <v>39.04</v>
      </c>
      <c r="CN189" s="213">
        <v>40.239999999999995</v>
      </c>
      <c r="CO189" s="213">
        <v>7.46</v>
      </c>
      <c r="CP189" s="213">
        <v>2.46</v>
      </c>
      <c r="CQ189" s="213">
        <v>4.96</v>
      </c>
      <c r="CR189" s="213"/>
      <c r="CS189" s="213"/>
    </row>
    <row r="190" spans="1:97">
      <c r="A190" s="424">
        <v>45476</v>
      </c>
      <c r="B190" s="211" t="s">
        <v>249</v>
      </c>
      <c r="C190" s="213">
        <v>162.61000000000001</v>
      </c>
      <c r="D190" s="213">
        <v>160.61000000000001</v>
      </c>
      <c r="E190" s="213">
        <v>161.61000000000001</v>
      </c>
      <c r="F190" s="213">
        <v>175.23</v>
      </c>
      <c r="G190" s="213">
        <v>172.23</v>
      </c>
      <c r="H190" s="213">
        <v>173.73</v>
      </c>
      <c r="I190" s="213">
        <v>119.77</v>
      </c>
      <c r="J190" s="213">
        <v>116.57</v>
      </c>
      <c r="K190" s="213">
        <v>118.16999999999999</v>
      </c>
      <c r="L190" s="213">
        <v>209.12</v>
      </c>
      <c r="M190" s="213">
        <v>201.12</v>
      </c>
      <c r="N190" s="213">
        <v>205.12</v>
      </c>
      <c r="O190" s="213">
        <v>179.67</v>
      </c>
      <c r="P190" s="213">
        <v>177.86999999999998</v>
      </c>
      <c r="Q190" s="213">
        <v>178.76999999999998</v>
      </c>
      <c r="R190" s="213">
        <v>23.59</v>
      </c>
      <c r="S190" s="213">
        <v>22.99</v>
      </c>
      <c r="T190" s="213">
        <v>23.29</v>
      </c>
      <c r="U190" s="213">
        <v>15.46</v>
      </c>
      <c r="V190" s="213">
        <v>14.860000000000001</v>
      </c>
      <c r="W190" s="213">
        <v>15.16</v>
      </c>
      <c r="X190" s="213">
        <v>15.69</v>
      </c>
      <c r="Y190" s="213">
        <v>14.889999999999999</v>
      </c>
      <c r="Z190" s="213">
        <v>15.29</v>
      </c>
      <c r="AA190" s="213">
        <v>109.83</v>
      </c>
      <c r="AB190" s="213">
        <v>105.83</v>
      </c>
      <c r="AC190" s="213">
        <v>107.83</v>
      </c>
      <c r="AD190" s="213">
        <v>100.34</v>
      </c>
      <c r="AE190" s="213">
        <v>96.34</v>
      </c>
      <c r="AF190" s="213">
        <v>98.34</v>
      </c>
      <c r="AG190" s="213">
        <v>21.11</v>
      </c>
      <c r="AH190" s="213">
        <v>20.25</v>
      </c>
      <c r="AI190" s="213">
        <v>20.68</v>
      </c>
      <c r="AJ190" s="213"/>
      <c r="AK190" s="213"/>
      <c r="AL190" s="213"/>
      <c r="AM190" s="213">
        <v>119.98</v>
      </c>
      <c r="AN190" s="213">
        <v>118.32000000000001</v>
      </c>
      <c r="AO190" s="213">
        <v>119.15</v>
      </c>
      <c r="AP190" s="213">
        <v>43.95</v>
      </c>
      <c r="AQ190" s="213">
        <v>42.35</v>
      </c>
      <c r="AR190" s="213">
        <v>43.150000000000006</v>
      </c>
      <c r="AS190" s="213">
        <v>44.75</v>
      </c>
      <c r="AT190" s="213">
        <v>43.39</v>
      </c>
      <c r="AU190" s="213">
        <v>44.07</v>
      </c>
      <c r="AV190" s="213">
        <v>22.41</v>
      </c>
      <c r="AW190" s="213">
        <v>21.81</v>
      </c>
      <c r="AX190" s="213">
        <v>22.11</v>
      </c>
      <c r="AY190" s="213">
        <v>4.4800000000000004</v>
      </c>
      <c r="AZ190" s="213">
        <v>4.32</v>
      </c>
      <c r="BA190" s="213">
        <v>4.4000000000000004</v>
      </c>
      <c r="BB190" s="213">
        <v>2.1</v>
      </c>
      <c r="BC190" s="213">
        <v>1.8</v>
      </c>
      <c r="BD190" s="213">
        <v>1.9500000000000002</v>
      </c>
      <c r="BE190" s="213">
        <v>0.73</v>
      </c>
      <c r="BF190" s="213">
        <v>0.43</v>
      </c>
      <c r="BG190" s="213">
        <v>0.57999999999999996</v>
      </c>
      <c r="BH190" s="213">
        <v>536.30999999999995</v>
      </c>
      <c r="BI190" s="213">
        <v>520.30999999999995</v>
      </c>
      <c r="BJ190" s="213">
        <v>528.30999999999995</v>
      </c>
      <c r="BK190" s="213">
        <v>45.09</v>
      </c>
      <c r="BL190" s="213">
        <v>43.730000000000004</v>
      </c>
      <c r="BM190" s="213">
        <v>44.410000000000004</v>
      </c>
      <c r="BN190" s="213">
        <v>1.1100000000000001</v>
      </c>
      <c r="BO190" s="213">
        <v>0.87000000000000011</v>
      </c>
      <c r="BP190" s="213">
        <v>0.9900000000000001</v>
      </c>
      <c r="BQ190" s="213">
        <v>9.86</v>
      </c>
      <c r="BR190" s="213">
        <v>7.8599999999999994</v>
      </c>
      <c r="BS190" s="213">
        <v>8.86</v>
      </c>
      <c r="BT190" s="213">
        <v>11.86</v>
      </c>
      <c r="BU190" s="213">
        <v>11.459999999999999</v>
      </c>
      <c r="BV190" s="213">
        <v>11.66</v>
      </c>
      <c r="BW190" s="213">
        <v>2.91</v>
      </c>
      <c r="BX190" s="213">
        <v>2.63</v>
      </c>
      <c r="BY190" s="213">
        <v>2.77</v>
      </c>
      <c r="BZ190" s="213">
        <v>10.18</v>
      </c>
      <c r="CA190" s="213">
        <v>7.18</v>
      </c>
      <c r="CB190" s="213">
        <v>8.68</v>
      </c>
      <c r="CC190" s="213">
        <v>7.02</v>
      </c>
      <c r="CD190" s="213">
        <v>6.7799999999999994</v>
      </c>
      <c r="CE190" s="213">
        <v>6.8999999999999995</v>
      </c>
      <c r="CF190" s="213">
        <v>2.09</v>
      </c>
      <c r="CG190" s="213">
        <v>1.5899999999999999</v>
      </c>
      <c r="CH190" s="213">
        <v>1.8399999999999999</v>
      </c>
      <c r="CI190" s="213">
        <v>0.46</v>
      </c>
      <c r="CJ190" s="213">
        <v>0.42000000000000004</v>
      </c>
      <c r="CK190" s="213">
        <v>0.44000000000000006</v>
      </c>
      <c r="CL190" s="213">
        <v>41.53</v>
      </c>
      <c r="CM190" s="213">
        <v>39.130000000000003</v>
      </c>
      <c r="CN190" s="213">
        <v>40.33</v>
      </c>
      <c r="CO190" s="213">
        <v>7.48</v>
      </c>
      <c r="CP190" s="213">
        <v>2.4800000000000004</v>
      </c>
      <c r="CQ190" s="213">
        <v>4.9800000000000004</v>
      </c>
      <c r="CR190" s="213"/>
      <c r="CS190" s="213"/>
    </row>
    <row r="191" spans="1:97">
      <c r="A191" s="424">
        <v>45477</v>
      </c>
      <c r="B191" s="211" t="s">
        <v>250</v>
      </c>
      <c r="C191" s="213">
        <v>162.47</v>
      </c>
      <c r="D191" s="213">
        <v>160.47</v>
      </c>
      <c r="E191" s="213">
        <v>161.47</v>
      </c>
      <c r="F191" s="213">
        <v>175.74</v>
      </c>
      <c r="G191" s="213">
        <v>172.74</v>
      </c>
      <c r="H191" s="213">
        <v>174.24</v>
      </c>
      <c r="I191" s="213">
        <v>120.07</v>
      </c>
      <c r="J191" s="213">
        <v>116.86999999999999</v>
      </c>
      <c r="K191" s="213">
        <v>118.47</v>
      </c>
      <c r="L191" s="213">
        <v>209.86</v>
      </c>
      <c r="M191" s="213">
        <v>201.86</v>
      </c>
      <c r="N191" s="213">
        <v>205.86</v>
      </c>
      <c r="O191" s="213">
        <v>180.07</v>
      </c>
      <c r="P191" s="213">
        <v>178.26999999999998</v>
      </c>
      <c r="Q191" s="213">
        <v>179.17</v>
      </c>
      <c r="R191" s="213">
        <v>23.66</v>
      </c>
      <c r="S191" s="213">
        <v>23.06</v>
      </c>
      <c r="T191" s="213">
        <v>23.36</v>
      </c>
      <c r="U191" s="213">
        <v>15.61</v>
      </c>
      <c r="V191" s="213">
        <v>15.01</v>
      </c>
      <c r="W191" s="213">
        <v>15.309999999999999</v>
      </c>
      <c r="X191" s="213">
        <v>15.79</v>
      </c>
      <c r="Y191" s="213">
        <v>14.989999999999998</v>
      </c>
      <c r="Z191" s="213">
        <v>15.389999999999999</v>
      </c>
      <c r="AA191" s="213">
        <v>110.41</v>
      </c>
      <c r="AB191" s="213">
        <v>106.41</v>
      </c>
      <c r="AC191" s="213">
        <v>108.41</v>
      </c>
      <c r="AD191" s="213">
        <v>100.69</v>
      </c>
      <c r="AE191" s="213">
        <v>96.69</v>
      </c>
      <c r="AF191" s="213">
        <v>98.69</v>
      </c>
      <c r="AG191" s="213">
        <v>21.1</v>
      </c>
      <c r="AH191" s="213">
        <v>20.240000000000002</v>
      </c>
      <c r="AI191" s="213">
        <v>20.67</v>
      </c>
      <c r="AJ191" s="213"/>
      <c r="AK191" s="213"/>
      <c r="AL191" s="213"/>
      <c r="AM191" s="213">
        <v>120.22</v>
      </c>
      <c r="AN191" s="213">
        <v>118.56</v>
      </c>
      <c r="AO191" s="213">
        <v>119.39</v>
      </c>
      <c r="AP191" s="213">
        <v>43.92</v>
      </c>
      <c r="AQ191" s="213">
        <v>42.32</v>
      </c>
      <c r="AR191" s="213">
        <v>43.120000000000005</v>
      </c>
      <c r="AS191" s="213">
        <v>44.71</v>
      </c>
      <c r="AT191" s="213">
        <v>43.35</v>
      </c>
      <c r="AU191" s="213">
        <v>44.03</v>
      </c>
      <c r="AV191" s="213">
        <v>22.42</v>
      </c>
      <c r="AW191" s="213">
        <v>21.82</v>
      </c>
      <c r="AX191" s="213">
        <v>22.12</v>
      </c>
      <c r="AY191" s="213">
        <v>4.49</v>
      </c>
      <c r="AZ191" s="213">
        <v>4.33</v>
      </c>
      <c r="BA191" s="213">
        <v>4.41</v>
      </c>
      <c r="BB191" s="213">
        <v>2.1</v>
      </c>
      <c r="BC191" s="213">
        <v>1.8</v>
      </c>
      <c r="BD191" s="213">
        <v>1.9500000000000002</v>
      </c>
      <c r="BE191" s="213">
        <v>0.73</v>
      </c>
      <c r="BF191" s="213">
        <v>0.43</v>
      </c>
      <c r="BG191" s="213">
        <v>0.57999999999999996</v>
      </c>
      <c r="BH191" s="213">
        <v>534.48</v>
      </c>
      <c r="BI191" s="213">
        <v>518.48</v>
      </c>
      <c r="BJ191" s="213">
        <v>526.48</v>
      </c>
      <c r="BK191" s="213">
        <v>45.04</v>
      </c>
      <c r="BL191" s="213">
        <v>43.68</v>
      </c>
      <c r="BM191" s="213">
        <v>44.36</v>
      </c>
      <c r="BN191" s="213">
        <v>1.1000000000000001</v>
      </c>
      <c r="BO191" s="213">
        <v>0.8600000000000001</v>
      </c>
      <c r="BP191" s="213">
        <v>0.98000000000000009</v>
      </c>
      <c r="BQ191" s="213">
        <v>9.8800000000000008</v>
      </c>
      <c r="BR191" s="213">
        <v>7.8800000000000008</v>
      </c>
      <c r="BS191" s="213">
        <v>8.8800000000000008</v>
      </c>
      <c r="BT191" s="213">
        <v>11.9</v>
      </c>
      <c r="BU191" s="213">
        <v>11.5</v>
      </c>
      <c r="BV191" s="213">
        <v>11.7</v>
      </c>
      <c r="BW191" s="213">
        <v>2.91</v>
      </c>
      <c r="BX191" s="213">
        <v>2.63</v>
      </c>
      <c r="BY191" s="213">
        <v>2.77</v>
      </c>
      <c r="BZ191" s="213">
        <v>10.26</v>
      </c>
      <c r="CA191" s="213">
        <v>7.26</v>
      </c>
      <c r="CB191" s="213">
        <v>8.76</v>
      </c>
      <c r="CC191" s="213">
        <v>7.06</v>
      </c>
      <c r="CD191" s="213">
        <v>6.8199999999999994</v>
      </c>
      <c r="CE191" s="213">
        <v>6.9399999999999995</v>
      </c>
      <c r="CF191" s="213">
        <v>2.08</v>
      </c>
      <c r="CG191" s="213">
        <v>1.58</v>
      </c>
      <c r="CH191" s="213">
        <v>1.83</v>
      </c>
      <c r="CI191" s="213">
        <v>0.46</v>
      </c>
      <c r="CJ191" s="213">
        <v>0.42000000000000004</v>
      </c>
      <c r="CK191" s="213">
        <v>0.44000000000000006</v>
      </c>
      <c r="CL191" s="213">
        <v>41.72</v>
      </c>
      <c r="CM191" s="213">
        <v>39.32</v>
      </c>
      <c r="CN191" s="213">
        <v>40.519999999999996</v>
      </c>
      <c r="CO191" s="213">
        <v>7.46</v>
      </c>
      <c r="CP191" s="213">
        <v>2.46</v>
      </c>
      <c r="CQ191" s="213">
        <v>4.96</v>
      </c>
      <c r="CR191" s="213"/>
      <c r="CS191" s="213"/>
    </row>
    <row r="192" spans="1:97">
      <c r="A192" s="424">
        <v>45478</v>
      </c>
      <c r="B192" s="211" t="s">
        <v>251</v>
      </c>
      <c r="C192" s="213">
        <v>162.16999999999999</v>
      </c>
      <c r="D192" s="213">
        <v>160.16999999999999</v>
      </c>
      <c r="E192" s="213">
        <v>161.16999999999999</v>
      </c>
      <c r="F192" s="213">
        <v>175.82</v>
      </c>
      <c r="G192" s="213">
        <v>172.82</v>
      </c>
      <c r="H192" s="213">
        <v>174.32</v>
      </c>
      <c r="I192" s="213">
        <v>120.05</v>
      </c>
      <c r="J192" s="213">
        <v>116.85</v>
      </c>
      <c r="K192" s="213">
        <v>118.44999999999999</v>
      </c>
      <c r="L192" s="213">
        <v>209.73</v>
      </c>
      <c r="M192" s="213">
        <v>201.73</v>
      </c>
      <c r="N192" s="213">
        <v>205.73</v>
      </c>
      <c r="O192" s="213">
        <v>179.96</v>
      </c>
      <c r="P192" s="213">
        <v>178.16</v>
      </c>
      <c r="Q192" s="213">
        <v>179.06</v>
      </c>
      <c r="R192" s="213">
        <v>23.67</v>
      </c>
      <c r="S192" s="213">
        <v>23.07</v>
      </c>
      <c r="T192" s="213">
        <v>23.37</v>
      </c>
      <c r="U192" s="213">
        <v>15.55</v>
      </c>
      <c r="V192" s="213">
        <v>14.950000000000001</v>
      </c>
      <c r="W192" s="213">
        <v>15.25</v>
      </c>
      <c r="X192" s="213">
        <v>15.76</v>
      </c>
      <c r="Y192" s="213">
        <v>14.959999999999999</v>
      </c>
      <c r="Z192" s="213">
        <v>15.36</v>
      </c>
      <c r="AA192" s="213">
        <v>110.5</v>
      </c>
      <c r="AB192" s="213">
        <v>106.5</v>
      </c>
      <c r="AC192" s="213">
        <v>108.5</v>
      </c>
      <c r="AD192" s="213">
        <v>100.62</v>
      </c>
      <c r="AE192" s="213">
        <v>96.62</v>
      </c>
      <c r="AF192" s="213">
        <v>98.62</v>
      </c>
      <c r="AG192" s="213">
        <v>21.07</v>
      </c>
      <c r="AH192" s="213">
        <v>20.21</v>
      </c>
      <c r="AI192" s="213">
        <v>20.64</v>
      </c>
      <c r="AJ192" s="213"/>
      <c r="AK192" s="213"/>
      <c r="AL192" s="213"/>
      <c r="AM192" s="213">
        <v>120.14</v>
      </c>
      <c r="AN192" s="213">
        <v>118.48</v>
      </c>
      <c r="AO192" s="213">
        <v>119.31</v>
      </c>
      <c r="AP192" s="213">
        <v>43.84</v>
      </c>
      <c r="AQ192" s="213">
        <v>42.24</v>
      </c>
      <c r="AR192" s="213">
        <v>43.040000000000006</v>
      </c>
      <c r="AS192" s="213">
        <v>44.63</v>
      </c>
      <c r="AT192" s="213">
        <v>43.27</v>
      </c>
      <c r="AU192" s="213">
        <v>43.95</v>
      </c>
      <c r="AV192" s="213">
        <v>22.4</v>
      </c>
      <c r="AW192" s="213">
        <v>21.799999999999997</v>
      </c>
      <c r="AX192" s="213">
        <v>22.099999999999998</v>
      </c>
      <c r="AY192" s="213">
        <v>4.49</v>
      </c>
      <c r="AZ192" s="213">
        <v>4.33</v>
      </c>
      <c r="BA192" s="213">
        <v>4.41</v>
      </c>
      <c r="BB192" s="213">
        <v>2.09</v>
      </c>
      <c r="BC192" s="213">
        <v>1.7899999999999998</v>
      </c>
      <c r="BD192" s="213">
        <v>1.94</v>
      </c>
      <c r="BE192" s="213">
        <v>0.73</v>
      </c>
      <c r="BF192" s="213">
        <v>0.43</v>
      </c>
      <c r="BG192" s="213">
        <v>0.57999999999999996</v>
      </c>
      <c r="BH192" s="213">
        <v>535.39</v>
      </c>
      <c r="BI192" s="213">
        <v>519.39</v>
      </c>
      <c r="BJ192" s="213">
        <v>527.39</v>
      </c>
      <c r="BK192" s="213">
        <v>44.97</v>
      </c>
      <c r="BL192" s="213">
        <v>43.61</v>
      </c>
      <c r="BM192" s="213">
        <v>44.29</v>
      </c>
      <c r="BN192" s="213">
        <v>1.1100000000000001</v>
      </c>
      <c r="BO192" s="213">
        <v>0.87000000000000011</v>
      </c>
      <c r="BP192" s="213">
        <v>0.9900000000000001</v>
      </c>
      <c r="BQ192" s="213">
        <v>9.92</v>
      </c>
      <c r="BR192" s="213">
        <v>7.92</v>
      </c>
      <c r="BS192" s="213">
        <v>8.92</v>
      </c>
      <c r="BT192" s="213">
        <v>11.92</v>
      </c>
      <c r="BU192" s="213">
        <v>11.52</v>
      </c>
      <c r="BV192" s="213">
        <v>11.719999999999999</v>
      </c>
      <c r="BW192" s="213">
        <v>2.91</v>
      </c>
      <c r="BX192" s="213">
        <v>2.63</v>
      </c>
      <c r="BY192" s="213">
        <v>2.77</v>
      </c>
      <c r="BZ192" s="213">
        <v>10.33</v>
      </c>
      <c r="CA192" s="213">
        <v>7.33</v>
      </c>
      <c r="CB192" s="213">
        <v>8.83</v>
      </c>
      <c r="CC192" s="213">
        <v>7.06</v>
      </c>
      <c r="CD192" s="213">
        <v>6.8199999999999994</v>
      </c>
      <c r="CE192" s="213">
        <v>6.9399999999999995</v>
      </c>
      <c r="CF192" s="213">
        <v>2.06</v>
      </c>
      <c r="CG192" s="213">
        <v>1.56</v>
      </c>
      <c r="CH192" s="213">
        <v>1.81</v>
      </c>
      <c r="CI192" s="213">
        <v>0.46</v>
      </c>
      <c r="CJ192" s="213">
        <v>0.42000000000000004</v>
      </c>
      <c r="CK192" s="213">
        <v>0.44000000000000006</v>
      </c>
      <c r="CL192" s="213">
        <v>41.93</v>
      </c>
      <c r="CM192" s="213">
        <v>39.53</v>
      </c>
      <c r="CN192" s="213">
        <v>40.730000000000004</v>
      </c>
      <c r="CO192" s="213">
        <v>7.46</v>
      </c>
      <c r="CP192" s="213">
        <v>2.46</v>
      </c>
      <c r="CQ192" s="213">
        <v>4.96</v>
      </c>
      <c r="CR192" s="213"/>
      <c r="CS192" s="213"/>
    </row>
    <row r="193" spans="1:97">
      <c r="A193" s="424">
        <v>45479</v>
      </c>
      <c r="B193" s="211" t="s">
        <v>252</v>
      </c>
      <c r="C193" s="213"/>
      <c r="D193" s="213"/>
      <c r="E193" s="213"/>
      <c r="F193" s="213"/>
      <c r="G193" s="213"/>
      <c r="H193" s="213"/>
      <c r="I193" s="213"/>
      <c r="J193" s="213"/>
      <c r="K193" s="213"/>
      <c r="L193" s="213"/>
      <c r="M193" s="213"/>
      <c r="N193" s="213"/>
      <c r="O193" s="213"/>
      <c r="P193" s="213"/>
      <c r="Q193" s="213"/>
      <c r="R193" s="213"/>
      <c r="S193" s="213"/>
      <c r="T193" s="213"/>
      <c r="U193" s="213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13"/>
      <c r="AF193" s="213"/>
      <c r="AG193" s="213"/>
      <c r="AH193" s="213"/>
      <c r="AI193" s="213"/>
      <c r="AJ193" s="213"/>
      <c r="AK193" s="213"/>
      <c r="AL193" s="213"/>
      <c r="AM193" s="213"/>
      <c r="AN193" s="213"/>
      <c r="AO193" s="213"/>
      <c r="AP193" s="213"/>
      <c r="AQ193" s="213"/>
      <c r="AR193" s="213"/>
      <c r="AS193" s="213"/>
      <c r="AT193" s="213"/>
      <c r="AU193" s="213"/>
      <c r="AV193" s="213"/>
      <c r="AW193" s="213"/>
      <c r="AX193" s="213"/>
      <c r="AY193" s="213"/>
      <c r="AZ193" s="213"/>
      <c r="BA193" s="213"/>
      <c r="BB193" s="213"/>
      <c r="BC193" s="213"/>
      <c r="BD193" s="213"/>
      <c r="BE193" s="213"/>
      <c r="BF193" s="213"/>
      <c r="BG193" s="213"/>
      <c r="BH193" s="213"/>
      <c r="BI193" s="213"/>
      <c r="BJ193" s="213"/>
      <c r="BK193" s="213"/>
      <c r="BL193" s="213"/>
      <c r="BM193" s="213"/>
      <c r="BN193" s="213"/>
      <c r="BO193" s="213"/>
      <c r="BP193" s="213"/>
      <c r="BQ193" s="213"/>
      <c r="BR193" s="213"/>
      <c r="BS193" s="213"/>
      <c r="BT193" s="213"/>
      <c r="BU193" s="213"/>
      <c r="BV193" s="213"/>
      <c r="BW193" s="213"/>
      <c r="BX193" s="213"/>
      <c r="BY193" s="213"/>
      <c r="BZ193" s="213"/>
      <c r="CA193" s="213"/>
      <c r="CB193" s="213"/>
      <c r="CC193" s="213"/>
      <c r="CD193" s="213"/>
      <c r="CE193" s="213"/>
      <c r="CF193" s="213"/>
      <c r="CG193" s="213"/>
      <c r="CH193" s="213"/>
      <c r="CI193" s="213"/>
      <c r="CJ193" s="213"/>
      <c r="CK193" s="213"/>
      <c r="CL193" s="213"/>
      <c r="CM193" s="213"/>
      <c r="CN193" s="213"/>
      <c r="CO193" s="213"/>
      <c r="CP193" s="213"/>
      <c r="CQ193" s="213"/>
      <c r="CR193" s="213"/>
      <c r="CS193" s="213"/>
    </row>
    <row r="194" spans="1:97">
      <c r="A194" s="424">
        <v>45480</v>
      </c>
      <c r="B194" s="211" t="s">
        <v>253</v>
      </c>
      <c r="C194" s="213"/>
      <c r="D194" s="213"/>
      <c r="E194" s="213"/>
      <c r="F194" s="213"/>
      <c r="G194" s="213"/>
      <c r="H194" s="213"/>
      <c r="I194" s="213"/>
      <c r="J194" s="213"/>
      <c r="K194" s="213"/>
      <c r="L194" s="213"/>
      <c r="M194" s="213"/>
      <c r="N194" s="213"/>
      <c r="O194" s="213"/>
      <c r="P194" s="213"/>
      <c r="Q194" s="213"/>
      <c r="R194" s="213"/>
      <c r="S194" s="213"/>
      <c r="T194" s="213"/>
      <c r="U194" s="213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13"/>
      <c r="AF194" s="213"/>
      <c r="AG194" s="213"/>
      <c r="AH194" s="213"/>
      <c r="AI194" s="213"/>
      <c r="AJ194" s="213"/>
      <c r="AK194" s="213"/>
      <c r="AL194" s="213"/>
      <c r="AM194" s="213"/>
      <c r="AN194" s="213"/>
      <c r="AO194" s="213"/>
      <c r="AP194" s="213"/>
      <c r="AQ194" s="213"/>
      <c r="AR194" s="213"/>
      <c r="AS194" s="213"/>
      <c r="AT194" s="213"/>
      <c r="AU194" s="213"/>
      <c r="AV194" s="213"/>
      <c r="AW194" s="213"/>
      <c r="AX194" s="213"/>
      <c r="AY194" s="213"/>
      <c r="AZ194" s="213"/>
      <c r="BA194" s="213"/>
      <c r="BB194" s="213"/>
      <c r="BC194" s="213"/>
      <c r="BD194" s="213"/>
      <c r="BE194" s="213"/>
      <c r="BF194" s="213"/>
      <c r="BG194" s="213"/>
      <c r="BH194" s="213"/>
      <c r="BI194" s="213"/>
      <c r="BJ194" s="213"/>
      <c r="BK194" s="213"/>
      <c r="BL194" s="213"/>
      <c r="BM194" s="213"/>
      <c r="BN194" s="213"/>
      <c r="BO194" s="213"/>
      <c r="BP194" s="213"/>
      <c r="BQ194" s="213"/>
      <c r="BR194" s="213"/>
      <c r="BS194" s="213"/>
      <c r="BT194" s="213"/>
      <c r="BU194" s="213"/>
      <c r="BV194" s="213"/>
      <c r="BW194" s="213"/>
      <c r="BX194" s="213"/>
      <c r="BY194" s="213"/>
      <c r="BZ194" s="213"/>
      <c r="CA194" s="213"/>
      <c r="CB194" s="213"/>
      <c r="CC194" s="213"/>
      <c r="CD194" s="213"/>
      <c r="CE194" s="213"/>
      <c r="CF194" s="213"/>
      <c r="CG194" s="213"/>
      <c r="CH194" s="213"/>
      <c r="CI194" s="213"/>
      <c r="CJ194" s="213"/>
      <c r="CK194" s="213"/>
      <c r="CL194" s="213"/>
      <c r="CM194" s="213"/>
      <c r="CN194" s="213"/>
      <c r="CO194" s="213"/>
      <c r="CP194" s="213"/>
      <c r="CQ194" s="213"/>
      <c r="CR194" s="213"/>
      <c r="CS194" s="213"/>
    </row>
    <row r="195" spans="1:97">
      <c r="A195" s="424">
        <v>45481</v>
      </c>
      <c r="B195" s="211" t="s">
        <v>247</v>
      </c>
      <c r="C195" s="213">
        <v>161.77000000000001</v>
      </c>
      <c r="D195" s="213">
        <v>159.77000000000001</v>
      </c>
      <c r="E195" s="213">
        <v>160.77000000000001</v>
      </c>
      <c r="F195" s="213">
        <v>175.47</v>
      </c>
      <c r="G195" s="213">
        <v>172.47</v>
      </c>
      <c r="H195" s="213">
        <v>173.97</v>
      </c>
      <c r="I195" s="213">
        <v>119.43</v>
      </c>
      <c r="J195" s="213">
        <v>116.23</v>
      </c>
      <c r="K195" s="213">
        <v>117.83000000000001</v>
      </c>
      <c r="L195" s="213">
        <v>209.85</v>
      </c>
      <c r="M195" s="213">
        <v>201.85</v>
      </c>
      <c r="N195" s="213">
        <v>205.85</v>
      </c>
      <c r="O195" s="213">
        <v>180.37</v>
      </c>
      <c r="P195" s="213">
        <v>178.57</v>
      </c>
      <c r="Q195" s="213">
        <v>179.47</v>
      </c>
      <c r="R195" s="213">
        <v>23.62</v>
      </c>
      <c r="S195" s="213">
        <v>23.02</v>
      </c>
      <c r="T195" s="213">
        <v>23.32</v>
      </c>
      <c r="U195" s="213">
        <v>15.51</v>
      </c>
      <c r="V195" s="213">
        <v>14.91</v>
      </c>
      <c r="W195" s="213">
        <v>15.21</v>
      </c>
      <c r="X195" s="213">
        <v>15.69</v>
      </c>
      <c r="Y195" s="213">
        <v>14.889999999999999</v>
      </c>
      <c r="Z195" s="213">
        <v>15.29</v>
      </c>
      <c r="AA195" s="213">
        <v>110.39</v>
      </c>
      <c r="AB195" s="213">
        <v>106.39</v>
      </c>
      <c r="AC195" s="213">
        <v>108.39</v>
      </c>
      <c r="AD195" s="213">
        <v>100.66</v>
      </c>
      <c r="AE195" s="213">
        <v>96.66</v>
      </c>
      <c r="AF195" s="213">
        <v>98.66</v>
      </c>
      <c r="AG195" s="213">
        <v>21.01</v>
      </c>
      <c r="AH195" s="213">
        <v>20.150000000000002</v>
      </c>
      <c r="AI195" s="213">
        <v>20.580000000000002</v>
      </c>
      <c r="AJ195" s="213"/>
      <c r="AK195" s="213"/>
      <c r="AL195" s="213"/>
      <c r="AM195" s="213">
        <v>120</v>
      </c>
      <c r="AN195" s="213">
        <v>118.34</v>
      </c>
      <c r="AO195" s="213">
        <v>119.17</v>
      </c>
      <c r="AP195" s="213">
        <v>43.73</v>
      </c>
      <c r="AQ195" s="213">
        <v>42.129999999999995</v>
      </c>
      <c r="AR195" s="213">
        <v>42.929999999999993</v>
      </c>
      <c r="AS195" s="213">
        <v>44.52</v>
      </c>
      <c r="AT195" s="213">
        <v>43.160000000000004</v>
      </c>
      <c r="AU195" s="213">
        <v>43.84</v>
      </c>
      <c r="AV195" s="213">
        <v>22.35</v>
      </c>
      <c r="AW195" s="213">
        <v>21.75</v>
      </c>
      <c r="AX195" s="213">
        <v>22.05</v>
      </c>
      <c r="AY195" s="213">
        <v>4.49</v>
      </c>
      <c r="AZ195" s="213">
        <v>4.33</v>
      </c>
      <c r="BA195" s="213">
        <v>4.41</v>
      </c>
      <c r="BB195" s="213">
        <v>2.08</v>
      </c>
      <c r="BC195" s="213">
        <v>1.78</v>
      </c>
      <c r="BD195" s="213">
        <v>1.9300000000000002</v>
      </c>
      <c r="BE195" s="213">
        <v>0.73</v>
      </c>
      <c r="BF195" s="213">
        <v>0.43</v>
      </c>
      <c r="BG195" s="213">
        <v>0.57999999999999996</v>
      </c>
      <c r="BH195" s="213">
        <v>534.41999999999996</v>
      </c>
      <c r="BI195" s="213">
        <v>518.41999999999996</v>
      </c>
      <c r="BJ195" s="213">
        <v>526.41999999999996</v>
      </c>
      <c r="BK195" s="213">
        <v>44.86</v>
      </c>
      <c r="BL195" s="213">
        <v>43.5</v>
      </c>
      <c r="BM195" s="213">
        <v>44.18</v>
      </c>
      <c r="BN195" s="213">
        <v>1.1100000000000001</v>
      </c>
      <c r="BO195" s="213">
        <v>0.87000000000000011</v>
      </c>
      <c r="BP195" s="213">
        <v>0.9900000000000001</v>
      </c>
      <c r="BQ195" s="213">
        <v>9.8800000000000008</v>
      </c>
      <c r="BR195" s="213">
        <v>7.8800000000000008</v>
      </c>
      <c r="BS195" s="213">
        <v>8.8800000000000008</v>
      </c>
      <c r="BT195" s="213">
        <v>11.86</v>
      </c>
      <c r="BU195" s="213">
        <v>11.459999999999999</v>
      </c>
      <c r="BV195" s="213">
        <v>11.66</v>
      </c>
      <c r="BW195" s="213">
        <v>2.91</v>
      </c>
      <c r="BX195" s="213">
        <v>2.63</v>
      </c>
      <c r="BY195" s="213">
        <v>2.77</v>
      </c>
      <c r="BZ195" s="213">
        <v>10.34</v>
      </c>
      <c r="CA195" s="213">
        <v>7.34</v>
      </c>
      <c r="CB195" s="213">
        <v>8.84</v>
      </c>
      <c r="CC195" s="213">
        <v>7.03</v>
      </c>
      <c r="CD195" s="213">
        <v>6.79</v>
      </c>
      <c r="CE195" s="213">
        <v>6.91</v>
      </c>
      <c r="CF195" s="213">
        <v>2.08</v>
      </c>
      <c r="CG195" s="213">
        <v>1.58</v>
      </c>
      <c r="CH195" s="213">
        <v>1.83</v>
      </c>
      <c r="CI195" s="213">
        <v>0.46</v>
      </c>
      <c r="CJ195" s="213">
        <v>0.42000000000000004</v>
      </c>
      <c r="CK195" s="213">
        <v>0.44000000000000006</v>
      </c>
      <c r="CL195" s="213">
        <v>41.84</v>
      </c>
      <c r="CM195" s="213">
        <v>39.440000000000005</v>
      </c>
      <c r="CN195" s="213">
        <v>40.64</v>
      </c>
      <c r="CO195" s="213">
        <v>7.44</v>
      </c>
      <c r="CP195" s="213">
        <v>2.4400000000000004</v>
      </c>
      <c r="CQ195" s="213">
        <v>4.9400000000000004</v>
      </c>
      <c r="CR195" s="213"/>
      <c r="CS195" s="213"/>
    </row>
    <row r="196" spans="1:97">
      <c r="A196" s="424">
        <v>45482</v>
      </c>
      <c r="B196" s="211" t="s">
        <v>248</v>
      </c>
      <c r="C196" s="213">
        <v>161.94999999999999</v>
      </c>
      <c r="D196" s="213">
        <v>159.94999999999999</v>
      </c>
      <c r="E196" s="213">
        <v>160.94999999999999</v>
      </c>
      <c r="F196" s="213">
        <v>175.76</v>
      </c>
      <c r="G196" s="213">
        <v>172.76</v>
      </c>
      <c r="H196" s="213">
        <v>174.26</v>
      </c>
      <c r="I196" s="213">
        <v>119.61</v>
      </c>
      <c r="J196" s="213">
        <v>116.41</v>
      </c>
      <c r="K196" s="213">
        <v>118.00999999999999</v>
      </c>
      <c r="L196" s="213">
        <v>210.16</v>
      </c>
      <c r="M196" s="213">
        <v>202.16</v>
      </c>
      <c r="N196" s="213">
        <v>206.16</v>
      </c>
      <c r="O196" s="213">
        <v>180.05</v>
      </c>
      <c r="P196" s="213">
        <v>178.25</v>
      </c>
      <c r="Q196" s="213">
        <v>179.15</v>
      </c>
      <c r="R196" s="213">
        <v>23.66</v>
      </c>
      <c r="S196" s="213">
        <v>23.06</v>
      </c>
      <c r="T196" s="213">
        <v>23.36</v>
      </c>
      <c r="U196" s="213">
        <v>15.46</v>
      </c>
      <c r="V196" s="213">
        <v>14.860000000000001</v>
      </c>
      <c r="W196" s="213">
        <v>15.16</v>
      </c>
      <c r="X196" s="213">
        <v>15.61</v>
      </c>
      <c r="Y196" s="213">
        <v>14.809999999999999</v>
      </c>
      <c r="Z196" s="213">
        <v>15.209999999999999</v>
      </c>
      <c r="AA196" s="213">
        <v>110.38</v>
      </c>
      <c r="AB196" s="213">
        <v>106.38</v>
      </c>
      <c r="AC196" s="213">
        <v>108.38</v>
      </c>
      <c r="AD196" s="213">
        <v>100.57</v>
      </c>
      <c r="AE196" s="213">
        <v>96.57</v>
      </c>
      <c r="AF196" s="213">
        <v>98.57</v>
      </c>
      <c r="AG196" s="213">
        <v>21.04</v>
      </c>
      <c r="AH196" s="213">
        <v>20.18</v>
      </c>
      <c r="AI196" s="213">
        <v>20.61</v>
      </c>
      <c r="AJ196" s="213"/>
      <c r="AK196" s="213"/>
      <c r="AL196" s="213"/>
      <c r="AM196" s="213">
        <v>120.04</v>
      </c>
      <c r="AN196" s="213">
        <v>118.38000000000001</v>
      </c>
      <c r="AO196" s="213">
        <v>119.21000000000001</v>
      </c>
      <c r="AP196" s="213">
        <v>43.78</v>
      </c>
      <c r="AQ196" s="213">
        <v>42.18</v>
      </c>
      <c r="AR196" s="213">
        <v>42.980000000000004</v>
      </c>
      <c r="AS196" s="213">
        <v>44.57</v>
      </c>
      <c r="AT196" s="213">
        <v>43.21</v>
      </c>
      <c r="AU196" s="213">
        <v>43.89</v>
      </c>
      <c r="AV196" s="213">
        <v>22.38</v>
      </c>
      <c r="AW196" s="213">
        <v>21.779999999999998</v>
      </c>
      <c r="AX196" s="213">
        <v>22.08</v>
      </c>
      <c r="AY196" s="213">
        <v>4.49</v>
      </c>
      <c r="AZ196" s="213">
        <v>4.33</v>
      </c>
      <c r="BA196" s="213">
        <v>4.41</v>
      </c>
      <c r="BB196" s="213">
        <v>2.09</v>
      </c>
      <c r="BC196" s="213">
        <v>1.7899999999999998</v>
      </c>
      <c r="BD196" s="213">
        <v>1.94</v>
      </c>
      <c r="BE196" s="213">
        <v>0.73</v>
      </c>
      <c r="BF196" s="213">
        <v>0.43</v>
      </c>
      <c r="BG196" s="213">
        <v>0.57999999999999996</v>
      </c>
      <c r="BH196" s="213">
        <v>535.01</v>
      </c>
      <c r="BI196" s="213">
        <v>519.01</v>
      </c>
      <c r="BJ196" s="213">
        <v>527.01</v>
      </c>
      <c r="BK196" s="213">
        <v>44.9</v>
      </c>
      <c r="BL196" s="213">
        <v>43.54</v>
      </c>
      <c r="BM196" s="213">
        <v>44.22</v>
      </c>
      <c r="BN196" s="213">
        <v>1.1100000000000001</v>
      </c>
      <c r="BO196" s="213">
        <v>0.87000000000000011</v>
      </c>
      <c r="BP196" s="213">
        <v>0.9900000000000001</v>
      </c>
      <c r="BQ196" s="213">
        <v>9.94</v>
      </c>
      <c r="BR196" s="213">
        <v>7.9399999999999995</v>
      </c>
      <c r="BS196" s="213">
        <v>8.94</v>
      </c>
      <c r="BT196" s="213">
        <v>11.84</v>
      </c>
      <c r="BU196" s="213">
        <v>11.44</v>
      </c>
      <c r="BV196" s="213">
        <v>11.64</v>
      </c>
      <c r="BW196" s="213">
        <v>2.91</v>
      </c>
      <c r="BX196" s="213">
        <v>2.63</v>
      </c>
      <c r="BY196" s="213">
        <v>2.77</v>
      </c>
      <c r="BZ196" s="213">
        <v>10.38</v>
      </c>
      <c r="CA196" s="213">
        <v>7.3800000000000008</v>
      </c>
      <c r="CB196" s="213">
        <v>8.8800000000000008</v>
      </c>
      <c r="CC196" s="213">
        <v>7.04</v>
      </c>
      <c r="CD196" s="213">
        <v>6.8</v>
      </c>
      <c r="CE196" s="213">
        <v>6.92</v>
      </c>
      <c r="CF196" s="213">
        <v>2.1</v>
      </c>
      <c r="CG196" s="213">
        <v>1.6</v>
      </c>
      <c r="CH196" s="213">
        <v>1.85</v>
      </c>
      <c r="CI196" s="213">
        <v>0.46</v>
      </c>
      <c r="CJ196" s="213">
        <v>0.42000000000000004</v>
      </c>
      <c r="CK196" s="213">
        <v>0.44000000000000006</v>
      </c>
      <c r="CL196" s="213">
        <v>42.05</v>
      </c>
      <c r="CM196" s="213">
        <v>39.65</v>
      </c>
      <c r="CN196" s="213">
        <v>40.849999999999994</v>
      </c>
      <c r="CO196" s="213">
        <v>7.43</v>
      </c>
      <c r="CP196" s="213">
        <v>2.4299999999999997</v>
      </c>
      <c r="CQ196" s="213">
        <v>4.93</v>
      </c>
      <c r="CR196" s="213"/>
      <c r="CS196" s="213"/>
    </row>
    <row r="197" spans="1:97">
      <c r="A197" s="424">
        <v>45483</v>
      </c>
      <c r="B197" s="211" t="s">
        <v>249</v>
      </c>
      <c r="C197" s="213">
        <v>162.55000000000001</v>
      </c>
      <c r="D197" s="213">
        <v>160.55000000000001</v>
      </c>
      <c r="E197" s="213">
        <v>161.55000000000001</v>
      </c>
      <c r="F197" s="213">
        <v>176.2</v>
      </c>
      <c r="G197" s="213">
        <v>173.2</v>
      </c>
      <c r="H197" s="213">
        <v>174.7</v>
      </c>
      <c r="I197" s="213">
        <v>120.09</v>
      </c>
      <c r="J197" s="213">
        <v>116.89</v>
      </c>
      <c r="K197" s="213">
        <v>118.49000000000001</v>
      </c>
      <c r="L197" s="213">
        <v>210.57</v>
      </c>
      <c r="M197" s="213">
        <v>202.57</v>
      </c>
      <c r="N197" s="213">
        <v>206.57</v>
      </c>
      <c r="O197" s="213">
        <v>180.78</v>
      </c>
      <c r="P197" s="213">
        <v>178.98</v>
      </c>
      <c r="Q197" s="213">
        <v>179.88</v>
      </c>
      <c r="R197" s="213">
        <v>23.72</v>
      </c>
      <c r="S197" s="213">
        <v>23.119999999999997</v>
      </c>
      <c r="T197" s="213">
        <v>23.419999999999998</v>
      </c>
      <c r="U197" s="213">
        <v>15.54</v>
      </c>
      <c r="V197" s="213">
        <v>14.94</v>
      </c>
      <c r="W197" s="213">
        <v>15.239999999999998</v>
      </c>
      <c r="X197" s="213">
        <v>15.72</v>
      </c>
      <c r="Y197" s="213">
        <v>14.92</v>
      </c>
      <c r="Z197" s="213">
        <v>15.32</v>
      </c>
      <c r="AA197" s="213">
        <v>110.77</v>
      </c>
      <c r="AB197" s="213">
        <v>106.77</v>
      </c>
      <c r="AC197" s="213">
        <v>108.77</v>
      </c>
      <c r="AD197" s="213">
        <v>100.98</v>
      </c>
      <c r="AE197" s="213">
        <v>96.98</v>
      </c>
      <c r="AF197" s="213">
        <v>98.98</v>
      </c>
      <c r="AG197" s="213">
        <v>21.11</v>
      </c>
      <c r="AH197" s="213">
        <v>20.25</v>
      </c>
      <c r="AI197" s="213">
        <v>20.68</v>
      </c>
      <c r="AJ197" s="213"/>
      <c r="AK197" s="213"/>
      <c r="AL197" s="213"/>
      <c r="AM197" s="213">
        <v>120.42</v>
      </c>
      <c r="AN197" s="213">
        <v>118.76</v>
      </c>
      <c r="AO197" s="213">
        <v>119.59</v>
      </c>
      <c r="AP197" s="213">
        <v>43.94</v>
      </c>
      <c r="AQ197" s="213">
        <v>42.339999999999996</v>
      </c>
      <c r="AR197" s="213">
        <v>43.14</v>
      </c>
      <c r="AS197" s="213">
        <v>44.74</v>
      </c>
      <c r="AT197" s="213">
        <v>43.38</v>
      </c>
      <c r="AU197" s="213">
        <v>44.06</v>
      </c>
      <c r="AV197" s="213">
        <v>22.46</v>
      </c>
      <c r="AW197" s="213">
        <v>21.86</v>
      </c>
      <c r="AX197" s="213">
        <v>22.16</v>
      </c>
      <c r="AY197" s="213">
        <v>4.5199999999999996</v>
      </c>
      <c r="AZ197" s="213">
        <v>4.3599999999999994</v>
      </c>
      <c r="BA197" s="213">
        <v>4.4399999999999995</v>
      </c>
      <c r="BB197" s="213">
        <v>2.09</v>
      </c>
      <c r="BC197" s="213">
        <v>1.7899999999999998</v>
      </c>
      <c r="BD197" s="213">
        <v>1.94</v>
      </c>
      <c r="BE197" s="213">
        <v>0.73</v>
      </c>
      <c r="BF197" s="213">
        <v>0.43</v>
      </c>
      <c r="BG197" s="213">
        <v>0.57999999999999996</v>
      </c>
      <c r="BH197" s="213">
        <v>536.98</v>
      </c>
      <c r="BI197" s="213">
        <v>520.98</v>
      </c>
      <c r="BJ197" s="213">
        <v>528.98</v>
      </c>
      <c r="BK197" s="213">
        <v>45.06</v>
      </c>
      <c r="BL197" s="213">
        <v>43.7</v>
      </c>
      <c r="BM197" s="213">
        <v>44.38</v>
      </c>
      <c r="BN197" s="213">
        <v>1.1200000000000001</v>
      </c>
      <c r="BO197" s="213">
        <v>0.88000000000000012</v>
      </c>
      <c r="BP197" s="213">
        <v>1</v>
      </c>
      <c r="BQ197" s="213">
        <v>10.02</v>
      </c>
      <c r="BR197" s="213">
        <v>8.02</v>
      </c>
      <c r="BS197" s="213">
        <v>9.02</v>
      </c>
      <c r="BT197" s="213">
        <v>11.87</v>
      </c>
      <c r="BU197" s="213">
        <v>11.469999999999999</v>
      </c>
      <c r="BV197" s="213">
        <v>11.669999999999998</v>
      </c>
      <c r="BW197" s="213">
        <v>2.92</v>
      </c>
      <c r="BX197" s="213">
        <v>2.6399999999999997</v>
      </c>
      <c r="BY197" s="213">
        <v>2.78</v>
      </c>
      <c r="BZ197" s="213">
        <v>10.39</v>
      </c>
      <c r="CA197" s="213">
        <v>7.3900000000000006</v>
      </c>
      <c r="CB197" s="213">
        <v>8.89</v>
      </c>
      <c r="CC197" s="213">
        <v>7.04</v>
      </c>
      <c r="CD197" s="213">
        <v>6.8</v>
      </c>
      <c r="CE197" s="213">
        <v>6.92</v>
      </c>
      <c r="CF197" s="213">
        <v>2.1</v>
      </c>
      <c r="CG197" s="213">
        <v>1.6</v>
      </c>
      <c r="CH197" s="213">
        <v>1.85</v>
      </c>
      <c r="CI197" s="213">
        <v>0.46</v>
      </c>
      <c r="CJ197" s="213">
        <v>0.42000000000000004</v>
      </c>
      <c r="CK197" s="213">
        <v>0.44000000000000006</v>
      </c>
      <c r="CL197" s="213">
        <v>42.27</v>
      </c>
      <c r="CM197" s="213">
        <v>39.870000000000005</v>
      </c>
      <c r="CN197" s="213">
        <v>41.070000000000007</v>
      </c>
      <c r="CO197" s="213">
        <v>7.42</v>
      </c>
      <c r="CP197" s="213">
        <v>2.42</v>
      </c>
      <c r="CQ197" s="213">
        <v>4.92</v>
      </c>
      <c r="CR197" s="213"/>
      <c r="CS197" s="213"/>
    </row>
    <row r="198" spans="1:97">
      <c r="A198" s="424">
        <v>45484</v>
      </c>
      <c r="B198" s="211" t="s">
        <v>250</v>
      </c>
      <c r="C198" s="213">
        <v>162.72999999999999</v>
      </c>
      <c r="D198" s="213">
        <v>160.72999999999999</v>
      </c>
      <c r="E198" s="213">
        <v>161.72999999999999</v>
      </c>
      <c r="F198" s="213">
        <v>176.7</v>
      </c>
      <c r="G198" s="213">
        <v>173.7</v>
      </c>
      <c r="H198" s="213">
        <v>175.2</v>
      </c>
      <c r="I198" s="213">
        <v>120.33</v>
      </c>
      <c r="J198" s="213">
        <v>117.13</v>
      </c>
      <c r="K198" s="213">
        <v>118.72999999999999</v>
      </c>
      <c r="L198" s="213">
        <v>211.94</v>
      </c>
      <c r="M198" s="213">
        <v>203.94</v>
      </c>
      <c r="N198" s="213">
        <v>207.94</v>
      </c>
      <c r="O198" s="213">
        <v>180.7</v>
      </c>
      <c r="P198" s="213">
        <v>178.89999999999998</v>
      </c>
      <c r="Q198" s="213">
        <v>179.79999999999998</v>
      </c>
      <c r="R198" s="213">
        <v>23.79</v>
      </c>
      <c r="S198" s="213">
        <v>23.189999999999998</v>
      </c>
      <c r="T198" s="213">
        <v>23.49</v>
      </c>
      <c r="U198" s="213">
        <v>15.39</v>
      </c>
      <c r="V198" s="213">
        <v>14.790000000000001</v>
      </c>
      <c r="W198" s="213">
        <v>15.09</v>
      </c>
      <c r="X198" s="213">
        <v>15.73</v>
      </c>
      <c r="Y198" s="213">
        <v>14.93</v>
      </c>
      <c r="Z198" s="213">
        <v>15.33</v>
      </c>
      <c r="AA198" s="213">
        <v>111.1</v>
      </c>
      <c r="AB198" s="213">
        <v>107.1</v>
      </c>
      <c r="AC198" s="213">
        <v>109.1</v>
      </c>
      <c r="AD198" s="213">
        <v>100.46</v>
      </c>
      <c r="AE198" s="213">
        <v>96.46</v>
      </c>
      <c r="AF198" s="213">
        <v>98.46</v>
      </c>
      <c r="AG198" s="213">
        <v>21.14</v>
      </c>
      <c r="AH198" s="213">
        <v>20.28</v>
      </c>
      <c r="AI198" s="213">
        <v>20.71</v>
      </c>
      <c r="AJ198" s="213"/>
      <c r="AK198" s="213"/>
      <c r="AL198" s="213"/>
      <c r="AM198" s="213">
        <v>120.76</v>
      </c>
      <c r="AN198" s="213">
        <v>119.10000000000001</v>
      </c>
      <c r="AO198" s="213">
        <v>119.93</v>
      </c>
      <c r="AP198" s="213">
        <v>43.99</v>
      </c>
      <c r="AQ198" s="213">
        <v>42.39</v>
      </c>
      <c r="AR198" s="213">
        <v>43.19</v>
      </c>
      <c r="AS198" s="213">
        <v>44.78</v>
      </c>
      <c r="AT198" s="213">
        <v>43.42</v>
      </c>
      <c r="AU198" s="213">
        <v>44.1</v>
      </c>
      <c r="AV198" s="213">
        <v>22.48</v>
      </c>
      <c r="AW198" s="213">
        <v>21.88</v>
      </c>
      <c r="AX198" s="213">
        <v>22.18</v>
      </c>
      <c r="AY198" s="213">
        <v>4.54</v>
      </c>
      <c r="AZ198" s="213">
        <v>4.38</v>
      </c>
      <c r="BA198" s="213">
        <v>4.46</v>
      </c>
      <c r="BB198" s="213">
        <v>2.1</v>
      </c>
      <c r="BC198" s="213">
        <v>1.8</v>
      </c>
      <c r="BD198" s="213">
        <v>1.9500000000000002</v>
      </c>
      <c r="BE198" s="213">
        <v>0.73</v>
      </c>
      <c r="BF198" s="213">
        <v>0.43</v>
      </c>
      <c r="BG198" s="213">
        <v>0.57999999999999996</v>
      </c>
      <c r="BH198" s="213">
        <v>537.57000000000005</v>
      </c>
      <c r="BI198" s="213">
        <v>521.57000000000005</v>
      </c>
      <c r="BJ198" s="213">
        <v>529.57000000000005</v>
      </c>
      <c r="BK198" s="213">
        <v>45.11</v>
      </c>
      <c r="BL198" s="213">
        <v>43.75</v>
      </c>
      <c r="BM198" s="213">
        <v>44.43</v>
      </c>
      <c r="BN198" s="213">
        <v>1.1200000000000001</v>
      </c>
      <c r="BO198" s="213">
        <v>0.88000000000000012</v>
      </c>
      <c r="BP198" s="213">
        <v>1</v>
      </c>
      <c r="BQ198" s="213">
        <v>10.07</v>
      </c>
      <c r="BR198" s="213">
        <v>8.07</v>
      </c>
      <c r="BS198" s="213">
        <v>9.07</v>
      </c>
      <c r="BT198" s="213">
        <v>11.92</v>
      </c>
      <c r="BU198" s="213">
        <v>11.52</v>
      </c>
      <c r="BV198" s="213">
        <v>11.719999999999999</v>
      </c>
      <c r="BW198" s="213">
        <v>2.93</v>
      </c>
      <c r="BX198" s="213">
        <v>2.6500000000000004</v>
      </c>
      <c r="BY198" s="213">
        <v>2.79</v>
      </c>
      <c r="BZ198" s="213">
        <v>10.43</v>
      </c>
      <c r="CA198" s="213">
        <v>7.43</v>
      </c>
      <c r="CB198" s="213">
        <v>8.93</v>
      </c>
      <c r="CC198" s="213">
        <v>7.02</v>
      </c>
      <c r="CD198" s="213">
        <v>6.7799999999999994</v>
      </c>
      <c r="CE198" s="213">
        <v>6.8999999999999995</v>
      </c>
      <c r="CF198" s="213">
        <v>2.08</v>
      </c>
      <c r="CG198" s="213">
        <v>1.58</v>
      </c>
      <c r="CH198" s="213">
        <v>1.83</v>
      </c>
      <c r="CI198" s="213">
        <v>0.46</v>
      </c>
      <c r="CJ198" s="213">
        <v>0.42000000000000004</v>
      </c>
      <c r="CK198" s="213">
        <v>0.44000000000000006</v>
      </c>
      <c r="CL198" s="213">
        <v>42.33</v>
      </c>
      <c r="CM198" s="213">
        <v>39.93</v>
      </c>
      <c r="CN198" s="213">
        <v>41.129999999999995</v>
      </c>
      <c r="CO198" s="213">
        <v>7.43</v>
      </c>
      <c r="CP198" s="213">
        <v>2.4299999999999997</v>
      </c>
      <c r="CQ198" s="213">
        <v>4.93</v>
      </c>
      <c r="CR198" s="213"/>
      <c r="CS198" s="213"/>
    </row>
    <row r="199" spans="1:97">
      <c r="A199" s="424">
        <v>45485</v>
      </c>
      <c r="B199" s="211" t="s">
        <v>251</v>
      </c>
      <c r="C199" s="213">
        <v>160.11000000000001</v>
      </c>
      <c r="D199" s="213">
        <v>158.11000000000001</v>
      </c>
      <c r="E199" s="213">
        <v>159.11000000000001</v>
      </c>
      <c r="F199" s="213">
        <v>174.44</v>
      </c>
      <c r="G199" s="213">
        <v>171.44</v>
      </c>
      <c r="H199" s="213">
        <v>172.94</v>
      </c>
      <c r="I199" s="213">
        <v>118.32</v>
      </c>
      <c r="J199" s="213">
        <v>115.11999999999999</v>
      </c>
      <c r="K199" s="213">
        <v>116.72</v>
      </c>
      <c r="L199" s="213">
        <v>209.47</v>
      </c>
      <c r="M199" s="213">
        <v>201.47</v>
      </c>
      <c r="N199" s="213">
        <v>205.47</v>
      </c>
      <c r="O199" s="213">
        <v>178.42</v>
      </c>
      <c r="P199" s="213">
        <v>176.61999999999998</v>
      </c>
      <c r="Q199" s="213">
        <v>177.51999999999998</v>
      </c>
      <c r="R199" s="213">
        <v>23.48</v>
      </c>
      <c r="S199" s="213">
        <v>22.88</v>
      </c>
      <c r="T199" s="213">
        <v>23.18</v>
      </c>
      <c r="U199" s="213">
        <v>15.12</v>
      </c>
      <c r="V199" s="213">
        <v>14.52</v>
      </c>
      <c r="W199" s="213">
        <v>14.82</v>
      </c>
      <c r="X199" s="213">
        <v>15.53</v>
      </c>
      <c r="Y199" s="213">
        <v>14.729999999999999</v>
      </c>
      <c r="Z199" s="213">
        <v>15.129999999999999</v>
      </c>
      <c r="AA199" s="213">
        <v>109.59</v>
      </c>
      <c r="AB199" s="213">
        <v>105.59</v>
      </c>
      <c r="AC199" s="213">
        <v>107.59</v>
      </c>
      <c r="AD199" s="213">
        <v>98.8</v>
      </c>
      <c r="AE199" s="213">
        <v>94.8</v>
      </c>
      <c r="AF199" s="213">
        <v>96.8</v>
      </c>
      <c r="AG199" s="213">
        <v>20.81</v>
      </c>
      <c r="AH199" s="213">
        <v>19.95</v>
      </c>
      <c r="AI199" s="213">
        <v>20.38</v>
      </c>
      <c r="AJ199" s="213"/>
      <c r="AK199" s="213"/>
      <c r="AL199" s="213"/>
      <c r="AM199" s="213">
        <v>119.24</v>
      </c>
      <c r="AN199" s="213">
        <v>117.58</v>
      </c>
      <c r="AO199" s="213">
        <v>118.41</v>
      </c>
      <c r="AP199" s="213">
        <v>43.29</v>
      </c>
      <c r="AQ199" s="213">
        <v>41.69</v>
      </c>
      <c r="AR199" s="213">
        <v>42.489999999999995</v>
      </c>
      <c r="AS199" s="213">
        <v>44.07</v>
      </c>
      <c r="AT199" s="213">
        <v>42.71</v>
      </c>
      <c r="AU199" s="213">
        <v>43.39</v>
      </c>
      <c r="AV199" s="213">
        <v>22.19</v>
      </c>
      <c r="AW199" s="213">
        <v>21.59</v>
      </c>
      <c r="AX199" s="213">
        <v>21.89</v>
      </c>
      <c r="AY199" s="213">
        <v>4.49</v>
      </c>
      <c r="AZ199" s="213">
        <v>4.33</v>
      </c>
      <c r="BA199" s="213">
        <v>4.41</v>
      </c>
      <c r="BB199" s="213">
        <v>2.0699999999999998</v>
      </c>
      <c r="BC199" s="213">
        <v>1.7699999999999998</v>
      </c>
      <c r="BD199" s="213">
        <v>1.92</v>
      </c>
      <c r="BE199" s="213">
        <v>0.72</v>
      </c>
      <c r="BF199" s="213">
        <v>0.42</v>
      </c>
      <c r="BG199" s="213">
        <v>0.56999999999999995</v>
      </c>
      <c r="BH199" s="213">
        <v>529.5</v>
      </c>
      <c r="BI199" s="213">
        <v>513.5</v>
      </c>
      <c r="BJ199" s="213">
        <v>521.5</v>
      </c>
      <c r="BK199" s="213">
        <v>44.4</v>
      </c>
      <c r="BL199" s="213">
        <v>43.04</v>
      </c>
      <c r="BM199" s="213">
        <v>43.72</v>
      </c>
      <c r="BN199" s="213">
        <v>1.1100000000000001</v>
      </c>
      <c r="BO199" s="213">
        <v>0.87000000000000011</v>
      </c>
      <c r="BP199" s="213">
        <v>0.9900000000000001</v>
      </c>
      <c r="BQ199" s="213">
        <v>9.9600000000000009</v>
      </c>
      <c r="BR199" s="213">
        <v>7.9600000000000009</v>
      </c>
      <c r="BS199" s="213">
        <v>8.9600000000000009</v>
      </c>
      <c r="BT199" s="213">
        <v>11.79</v>
      </c>
      <c r="BU199" s="213">
        <v>11.389999999999999</v>
      </c>
      <c r="BV199" s="213">
        <v>11.59</v>
      </c>
      <c r="BW199" s="213">
        <v>2.89</v>
      </c>
      <c r="BX199" s="213">
        <v>2.6100000000000003</v>
      </c>
      <c r="BY199" s="213">
        <v>2.75</v>
      </c>
      <c r="BZ199" s="213">
        <v>10.34</v>
      </c>
      <c r="CA199" s="213">
        <v>7.34</v>
      </c>
      <c r="CB199" s="213">
        <v>8.84</v>
      </c>
      <c r="CC199" s="213">
        <v>6.95</v>
      </c>
      <c r="CD199" s="213">
        <v>6.71</v>
      </c>
      <c r="CE199" s="213">
        <v>6.83</v>
      </c>
      <c r="CF199" s="213">
        <v>2.0699999999999998</v>
      </c>
      <c r="CG199" s="213">
        <v>1.5699999999999998</v>
      </c>
      <c r="CH199" s="213">
        <v>1.8199999999999998</v>
      </c>
      <c r="CI199" s="213">
        <v>0.46</v>
      </c>
      <c r="CJ199" s="213">
        <v>0.42000000000000004</v>
      </c>
      <c r="CK199" s="213">
        <v>0.44000000000000006</v>
      </c>
      <c r="CL199" s="213">
        <v>41.75</v>
      </c>
      <c r="CM199" s="213">
        <v>39.35</v>
      </c>
      <c r="CN199" s="213">
        <v>40.549999999999997</v>
      </c>
      <c r="CO199" s="213">
        <v>7.34</v>
      </c>
      <c r="CP199" s="213">
        <v>2.34</v>
      </c>
      <c r="CQ199" s="213">
        <v>4.84</v>
      </c>
      <c r="CR199" s="213"/>
      <c r="CS199" s="213"/>
    </row>
    <row r="200" spans="1:97">
      <c r="A200" s="424">
        <v>45486</v>
      </c>
      <c r="B200" s="211" t="s">
        <v>252</v>
      </c>
      <c r="C200" s="213"/>
      <c r="D200" s="213"/>
      <c r="E200" s="213"/>
      <c r="F200" s="213"/>
      <c r="G200" s="213"/>
      <c r="H200" s="213"/>
      <c r="I200" s="213"/>
      <c r="J200" s="213"/>
      <c r="K200" s="213"/>
      <c r="L200" s="213"/>
      <c r="M200" s="213"/>
      <c r="N200" s="213"/>
      <c r="O200" s="213"/>
      <c r="P200" s="213"/>
      <c r="Q200" s="213"/>
      <c r="R200" s="213"/>
      <c r="S200" s="213"/>
      <c r="T200" s="213"/>
      <c r="U200" s="213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13"/>
      <c r="AF200" s="213"/>
      <c r="AG200" s="213"/>
      <c r="AH200" s="213"/>
      <c r="AI200" s="213"/>
      <c r="AJ200" s="213"/>
      <c r="AK200" s="213"/>
      <c r="AL200" s="213"/>
      <c r="AM200" s="213"/>
      <c r="AN200" s="213"/>
      <c r="AO200" s="213"/>
      <c r="AP200" s="213"/>
      <c r="AQ200" s="213"/>
      <c r="AR200" s="213"/>
      <c r="AS200" s="213"/>
      <c r="AT200" s="213"/>
      <c r="AU200" s="213"/>
      <c r="AV200" s="213"/>
      <c r="AW200" s="213"/>
      <c r="AX200" s="213"/>
      <c r="AY200" s="213"/>
      <c r="AZ200" s="213"/>
      <c r="BA200" s="213"/>
      <c r="BB200" s="213"/>
      <c r="BC200" s="213"/>
      <c r="BD200" s="213"/>
      <c r="BE200" s="213"/>
      <c r="BF200" s="213"/>
      <c r="BG200" s="213"/>
      <c r="BH200" s="213"/>
      <c r="BI200" s="213"/>
      <c r="BJ200" s="213"/>
      <c r="BK200" s="213"/>
      <c r="BL200" s="213"/>
      <c r="BM200" s="213"/>
      <c r="BN200" s="213"/>
      <c r="BO200" s="213"/>
      <c r="BP200" s="213"/>
      <c r="BQ200" s="213"/>
      <c r="BR200" s="213"/>
      <c r="BS200" s="213"/>
      <c r="BT200" s="213"/>
      <c r="BU200" s="213"/>
      <c r="BV200" s="213"/>
      <c r="BW200" s="213"/>
      <c r="BX200" s="213"/>
      <c r="BY200" s="213"/>
      <c r="BZ200" s="213"/>
      <c r="CA200" s="213"/>
      <c r="CB200" s="213"/>
      <c r="CC200" s="213"/>
      <c r="CD200" s="213"/>
      <c r="CE200" s="213"/>
      <c r="CF200" s="213"/>
      <c r="CG200" s="213"/>
      <c r="CH200" s="213"/>
      <c r="CI200" s="213"/>
      <c r="CJ200" s="213"/>
      <c r="CK200" s="213"/>
      <c r="CL200" s="213"/>
      <c r="CM200" s="213"/>
      <c r="CN200" s="213"/>
      <c r="CO200" s="213"/>
      <c r="CP200" s="213"/>
      <c r="CQ200" s="213"/>
      <c r="CR200" s="213"/>
      <c r="CS200" s="213"/>
    </row>
    <row r="201" spans="1:97">
      <c r="A201" s="424">
        <v>45487</v>
      </c>
      <c r="B201" s="211" t="s">
        <v>253</v>
      </c>
      <c r="C201" s="213"/>
      <c r="D201" s="213"/>
      <c r="E201" s="213"/>
      <c r="F201" s="213"/>
      <c r="G201" s="213"/>
      <c r="H201" s="213"/>
      <c r="I201" s="213"/>
      <c r="J201" s="213"/>
      <c r="K201" s="213"/>
      <c r="L201" s="213"/>
      <c r="M201" s="213"/>
      <c r="N201" s="213"/>
      <c r="O201" s="213"/>
      <c r="P201" s="213"/>
      <c r="Q201" s="213"/>
      <c r="R201" s="213"/>
      <c r="S201" s="213"/>
      <c r="T201" s="213"/>
      <c r="U201" s="213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13"/>
      <c r="AF201" s="213"/>
      <c r="AG201" s="213"/>
      <c r="AH201" s="213"/>
      <c r="AI201" s="213"/>
      <c r="AJ201" s="213"/>
      <c r="AK201" s="213"/>
      <c r="AL201" s="213"/>
      <c r="AM201" s="213"/>
      <c r="AN201" s="213"/>
      <c r="AO201" s="213"/>
      <c r="AP201" s="213"/>
      <c r="AQ201" s="213"/>
      <c r="AR201" s="213"/>
      <c r="AS201" s="213"/>
      <c r="AT201" s="213"/>
      <c r="AU201" s="213"/>
      <c r="AV201" s="213"/>
      <c r="AW201" s="213"/>
      <c r="AX201" s="213"/>
      <c r="AY201" s="213"/>
      <c r="AZ201" s="213"/>
      <c r="BA201" s="213"/>
      <c r="BB201" s="213"/>
      <c r="BC201" s="213"/>
      <c r="BD201" s="213"/>
      <c r="BE201" s="213"/>
      <c r="BF201" s="213"/>
      <c r="BG201" s="213"/>
      <c r="BH201" s="213"/>
      <c r="BI201" s="213"/>
      <c r="BJ201" s="213"/>
      <c r="BK201" s="213"/>
      <c r="BL201" s="213"/>
      <c r="BM201" s="213"/>
      <c r="BN201" s="213"/>
      <c r="BO201" s="213"/>
      <c r="BP201" s="213"/>
      <c r="BQ201" s="213"/>
      <c r="BR201" s="213"/>
      <c r="BS201" s="213"/>
      <c r="BT201" s="213"/>
      <c r="BU201" s="213"/>
      <c r="BV201" s="213"/>
      <c r="BW201" s="213"/>
      <c r="BX201" s="213"/>
      <c r="BY201" s="213"/>
      <c r="BZ201" s="213"/>
      <c r="CA201" s="213"/>
      <c r="CB201" s="213"/>
      <c r="CC201" s="213"/>
      <c r="CD201" s="213"/>
      <c r="CE201" s="213"/>
      <c r="CF201" s="213"/>
      <c r="CG201" s="213"/>
      <c r="CH201" s="213"/>
      <c r="CI201" s="213"/>
      <c r="CJ201" s="213"/>
      <c r="CK201" s="213"/>
      <c r="CL201" s="213"/>
      <c r="CM201" s="213"/>
      <c r="CN201" s="213"/>
      <c r="CO201" s="213"/>
      <c r="CP201" s="213"/>
      <c r="CQ201" s="213"/>
      <c r="CR201" s="213"/>
      <c r="CS201" s="213"/>
    </row>
    <row r="202" spans="1:97">
      <c r="A202" s="424">
        <v>45488</v>
      </c>
      <c r="B202" s="211" t="s">
        <v>247</v>
      </c>
      <c r="C202" s="213"/>
      <c r="D202" s="213"/>
      <c r="E202" s="213"/>
      <c r="F202" s="213"/>
      <c r="G202" s="213"/>
      <c r="H202" s="213"/>
      <c r="I202" s="213"/>
      <c r="J202" s="213"/>
      <c r="K202" s="213"/>
      <c r="L202" s="213"/>
      <c r="M202" s="213"/>
      <c r="N202" s="213"/>
      <c r="O202" s="213"/>
      <c r="P202" s="213"/>
      <c r="Q202" s="213"/>
      <c r="R202" s="213"/>
      <c r="S202" s="213"/>
      <c r="T202" s="213"/>
      <c r="U202" s="213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13"/>
      <c r="AF202" s="213"/>
      <c r="AG202" s="213"/>
      <c r="AH202" s="213"/>
      <c r="AI202" s="213"/>
      <c r="AJ202" s="213"/>
      <c r="AK202" s="213"/>
      <c r="AL202" s="213"/>
      <c r="AM202" s="213"/>
      <c r="AN202" s="213"/>
      <c r="AO202" s="213"/>
      <c r="AP202" s="213"/>
      <c r="AQ202" s="213"/>
      <c r="AR202" s="213"/>
      <c r="AS202" s="213"/>
      <c r="AT202" s="213"/>
      <c r="AU202" s="213"/>
      <c r="AV202" s="213"/>
      <c r="AW202" s="213"/>
      <c r="AX202" s="213"/>
      <c r="AY202" s="213"/>
      <c r="AZ202" s="213"/>
      <c r="BA202" s="213"/>
      <c r="BB202" s="213"/>
      <c r="BC202" s="213"/>
      <c r="BD202" s="213"/>
      <c r="BE202" s="213"/>
      <c r="BF202" s="213"/>
      <c r="BG202" s="213"/>
      <c r="BH202" s="213"/>
      <c r="BI202" s="213"/>
      <c r="BJ202" s="213"/>
      <c r="BK202" s="213"/>
      <c r="BL202" s="213"/>
      <c r="BM202" s="213"/>
      <c r="BN202" s="213"/>
      <c r="BO202" s="213"/>
      <c r="BP202" s="213"/>
      <c r="BQ202" s="213"/>
      <c r="BR202" s="213"/>
      <c r="BS202" s="213"/>
      <c r="BT202" s="213"/>
      <c r="BU202" s="213"/>
      <c r="BV202" s="213"/>
      <c r="BW202" s="213"/>
      <c r="BX202" s="213"/>
      <c r="BY202" s="213"/>
      <c r="BZ202" s="213"/>
      <c r="CA202" s="213"/>
      <c r="CB202" s="213"/>
      <c r="CC202" s="213"/>
      <c r="CD202" s="213"/>
      <c r="CE202" s="213"/>
      <c r="CF202" s="213"/>
      <c r="CG202" s="213"/>
      <c r="CH202" s="213"/>
      <c r="CI202" s="213"/>
      <c r="CJ202" s="213"/>
      <c r="CK202" s="213"/>
      <c r="CL202" s="213"/>
      <c r="CM202" s="213"/>
      <c r="CN202" s="213"/>
      <c r="CO202" s="213"/>
      <c r="CP202" s="213"/>
      <c r="CQ202" s="213"/>
      <c r="CR202" s="213"/>
      <c r="CS202" s="213"/>
    </row>
    <row r="203" spans="1:97">
      <c r="A203" s="424">
        <v>45489</v>
      </c>
      <c r="B203" s="211" t="s">
        <v>248</v>
      </c>
      <c r="C203" s="213">
        <v>159.44999999999999</v>
      </c>
      <c r="D203" s="213">
        <v>157.44999999999999</v>
      </c>
      <c r="E203" s="213">
        <v>158.44999999999999</v>
      </c>
      <c r="F203" s="213">
        <v>174.07</v>
      </c>
      <c r="G203" s="213">
        <v>171.07</v>
      </c>
      <c r="H203" s="213">
        <v>172.57</v>
      </c>
      <c r="I203" s="213">
        <v>117.41</v>
      </c>
      <c r="J203" s="213">
        <v>114.21</v>
      </c>
      <c r="K203" s="213">
        <v>115.81</v>
      </c>
      <c r="L203" s="213">
        <v>209.46</v>
      </c>
      <c r="M203" s="213">
        <v>201.46</v>
      </c>
      <c r="N203" s="213">
        <v>205.46</v>
      </c>
      <c r="O203" s="213">
        <v>177.76</v>
      </c>
      <c r="P203" s="213">
        <v>175.95999999999998</v>
      </c>
      <c r="Q203" s="213">
        <v>176.85999999999999</v>
      </c>
      <c r="R203" s="213">
        <v>23.43</v>
      </c>
      <c r="S203" s="213">
        <v>22.83</v>
      </c>
      <c r="T203" s="213">
        <v>23.13</v>
      </c>
      <c r="U203" s="213">
        <v>14.95</v>
      </c>
      <c r="V203" s="213">
        <v>14.35</v>
      </c>
      <c r="W203" s="213">
        <v>14.649999999999999</v>
      </c>
      <c r="X203" s="213">
        <v>15.32</v>
      </c>
      <c r="Y203" s="213">
        <v>14.52</v>
      </c>
      <c r="Z203" s="213">
        <v>14.92</v>
      </c>
      <c r="AA203" s="213">
        <v>108.99</v>
      </c>
      <c r="AB203" s="213">
        <v>104.99</v>
      </c>
      <c r="AC203" s="213">
        <v>106.99</v>
      </c>
      <c r="AD203" s="213">
        <v>98.1</v>
      </c>
      <c r="AE203" s="213">
        <v>94.1</v>
      </c>
      <c r="AF203" s="213">
        <v>96.1</v>
      </c>
      <c r="AG203" s="213">
        <v>20.73</v>
      </c>
      <c r="AH203" s="213">
        <v>19.87</v>
      </c>
      <c r="AI203" s="213">
        <v>20.3</v>
      </c>
      <c r="AJ203" s="213"/>
      <c r="AK203" s="213"/>
      <c r="AL203" s="213"/>
      <c r="AM203" s="213">
        <v>118.71</v>
      </c>
      <c r="AN203" s="213">
        <v>117.05</v>
      </c>
      <c r="AO203" s="213">
        <v>117.88</v>
      </c>
      <c r="AP203" s="213">
        <v>43.11</v>
      </c>
      <c r="AQ203" s="213">
        <v>41.51</v>
      </c>
      <c r="AR203" s="213">
        <v>42.31</v>
      </c>
      <c r="AS203" s="213">
        <v>43.75</v>
      </c>
      <c r="AT203" s="213">
        <v>42.39</v>
      </c>
      <c r="AU203" s="213">
        <v>43.07</v>
      </c>
      <c r="AV203" s="213">
        <v>22.08</v>
      </c>
      <c r="AW203" s="213">
        <v>21.479999999999997</v>
      </c>
      <c r="AX203" s="213">
        <v>21.779999999999998</v>
      </c>
      <c r="AY203" s="213">
        <v>4.46</v>
      </c>
      <c r="AZ203" s="213">
        <v>4.3</v>
      </c>
      <c r="BA203" s="213">
        <v>4.38</v>
      </c>
      <c r="BB203" s="213">
        <v>2.06</v>
      </c>
      <c r="BC203" s="213">
        <v>1.76</v>
      </c>
      <c r="BD203" s="213">
        <v>1.9100000000000001</v>
      </c>
      <c r="BE203" s="213">
        <v>0.72</v>
      </c>
      <c r="BF203" s="213">
        <v>0.42</v>
      </c>
      <c r="BG203" s="213">
        <v>0.56999999999999995</v>
      </c>
      <c r="BH203" s="213">
        <v>525.47</v>
      </c>
      <c r="BI203" s="213">
        <v>509.47</v>
      </c>
      <c r="BJ203" s="213">
        <v>517.47</v>
      </c>
      <c r="BK203" s="213">
        <v>44.2</v>
      </c>
      <c r="BL203" s="213">
        <v>42.84</v>
      </c>
      <c r="BM203" s="213">
        <v>43.52</v>
      </c>
      <c r="BN203" s="213">
        <v>1.1000000000000001</v>
      </c>
      <c r="BO203" s="213">
        <v>0.8600000000000001</v>
      </c>
      <c r="BP203" s="213">
        <v>0.98000000000000009</v>
      </c>
      <c r="BQ203" s="213">
        <v>9.93</v>
      </c>
      <c r="BR203" s="213">
        <v>7.93</v>
      </c>
      <c r="BS203" s="213">
        <v>8.93</v>
      </c>
      <c r="BT203" s="213">
        <v>11.64</v>
      </c>
      <c r="BU203" s="213">
        <v>11.24</v>
      </c>
      <c r="BV203" s="213">
        <v>11.440000000000001</v>
      </c>
      <c r="BW203" s="213">
        <v>2.87</v>
      </c>
      <c r="BX203" s="213">
        <v>2.59</v>
      </c>
      <c r="BY203" s="213">
        <v>2.73</v>
      </c>
      <c r="BZ203" s="213">
        <v>10.199999999999999</v>
      </c>
      <c r="CA203" s="213">
        <v>7.1999999999999993</v>
      </c>
      <c r="CB203" s="213">
        <v>8.6999999999999993</v>
      </c>
      <c r="CC203" s="213">
        <v>6.92</v>
      </c>
      <c r="CD203" s="213">
        <v>6.68</v>
      </c>
      <c r="CE203" s="213">
        <v>6.8</v>
      </c>
      <c r="CF203" s="213">
        <v>2.0499999999999998</v>
      </c>
      <c r="CG203" s="213">
        <v>1.5499999999999998</v>
      </c>
      <c r="CH203" s="213">
        <v>1.7999999999999998</v>
      </c>
      <c r="CI203" s="213">
        <v>0.46</v>
      </c>
      <c r="CJ203" s="213">
        <v>0.42000000000000004</v>
      </c>
      <c r="CK203" s="213">
        <v>0.44000000000000006</v>
      </c>
      <c r="CL203" s="213">
        <v>41.77</v>
      </c>
      <c r="CM203" s="213">
        <v>39.370000000000005</v>
      </c>
      <c r="CN203" s="213">
        <v>40.570000000000007</v>
      </c>
      <c r="CO203" s="213">
        <v>7.31</v>
      </c>
      <c r="CP203" s="213">
        <v>2.3099999999999996</v>
      </c>
      <c r="CQ203" s="213">
        <v>4.8099999999999996</v>
      </c>
      <c r="CR203" s="213"/>
      <c r="CS203" s="213"/>
    </row>
    <row r="204" spans="1:97">
      <c r="A204" s="424">
        <v>45490</v>
      </c>
      <c r="B204" s="211" t="s">
        <v>249</v>
      </c>
      <c r="C204" s="213">
        <v>159.56</v>
      </c>
      <c r="D204" s="213">
        <v>157.56</v>
      </c>
      <c r="E204" s="213">
        <v>158.56</v>
      </c>
      <c r="F204" s="213">
        <v>174.28</v>
      </c>
      <c r="G204" s="213">
        <v>171.28</v>
      </c>
      <c r="H204" s="213">
        <v>172.78</v>
      </c>
      <c r="I204" s="213">
        <v>117.52</v>
      </c>
      <c r="J204" s="213">
        <v>114.32</v>
      </c>
      <c r="K204" s="213">
        <v>115.91999999999999</v>
      </c>
      <c r="L204" s="213">
        <v>209.64</v>
      </c>
      <c r="M204" s="213">
        <v>201.64</v>
      </c>
      <c r="N204" s="213">
        <v>205.64</v>
      </c>
      <c r="O204" s="213">
        <v>178.2</v>
      </c>
      <c r="P204" s="213">
        <v>176.39999999999998</v>
      </c>
      <c r="Q204" s="213">
        <v>177.29999999999998</v>
      </c>
      <c r="R204" s="213">
        <v>23.47</v>
      </c>
      <c r="S204" s="213">
        <v>22.869999999999997</v>
      </c>
      <c r="T204" s="213">
        <v>23.169999999999998</v>
      </c>
      <c r="U204" s="213">
        <v>15.01</v>
      </c>
      <c r="V204" s="213">
        <v>14.41</v>
      </c>
      <c r="W204" s="213">
        <v>14.71</v>
      </c>
      <c r="X204" s="213">
        <v>15.38</v>
      </c>
      <c r="Y204" s="213">
        <v>14.58</v>
      </c>
      <c r="Z204" s="213">
        <v>14.98</v>
      </c>
      <c r="AA204" s="213">
        <v>108.74</v>
      </c>
      <c r="AB204" s="213">
        <v>104.74</v>
      </c>
      <c r="AC204" s="213">
        <v>106.74</v>
      </c>
      <c r="AD204" s="213">
        <v>98.39</v>
      </c>
      <c r="AE204" s="213">
        <v>94.39</v>
      </c>
      <c r="AF204" s="213">
        <v>96.39</v>
      </c>
      <c r="AG204" s="213">
        <v>20.74</v>
      </c>
      <c r="AH204" s="213">
        <v>19.88</v>
      </c>
      <c r="AI204" s="213">
        <v>20.309999999999999</v>
      </c>
      <c r="AJ204" s="213"/>
      <c r="AK204" s="213"/>
      <c r="AL204" s="213"/>
      <c r="AM204" s="213">
        <v>118.81</v>
      </c>
      <c r="AN204" s="213">
        <v>117.15</v>
      </c>
      <c r="AO204" s="213">
        <v>117.98</v>
      </c>
      <c r="AP204" s="213">
        <v>43.14</v>
      </c>
      <c r="AQ204" s="213">
        <v>41.54</v>
      </c>
      <c r="AR204" s="213">
        <v>42.34</v>
      </c>
      <c r="AS204" s="213">
        <v>43.92</v>
      </c>
      <c r="AT204" s="213">
        <v>42.56</v>
      </c>
      <c r="AU204" s="213">
        <v>43.24</v>
      </c>
      <c r="AV204" s="213">
        <v>22.06</v>
      </c>
      <c r="AW204" s="213">
        <v>21.459999999999997</v>
      </c>
      <c r="AX204" s="213">
        <v>21.759999999999998</v>
      </c>
      <c r="AY204" s="213">
        <v>4.49</v>
      </c>
      <c r="AZ204" s="213">
        <v>4.33</v>
      </c>
      <c r="BA204" s="213">
        <v>4.41</v>
      </c>
      <c r="BB204" s="213">
        <v>2.06</v>
      </c>
      <c r="BC204" s="213">
        <v>1.76</v>
      </c>
      <c r="BD204" s="213">
        <v>1.9100000000000001</v>
      </c>
      <c r="BE204" s="213">
        <v>0.72</v>
      </c>
      <c r="BF204" s="213">
        <v>0.42</v>
      </c>
      <c r="BG204" s="213">
        <v>0.56999999999999995</v>
      </c>
      <c r="BH204" s="213">
        <v>527.70000000000005</v>
      </c>
      <c r="BI204" s="213">
        <v>511.70000000000005</v>
      </c>
      <c r="BJ204" s="213">
        <v>519.70000000000005</v>
      </c>
      <c r="BK204" s="213">
        <v>44.24</v>
      </c>
      <c r="BL204" s="213">
        <v>42.88</v>
      </c>
      <c r="BM204" s="213">
        <v>43.56</v>
      </c>
      <c r="BN204" s="213">
        <v>1.1000000000000001</v>
      </c>
      <c r="BO204" s="213">
        <v>0.8600000000000001</v>
      </c>
      <c r="BP204" s="213">
        <v>0.98000000000000009</v>
      </c>
      <c r="BQ204" s="213">
        <v>9.98</v>
      </c>
      <c r="BR204" s="213">
        <v>7.98</v>
      </c>
      <c r="BS204" s="213">
        <v>8.98</v>
      </c>
      <c r="BT204" s="213">
        <v>11.68</v>
      </c>
      <c r="BU204" s="213">
        <v>11.28</v>
      </c>
      <c r="BV204" s="213">
        <v>11.48</v>
      </c>
      <c r="BW204" s="213">
        <v>2.87</v>
      </c>
      <c r="BX204" s="213">
        <v>2.59</v>
      </c>
      <c r="BY204" s="213">
        <v>2.73</v>
      </c>
      <c r="BZ204" s="213">
        <v>10.28</v>
      </c>
      <c r="CA204" s="213">
        <v>7.2799999999999994</v>
      </c>
      <c r="CB204" s="213">
        <v>8.7799999999999994</v>
      </c>
      <c r="CC204" s="213">
        <v>6.95</v>
      </c>
      <c r="CD204" s="213">
        <v>6.71</v>
      </c>
      <c r="CE204" s="213">
        <v>6.83</v>
      </c>
      <c r="CF204" s="213">
        <v>2.04</v>
      </c>
      <c r="CG204" s="213">
        <v>1.54</v>
      </c>
      <c r="CH204" s="213">
        <v>1.79</v>
      </c>
      <c r="CI204" s="213">
        <v>0.46</v>
      </c>
      <c r="CJ204" s="213">
        <v>0.42000000000000004</v>
      </c>
      <c r="CK204" s="213">
        <v>0.44000000000000006</v>
      </c>
      <c r="CL204" s="213">
        <v>41.52</v>
      </c>
      <c r="CM204" s="213">
        <v>39.120000000000005</v>
      </c>
      <c r="CN204" s="213">
        <v>40.320000000000007</v>
      </c>
      <c r="CO204" s="213">
        <v>7.31</v>
      </c>
      <c r="CP204" s="213">
        <v>2.3099999999999996</v>
      </c>
      <c r="CQ204" s="213">
        <v>4.8099999999999996</v>
      </c>
      <c r="CR204" s="213"/>
      <c r="CS204" s="213"/>
    </row>
    <row r="205" spans="1:97">
      <c r="A205" s="424">
        <v>45491</v>
      </c>
      <c r="B205" s="211" t="s">
        <v>250</v>
      </c>
      <c r="C205" s="213">
        <v>156.86000000000001</v>
      </c>
      <c r="D205" s="213">
        <v>154.86000000000001</v>
      </c>
      <c r="E205" s="213">
        <v>155.86000000000001</v>
      </c>
      <c r="F205" s="213">
        <v>171.93</v>
      </c>
      <c r="G205" s="213">
        <v>168.93</v>
      </c>
      <c r="H205" s="213">
        <v>170.43</v>
      </c>
      <c r="I205" s="213">
        <v>115.51</v>
      </c>
      <c r="J205" s="213">
        <v>112.31</v>
      </c>
      <c r="K205" s="213">
        <v>113.91</v>
      </c>
      <c r="L205" s="213">
        <v>206.68</v>
      </c>
      <c r="M205" s="213">
        <v>198.68</v>
      </c>
      <c r="N205" s="213">
        <v>202.68</v>
      </c>
      <c r="O205" s="213">
        <v>177.23</v>
      </c>
      <c r="P205" s="213">
        <v>175.42999999999998</v>
      </c>
      <c r="Q205" s="213">
        <v>176.32999999999998</v>
      </c>
      <c r="R205" s="213">
        <v>23.15</v>
      </c>
      <c r="S205" s="213">
        <v>22.549999999999997</v>
      </c>
      <c r="T205" s="213">
        <v>22.849999999999998</v>
      </c>
      <c r="U205" s="213">
        <v>14.84</v>
      </c>
      <c r="V205" s="213">
        <v>14.24</v>
      </c>
      <c r="W205" s="213">
        <v>14.54</v>
      </c>
      <c r="X205" s="213">
        <v>15.18</v>
      </c>
      <c r="Y205" s="213">
        <v>14.379999999999999</v>
      </c>
      <c r="Z205" s="213">
        <v>14.78</v>
      </c>
      <c r="AA205" s="213">
        <v>106.8</v>
      </c>
      <c r="AB205" s="213">
        <v>102.8</v>
      </c>
      <c r="AC205" s="213">
        <v>104.8</v>
      </c>
      <c r="AD205" s="213">
        <v>96.7</v>
      </c>
      <c r="AE205" s="213">
        <v>92.7</v>
      </c>
      <c r="AF205" s="213">
        <v>94.7</v>
      </c>
      <c r="AG205" s="213">
        <v>20.39</v>
      </c>
      <c r="AH205" s="213">
        <v>19.53</v>
      </c>
      <c r="AI205" s="213">
        <v>19.96</v>
      </c>
      <c r="AJ205" s="213"/>
      <c r="AK205" s="213"/>
      <c r="AL205" s="213"/>
      <c r="AM205" s="213">
        <v>117.18</v>
      </c>
      <c r="AN205" s="213">
        <v>115.52000000000001</v>
      </c>
      <c r="AO205" s="213">
        <v>116.35000000000001</v>
      </c>
      <c r="AP205" s="213">
        <v>42.42</v>
      </c>
      <c r="AQ205" s="213">
        <v>40.82</v>
      </c>
      <c r="AR205" s="213">
        <v>41.620000000000005</v>
      </c>
      <c r="AS205" s="213">
        <v>43.18</v>
      </c>
      <c r="AT205" s="213">
        <v>41.82</v>
      </c>
      <c r="AU205" s="213">
        <v>42.5</v>
      </c>
      <c r="AV205" s="213">
        <v>21.74</v>
      </c>
      <c r="AW205" s="213">
        <v>21.139999999999997</v>
      </c>
      <c r="AX205" s="213">
        <v>21.439999999999998</v>
      </c>
      <c r="AY205" s="213">
        <v>4.41</v>
      </c>
      <c r="AZ205" s="213">
        <v>4.25</v>
      </c>
      <c r="BA205" s="213">
        <v>4.33</v>
      </c>
      <c r="BB205" s="213">
        <v>2.0299999999999998</v>
      </c>
      <c r="BC205" s="213">
        <v>1.7299999999999998</v>
      </c>
      <c r="BD205" s="213">
        <v>1.88</v>
      </c>
      <c r="BE205" s="213">
        <v>0.71</v>
      </c>
      <c r="BF205" s="213">
        <v>0.41</v>
      </c>
      <c r="BG205" s="213">
        <v>0.55999999999999994</v>
      </c>
      <c r="BH205" s="213">
        <v>519.17999999999995</v>
      </c>
      <c r="BI205" s="213">
        <v>503.17999999999995</v>
      </c>
      <c r="BJ205" s="213">
        <v>511.17999999999995</v>
      </c>
      <c r="BK205" s="213">
        <v>43.5</v>
      </c>
      <c r="BL205" s="213">
        <v>42.14</v>
      </c>
      <c r="BM205" s="213">
        <v>42.82</v>
      </c>
      <c r="BN205" s="213">
        <v>1.0900000000000001</v>
      </c>
      <c r="BO205" s="213">
        <v>0.85000000000000009</v>
      </c>
      <c r="BP205" s="213">
        <v>0.97000000000000008</v>
      </c>
      <c r="BQ205" s="213">
        <v>9.7899999999999991</v>
      </c>
      <c r="BR205" s="213">
        <v>7.7899999999999991</v>
      </c>
      <c r="BS205" s="213">
        <v>8.7899999999999991</v>
      </c>
      <c r="BT205" s="213">
        <v>11.53</v>
      </c>
      <c r="BU205" s="213">
        <v>11.129999999999999</v>
      </c>
      <c r="BV205" s="213">
        <v>11.329999999999998</v>
      </c>
      <c r="BW205" s="213">
        <v>2.83</v>
      </c>
      <c r="BX205" s="213">
        <v>2.5499999999999998</v>
      </c>
      <c r="BY205" s="213">
        <v>2.69</v>
      </c>
      <c r="BZ205" s="213">
        <v>10.07</v>
      </c>
      <c r="CA205" s="213">
        <v>7.07</v>
      </c>
      <c r="CB205" s="213">
        <v>8.57</v>
      </c>
      <c r="CC205" s="213">
        <v>6.87</v>
      </c>
      <c r="CD205" s="213">
        <v>6.63</v>
      </c>
      <c r="CE205" s="213">
        <v>6.75</v>
      </c>
      <c r="CF205" s="213">
        <v>2.0099999999999998</v>
      </c>
      <c r="CG205" s="213">
        <v>1.5099999999999998</v>
      </c>
      <c r="CH205" s="213">
        <v>1.7599999999999998</v>
      </c>
      <c r="CI205" s="213">
        <v>0.46</v>
      </c>
      <c r="CJ205" s="213">
        <v>0.42000000000000004</v>
      </c>
      <c r="CK205" s="213">
        <v>0.44000000000000006</v>
      </c>
      <c r="CL205" s="213">
        <v>40.950000000000003</v>
      </c>
      <c r="CM205" s="213">
        <v>38.550000000000004</v>
      </c>
      <c r="CN205" s="213">
        <v>39.75</v>
      </c>
      <c r="CO205" s="213">
        <v>7.22</v>
      </c>
      <c r="CP205" s="213">
        <v>2.2199999999999998</v>
      </c>
      <c r="CQ205" s="213">
        <v>4.72</v>
      </c>
      <c r="CR205" s="213"/>
      <c r="CS205" s="213"/>
    </row>
    <row r="206" spans="1:97">
      <c r="A206" s="424">
        <v>45492</v>
      </c>
      <c r="B206" s="211" t="s">
        <v>251</v>
      </c>
      <c r="C206" s="213">
        <v>158.49</v>
      </c>
      <c r="D206" s="213">
        <v>156.49</v>
      </c>
      <c r="E206" s="213">
        <v>157.49</v>
      </c>
      <c r="F206" s="213">
        <v>173.02</v>
      </c>
      <c r="G206" s="213">
        <v>170.02</v>
      </c>
      <c r="H206" s="213">
        <v>171.52</v>
      </c>
      <c r="I206" s="213">
        <v>116.48</v>
      </c>
      <c r="J206" s="213">
        <v>113.28</v>
      </c>
      <c r="K206" s="213">
        <v>114.88</v>
      </c>
      <c r="L206" s="213">
        <v>207.86</v>
      </c>
      <c r="M206" s="213">
        <v>199.86</v>
      </c>
      <c r="N206" s="213">
        <v>203.86</v>
      </c>
      <c r="O206" s="213">
        <v>178.17</v>
      </c>
      <c r="P206" s="213">
        <v>176.36999999999998</v>
      </c>
      <c r="Q206" s="213">
        <v>177.26999999999998</v>
      </c>
      <c r="R206" s="213">
        <v>23.29</v>
      </c>
      <c r="S206" s="213">
        <v>22.689999999999998</v>
      </c>
      <c r="T206" s="213">
        <v>22.99</v>
      </c>
      <c r="U206" s="213">
        <v>14.85</v>
      </c>
      <c r="V206" s="213">
        <v>14.25</v>
      </c>
      <c r="W206" s="213">
        <v>14.55</v>
      </c>
      <c r="X206" s="213">
        <v>15.25</v>
      </c>
      <c r="Y206" s="213">
        <v>14.45</v>
      </c>
      <c r="Z206" s="213">
        <v>14.85</v>
      </c>
      <c r="AA206" s="213">
        <v>107.52</v>
      </c>
      <c r="AB206" s="213">
        <v>103.52</v>
      </c>
      <c r="AC206" s="213">
        <v>105.52</v>
      </c>
      <c r="AD206" s="213">
        <v>97.09</v>
      </c>
      <c r="AE206" s="213">
        <v>93.09</v>
      </c>
      <c r="AF206" s="213">
        <v>95.09</v>
      </c>
      <c r="AG206" s="213">
        <v>20.59</v>
      </c>
      <c r="AH206" s="213">
        <v>19.73</v>
      </c>
      <c r="AI206" s="213">
        <v>20.16</v>
      </c>
      <c r="AJ206" s="213"/>
      <c r="AK206" s="213"/>
      <c r="AL206" s="213"/>
      <c r="AM206" s="213">
        <v>117.94</v>
      </c>
      <c r="AN206" s="213">
        <v>116.28</v>
      </c>
      <c r="AO206" s="213">
        <v>117.11</v>
      </c>
      <c r="AP206" s="213">
        <v>42.85</v>
      </c>
      <c r="AQ206" s="213">
        <v>41.25</v>
      </c>
      <c r="AR206" s="213">
        <v>42.05</v>
      </c>
      <c r="AS206" s="213">
        <v>43.63</v>
      </c>
      <c r="AT206" s="213">
        <v>42.27</v>
      </c>
      <c r="AU206" s="213">
        <v>42.95</v>
      </c>
      <c r="AV206" s="213">
        <v>21.94</v>
      </c>
      <c r="AW206" s="213">
        <v>21.34</v>
      </c>
      <c r="AX206" s="213">
        <v>21.64</v>
      </c>
      <c r="AY206" s="213">
        <v>4.4400000000000004</v>
      </c>
      <c r="AZ206" s="213">
        <v>4.28</v>
      </c>
      <c r="BA206" s="213">
        <v>4.3600000000000003</v>
      </c>
      <c r="BB206" s="213">
        <v>2.04</v>
      </c>
      <c r="BC206" s="213">
        <v>1.74</v>
      </c>
      <c r="BD206" s="213">
        <v>1.8900000000000001</v>
      </c>
      <c r="BE206" s="213">
        <v>0.72</v>
      </c>
      <c r="BF206" s="213">
        <v>0.42</v>
      </c>
      <c r="BG206" s="213">
        <v>0.56999999999999995</v>
      </c>
      <c r="BH206" s="213">
        <v>524.19000000000005</v>
      </c>
      <c r="BI206" s="213">
        <v>508.19000000000005</v>
      </c>
      <c r="BJ206" s="213">
        <v>516.19000000000005</v>
      </c>
      <c r="BK206" s="213">
        <v>43.95</v>
      </c>
      <c r="BL206" s="213">
        <v>42.59</v>
      </c>
      <c r="BM206" s="213">
        <v>43.27</v>
      </c>
      <c r="BN206" s="213">
        <v>1.1000000000000001</v>
      </c>
      <c r="BO206" s="213">
        <v>0.8600000000000001</v>
      </c>
      <c r="BP206" s="213">
        <v>0.98000000000000009</v>
      </c>
      <c r="BQ206" s="213">
        <v>9.77</v>
      </c>
      <c r="BR206" s="213">
        <v>7.77</v>
      </c>
      <c r="BS206" s="213">
        <v>8.77</v>
      </c>
      <c r="BT206" s="213">
        <v>11.58</v>
      </c>
      <c r="BU206" s="213">
        <v>11.18</v>
      </c>
      <c r="BV206" s="213">
        <v>11.379999999999999</v>
      </c>
      <c r="BW206" s="213">
        <v>2.86</v>
      </c>
      <c r="BX206" s="213">
        <v>2.58</v>
      </c>
      <c r="BY206" s="213">
        <v>2.7199999999999998</v>
      </c>
      <c r="BZ206" s="213">
        <v>10.119999999999999</v>
      </c>
      <c r="CA206" s="213">
        <v>7.1199999999999992</v>
      </c>
      <c r="CB206" s="213">
        <v>8.6199999999999992</v>
      </c>
      <c r="CC206" s="213">
        <v>6.9</v>
      </c>
      <c r="CD206" s="213">
        <v>6.66</v>
      </c>
      <c r="CE206" s="213">
        <v>6.78</v>
      </c>
      <c r="CF206" s="213">
        <v>2.0299999999999998</v>
      </c>
      <c r="CG206" s="213">
        <v>1.5299999999999998</v>
      </c>
      <c r="CH206" s="213">
        <v>1.7799999999999998</v>
      </c>
      <c r="CI206" s="213">
        <v>0.46</v>
      </c>
      <c r="CJ206" s="213">
        <v>0.42000000000000004</v>
      </c>
      <c r="CK206" s="213">
        <v>0.44000000000000006</v>
      </c>
      <c r="CL206" s="213">
        <v>41.14</v>
      </c>
      <c r="CM206" s="213">
        <v>38.74</v>
      </c>
      <c r="CN206" s="213">
        <v>39.94</v>
      </c>
      <c r="CO206" s="213">
        <v>7.27</v>
      </c>
      <c r="CP206" s="213">
        <v>2.2699999999999996</v>
      </c>
      <c r="CQ206" s="213">
        <v>4.7699999999999996</v>
      </c>
      <c r="CR206" s="213"/>
      <c r="CS206" s="213"/>
    </row>
    <row r="207" spans="1:97">
      <c r="A207" s="424">
        <v>45493</v>
      </c>
      <c r="B207" s="211" t="s">
        <v>252</v>
      </c>
      <c r="C207" s="213"/>
      <c r="D207" s="213"/>
      <c r="E207" s="213"/>
      <c r="F207" s="213"/>
      <c r="G207" s="213"/>
      <c r="H207" s="213"/>
      <c r="I207" s="213"/>
      <c r="J207" s="213"/>
      <c r="K207" s="213"/>
      <c r="L207" s="213"/>
      <c r="M207" s="213"/>
      <c r="N207" s="213"/>
      <c r="O207" s="213"/>
      <c r="P207" s="213"/>
      <c r="Q207" s="213"/>
      <c r="R207" s="213"/>
      <c r="S207" s="213"/>
      <c r="T207" s="213"/>
      <c r="U207" s="213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13"/>
      <c r="AF207" s="213"/>
      <c r="AG207" s="213"/>
      <c r="AH207" s="213"/>
      <c r="AI207" s="213"/>
      <c r="AJ207" s="213"/>
      <c r="AK207" s="213"/>
      <c r="AL207" s="213"/>
      <c r="AM207" s="213"/>
      <c r="AN207" s="213"/>
      <c r="AO207" s="213"/>
      <c r="AP207" s="213"/>
      <c r="AQ207" s="213"/>
      <c r="AR207" s="213"/>
      <c r="AS207" s="213"/>
      <c r="AT207" s="213"/>
      <c r="AU207" s="213"/>
      <c r="AV207" s="213"/>
      <c r="AW207" s="213"/>
      <c r="AX207" s="213"/>
      <c r="AY207" s="213"/>
      <c r="AZ207" s="213"/>
      <c r="BA207" s="213"/>
      <c r="BB207" s="213"/>
      <c r="BC207" s="213"/>
      <c r="BD207" s="213"/>
      <c r="BE207" s="213"/>
      <c r="BF207" s="213"/>
      <c r="BG207" s="213"/>
      <c r="BH207" s="213"/>
      <c r="BI207" s="213"/>
      <c r="BJ207" s="213"/>
      <c r="BK207" s="213"/>
      <c r="BL207" s="213"/>
      <c r="BM207" s="213"/>
      <c r="BN207" s="213"/>
      <c r="BO207" s="213"/>
      <c r="BP207" s="213"/>
      <c r="BQ207" s="213"/>
      <c r="BR207" s="213"/>
      <c r="BS207" s="213"/>
      <c r="BT207" s="213"/>
      <c r="BU207" s="213"/>
      <c r="BV207" s="213"/>
      <c r="BW207" s="213"/>
      <c r="BX207" s="213"/>
      <c r="BY207" s="213"/>
      <c r="BZ207" s="213"/>
      <c r="CA207" s="213"/>
      <c r="CB207" s="213"/>
      <c r="CC207" s="213"/>
      <c r="CD207" s="213"/>
      <c r="CE207" s="213"/>
      <c r="CF207" s="213"/>
      <c r="CG207" s="213"/>
      <c r="CH207" s="213"/>
      <c r="CI207" s="213"/>
      <c r="CJ207" s="213"/>
      <c r="CK207" s="213"/>
      <c r="CL207" s="213"/>
      <c r="CM207" s="213"/>
      <c r="CN207" s="213"/>
      <c r="CO207" s="213"/>
      <c r="CP207" s="213"/>
      <c r="CQ207" s="213"/>
      <c r="CR207" s="213"/>
      <c r="CS207" s="213"/>
    </row>
    <row r="208" spans="1:97">
      <c r="A208" s="424">
        <v>45494</v>
      </c>
      <c r="B208" s="211" t="s">
        <v>253</v>
      </c>
      <c r="C208" s="213"/>
      <c r="D208" s="213"/>
      <c r="E208" s="213"/>
      <c r="F208" s="213"/>
      <c r="G208" s="213"/>
      <c r="H208" s="213"/>
      <c r="I208" s="213"/>
      <c r="J208" s="213"/>
      <c r="K208" s="213"/>
      <c r="L208" s="213"/>
      <c r="M208" s="213"/>
      <c r="N208" s="213"/>
      <c r="O208" s="213"/>
      <c r="P208" s="213"/>
      <c r="Q208" s="213"/>
      <c r="R208" s="213"/>
      <c r="S208" s="213"/>
      <c r="T208" s="213"/>
      <c r="U208" s="213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13"/>
      <c r="AF208" s="213"/>
      <c r="AG208" s="213"/>
      <c r="AH208" s="213"/>
      <c r="AI208" s="213"/>
      <c r="AJ208" s="213"/>
      <c r="AK208" s="213"/>
      <c r="AL208" s="213"/>
      <c r="AM208" s="213"/>
      <c r="AN208" s="213"/>
      <c r="AO208" s="213"/>
      <c r="AP208" s="213"/>
      <c r="AQ208" s="213"/>
      <c r="AR208" s="213"/>
      <c r="AS208" s="213"/>
      <c r="AT208" s="213"/>
      <c r="AU208" s="213"/>
      <c r="AV208" s="213"/>
      <c r="AW208" s="213"/>
      <c r="AX208" s="213"/>
      <c r="AY208" s="213"/>
      <c r="AZ208" s="213"/>
      <c r="BA208" s="213"/>
      <c r="BB208" s="213"/>
      <c r="BC208" s="213"/>
      <c r="BD208" s="213"/>
      <c r="BE208" s="213"/>
      <c r="BF208" s="213"/>
      <c r="BG208" s="213"/>
      <c r="BH208" s="213"/>
      <c r="BI208" s="213"/>
      <c r="BJ208" s="213"/>
      <c r="BK208" s="213"/>
      <c r="BL208" s="213"/>
      <c r="BM208" s="213"/>
      <c r="BN208" s="213"/>
      <c r="BO208" s="213"/>
      <c r="BP208" s="213"/>
      <c r="BQ208" s="213"/>
      <c r="BR208" s="213"/>
      <c r="BS208" s="213"/>
      <c r="BT208" s="213"/>
      <c r="BU208" s="213"/>
      <c r="BV208" s="213"/>
      <c r="BW208" s="213"/>
      <c r="BX208" s="213"/>
      <c r="BY208" s="213"/>
      <c r="BZ208" s="213"/>
      <c r="CA208" s="213"/>
      <c r="CB208" s="213"/>
      <c r="CC208" s="213"/>
      <c r="CD208" s="213"/>
      <c r="CE208" s="213"/>
      <c r="CF208" s="213"/>
      <c r="CG208" s="213"/>
      <c r="CH208" s="213"/>
      <c r="CI208" s="213"/>
      <c r="CJ208" s="213"/>
      <c r="CK208" s="213"/>
      <c r="CL208" s="213"/>
      <c r="CM208" s="213"/>
      <c r="CN208" s="213"/>
      <c r="CO208" s="213"/>
      <c r="CP208" s="213"/>
      <c r="CQ208" s="213"/>
      <c r="CR208" s="213"/>
      <c r="CS208" s="213"/>
    </row>
    <row r="209" spans="1:97">
      <c r="A209" s="424">
        <v>45495</v>
      </c>
      <c r="B209" s="211" t="s">
        <v>247</v>
      </c>
      <c r="C209" s="213">
        <v>158.54</v>
      </c>
      <c r="D209" s="213">
        <v>156.54</v>
      </c>
      <c r="E209" s="213">
        <v>157.54</v>
      </c>
      <c r="F209" s="213">
        <v>173.12</v>
      </c>
      <c r="G209" s="213">
        <v>170.12</v>
      </c>
      <c r="H209" s="213">
        <v>171.62</v>
      </c>
      <c r="I209" s="213">
        <v>116.48</v>
      </c>
      <c r="J209" s="213">
        <v>113.28</v>
      </c>
      <c r="K209" s="213">
        <v>114.88</v>
      </c>
      <c r="L209" s="213">
        <v>207.67</v>
      </c>
      <c r="M209" s="213">
        <v>199.67</v>
      </c>
      <c r="N209" s="213">
        <v>203.67</v>
      </c>
      <c r="O209" s="213">
        <v>178.23</v>
      </c>
      <c r="P209" s="213">
        <v>176.42999999999998</v>
      </c>
      <c r="Q209" s="213">
        <v>177.32999999999998</v>
      </c>
      <c r="R209" s="213">
        <v>23.3</v>
      </c>
      <c r="S209" s="213">
        <v>22.7</v>
      </c>
      <c r="T209" s="213">
        <v>23</v>
      </c>
      <c r="U209" s="213">
        <v>14.75</v>
      </c>
      <c r="V209" s="213">
        <v>14.15</v>
      </c>
      <c r="W209" s="213">
        <v>14.45</v>
      </c>
      <c r="X209" s="213">
        <v>15.19</v>
      </c>
      <c r="Y209" s="213">
        <v>14.389999999999999</v>
      </c>
      <c r="Z209" s="213">
        <v>14.79</v>
      </c>
      <c r="AA209" s="213">
        <v>107.38</v>
      </c>
      <c r="AB209" s="213">
        <v>103.38</v>
      </c>
      <c r="AC209" s="213">
        <v>105.38</v>
      </c>
      <c r="AD209" s="213">
        <v>96.76</v>
      </c>
      <c r="AE209" s="213">
        <v>92.76</v>
      </c>
      <c r="AF209" s="213">
        <v>94.76</v>
      </c>
      <c r="AG209" s="213">
        <v>20.6</v>
      </c>
      <c r="AH209" s="213">
        <v>19.740000000000002</v>
      </c>
      <c r="AI209" s="213">
        <v>20.170000000000002</v>
      </c>
      <c r="AJ209" s="213"/>
      <c r="AK209" s="213"/>
      <c r="AL209" s="213"/>
      <c r="AM209" s="213">
        <v>118</v>
      </c>
      <c r="AN209" s="213">
        <v>116.34</v>
      </c>
      <c r="AO209" s="213">
        <v>117.17</v>
      </c>
      <c r="AP209" s="213">
        <v>42.87</v>
      </c>
      <c r="AQ209" s="213">
        <v>41.269999999999996</v>
      </c>
      <c r="AR209" s="213">
        <v>42.069999999999993</v>
      </c>
      <c r="AS209" s="213">
        <v>43.64</v>
      </c>
      <c r="AT209" s="213">
        <v>42.28</v>
      </c>
      <c r="AU209" s="213">
        <v>42.96</v>
      </c>
      <c r="AV209" s="213">
        <v>21.92</v>
      </c>
      <c r="AW209" s="213">
        <v>21.32</v>
      </c>
      <c r="AX209" s="213">
        <v>21.62</v>
      </c>
      <c r="AY209" s="213">
        <v>4.41</v>
      </c>
      <c r="AZ209" s="213">
        <v>4.25</v>
      </c>
      <c r="BA209" s="213">
        <v>4.33</v>
      </c>
      <c r="BB209" s="213">
        <v>2.04</v>
      </c>
      <c r="BC209" s="213">
        <v>1.74</v>
      </c>
      <c r="BD209" s="213">
        <v>1.8900000000000001</v>
      </c>
      <c r="BE209" s="213">
        <v>0.72</v>
      </c>
      <c r="BF209" s="213">
        <v>0.42</v>
      </c>
      <c r="BG209" s="213">
        <v>0.56999999999999995</v>
      </c>
      <c r="BH209" s="213">
        <v>524.36</v>
      </c>
      <c r="BI209" s="213">
        <v>508.36</v>
      </c>
      <c r="BJ209" s="213">
        <v>516.36</v>
      </c>
      <c r="BK209" s="213">
        <v>43.96</v>
      </c>
      <c r="BL209" s="213">
        <v>42.6</v>
      </c>
      <c r="BM209" s="213">
        <v>43.28</v>
      </c>
      <c r="BN209" s="213">
        <v>1.1000000000000001</v>
      </c>
      <c r="BO209" s="213">
        <v>0.8600000000000001</v>
      </c>
      <c r="BP209" s="213">
        <v>0.98000000000000009</v>
      </c>
      <c r="BQ209" s="213">
        <v>9.75</v>
      </c>
      <c r="BR209" s="213">
        <v>7.75</v>
      </c>
      <c r="BS209" s="213">
        <v>8.75</v>
      </c>
      <c r="BT209" s="213">
        <v>11.56</v>
      </c>
      <c r="BU209" s="213">
        <v>11.16</v>
      </c>
      <c r="BV209" s="213">
        <v>11.36</v>
      </c>
      <c r="BW209" s="213">
        <v>2.86</v>
      </c>
      <c r="BX209" s="213">
        <v>2.58</v>
      </c>
      <c r="BY209" s="213">
        <v>2.7199999999999998</v>
      </c>
      <c r="BZ209" s="213">
        <v>10.14</v>
      </c>
      <c r="CA209" s="213">
        <v>7.1400000000000006</v>
      </c>
      <c r="CB209" s="213">
        <v>8.64</v>
      </c>
      <c r="CC209" s="213">
        <v>6.93</v>
      </c>
      <c r="CD209" s="213">
        <v>6.6899999999999995</v>
      </c>
      <c r="CE209" s="213">
        <v>6.81</v>
      </c>
      <c r="CF209" s="213">
        <v>2.0499999999999998</v>
      </c>
      <c r="CG209" s="213">
        <v>1.5499999999999998</v>
      </c>
      <c r="CH209" s="213">
        <v>1.7999999999999998</v>
      </c>
      <c r="CI209" s="213">
        <v>0.46</v>
      </c>
      <c r="CJ209" s="213">
        <v>0.42000000000000004</v>
      </c>
      <c r="CK209" s="213">
        <v>0.44000000000000006</v>
      </c>
      <c r="CL209" s="213">
        <v>41.26</v>
      </c>
      <c r="CM209" s="213">
        <v>38.86</v>
      </c>
      <c r="CN209" s="213">
        <v>40.06</v>
      </c>
      <c r="CO209" s="213">
        <v>7.26</v>
      </c>
      <c r="CP209" s="213">
        <v>2.2599999999999998</v>
      </c>
      <c r="CQ209" s="213">
        <v>4.76</v>
      </c>
      <c r="CR209" s="213"/>
      <c r="CS209" s="213"/>
    </row>
    <row r="210" spans="1:97">
      <c r="A210" s="424">
        <v>45496</v>
      </c>
      <c r="B210" s="211" t="s">
        <v>248</v>
      </c>
      <c r="C210" s="213">
        <v>157.74</v>
      </c>
      <c r="D210" s="213">
        <v>155.74</v>
      </c>
      <c r="E210" s="213">
        <v>156.74</v>
      </c>
      <c r="F210" s="213">
        <v>172.13</v>
      </c>
      <c r="G210" s="213">
        <v>169.13</v>
      </c>
      <c r="H210" s="213">
        <v>170.63</v>
      </c>
      <c r="I210" s="213">
        <v>115.44</v>
      </c>
      <c r="J210" s="213">
        <v>112.24</v>
      </c>
      <c r="K210" s="213">
        <v>113.84</v>
      </c>
      <c r="L210" s="213">
        <v>206.6</v>
      </c>
      <c r="M210" s="213">
        <v>198.6</v>
      </c>
      <c r="N210" s="213">
        <v>202.6</v>
      </c>
      <c r="O210" s="213">
        <v>177.09</v>
      </c>
      <c r="P210" s="213">
        <v>175.29</v>
      </c>
      <c r="Q210" s="213">
        <v>176.19</v>
      </c>
      <c r="R210" s="213">
        <v>23.17</v>
      </c>
      <c r="S210" s="213">
        <v>22.57</v>
      </c>
      <c r="T210" s="213">
        <v>22.87</v>
      </c>
      <c r="U210" s="213">
        <v>14.59</v>
      </c>
      <c r="V210" s="213">
        <v>13.99</v>
      </c>
      <c r="W210" s="213">
        <v>14.29</v>
      </c>
      <c r="X210" s="213">
        <v>15.01</v>
      </c>
      <c r="Y210" s="213">
        <v>14.209999999999999</v>
      </c>
      <c r="Z210" s="213">
        <v>14.61</v>
      </c>
      <c r="AA210" s="213">
        <v>105.95</v>
      </c>
      <c r="AB210" s="213">
        <v>101.95</v>
      </c>
      <c r="AC210" s="213">
        <v>103.95</v>
      </c>
      <c r="AD210" s="213">
        <v>95.53</v>
      </c>
      <c r="AE210" s="213">
        <v>91.53</v>
      </c>
      <c r="AF210" s="213">
        <v>93.53</v>
      </c>
      <c r="AG210" s="213">
        <v>20.51</v>
      </c>
      <c r="AH210" s="213">
        <v>19.650000000000002</v>
      </c>
      <c r="AI210" s="213">
        <v>20.080000000000002</v>
      </c>
      <c r="AJ210" s="213"/>
      <c r="AK210" s="213"/>
      <c r="AL210" s="213"/>
      <c r="AM210" s="213">
        <v>117.32</v>
      </c>
      <c r="AN210" s="213">
        <v>115.66</v>
      </c>
      <c r="AO210" s="213">
        <v>116.49</v>
      </c>
      <c r="AP210" s="213">
        <v>42.65</v>
      </c>
      <c r="AQ210" s="213">
        <v>41.05</v>
      </c>
      <c r="AR210" s="213">
        <v>41.849999999999994</v>
      </c>
      <c r="AS210" s="213">
        <v>43.42</v>
      </c>
      <c r="AT210" s="213">
        <v>42.06</v>
      </c>
      <c r="AU210" s="213">
        <v>42.74</v>
      </c>
      <c r="AV210" s="213">
        <v>21.78</v>
      </c>
      <c r="AW210" s="213">
        <v>21.18</v>
      </c>
      <c r="AX210" s="213">
        <v>21.48</v>
      </c>
      <c r="AY210" s="213">
        <v>4.4000000000000004</v>
      </c>
      <c r="AZ210" s="213">
        <v>4.24</v>
      </c>
      <c r="BA210" s="213">
        <v>4.32</v>
      </c>
      <c r="BB210" s="213">
        <v>2.0299999999999998</v>
      </c>
      <c r="BC210" s="213">
        <v>1.7299999999999998</v>
      </c>
      <c r="BD210" s="213">
        <v>1.88</v>
      </c>
      <c r="BE210" s="213">
        <v>0.72</v>
      </c>
      <c r="BF210" s="213">
        <v>0.42</v>
      </c>
      <c r="BG210" s="213">
        <v>0.56999999999999995</v>
      </c>
      <c r="BH210" s="213">
        <v>521.73</v>
      </c>
      <c r="BI210" s="213">
        <v>505.73</v>
      </c>
      <c r="BJ210" s="213">
        <v>513.73</v>
      </c>
      <c r="BK210" s="213">
        <v>43.74</v>
      </c>
      <c r="BL210" s="213">
        <v>42.38</v>
      </c>
      <c r="BM210" s="213">
        <v>43.06</v>
      </c>
      <c r="BN210" s="213">
        <v>1.0900000000000001</v>
      </c>
      <c r="BO210" s="213">
        <v>0.85000000000000009</v>
      </c>
      <c r="BP210" s="213">
        <v>0.97000000000000008</v>
      </c>
      <c r="BQ210" s="213">
        <v>9.73</v>
      </c>
      <c r="BR210" s="213">
        <v>7.73</v>
      </c>
      <c r="BS210" s="213">
        <v>8.73</v>
      </c>
      <c r="BT210" s="213">
        <v>11.51</v>
      </c>
      <c r="BU210" s="213">
        <v>11.11</v>
      </c>
      <c r="BV210" s="213">
        <v>11.309999999999999</v>
      </c>
      <c r="BW210" s="213">
        <v>2.84</v>
      </c>
      <c r="BX210" s="213">
        <v>2.5599999999999996</v>
      </c>
      <c r="BY210" s="213">
        <v>2.6999999999999997</v>
      </c>
      <c r="BZ210" s="213">
        <v>10.08</v>
      </c>
      <c r="CA210" s="213">
        <v>7.08</v>
      </c>
      <c r="CB210" s="213">
        <v>8.58</v>
      </c>
      <c r="CC210" s="213">
        <v>6.88</v>
      </c>
      <c r="CD210" s="213">
        <v>6.64</v>
      </c>
      <c r="CE210" s="213">
        <v>6.76</v>
      </c>
      <c r="CF210" s="213">
        <v>2.0299999999999998</v>
      </c>
      <c r="CG210" s="213">
        <v>1.5299999999999998</v>
      </c>
      <c r="CH210" s="213">
        <v>1.7799999999999998</v>
      </c>
      <c r="CI210" s="213">
        <v>0.46</v>
      </c>
      <c r="CJ210" s="213">
        <v>0.42000000000000004</v>
      </c>
      <c r="CK210" s="213">
        <v>0.44000000000000006</v>
      </c>
      <c r="CL210" s="213">
        <v>41.1</v>
      </c>
      <c r="CM210" s="213">
        <v>38.700000000000003</v>
      </c>
      <c r="CN210" s="213">
        <v>39.900000000000006</v>
      </c>
      <c r="CO210" s="213">
        <v>7.27</v>
      </c>
      <c r="CP210" s="213">
        <v>2.2699999999999996</v>
      </c>
      <c r="CQ210" s="213">
        <v>4.7699999999999996</v>
      </c>
      <c r="CR210" s="213"/>
      <c r="CS210" s="213"/>
    </row>
    <row r="211" spans="1:97">
      <c r="A211" s="424">
        <v>45497</v>
      </c>
      <c r="B211" s="211" t="s">
        <v>249</v>
      </c>
      <c r="C211" s="213">
        <v>156.87</v>
      </c>
      <c r="D211" s="213">
        <v>154.87</v>
      </c>
      <c r="E211" s="213">
        <v>155.87</v>
      </c>
      <c r="F211" s="213">
        <v>170.56</v>
      </c>
      <c r="G211" s="213">
        <v>167.56</v>
      </c>
      <c r="H211" s="213">
        <v>169.06</v>
      </c>
      <c r="I211" s="213">
        <v>114.66</v>
      </c>
      <c r="J211" s="213">
        <v>111.46</v>
      </c>
      <c r="K211" s="213">
        <v>113.06</v>
      </c>
      <c r="L211" s="213">
        <v>205.01</v>
      </c>
      <c r="M211" s="213">
        <v>197.01</v>
      </c>
      <c r="N211" s="213">
        <v>201.01</v>
      </c>
      <c r="O211" s="213">
        <v>175.62</v>
      </c>
      <c r="P211" s="213">
        <v>173.82</v>
      </c>
      <c r="Q211" s="213">
        <v>174.72</v>
      </c>
      <c r="R211" s="213">
        <v>22.95</v>
      </c>
      <c r="S211" s="213">
        <v>22.349999999999998</v>
      </c>
      <c r="T211" s="213">
        <v>22.65</v>
      </c>
      <c r="U211" s="213">
        <v>14.43</v>
      </c>
      <c r="V211" s="213">
        <v>13.83</v>
      </c>
      <c r="W211" s="213">
        <v>14.129999999999999</v>
      </c>
      <c r="X211" s="213">
        <v>14.85</v>
      </c>
      <c r="Y211" s="213">
        <v>14.049999999999999</v>
      </c>
      <c r="Z211" s="213">
        <v>14.45</v>
      </c>
      <c r="AA211" s="213">
        <v>104.98</v>
      </c>
      <c r="AB211" s="213">
        <v>100.98</v>
      </c>
      <c r="AC211" s="213">
        <v>102.98</v>
      </c>
      <c r="AD211" s="213">
        <v>94.65</v>
      </c>
      <c r="AE211" s="213">
        <v>90.65</v>
      </c>
      <c r="AF211" s="213">
        <v>92.65</v>
      </c>
      <c r="AG211" s="213">
        <v>20.39</v>
      </c>
      <c r="AH211" s="213">
        <v>19.53</v>
      </c>
      <c r="AI211" s="213">
        <v>19.96</v>
      </c>
      <c r="AJ211" s="213"/>
      <c r="AK211" s="213"/>
      <c r="AL211" s="213"/>
      <c r="AM211" s="213">
        <v>116.64</v>
      </c>
      <c r="AN211" s="213">
        <v>114.98</v>
      </c>
      <c r="AO211" s="213">
        <v>115.81</v>
      </c>
      <c r="AP211" s="213">
        <v>42.39</v>
      </c>
      <c r="AQ211" s="213">
        <v>40.79</v>
      </c>
      <c r="AR211" s="213">
        <v>41.59</v>
      </c>
      <c r="AS211" s="213">
        <v>43.19</v>
      </c>
      <c r="AT211" s="213">
        <v>41.83</v>
      </c>
      <c r="AU211" s="213">
        <v>42.51</v>
      </c>
      <c r="AV211" s="213">
        <v>21.68</v>
      </c>
      <c r="AW211" s="213">
        <v>21.08</v>
      </c>
      <c r="AX211" s="213">
        <v>21.38</v>
      </c>
      <c r="AY211" s="213">
        <v>4.3899999999999997</v>
      </c>
      <c r="AZ211" s="213">
        <v>4.2299999999999995</v>
      </c>
      <c r="BA211" s="213">
        <v>4.3099999999999996</v>
      </c>
      <c r="BB211" s="213">
        <v>2.02</v>
      </c>
      <c r="BC211" s="213">
        <v>1.72</v>
      </c>
      <c r="BD211" s="213">
        <v>1.87</v>
      </c>
      <c r="BE211" s="213">
        <v>0.71</v>
      </c>
      <c r="BF211" s="213">
        <v>0.41</v>
      </c>
      <c r="BG211" s="213">
        <v>0.55999999999999994</v>
      </c>
      <c r="BH211" s="213">
        <v>518.88</v>
      </c>
      <c r="BI211" s="213">
        <v>502.88</v>
      </c>
      <c r="BJ211" s="213">
        <v>510.88</v>
      </c>
      <c r="BK211" s="213">
        <v>43.5</v>
      </c>
      <c r="BL211" s="213">
        <v>42.14</v>
      </c>
      <c r="BM211" s="213">
        <v>42.82</v>
      </c>
      <c r="BN211" s="213">
        <v>1.08</v>
      </c>
      <c r="BO211" s="213">
        <v>0.84000000000000008</v>
      </c>
      <c r="BP211" s="213">
        <v>0.96000000000000008</v>
      </c>
      <c r="BQ211" s="213">
        <v>9.58</v>
      </c>
      <c r="BR211" s="213">
        <v>7.58</v>
      </c>
      <c r="BS211" s="213">
        <v>8.58</v>
      </c>
      <c r="BT211" s="213">
        <v>11.45</v>
      </c>
      <c r="BU211" s="213">
        <v>11.049999999999999</v>
      </c>
      <c r="BV211" s="213">
        <v>11.25</v>
      </c>
      <c r="BW211" s="213">
        <v>2.83</v>
      </c>
      <c r="BX211" s="213">
        <v>2.5499999999999998</v>
      </c>
      <c r="BY211" s="213">
        <v>2.69</v>
      </c>
      <c r="BZ211" s="213">
        <v>9.9700000000000006</v>
      </c>
      <c r="CA211" s="213">
        <v>6.9700000000000006</v>
      </c>
      <c r="CB211" s="213">
        <v>8.4700000000000006</v>
      </c>
      <c r="CC211" s="213">
        <v>6.78</v>
      </c>
      <c r="CD211" s="213">
        <v>6.54</v>
      </c>
      <c r="CE211" s="213">
        <v>6.66</v>
      </c>
      <c r="CF211" s="213">
        <v>2.0299999999999998</v>
      </c>
      <c r="CG211" s="213">
        <v>1.5299999999999998</v>
      </c>
      <c r="CH211" s="213">
        <v>1.7799999999999998</v>
      </c>
      <c r="CI211" s="213">
        <v>0.45</v>
      </c>
      <c r="CJ211" s="213">
        <v>0.41000000000000003</v>
      </c>
      <c r="CK211" s="213">
        <v>0.43000000000000005</v>
      </c>
      <c r="CL211" s="213">
        <v>40.75</v>
      </c>
      <c r="CM211" s="213">
        <v>38.35</v>
      </c>
      <c r="CN211" s="213">
        <v>39.549999999999997</v>
      </c>
      <c r="CO211" s="213">
        <v>7.26</v>
      </c>
      <c r="CP211" s="213">
        <v>2.2599999999999998</v>
      </c>
      <c r="CQ211" s="213">
        <v>4.76</v>
      </c>
      <c r="CR211" s="213"/>
      <c r="CS211" s="213"/>
    </row>
    <row r="212" spans="1:97">
      <c r="A212" s="424">
        <v>45498</v>
      </c>
      <c r="B212" s="211" t="s">
        <v>250</v>
      </c>
      <c r="C212" s="213">
        <v>154.36000000000001</v>
      </c>
      <c r="D212" s="213">
        <v>152.36000000000001</v>
      </c>
      <c r="E212" s="213">
        <v>153.36000000000001</v>
      </c>
      <c r="F212" s="213">
        <v>167.74</v>
      </c>
      <c r="G212" s="213">
        <v>164.74</v>
      </c>
      <c r="H212" s="213">
        <v>166.24</v>
      </c>
      <c r="I212" s="213">
        <v>112.62</v>
      </c>
      <c r="J212" s="213">
        <v>109.42</v>
      </c>
      <c r="K212" s="213">
        <v>111.02000000000001</v>
      </c>
      <c r="L212" s="213">
        <v>201.79</v>
      </c>
      <c r="M212" s="213">
        <v>193.79</v>
      </c>
      <c r="N212" s="213">
        <v>197.79</v>
      </c>
      <c r="O212" s="213">
        <v>174.21</v>
      </c>
      <c r="P212" s="213">
        <v>172.41</v>
      </c>
      <c r="Q212" s="213">
        <v>173.31</v>
      </c>
      <c r="R212" s="213">
        <v>22.57</v>
      </c>
      <c r="S212" s="213">
        <v>21.97</v>
      </c>
      <c r="T212" s="213">
        <v>22.27</v>
      </c>
      <c r="U212" s="213">
        <v>14.2</v>
      </c>
      <c r="V212" s="213">
        <v>13.6</v>
      </c>
      <c r="W212" s="213">
        <v>13.899999999999999</v>
      </c>
      <c r="X212" s="213">
        <v>14.63</v>
      </c>
      <c r="Y212" s="213">
        <v>13.83</v>
      </c>
      <c r="Z212" s="213">
        <v>14.23</v>
      </c>
      <c r="AA212" s="213">
        <v>102.6</v>
      </c>
      <c r="AB212" s="213">
        <v>98.6</v>
      </c>
      <c r="AC212" s="213">
        <v>100.6</v>
      </c>
      <c r="AD212" s="213">
        <v>92.77</v>
      </c>
      <c r="AE212" s="213">
        <v>88.77</v>
      </c>
      <c r="AF212" s="213">
        <v>90.77</v>
      </c>
      <c r="AG212" s="213">
        <v>20.07</v>
      </c>
      <c r="AH212" s="213">
        <v>19.21</v>
      </c>
      <c r="AI212" s="213">
        <v>19.64</v>
      </c>
      <c r="AJ212" s="213"/>
      <c r="AK212" s="213"/>
      <c r="AL212" s="213"/>
      <c r="AM212" s="213">
        <v>114.97</v>
      </c>
      <c r="AN212" s="213">
        <v>113.31</v>
      </c>
      <c r="AO212" s="213">
        <v>114.14</v>
      </c>
      <c r="AP212" s="213">
        <v>41.75</v>
      </c>
      <c r="AQ212" s="213">
        <v>40.15</v>
      </c>
      <c r="AR212" s="213">
        <v>40.950000000000003</v>
      </c>
      <c r="AS212" s="213">
        <v>42.5</v>
      </c>
      <c r="AT212" s="213">
        <v>41.14</v>
      </c>
      <c r="AU212" s="213">
        <v>41.82</v>
      </c>
      <c r="AV212" s="213">
        <v>21.4</v>
      </c>
      <c r="AW212" s="213">
        <v>20.799999999999997</v>
      </c>
      <c r="AX212" s="213">
        <v>21.099999999999998</v>
      </c>
      <c r="AY212" s="213">
        <v>4.34</v>
      </c>
      <c r="AZ212" s="213">
        <v>4.18</v>
      </c>
      <c r="BA212" s="213">
        <v>4.26</v>
      </c>
      <c r="BB212" s="213">
        <v>1.99</v>
      </c>
      <c r="BC212" s="213">
        <v>1.69</v>
      </c>
      <c r="BD212" s="213">
        <v>1.8399999999999999</v>
      </c>
      <c r="BE212" s="213">
        <v>0.7</v>
      </c>
      <c r="BF212" s="213">
        <v>0.39999999999999997</v>
      </c>
      <c r="BG212" s="213">
        <v>0.54999999999999993</v>
      </c>
      <c r="BH212" s="213">
        <v>510.65</v>
      </c>
      <c r="BI212" s="213">
        <v>494.65</v>
      </c>
      <c r="BJ212" s="213">
        <v>502.65</v>
      </c>
      <c r="BK212" s="213">
        <v>42.81</v>
      </c>
      <c r="BL212" s="213">
        <v>41.45</v>
      </c>
      <c r="BM212" s="213">
        <v>42.13</v>
      </c>
      <c r="BN212" s="213">
        <v>1.07</v>
      </c>
      <c r="BO212" s="213">
        <v>0.83000000000000007</v>
      </c>
      <c r="BP212" s="213">
        <v>0.95000000000000007</v>
      </c>
      <c r="BQ212" s="213">
        <v>9.33</v>
      </c>
      <c r="BR212" s="213">
        <v>7.33</v>
      </c>
      <c r="BS212" s="213">
        <v>8.33</v>
      </c>
      <c r="BT212" s="213">
        <v>11.3</v>
      </c>
      <c r="BU212" s="213">
        <v>10.9</v>
      </c>
      <c r="BV212" s="213">
        <v>11.100000000000001</v>
      </c>
      <c r="BW212" s="213">
        <v>2.78</v>
      </c>
      <c r="BX212" s="213">
        <v>2.5</v>
      </c>
      <c r="BY212" s="213">
        <v>2.6399999999999997</v>
      </c>
      <c r="BZ212" s="213">
        <v>9.85</v>
      </c>
      <c r="CA212" s="213">
        <v>6.85</v>
      </c>
      <c r="CB212" s="213">
        <v>8.35</v>
      </c>
      <c r="CC212" s="213">
        <v>6.67</v>
      </c>
      <c r="CD212" s="213">
        <v>6.43</v>
      </c>
      <c r="CE212" s="213">
        <v>6.55</v>
      </c>
      <c r="CF212" s="213">
        <v>2.0299999999999998</v>
      </c>
      <c r="CG212" s="213">
        <v>1.5299999999999998</v>
      </c>
      <c r="CH212" s="213">
        <v>1.7799999999999998</v>
      </c>
      <c r="CI212" s="213">
        <v>0.44</v>
      </c>
      <c r="CJ212" s="213">
        <v>0.4</v>
      </c>
      <c r="CK212" s="213">
        <v>0.42000000000000004</v>
      </c>
      <c r="CL212" s="213">
        <v>39.869999999999997</v>
      </c>
      <c r="CM212" s="213">
        <v>37.47</v>
      </c>
      <c r="CN212" s="213">
        <v>38.67</v>
      </c>
      <c r="CO212" s="213">
        <v>7.17</v>
      </c>
      <c r="CP212" s="213">
        <v>2.17</v>
      </c>
      <c r="CQ212" s="213">
        <v>4.67</v>
      </c>
      <c r="CR212" s="213"/>
      <c r="CS212" s="213"/>
    </row>
    <row r="213" spans="1:97">
      <c r="A213" s="424">
        <v>45499</v>
      </c>
      <c r="B213" s="211" t="s">
        <v>251</v>
      </c>
      <c r="C213" s="213">
        <v>155.13</v>
      </c>
      <c r="D213" s="213">
        <v>153.13</v>
      </c>
      <c r="E213" s="213">
        <v>154.13</v>
      </c>
      <c r="F213" s="213">
        <v>168.78</v>
      </c>
      <c r="G213" s="213">
        <v>165.78</v>
      </c>
      <c r="H213" s="213">
        <v>167.28</v>
      </c>
      <c r="I213" s="213">
        <v>113.12</v>
      </c>
      <c r="J213" s="213">
        <v>109.92</v>
      </c>
      <c r="K213" s="213">
        <v>111.52000000000001</v>
      </c>
      <c r="L213" s="213">
        <v>202.15</v>
      </c>
      <c r="M213" s="213">
        <v>194.15</v>
      </c>
      <c r="N213" s="213">
        <v>198.15</v>
      </c>
      <c r="O213" s="213">
        <v>175.73</v>
      </c>
      <c r="P213" s="213">
        <v>173.92999999999998</v>
      </c>
      <c r="Q213" s="213">
        <v>174.82999999999998</v>
      </c>
      <c r="R213" s="213">
        <v>22.71</v>
      </c>
      <c r="S213" s="213">
        <v>22.11</v>
      </c>
      <c r="T213" s="213">
        <v>22.41</v>
      </c>
      <c r="U213" s="213">
        <v>14.27</v>
      </c>
      <c r="V213" s="213">
        <v>13.67</v>
      </c>
      <c r="W213" s="213">
        <v>13.969999999999999</v>
      </c>
      <c r="X213" s="213">
        <v>14.63</v>
      </c>
      <c r="Y213" s="213">
        <v>13.83</v>
      </c>
      <c r="Z213" s="213">
        <v>14.23</v>
      </c>
      <c r="AA213" s="213">
        <v>102.88</v>
      </c>
      <c r="AB213" s="213">
        <v>98.88</v>
      </c>
      <c r="AC213" s="213">
        <v>100.88</v>
      </c>
      <c r="AD213" s="213">
        <v>92.75</v>
      </c>
      <c r="AE213" s="213">
        <v>88.75</v>
      </c>
      <c r="AF213" s="213">
        <v>90.75</v>
      </c>
      <c r="AG213" s="213">
        <v>20.170000000000002</v>
      </c>
      <c r="AH213" s="213">
        <v>19.310000000000002</v>
      </c>
      <c r="AI213" s="213">
        <v>19.740000000000002</v>
      </c>
      <c r="AJ213" s="213"/>
      <c r="AK213" s="213"/>
      <c r="AL213" s="213"/>
      <c r="AM213" s="213">
        <v>115.56</v>
      </c>
      <c r="AN213" s="213">
        <v>113.9</v>
      </c>
      <c r="AO213" s="213">
        <v>114.73</v>
      </c>
      <c r="AP213" s="213">
        <v>41.96</v>
      </c>
      <c r="AQ213" s="213">
        <v>40.36</v>
      </c>
      <c r="AR213" s="213">
        <v>41.16</v>
      </c>
      <c r="AS213" s="213">
        <v>42.71</v>
      </c>
      <c r="AT213" s="213">
        <v>41.35</v>
      </c>
      <c r="AU213" s="213">
        <v>42.03</v>
      </c>
      <c r="AV213" s="213">
        <v>21.56</v>
      </c>
      <c r="AW213" s="213">
        <v>20.959999999999997</v>
      </c>
      <c r="AX213" s="213">
        <v>21.259999999999998</v>
      </c>
      <c r="AY213" s="213">
        <v>4.34</v>
      </c>
      <c r="AZ213" s="213">
        <v>4.18</v>
      </c>
      <c r="BA213" s="213">
        <v>4.26</v>
      </c>
      <c r="BB213" s="213">
        <v>2</v>
      </c>
      <c r="BC213" s="213">
        <v>1.7</v>
      </c>
      <c r="BD213" s="213">
        <v>1.85</v>
      </c>
      <c r="BE213" s="213">
        <v>0.7</v>
      </c>
      <c r="BF213" s="213">
        <v>0.39999999999999997</v>
      </c>
      <c r="BG213" s="213">
        <v>0.54999999999999993</v>
      </c>
      <c r="BH213" s="213">
        <v>512.85</v>
      </c>
      <c r="BI213" s="213">
        <v>496.85</v>
      </c>
      <c r="BJ213" s="213">
        <v>504.85</v>
      </c>
      <c r="BK213" s="213">
        <v>43.02</v>
      </c>
      <c r="BL213" s="213">
        <v>41.660000000000004</v>
      </c>
      <c r="BM213" s="213">
        <v>42.34</v>
      </c>
      <c r="BN213" s="213">
        <v>1.07</v>
      </c>
      <c r="BO213" s="213">
        <v>0.83000000000000007</v>
      </c>
      <c r="BP213" s="213">
        <v>0.95000000000000007</v>
      </c>
      <c r="BQ213" s="213">
        <v>9.36</v>
      </c>
      <c r="BR213" s="213">
        <v>7.3599999999999994</v>
      </c>
      <c r="BS213" s="213">
        <v>8.36</v>
      </c>
      <c r="BT213" s="213">
        <v>11.34</v>
      </c>
      <c r="BU213" s="213">
        <v>10.94</v>
      </c>
      <c r="BV213" s="213">
        <v>11.14</v>
      </c>
      <c r="BW213" s="213">
        <v>2.8</v>
      </c>
      <c r="BX213" s="213">
        <v>2.5199999999999996</v>
      </c>
      <c r="BY213" s="213">
        <v>2.6599999999999997</v>
      </c>
      <c r="BZ213" s="213">
        <v>9.89</v>
      </c>
      <c r="CA213" s="213">
        <v>6.8900000000000006</v>
      </c>
      <c r="CB213" s="213">
        <v>8.39</v>
      </c>
      <c r="CC213" s="213">
        <v>6.71</v>
      </c>
      <c r="CD213" s="213">
        <v>6.47</v>
      </c>
      <c r="CE213" s="213">
        <v>6.59</v>
      </c>
      <c r="CF213" s="213">
        <v>2.0699999999999998</v>
      </c>
      <c r="CG213" s="213">
        <v>1.5699999999999998</v>
      </c>
      <c r="CH213" s="213">
        <v>1.8199999999999998</v>
      </c>
      <c r="CI213" s="213">
        <v>0.45</v>
      </c>
      <c r="CJ213" s="213">
        <v>0.41000000000000003</v>
      </c>
      <c r="CK213" s="213">
        <v>0.43000000000000005</v>
      </c>
      <c r="CL213" s="213">
        <v>40.26</v>
      </c>
      <c r="CM213" s="213">
        <v>37.86</v>
      </c>
      <c r="CN213" s="213">
        <v>39.06</v>
      </c>
      <c r="CO213" s="213">
        <v>7.17</v>
      </c>
      <c r="CP213" s="213">
        <v>2.17</v>
      </c>
      <c r="CQ213" s="213">
        <v>4.67</v>
      </c>
      <c r="CR213" s="213"/>
      <c r="CS213" s="213"/>
    </row>
    <row r="214" spans="1:97">
      <c r="A214" s="424">
        <v>45500</v>
      </c>
      <c r="B214" s="211" t="s">
        <v>252</v>
      </c>
      <c r="C214" s="213"/>
      <c r="D214" s="213"/>
      <c r="E214" s="213"/>
      <c r="F214" s="213"/>
      <c r="G214" s="213"/>
      <c r="H214" s="213"/>
      <c r="I214" s="213"/>
      <c r="J214" s="213"/>
      <c r="K214" s="213"/>
      <c r="L214" s="213"/>
      <c r="M214" s="213"/>
      <c r="N214" s="213"/>
      <c r="O214" s="213"/>
      <c r="P214" s="213"/>
      <c r="Q214" s="213"/>
      <c r="R214" s="213"/>
      <c r="S214" s="213"/>
      <c r="T214" s="213"/>
      <c r="U214" s="213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13"/>
      <c r="AF214" s="213"/>
      <c r="AG214" s="213"/>
      <c r="AH214" s="213"/>
      <c r="AI214" s="213"/>
      <c r="AJ214" s="213"/>
      <c r="AK214" s="213"/>
      <c r="AL214" s="213"/>
      <c r="AM214" s="213"/>
      <c r="AN214" s="213"/>
      <c r="AO214" s="213"/>
      <c r="AP214" s="213"/>
      <c r="AQ214" s="213"/>
      <c r="AR214" s="213"/>
      <c r="AS214" s="213"/>
      <c r="AT214" s="213"/>
      <c r="AU214" s="213"/>
      <c r="AV214" s="213"/>
      <c r="AW214" s="213"/>
      <c r="AX214" s="213"/>
      <c r="AY214" s="213"/>
      <c r="AZ214" s="213"/>
      <c r="BA214" s="213"/>
      <c r="BB214" s="213"/>
      <c r="BC214" s="213"/>
      <c r="BD214" s="213"/>
      <c r="BE214" s="213"/>
      <c r="BF214" s="213"/>
      <c r="BG214" s="213"/>
      <c r="BH214" s="213"/>
      <c r="BI214" s="213"/>
      <c r="BJ214" s="213"/>
      <c r="BK214" s="213"/>
      <c r="BL214" s="213"/>
      <c r="BM214" s="213"/>
      <c r="BN214" s="213"/>
      <c r="BO214" s="213"/>
      <c r="BP214" s="213"/>
      <c r="BQ214" s="213"/>
      <c r="BR214" s="213"/>
      <c r="BS214" s="213"/>
      <c r="BT214" s="213"/>
      <c r="BU214" s="213"/>
      <c r="BV214" s="213"/>
      <c r="BW214" s="213"/>
      <c r="BX214" s="213"/>
      <c r="BY214" s="213"/>
      <c r="BZ214" s="213"/>
      <c r="CA214" s="213"/>
      <c r="CB214" s="213"/>
      <c r="CC214" s="213"/>
      <c r="CD214" s="213"/>
      <c r="CE214" s="213"/>
      <c r="CF214" s="213"/>
      <c r="CG214" s="213"/>
      <c r="CH214" s="213"/>
      <c r="CI214" s="213"/>
      <c r="CJ214" s="213"/>
      <c r="CK214" s="213"/>
      <c r="CL214" s="213"/>
      <c r="CM214" s="213"/>
      <c r="CN214" s="213"/>
      <c r="CO214" s="213"/>
      <c r="CP214" s="213"/>
      <c r="CQ214" s="213"/>
      <c r="CR214" s="213"/>
      <c r="CS214" s="213"/>
    </row>
    <row r="215" spans="1:97">
      <c r="A215" s="424">
        <v>45501</v>
      </c>
      <c r="B215" s="211" t="s">
        <v>253</v>
      </c>
      <c r="C215" s="213"/>
      <c r="D215" s="213"/>
      <c r="E215" s="213"/>
      <c r="F215" s="213"/>
      <c r="G215" s="213"/>
      <c r="H215" s="213"/>
      <c r="I215" s="213"/>
      <c r="J215" s="213"/>
      <c r="K215" s="213"/>
      <c r="L215" s="213"/>
      <c r="M215" s="213"/>
      <c r="N215" s="213"/>
      <c r="O215" s="213"/>
      <c r="P215" s="213"/>
      <c r="Q215" s="213"/>
      <c r="R215" s="213"/>
      <c r="S215" s="213"/>
      <c r="T215" s="213"/>
      <c r="U215" s="213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13"/>
      <c r="AF215" s="213"/>
      <c r="AG215" s="213"/>
      <c r="AH215" s="213"/>
      <c r="AI215" s="213"/>
      <c r="AJ215" s="213"/>
      <c r="AK215" s="213"/>
      <c r="AL215" s="213"/>
      <c r="AM215" s="213"/>
      <c r="AN215" s="213"/>
      <c r="AO215" s="213"/>
      <c r="AP215" s="213"/>
      <c r="AQ215" s="213"/>
      <c r="AR215" s="213"/>
      <c r="AS215" s="213"/>
      <c r="AT215" s="213"/>
      <c r="AU215" s="213"/>
      <c r="AV215" s="213"/>
      <c r="AW215" s="213"/>
      <c r="AX215" s="213"/>
      <c r="AY215" s="213"/>
      <c r="AZ215" s="213"/>
      <c r="BA215" s="213"/>
      <c r="BB215" s="213"/>
      <c r="BC215" s="213"/>
      <c r="BD215" s="213"/>
      <c r="BE215" s="213"/>
      <c r="BF215" s="213"/>
      <c r="BG215" s="213"/>
      <c r="BH215" s="213"/>
      <c r="BI215" s="213"/>
      <c r="BJ215" s="213"/>
      <c r="BK215" s="213"/>
      <c r="BL215" s="213"/>
      <c r="BM215" s="213"/>
      <c r="BN215" s="213"/>
      <c r="BO215" s="213"/>
      <c r="BP215" s="213"/>
      <c r="BQ215" s="213"/>
      <c r="BR215" s="213"/>
      <c r="BS215" s="213"/>
      <c r="BT215" s="213"/>
      <c r="BU215" s="213"/>
      <c r="BV215" s="213"/>
      <c r="BW215" s="213"/>
      <c r="BX215" s="213"/>
      <c r="BY215" s="213"/>
      <c r="BZ215" s="213"/>
      <c r="CA215" s="213"/>
      <c r="CB215" s="213"/>
      <c r="CC215" s="213"/>
      <c r="CD215" s="213"/>
      <c r="CE215" s="213"/>
      <c r="CF215" s="213"/>
      <c r="CG215" s="213"/>
      <c r="CH215" s="213"/>
      <c r="CI215" s="213"/>
      <c r="CJ215" s="213"/>
      <c r="CK215" s="213"/>
      <c r="CL215" s="213"/>
      <c r="CM215" s="213"/>
      <c r="CN215" s="213"/>
      <c r="CO215" s="213"/>
      <c r="CP215" s="213"/>
      <c r="CQ215" s="213"/>
      <c r="CR215" s="213"/>
      <c r="CS215" s="213"/>
    </row>
    <row r="216" spans="1:97">
      <c r="A216" s="424">
        <v>45502</v>
      </c>
      <c r="B216" s="211" t="s">
        <v>247</v>
      </c>
      <c r="C216" s="213">
        <v>154.76</v>
      </c>
      <c r="D216" s="213">
        <v>152.76</v>
      </c>
      <c r="E216" s="213">
        <v>153.76</v>
      </c>
      <c r="F216" s="213">
        <v>168.51</v>
      </c>
      <c r="G216" s="213">
        <v>165.51</v>
      </c>
      <c r="H216" s="213">
        <v>167.01</v>
      </c>
      <c r="I216" s="213">
        <v>112.86</v>
      </c>
      <c r="J216" s="213">
        <v>109.66</v>
      </c>
      <c r="K216" s="213">
        <v>111.25999999999999</v>
      </c>
      <c r="L216" s="213">
        <v>202.12</v>
      </c>
      <c r="M216" s="213">
        <v>194.12</v>
      </c>
      <c r="N216" s="213">
        <v>198.12</v>
      </c>
      <c r="O216" s="213">
        <v>174.9</v>
      </c>
      <c r="P216" s="213">
        <v>173.1</v>
      </c>
      <c r="Q216" s="213">
        <v>174</v>
      </c>
      <c r="R216" s="213">
        <v>22.68</v>
      </c>
      <c r="S216" s="213">
        <v>22.08</v>
      </c>
      <c r="T216" s="213">
        <v>22.38</v>
      </c>
      <c r="U216" s="213">
        <v>14.29</v>
      </c>
      <c r="V216" s="213">
        <v>13.69</v>
      </c>
      <c r="W216" s="213">
        <v>13.989999999999998</v>
      </c>
      <c r="X216" s="213">
        <v>14.64</v>
      </c>
      <c r="Y216" s="213">
        <v>13.84</v>
      </c>
      <c r="Z216" s="213">
        <v>14.24</v>
      </c>
      <c r="AA216" s="213">
        <v>102.93</v>
      </c>
      <c r="AB216" s="213">
        <v>98.93</v>
      </c>
      <c r="AC216" s="213">
        <v>100.93</v>
      </c>
      <c r="AD216" s="213">
        <v>92.67</v>
      </c>
      <c r="AE216" s="213">
        <v>88.67</v>
      </c>
      <c r="AF216" s="213">
        <v>90.67</v>
      </c>
      <c r="AG216" s="213">
        <v>20.12</v>
      </c>
      <c r="AH216" s="213">
        <v>19.260000000000002</v>
      </c>
      <c r="AI216" s="213">
        <v>19.690000000000001</v>
      </c>
      <c r="AJ216" s="213"/>
      <c r="AK216" s="213"/>
      <c r="AL216" s="213"/>
      <c r="AM216" s="213">
        <v>115.41</v>
      </c>
      <c r="AN216" s="213">
        <v>113.75</v>
      </c>
      <c r="AO216" s="213">
        <v>114.58</v>
      </c>
      <c r="AP216" s="213">
        <v>41.85</v>
      </c>
      <c r="AQ216" s="213">
        <v>40.25</v>
      </c>
      <c r="AR216" s="213">
        <v>41.05</v>
      </c>
      <c r="AS216" s="213">
        <v>42.61</v>
      </c>
      <c r="AT216" s="213">
        <v>41.25</v>
      </c>
      <c r="AU216" s="213">
        <v>41.93</v>
      </c>
      <c r="AV216" s="213">
        <v>21.46</v>
      </c>
      <c r="AW216" s="213">
        <v>20.86</v>
      </c>
      <c r="AX216" s="213">
        <v>21.16</v>
      </c>
      <c r="AY216" s="213">
        <v>4.3499999999999996</v>
      </c>
      <c r="AZ216" s="213">
        <v>4.1899999999999995</v>
      </c>
      <c r="BA216" s="213">
        <v>4.2699999999999996</v>
      </c>
      <c r="BB216" s="213">
        <v>2</v>
      </c>
      <c r="BC216" s="213">
        <v>1.7</v>
      </c>
      <c r="BD216" s="213">
        <v>1.85</v>
      </c>
      <c r="BE216" s="213">
        <v>0.7</v>
      </c>
      <c r="BF216" s="213">
        <v>0.39999999999999997</v>
      </c>
      <c r="BG216" s="213">
        <v>0.54999999999999993</v>
      </c>
      <c r="BH216" s="213">
        <v>511.8</v>
      </c>
      <c r="BI216" s="213">
        <v>495.8</v>
      </c>
      <c r="BJ216" s="213">
        <v>503.8</v>
      </c>
      <c r="BK216" s="213">
        <v>42.92</v>
      </c>
      <c r="BL216" s="213">
        <v>41.56</v>
      </c>
      <c r="BM216" s="213">
        <v>42.24</v>
      </c>
      <c r="BN216" s="213">
        <v>1.07</v>
      </c>
      <c r="BO216" s="213">
        <v>0.83000000000000007</v>
      </c>
      <c r="BP216" s="213">
        <v>0.95000000000000007</v>
      </c>
      <c r="BQ216" s="213">
        <v>9.34</v>
      </c>
      <c r="BR216" s="213">
        <v>7.34</v>
      </c>
      <c r="BS216" s="213">
        <v>8.34</v>
      </c>
      <c r="BT216" s="213">
        <v>11.33</v>
      </c>
      <c r="BU216" s="213">
        <v>10.93</v>
      </c>
      <c r="BV216" s="213">
        <v>11.129999999999999</v>
      </c>
      <c r="BW216" s="213">
        <v>2.79</v>
      </c>
      <c r="BX216" s="213">
        <v>2.5099999999999998</v>
      </c>
      <c r="BY216" s="213">
        <v>2.65</v>
      </c>
      <c r="BZ216" s="213">
        <v>9.91</v>
      </c>
      <c r="CA216" s="213">
        <v>6.91</v>
      </c>
      <c r="CB216" s="213">
        <v>8.41</v>
      </c>
      <c r="CC216" s="213">
        <v>6.72</v>
      </c>
      <c r="CD216" s="213">
        <v>6.4799999999999995</v>
      </c>
      <c r="CE216" s="213">
        <v>6.6</v>
      </c>
      <c r="CF216" s="213">
        <v>2.04</v>
      </c>
      <c r="CG216" s="213">
        <v>1.54</v>
      </c>
      <c r="CH216" s="213">
        <v>1.79</v>
      </c>
      <c r="CI216" s="213">
        <v>0.45</v>
      </c>
      <c r="CJ216" s="213">
        <v>0.41000000000000003</v>
      </c>
      <c r="CK216" s="213">
        <v>0.43000000000000005</v>
      </c>
      <c r="CL216" s="213">
        <v>40.32</v>
      </c>
      <c r="CM216" s="213">
        <v>37.92</v>
      </c>
      <c r="CN216" s="213">
        <v>39.120000000000005</v>
      </c>
      <c r="CO216" s="213">
        <v>7.15</v>
      </c>
      <c r="CP216" s="213">
        <v>2.1500000000000004</v>
      </c>
      <c r="CQ216" s="213">
        <v>4.6500000000000004</v>
      </c>
      <c r="CR216" s="213"/>
      <c r="CS216" s="213"/>
    </row>
    <row r="217" spans="1:97">
      <c r="A217" s="424">
        <v>45503</v>
      </c>
      <c r="B217" s="211" t="s">
        <v>248</v>
      </c>
      <c r="C217" s="213">
        <v>155.08000000000001</v>
      </c>
      <c r="D217" s="213">
        <v>153.08000000000001</v>
      </c>
      <c r="E217" s="213">
        <v>154.08000000000001</v>
      </c>
      <c r="F217" s="213">
        <v>168.14</v>
      </c>
      <c r="G217" s="213">
        <v>165.14</v>
      </c>
      <c r="H217" s="213">
        <v>166.64</v>
      </c>
      <c r="I217" s="213">
        <v>112.83</v>
      </c>
      <c r="J217" s="213">
        <v>109.63</v>
      </c>
      <c r="K217" s="213">
        <v>111.22999999999999</v>
      </c>
      <c r="L217" s="213">
        <v>202.05</v>
      </c>
      <c r="M217" s="213">
        <v>194.05</v>
      </c>
      <c r="N217" s="213">
        <v>198.05</v>
      </c>
      <c r="O217" s="213">
        <v>174.69</v>
      </c>
      <c r="P217" s="213">
        <v>172.89</v>
      </c>
      <c r="Q217" s="213">
        <v>173.79</v>
      </c>
      <c r="R217" s="213">
        <v>22.63</v>
      </c>
      <c r="S217" s="213">
        <v>22.029999999999998</v>
      </c>
      <c r="T217" s="213">
        <v>22.33</v>
      </c>
      <c r="U217" s="213">
        <v>14.31</v>
      </c>
      <c r="V217" s="213">
        <v>13.71</v>
      </c>
      <c r="W217" s="213">
        <v>14.010000000000002</v>
      </c>
      <c r="X217" s="213">
        <v>14.62</v>
      </c>
      <c r="Y217" s="213">
        <v>13.819999999999999</v>
      </c>
      <c r="Z217" s="213">
        <v>14.219999999999999</v>
      </c>
      <c r="AA217" s="213">
        <v>102.88</v>
      </c>
      <c r="AB217" s="213">
        <v>98.88</v>
      </c>
      <c r="AC217" s="213">
        <v>100.88</v>
      </c>
      <c r="AD217" s="213">
        <v>92.55</v>
      </c>
      <c r="AE217" s="213">
        <v>88.55</v>
      </c>
      <c r="AF217" s="213">
        <v>90.55</v>
      </c>
      <c r="AG217" s="213">
        <v>20.149999999999999</v>
      </c>
      <c r="AH217" s="213">
        <v>19.29</v>
      </c>
      <c r="AI217" s="213">
        <v>19.72</v>
      </c>
      <c r="AJ217" s="213"/>
      <c r="AK217" s="213"/>
      <c r="AL217" s="213"/>
      <c r="AM217" s="213">
        <v>115.54</v>
      </c>
      <c r="AN217" s="213">
        <v>113.88000000000001</v>
      </c>
      <c r="AO217" s="213">
        <v>114.71000000000001</v>
      </c>
      <c r="AP217" s="213">
        <v>41.93</v>
      </c>
      <c r="AQ217" s="213">
        <v>40.33</v>
      </c>
      <c r="AR217" s="213">
        <v>41.129999999999995</v>
      </c>
      <c r="AS217" s="213">
        <v>42.7</v>
      </c>
      <c r="AT217" s="213">
        <v>41.34</v>
      </c>
      <c r="AU217" s="213">
        <v>42.02</v>
      </c>
      <c r="AV217" s="213">
        <v>21.49</v>
      </c>
      <c r="AW217" s="213">
        <v>20.889999999999997</v>
      </c>
      <c r="AX217" s="213">
        <v>21.189999999999998</v>
      </c>
      <c r="AY217" s="213">
        <v>4.3600000000000003</v>
      </c>
      <c r="AZ217" s="213">
        <v>4.2</v>
      </c>
      <c r="BA217" s="213">
        <v>4.28</v>
      </c>
      <c r="BB217" s="213">
        <v>2</v>
      </c>
      <c r="BC217" s="213">
        <v>1.7</v>
      </c>
      <c r="BD217" s="213">
        <v>1.85</v>
      </c>
      <c r="BE217" s="213">
        <v>0.71</v>
      </c>
      <c r="BF217" s="213">
        <v>0.41</v>
      </c>
      <c r="BG217" s="213">
        <v>0.55999999999999994</v>
      </c>
      <c r="BH217" s="213">
        <v>512.67999999999995</v>
      </c>
      <c r="BI217" s="213">
        <v>496.67999999999995</v>
      </c>
      <c r="BJ217" s="213">
        <v>504.67999999999995</v>
      </c>
      <c r="BK217" s="213">
        <v>43.01</v>
      </c>
      <c r="BL217" s="213">
        <v>41.65</v>
      </c>
      <c r="BM217" s="213">
        <v>42.33</v>
      </c>
      <c r="BN217" s="213">
        <v>1.07</v>
      </c>
      <c r="BO217" s="213">
        <v>0.83000000000000007</v>
      </c>
      <c r="BP217" s="213">
        <v>0.95000000000000007</v>
      </c>
      <c r="BQ217" s="213">
        <v>9.26</v>
      </c>
      <c r="BR217" s="213">
        <v>7.26</v>
      </c>
      <c r="BS217" s="213">
        <v>8.26</v>
      </c>
      <c r="BT217" s="213">
        <v>11.34</v>
      </c>
      <c r="BU217" s="213">
        <v>10.94</v>
      </c>
      <c r="BV217" s="213">
        <v>11.14</v>
      </c>
      <c r="BW217" s="213">
        <v>2.79</v>
      </c>
      <c r="BX217" s="213">
        <v>2.5099999999999998</v>
      </c>
      <c r="BY217" s="213">
        <v>2.65</v>
      </c>
      <c r="BZ217" s="213">
        <v>9.85</v>
      </c>
      <c r="CA217" s="213">
        <v>6.85</v>
      </c>
      <c r="CB217" s="213">
        <v>8.35</v>
      </c>
      <c r="CC217" s="213">
        <v>6.69</v>
      </c>
      <c r="CD217" s="213">
        <v>6.45</v>
      </c>
      <c r="CE217" s="213">
        <v>6.57</v>
      </c>
      <c r="CF217" s="213">
        <v>2.0299999999999998</v>
      </c>
      <c r="CG217" s="213">
        <v>1.5299999999999998</v>
      </c>
      <c r="CH217" s="213">
        <v>1.7799999999999998</v>
      </c>
      <c r="CI217" s="213">
        <v>0.44</v>
      </c>
      <c r="CJ217" s="213">
        <v>0.4</v>
      </c>
      <c r="CK217" s="213">
        <v>0.42000000000000004</v>
      </c>
      <c r="CL217" s="213">
        <v>40.04</v>
      </c>
      <c r="CM217" s="213">
        <v>37.64</v>
      </c>
      <c r="CN217" s="213">
        <v>38.840000000000003</v>
      </c>
      <c r="CO217" s="213">
        <v>7.17</v>
      </c>
      <c r="CP217" s="213">
        <v>2.17</v>
      </c>
      <c r="CQ217" s="213">
        <v>4.67</v>
      </c>
      <c r="CR217" s="213"/>
      <c r="CS217" s="213"/>
    </row>
    <row r="218" spans="1:97">
      <c r="A218" s="424">
        <v>45504</v>
      </c>
      <c r="B218" s="211" t="s">
        <v>249</v>
      </c>
      <c r="C218" s="213">
        <v>153.44</v>
      </c>
      <c r="D218" s="213">
        <v>151.44</v>
      </c>
      <c r="E218" s="213">
        <v>152.44</v>
      </c>
      <c r="F218" s="213">
        <v>166.39</v>
      </c>
      <c r="G218" s="213">
        <v>163.38999999999999</v>
      </c>
      <c r="H218" s="213">
        <v>164.89</v>
      </c>
      <c r="I218" s="213">
        <v>111.63</v>
      </c>
      <c r="J218" s="213">
        <v>108.42999999999999</v>
      </c>
      <c r="K218" s="213">
        <v>110.03</v>
      </c>
      <c r="L218" s="213">
        <v>199.76</v>
      </c>
      <c r="M218" s="213">
        <v>191.76</v>
      </c>
      <c r="N218" s="213">
        <v>195.76</v>
      </c>
      <c r="O218" s="213">
        <v>173.75</v>
      </c>
      <c r="P218" s="213">
        <v>171.95</v>
      </c>
      <c r="Q218" s="213">
        <v>172.85</v>
      </c>
      <c r="R218" s="213">
        <v>22.4</v>
      </c>
      <c r="S218" s="213">
        <v>21.799999999999997</v>
      </c>
      <c r="T218" s="213">
        <v>22.099999999999998</v>
      </c>
      <c r="U218" s="213">
        <v>14.23</v>
      </c>
      <c r="V218" s="213">
        <v>13.63</v>
      </c>
      <c r="W218" s="213">
        <v>13.93</v>
      </c>
      <c r="X218" s="213">
        <v>14.56</v>
      </c>
      <c r="Y218" s="213">
        <v>13.76</v>
      </c>
      <c r="Z218" s="213">
        <v>14.16</v>
      </c>
      <c r="AA218" s="213">
        <v>101.65</v>
      </c>
      <c r="AB218" s="213">
        <v>97.65</v>
      </c>
      <c r="AC218" s="213">
        <v>99.65</v>
      </c>
      <c r="AD218" s="213">
        <v>92</v>
      </c>
      <c r="AE218" s="213">
        <v>88</v>
      </c>
      <c r="AF218" s="213">
        <v>90</v>
      </c>
      <c r="AG218" s="213">
        <v>19.940000000000001</v>
      </c>
      <c r="AH218" s="213">
        <v>19.080000000000002</v>
      </c>
      <c r="AI218" s="213">
        <v>19.510000000000002</v>
      </c>
      <c r="AJ218" s="213"/>
      <c r="AK218" s="213"/>
      <c r="AL218" s="213"/>
      <c r="AM218" s="213">
        <v>114.49</v>
      </c>
      <c r="AN218" s="213">
        <v>112.83</v>
      </c>
      <c r="AO218" s="213">
        <v>113.66</v>
      </c>
      <c r="AP218" s="213">
        <v>41.5</v>
      </c>
      <c r="AQ218" s="213">
        <v>39.9</v>
      </c>
      <c r="AR218" s="213">
        <v>40.700000000000003</v>
      </c>
      <c r="AS218" s="213">
        <v>42.25</v>
      </c>
      <c r="AT218" s="213">
        <v>40.89</v>
      </c>
      <c r="AU218" s="213">
        <v>41.57</v>
      </c>
      <c r="AV218" s="213">
        <v>21.37</v>
      </c>
      <c r="AW218" s="213">
        <v>20.77</v>
      </c>
      <c r="AX218" s="213">
        <v>21.07</v>
      </c>
      <c r="AY218" s="213">
        <v>4.33</v>
      </c>
      <c r="AZ218" s="213">
        <v>4.17</v>
      </c>
      <c r="BA218" s="213">
        <v>4.25</v>
      </c>
      <c r="BB218" s="213">
        <v>1.98</v>
      </c>
      <c r="BC218" s="213">
        <v>1.68</v>
      </c>
      <c r="BD218" s="213">
        <v>1.83</v>
      </c>
      <c r="BE218" s="213">
        <v>0.7</v>
      </c>
      <c r="BF218" s="213">
        <v>0.39999999999999997</v>
      </c>
      <c r="BG218" s="213">
        <v>0.54999999999999993</v>
      </c>
      <c r="BH218" s="213">
        <v>508.13</v>
      </c>
      <c r="BI218" s="213">
        <v>492.13</v>
      </c>
      <c r="BJ218" s="213">
        <v>500.13</v>
      </c>
      <c r="BK218" s="213">
        <v>42.56</v>
      </c>
      <c r="BL218" s="213">
        <v>41.2</v>
      </c>
      <c r="BM218" s="213">
        <v>41.88</v>
      </c>
      <c r="BN218" s="213">
        <v>1.06</v>
      </c>
      <c r="BO218" s="213">
        <v>0.82000000000000006</v>
      </c>
      <c r="BP218" s="213">
        <v>0.94000000000000006</v>
      </c>
      <c r="BQ218" s="213">
        <v>9.11</v>
      </c>
      <c r="BR218" s="213">
        <v>7.1099999999999994</v>
      </c>
      <c r="BS218" s="213">
        <v>8.11</v>
      </c>
      <c r="BT218" s="213">
        <v>11.25</v>
      </c>
      <c r="BU218" s="213">
        <v>10.85</v>
      </c>
      <c r="BV218" s="213">
        <v>11.05</v>
      </c>
      <c r="BW218" s="213">
        <v>2.76</v>
      </c>
      <c r="BX218" s="213">
        <v>2.4799999999999995</v>
      </c>
      <c r="BY218" s="213">
        <v>2.6199999999999997</v>
      </c>
      <c r="BZ218" s="213">
        <v>9.82</v>
      </c>
      <c r="CA218" s="213">
        <v>6.82</v>
      </c>
      <c r="CB218" s="213">
        <v>8.32</v>
      </c>
      <c r="CC218" s="213">
        <v>6.62</v>
      </c>
      <c r="CD218" s="213">
        <v>6.38</v>
      </c>
      <c r="CE218" s="213">
        <v>6.5</v>
      </c>
      <c r="CF218" s="213">
        <v>2.0299999999999998</v>
      </c>
      <c r="CG218" s="213">
        <v>1.5299999999999998</v>
      </c>
      <c r="CH218" s="213">
        <v>1.7799999999999998</v>
      </c>
      <c r="CI218" s="213">
        <v>0.44</v>
      </c>
      <c r="CJ218" s="213">
        <v>0.4</v>
      </c>
      <c r="CK218" s="213">
        <v>0.42000000000000004</v>
      </c>
      <c r="CL218" s="213">
        <v>39.619999999999997</v>
      </c>
      <c r="CM218" s="213">
        <v>37.22</v>
      </c>
      <c r="CN218" s="213">
        <v>38.42</v>
      </c>
      <c r="CO218" s="213">
        <v>7.11</v>
      </c>
      <c r="CP218" s="213">
        <v>2.1100000000000003</v>
      </c>
      <c r="CQ218" s="213">
        <v>4.6100000000000003</v>
      </c>
      <c r="CR218" s="213"/>
      <c r="CS218" s="213"/>
    </row>
    <row r="219" spans="1:97">
      <c r="A219" s="424">
        <v>45505</v>
      </c>
      <c r="B219" s="211" t="s">
        <v>250</v>
      </c>
      <c r="C219" s="213">
        <v>150.62</v>
      </c>
      <c r="D219" s="213">
        <v>148.62</v>
      </c>
      <c r="E219" s="213">
        <v>149.62</v>
      </c>
      <c r="F219" s="213">
        <v>163.46</v>
      </c>
      <c r="G219" s="213">
        <v>160.46</v>
      </c>
      <c r="H219" s="213">
        <v>161.96</v>
      </c>
      <c r="I219" s="213">
        <v>109.93</v>
      </c>
      <c r="J219" s="213">
        <v>106.73</v>
      </c>
      <c r="K219" s="213">
        <v>108.33000000000001</v>
      </c>
      <c r="L219" s="213">
        <v>196.34</v>
      </c>
      <c r="M219" s="213">
        <v>188.34</v>
      </c>
      <c r="N219" s="213">
        <v>192.34</v>
      </c>
      <c r="O219" s="213">
        <v>171.33</v>
      </c>
      <c r="P219" s="213">
        <v>169.53</v>
      </c>
      <c r="Q219" s="213">
        <v>170.43</v>
      </c>
      <c r="R219" s="213">
        <v>22</v>
      </c>
      <c r="S219" s="213">
        <v>21.4</v>
      </c>
      <c r="T219" s="213">
        <v>21.7</v>
      </c>
      <c r="U219" s="213">
        <v>14.03</v>
      </c>
      <c r="V219" s="213">
        <v>13.43</v>
      </c>
      <c r="W219" s="213">
        <v>13.73</v>
      </c>
      <c r="X219" s="213">
        <v>14.39</v>
      </c>
      <c r="Y219" s="213">
        <v>13.59</v>
      </c>
      <c r="Z219" s="213">
        <v>13.99</v>
      </c>
      <c r="AA219" s="213">
        <v>99.81</v>
      </c>
      <c r="AB219" s="213">
        <v>95.81</v>
      </c>
      <c r="AC219" s="213">
        <v>97.81</v>
      </c>
      <c r="AD219" s="213">
        <v>91.16</v>
      </c>
      <c r="AE219" s="213">
        <v>87.16</v>
      </c>
      <c r="AF219" s="213">
        <v>89.16</v>
      </c>
      <c r="AG219" s="213">
        <v>19.579999999999998</v>
      </c>
      <c r="AH219" s="213">
        <v>18.72</v>
      </c>
      <c r="AI219" s="213">
        <v>19.149999999999999</v>
      </c>
      <c r="AJ219" s="213"/>
      <c r="AK219" s="213"/>
      <c r="AL219" s="213"/>
      <c r="AM219" s="213">
        <v>112.78</v>
      </c>
      <c r="AN219" s="213">
        <v>111.12</v>
      </c>
      <c r="AO219" s="213">
        <v>111.95</v>
      </c>
      <c r="AP219" s="213">
        <v>40.74</v>
      </c>
      <c r="AQ219" s="213">
        <v>39.14</v>
      </c>
      <c r="AR219" s="213">
        <v>39.94</v>
      </c>
      <c r="AS219" s="213">
        <v>41.48</v>
      </c>
      <c r="AT219" s="213">
        <v>40.119999999999997</v>
      </c>
      <c r="AU219" s="213">
        <v>40.799999999999997</v>
      </c>
      <c r="AV219" s="213">
        <v>21.03</v>
      </c>
      <c r="AW219" s="213">
        <v>20.43</v>
      </c>
      <c r="AX219" s="213">
        <v>20.73</v>
      </c>
      <c r="AY219" s="213">
        <v>4.3</v>
      </c>
      <c r="AZ219" s="213">
        <v>4.1399999999999997</v>
      </c>
      <c r="BA219" s="213">
        <v>4.22</v>
      </c>
      <c r="BB219" s="213">
        <v>1.95</v>
      </c>
      <c r="BC219" s="213">
        <v>1.65</v>
      </c>
      <c r="BD219" s="213">
        <v>1.7999999999999998</v>
      </c>
      <c r="BE219" s="213">
        <v>0.69</v>
      </c>
      <c r="BF219" s="213">
        <v>0.38999999999999996</v>
      </c>
      <c r="BG219" s="213">
        <v>0.53999999999999992</v>
      </c>
      <c r="BH219" s="213">
        <v>498.88</v>
      </c>
      <c r="BI219" s="213">
        <v>482.88</v>
      </c>
      <c r="BJ219" s="213">
        <v>490.88</v>
      </c>
      <c r="BK219" s="213">
        <v>41.78</v>
      </c>
      <c r="BL219" s="213">
        <v>40.42</v>
      </c>
      <c r="BM219" s="213">
        <v>41.1</v>
      </c>
      <c r="BN219" s="213">
        <v>1.04</v>
      </c>
      <c r="BO219" s="213">
        <v>0.8</v>
      </c>
      <c r="BP219" s="213">
        <v>0.92</v>
      </c>
      <c r="BQ219" s="213">
        <v>9.0299999999999994</v>
      </c>
      <c r="BR219" s="213">
        <v>7.0299999999999994</v>
      </c>
      <c r="BS219" s="213">
        <v>8.0299999999999994</v>
      </c>
      <c r="BT219" s="213">
        <v>11.15</v>
      </c>
      <c r="BU219" s="213">
        <v>10.75</v>
      </c>
      <c r="BV219" s="213">
        <v>10.95</v>
      </c>
      <c r="BW219" s="213">
        <v>2.72</v>
      </c>
      <c r="BX219" s="213">
        <v>2.4400000000000004</v>
      </c>
      <c r="BY219" s="213">
        <v>2.58</v>
      </c>
      <c r="BZ219" s="213">
        <v>9.7200000000000006</v>
      </c>
      <c r="CA219" s="213">
        <v>6.7200000000000006</v>
      </c>
      <c r="CB219" s="213">
        <v>8.2200000000000006</v>
      </c>
      <c r="CC219" s="213">
        <v>6.5</v>
      </c>
      <c r="CD219" s="213">
        <v>6.26</v>
      </c>
      <c r="CE219" s="213">
        <v>6.38</v>
      </c>
      <c r="CF219" s="213">
        <v>1.99</v>
      </c>
      <c r="CG219" s="213">
        <v>1.49</v>
      </c>
      <c r="CH219" s="213">
        <v>1.74</v>
      </c>
      <c r="CI219" s="213">
        <v>0.43</v>
      </c>
      <c r="CJ219" s="213">
        <v>0.39</v>
      </c>
      <c r="CK219" s="213">
        <v>0.41000000000000003</v>
      </c>
      <c r="CL219" s="213">
        <v>38.93</v>
      </c>
      <c r="CM219" s="213">
        <v>36.53</v>
      </c>
      <c r="CN219" s="213">
        <v>37.730000000000004</v>
      </c>
      <c r="CO219" s="213">
        <v>7.02</v>
      </c>
      <c r="CP219" s="213">
        <v>2.0199999999999996</v>
      </c>
      <c r="CQ219" s="213">
        <v>4.5199999999999996</v>
      </c>
      <c r="CR219" s="213"/>
      <c r="CS219" s="213"/>
    </row>
    <row r="220" spans="1:97">
      <c r="A220" s="424">
        <v>45506</v>
      </c>
      <c r="B220" s="211" t="s">
        <v>251</v>
      </c>
      <c r="C220" s="213">
        <v>150.52000000000001</v>
      </c>
      <c r="D220" s="213">
        <v>148.52000000000001</v>
      </c>
      <c r="E220" s="213">
        <v>149.52000000000001</v>
      </c>
      <c r="F220" s="213">
        <v>162.85</v>
      </c>
      <c r="G220" s="213">
        <v>159.85</v>
      </c>
      <c r="H220" s="213">
        <v>161.35</v>
      </c>
      <c r="I220" s="213">
        <v>109.3</v>
      </c>
      <c r="J220" s="213">
        <v>106.1</v>
      </c>
      <c r="K220" s="213">
        <v>107.69999999999999</v>
      </c>
      <c r="L220" s="213">
        <v>194.28</v>
      </c>
      <c r="M220" s="213">
        <v>186.28</v>
      </c>
      <c r="N220" s="213">
        <v>190.28</v>
      </c>
      <c r="O220" s="213">
        <v>172.25</v>
      </c>
      <c r="P220" s="213">
        <v>170.45</v>
      </c>
      <c r="Q220" s="213">
        <v>171.35</v>
      </c>
      <c r="R220" s="213">
        <v>21.92</v>
      </c>
      <c r="S220" s="213">
        <v>21.32</v>
      </c>
      <c r="T220" s="213">
        <v>21.62</v>
      </c>
      <c r="U220" s="213">
        <v>13.94</v>
      </c>
      <c r="V220" s="213">
        <v>13.34</v>
      </c>
      <c r="W220" s="213">
        <v>13.64</v>
      </c>
      <c r="X220" s="213">
        <v>14.33</v>
      </c>
      <c r="Y220" s="213">
        <v>13.53</v>
      </c>
      <c r="Z220" s="213">
        <v>13.93</v>
      </c>
      <c r="AA220" s="213">
        <v>99.02</v>
      </c>
      <c r="AB220" s="213">
        <v>95.02</v>
      </c>
      <c r="AC220" s="213">
        <v>97.02</v>
      </c>
      <c r="AD220" s="213">
        <v>90.78</v>
      </c>
      <c r="AE220" s="213">
        <v>86.78</v>
      </c>
      <c r="AF220" s="213">
        <v>88.78</v>
      </c>
      <c r="AG220" s="213">
        <v>19.559999999999999</v>
      </c>
      <c r="AH220" s="213">
        <v>18.7</v>
      </c>
      <c r="AI220" s="213">
        <v>19.13</v>
      </c>
      <c r="AJ220" s="213"/>
      <c r="AK220" s="213"/>
      <c r="AL220" s="213"/>
      <c r="AM220" s="213">
        <v>112.7</v>
      </c>
      <c r="AN220" s="213">
        <v>111.04</v>
      </c>
      <c r="AO220" s="213">
        <v>111.87</v>
      </c>
      <c r="AP220" s="213">
        <v>40.71</v>
      </c>
      <c r="AQ220" s="213">
        <v>39.11</v>
      </c>
      <c r="AR220" s="213">
        <v>39.909999999999997</v>
      </c>
      <c r="AS220" s="213">
        <v>41.45</v>
      </c>
      <c r="AT220" s="213">
        <v>40.090000000000003</v>
      </c>
      <c r="AU220" s="213">
        <v>40.770000000000003</v>
      </c>
      <c r="AV220" s="213">
        <v>20.93</v>
      </c>
      <c r="AW220" s="213">
        <v>20.329999999999998</v>
      </c>
      <c r="AX220" s="213">
        <v>20.63</v>
      </c>
      <c r="AY220" s="213">
        <v>4.29</v>
      </c>
      <c r="AZ220" s="213">
        <v>4.13</v>
      </c>
      <c r="BA220" s="213">
        <v>4.21</v>
      </c>
      <c r="BB220" s="213">
        <v>1.95</v>
      </c>
      <c r="BC220" s="213">
        <v>1.65</v>
      </c>
      <c r="BD220" s="213">
        <v>1.7999999999999998</v>
      </c>
      <c r="BE220" s="213">
        <v>0.69</v>
      </c>
      <c r="BF220" s="213">
        <v>0.38999999999999996</v>
      </c>
      <c r="BG220" s="213">
        <v>0.53999999999999992</v>
      </c>
      <c r="BH220" s="213">
        <v>498.23</v>
      </c>
      <c r="BI220" s="213">
        <v>482.23</v>
      </c>
      <c r="BJ220" s="213">
        <v>490.23</v>
      </c>
      <c r="BK220" s="213">
        <v>41.76</v>
      </c>
      <c r="BL220" s="213">
        <v>40.4</v>
      </c>
      <c r="BM220" s="213">
        <v>41.08</v>
      </c>
      <c r="BN220" s="213">
        <v>1.04</v>
      </c>
      <c r="BO220" s="213">
        <v>0.8</v>
      </c>
      <c r="BP220" s="213">
        <v>0.92</v>
      </c>
      <c r="BQ220" s="213">
        <v>8.89</v>
      </c>
      <c r="BR220" s="213">
        <v>6.8900000000000006</v>
      </c>
      <c r="BS220" s="213">
        <v>7.8900000000000006</v>
      </c>
      <c r="BT220" s="213">
        <v>11.09</v>
      </c>
      <c r="BU220" s="213">
        <v>10.69</v>
      </c>
      <c r="BV220" s="213">
        <v>10.89</v>
      </c>
      <c r="BW220" s="213">
        <v>2.72</v>
      </c>
      <c r="BX220" s="213">
        <v>2.4400000000000004</v>
      </c>
      <c r="BY220" s="213">
        <v>2.58</v>
      </c>
      <c r="BZ220" s="213">
        <v>9.68</v>
      </c>
      <c r="CA220" s="213">
        <v>6.68</v>
      </c>
      <c r="CB220" s="213">
        <v>8.18</v>
      </c>
      <c r="CC220" s="213">
        <v>6.5</v>
      </c>
      <c r="CD220" s="213">
        <v>6.26</v>
      </c>
      <c r="CE220" s="213">
        <v>6.38</v>
      </c>
      <c r="CF220" s="213">
        <v>2</v>
      </c>
      <c r="CG220" s="213">
        <v>1.5</v>
      </c>
      <c r="CH220" s="213">
        <v>1.75</v>
      </c>
      <c r="CI220" s="213">
        <v>0.43</v>
      </c>
      <c r="CJ220" s="213">
        <v>0.39</v>
      </c>
      <c r="CK220" s="213">
        <v>0.41000000000000003</v>
      </c>
      <c r="CL220" s="213">
        <v>38.68</v>
      </c>
      <c r="CM220" s="213">
        <v>36.28</v>
      </c>
      <c r="CN220" s="213">
        <v>37.480000000000004</v>
      </c>
      <c r="CO220" s="213">
        <v>7.02</v>
      </c>
      <c r="CP220" s="213">
        <v>2.0199999999999996</v>
      </c>
      <c r="CQ220" s="213">
        <v>4.5199999999999996</v>
      </c>
      <c r="CR220" s="213"/>
      <c r="CS220" s="213"/>
    </row>
    <row r="221" spans="1:97">
      <c r="A221" s="424">
        <v>45507</v>
      </c>
      <c r="B221" s="211" t="s">
        <v>252</v>
      </c>
      <c r="C221" s="213"/>
      <c r="D221" s="213"/>
      <c r="E221" s="213"/>
      <c r="F221" s="213"/>
      <c r="G221" s="213"/>
      <c r="H221" s="213"/>
      <c r="I221" s="213"/>
      <c r="J221" s="213"/>
      <c r="K221" s="213"/>
      <c r="L221" s="213"/>
      <c r="M221" s="213"/>
      <c r="N221" s="213"/>
      <c r="O221" s="213"/>
      <c r="P221" s="213"/>
      <c r="Q221" s="213"/>
      <c r="R221" s="213"/>
      <c r="S221" s="213"/>
      <c r="T221" s="213"/>
      <c r="U221" s="213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13"/>
      <c r="AF221" s="213"/>
      <c r="AG221" s="213"/>
      <c r="AH221" s="213"/>
      <c r="AI221" s="213"/>
      <c r="AJ221" s="213"/>
      <c r="AK221" s="213"/>
      <c r="AL221" s="213"/>
      <c r="AM221" s="213"/>
      <c r="AN221" s="213"/>
      <c r="AO221" s="213"/>
      <c r="AP221" s="213"/>
      <c r="AQ221" s="213"/>
      <c r="AR221" s="213"/>
      <c r="AS221" s="213"/>
      <c r="AT221" s="213"/>
      <c r="AU221" s="213"/>
      <c r="AV221" s="213"/>
      <c r="AW221" s="213"/>
      <c r="AX221" s="213"/>
      <c r="AY221" s="213"/>
      <c r="AZ221" s="213"/>
      <c r="BA221" s="213"/>
      <c r="BB221" s="213"/>
      <c r="BC221" s="213"/>
      <c r="BD221" s="213"/>
      <c r="BE221" s="213"/>
      <c r="BF221" s="213"/>
      <c r="BG221" s="213"/>
      <c r="BH221" s="213"/>
      <c r="BI221" s="213"/>
      <c r="BJ221" s="213"/>
      <c r="BK221" s="213"/>
      <c r="BL221" s="213"/>
      <c r="BM221" s="213"/>
      <c r="BN221" s="213"/>
      <c r="BO221" s="213"/>
      <c r="BP221" s="213"/>
      <c r="BQ221" s="213"/>
      <c r="BR221" s="213"/>
      <c r="BS221" s="213"/>
      <c r="BT221" s="213"/>
      <c r="BU221" s="213"/>
      <c r="BV221" s="213"/>
      <c r="BW221" s="213"/>
      <c r="BX221" s="213"/>
      <c r="BY221" s="213"/>
      <c r="BZ221" s="213"/>
      <c r="CA221" s="213"/>
      <c r="CB221" s="213"/>
      <c r="CC221" s="213"/>
      <c r="CD221" s="213"/>
      <c r="CE221" s="213"/>
      <c r="CF221" s="213"/>
      <c r="CG221" s="213"/>
      <c r="CH221" s="213"/>
      <c r="CI221" s="213"/>
      <c r="CJ221" s="213"/>
      <c r="CK221" s="213"/>
      <c r="CL221" s="213"/>
      <c r="CM221" s="213"/>
      <c r="CN221" s="213"/>
      <c r="CO221" s="213"/>
      <c r="CP221" s="213"/>
      <c r="CQ221" s="213"/>
      <c r="CR221" s="213"/>
      <c r="CS221" s="213"/>
    </row>
    <row r="222" spans="1:97">
      <c r="A222" s="424">
        <v>45508</v>
      </c>
      <c r="B222" s="211" t="s">
        <v>253</v>
      </c>
      <c r="C222" s="213"/>
      <c r="D222" s="213"/>
      <c r="E222" s="213"/>
      <c r="F222" s="213"/>
      <c r="G222" s="213"/>
      <c r="H222" s="213"/>
      <c r="I222" s="213"/>
      <c r="J222" s="213"/>
      <c r="K222" s="213"/>
      <c r="L222" s="213"/>
      <c r="M222" s="213"/>
      <c r="N222" s="213"/>
      <c r="O222" s="213"/>
      <c r="P222" s="213"/>
      <c r="Q222" s="213"/>
      <c r="R222" s="213"/>
      <c r="S222" s="213"/>
      <c r="T222" s="213"/>
      <c r="U222" s="213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13"/>
      <c r="AF222" s="213"/>
      <c r="AG222" s="213"/>
      <c r="AH222" s="213"/>
      <c r="AI222" s="213"/>
      <c r="AJ222" s="213"/>
      <c r="AK222" s="213"/>
      <c r="AL222" s="213"/>
      <c r="AM222" s="213"/>
      <c r="AN222" s="213"/>
      <c r="AO222" s="213"/>
      <c r="AP222" s="213"/>
      <c r="AQ222" s="213"/>
      <c r="AR222" s="213"/>
      <c r="AS222" s="213"/>
      <c r="AT222" s="213"/>
      <c r="AU222" s="213"/>
      <c r="AV222" s="213"/>
      <c r="AW222" s="213"/>
      <c r="AX222" s="213"/>
      <c r="AY222" s="213"/>
      <c r="AZ222" s="213"/>
      <c r="BA222" s="213"/>
      <c r="BB222" s="213"/>
      <c r="BC222" s="213"/>
      <c r="BD222" s="213"/>
      <c r="BE222" s="213"/>
      <c r="BF222" s="213"/>
      <c r="BG222" s="213"/>
      <c r="BH222" s="213"/>
      <c r="BI222" s="213"/>
      <c r="BJ222" s="213"/>
      <c r="BK222" s="213"/>
      <c r="BL222" s="213"/>
      <c r="BM222" s="213"/>
      <c r="BN222" s="213"/>
      <c r="BO222" s="213"/>
      <c r="BP222" s="213"/>
      <c r="BQ222" s="213"/>
      <c r="BR222" s="213"/>
      <c r="BS222" s="213"/>
      <c r="BT222" s="213"/>
      <c r="BU222" s="213"/>
      <c r="BV222" s="213"/>
      <c r="BW222" s="213"/>
      <c r="BX222" s="213"/>
      <c r="BY222" s="213"/>
      <c r="BZ222" s="213"/>
      <c r="CA222" s="213"/>
      <c r="CB222" s="213"/>
      <c r="CC222" s="213"/>
      <c r="CD222" s="213"/>
      <c r="CE222" s="213"/>
      <c r="CF222" s="213"/>
      <c r="CG222" s="213"/>
      <c r="CH222" s="213"/>
      <c r="CI222" s="213"/>
      <c r="CJ222" s="213"/>
      <c r="CK222" s="213"/>
      <c r="CL222" s="213"/>
      <c r="CM222" s="213"/>
      <c r="CN222" s="213"/>
      <c r="CO222" s="213"/>
      <c r="CP222" s="213"/>
      <c r="CQ222" s="213"/>
      <c r="CR222" s="213"/>
      <c r="CS222" s="213"/>
    </row>
    <row r="223" spans="1:97">
      <c r="A223" s="424">
        <v>45509</v>
      </c>
      <c r="B223" s="211" t="s">
        <v>247</v>
      </c>
      <c r="C223" s="213">
        <v>146.47</v>
      </c>
      <c r="D223" s="213">
        <v>144.47</v>
      </c>
      <c r="E223" s="213">
        <v>145.47</v>
      </c>
      <c r="F223" s="213">
        <v>160.31</v>
      </c>
      <c r="G223" s="213">
        <v>157.31</v>
      </c>
      <c r="H223" s="213">
        <v>158.81</v>
      </c>
      <c r="I223" s="213">
        <v>106.37</v>
      </c>
      <c r="J223" s="213">
        <v>103.17</v>
      </c>
      <c r="K223" s="213">
        <v>104.77000000000001</v>
      </c>
      <c r="L223" s="213">
        <v>190.01</v>
      </c>
      <c r="M223" s="213">
        <v>182.01</v>
      </c>
      <c r="N223" s="213">
        <v>186.01</v>
      </c>
      <c r="O223" s="213">
        <v>171.16</v>
      </c>
      <c r="P223" s="213">
        <v>169.35999999999999</v>
      </c>
      <c r="Q223" s="213">
        <v>170.26</v>
      </c>
      <c r="R223" s="213">
        <v>21.58</v>
      </c>
      <c r="S223" s="213">
        <v>20.979999999999997</v>
      </c>
      <c r="T223" s="213">
        <v>21.279999999999998</v>
      </c>
      <c r="U223" s="213">
        <v>13.55</v>
      </c>
      <c r="V223" s="213">
        <v>12.950000000000001</v>
      </c>
      <c r="W223" s="213">
        <v>13.25</v>
      </c>
      <c r="X223" s="213">
        <v>14.13</v>
      </c>
      <c r="Y223" s="213">
        <v>13.33</v>
      </c>
      <c r="Z223" s="213">
        <v>13.73</v>
      </c>
      <c r="AA223" s="213">
        <v>96.4</v>
      </c>
      <c r="AB223" s="213">
        <v>92.4</v>
      </c>
      <c r="AC223" s="213">
        <v>94.4</v>
      </c>
      <c r="AD223" s="213">
        <v>88.58</v>
      </c>
      <c r="AE223" s="213">
        <v>84.58</v>
      </c>
      <c r="AF223" s="213">
        <v>86.58</v>
      </c>
      <c r="AG223" s="213">
        <v>19.14</v>
      </c>
      <c r="AH223" s="213">
        <v>18.28</v>
      </c>
      <c r="AI223" s="213">
        <v>18.71</v>
      </c>
      <c r="AJ223" s="213"/>
      <c r="AK223" s="213"/>
      <c r="AL223" s="213"/>
      <c r="AM223" s="213">
        <v>110.59</v>
      </c>
      <c r="AN223" s="213">
        <v>108.93</v>
      </c>
      <c r="AO223" s="213">
        <v>109.76</v>
      </c>
      <c r="AP223" s="213">
        <v>39.619999999999997</v>
      </c>
      <c r="AQ223" s="213">
        <v>38.019999999999996</v>
      </c>
      <c r="AR223" s="213">
        <v>38.819999999999993</v>
      </c>
      <c r="AS223" s="213">
        <v>40.22</v>
      </c>
      <c r="AT223" s="213">
        <v>38.86</v>
      </c>
      <c r="AU223" s="213">
        <v>39.54</v>
      </c>
      <c r="AV223" s="213">
        <v>20.71</v>
      </c>
      <c r="AW223" s="213">
        <v>20.11</v>
      </c>
      <c r="AX223" s="213">
        <v>20.41</v>
      </c>
      <c r="AY223" s="213">
        <v>4.2</v>
      </c>
      <c r="AZ223" s="213">
        <v>4.04</v>
      </c>
      <c r="BA223" s="213">
        <v>4.12</v>
      </c>
      <c r="BB223" s="213">
        <v>1.89</v>
      </c>
      <c r="BC223" s="213">
        <v>1.5899999999999999</v>
      </c>
      <c r="BD223" s="213">
        <v>1.7399999999999998</v>
      </c>
      <c r="BE223" s="213">
        <v>0.67</v>
      </c>
      <c r="BF223" s="213">
        <v>0.37000000000000005</v>
      </c>
      <c r="BG223" s="213">
        <v>0.52</v>
      </c>
      <c r="BH223" s="213">
        <v>485.26</v>
      </c>
      <c r="BI223" s="213">
        <v>469.26</v>
      </c>
      <c r="BJ223" s="213">
        <v>477.26</v>
      </c>
      <c r="BK223" s="213">
        <v>40.64</v>
      </c>
      <c r="BL223" s="213">
        <v>39.28</v>
      </c>
      <c r="BM223" s="213">
        <v>39.96</v>
      </c>
      <c r="BN223" s="213">
        <v>1.02</v>
      </c>
      <c r="BO223" s="213">
        <v>0.78</v>
      </c>
      <c r="BP223" s="213">
        <v>0.9</v>
      </c>
      <c r="BQ223" s="213">
        <v>8.48</v>
      </c>
      <c r="BR223" s="213">
        <v>6.48</v>
      </c>
      <c r="BS223" s="213">
        <v>7.48</v>
      </c>
      <c r="BT223" s="213">
        <v>10.88</v>
      </c>
      <c r="BU223" s="213">
        <v>10.48</v>
      </c>
      <c r="BV223" s="213">
        <v>10.68</v>
      </c>
      <c r="BW223" s="213">
        <v>2.66</v>
      </c>
      <c r="BX223" s="213">
        <v>2.38</v>
      </c>
      <c r="BY223" s="213">
        <v>2.52</v>
      </c>
      <c r="BZ223" s="213">
        <v>9.43</v>
      </c>
      <c r="CA223" s="213">
        <v>6.43</v>
      </c>
      <c r="CB223" s="213">
        <v>7.93</v>
      </c>
      <c r="CC223" s="213">
        <v>6.4</v>
      </c>
      <c r="CD223" s="213">
        <v>6.16</v>
      </c>
      <c r="CE223" s="213">
        <v>6.28</v>
      </c>
      <c r="CF223" s="213">
        <v>1.95</v>
      </c>
      <c r="CG223" s="213">
        <v>1.45</v>
      </c>
      <c r="CH223" s="213">
        <v>1.7</v>
      </c>
      <c r="CI223" s="213">
        <v>0.42</v>
      </c>
      <c r="CJ223" s="213">
        <v>0.38</v>
      </c>
      <c r="CK223" s="213">
        <v>0.4</v>
      </c>
      <c r="CL223" s="213">
        <v>38.18</v>
      </c>
      <c r="CM223" s="213">
        <v>35.78</v>
      </c>
      <c r="CN223" s="213">
        <v>36.980000000000004</v>
      </c>
      <c r="CO223" s="213">
        <v>6.88</v>
      </c>
      <c r="CP223" s="213">
        <v>1.88</v>
      </c>
      <c r="CQ223" s="213">
        <v>4.38</v>
      </c>
      <c r="CR223" s="213"/>
      <c r="CS223" s="213"/>
    </row>
    <row r="224" spans="1:97">
      <c r="A224" s="424">
        <v>45510</v>
      </c>
      <c r="B224" s="211" t="s">
        <v>248</v>
      </c>
      <c r="C224" s="213">
        <v>145.97999999999999</v>
      </c>
      <c r="D224" s="213">
        <v>143.97999999999999</v>
      </c>
      <c r="E224" s="213">
        <v>144.97999999999999</v>
      </c>
      <c r="F224" s="213">
        <v>160.38</v>
      </c>
      <c r="G224" s="213">
        <v>157.38</v>
      </c>
      <c r="H224" s="213">
        <v>158.88</v>
      </c>
      <c r="I224" s="213">
        <v>106.66</v>
      </c>
      <c r="J224" s="213">
        <v>103.46</v>
      </c>
      <c r="K224" s="213">
        <v>105.06</v>
      </c>
      <c r="L224" s="213">
        <v>189.52</v>
      </c>
      <c r="M224" s="213">
        <v>181.52</v>
      </c>
      <c r="N224" s="213">
        <v>185.52</v>
      </c>
      <c r="O224" s="213">
        <v>170.53</v>
      </c>
      <c r="P224" s="213">
        <v>168.73</v>
      </c>
      <c r="Q224" s="213">
        <v>169.63</v>
      </c>
      <c r="R224" s="213">
        <v>21.59</v>
      </c>
      <c r="S224" s="213">
        <v>20.99</v>
      </c>
      <c r="T224" s="213">
        <v>21.29</v>
      </c>
      <c r="U224" s="213">
        <v>13.49</v>
      </c>
      <c r="V224" s="213">
        <v>12.89</v>
      </c>
      <c r="W224" s="213">
        <v>13.190000000000001</v>
      </c>
      <c r="X224" s="213">
        <v>14.17</v>
      </c>
      <c r="Y224" s="213">
        <v>13.37</v>
      </c>
      <c r="Z224" s="213">
        <v>13.77</v>
      </c>
      <c r="AA224" s="213">
        <v>96.69</v>
      </c>
      <c r="AB224" s="213">
        <v>92.69</v>
      </c>
      <c r="AC224" s="213">
        <v>94.69</v>
      </c>
      <c r="AD224" s="213">
        <v>88.63</v>
      </c>
      <c r="AE224" s="213">
        <v>84.63</v>
      </c>
      <c r="AF224" s="213">
        <v>86.63</v>
      </c>
      <c r="AG224" s="213">
        <v>19.04</v>
      </c>
      <c r="AH224" s="213">
        <v>18.18</v>
      </c>
      <c r="AI224" s="213">
        <v>18.61</v>
      </c>
      <c r="AJ224" s="213"/>
      <c r="AK224" s="213"/>
      <c r="AL224" s="213"/>
      <c r="AM224" s="213">
        <v>110.4</v>
      </c>
      <c r="AN224" s="213">
        <v>108.74000000000001</v>
      </c>
      <c r="AO224" s="213">
        <v>109.57000000000001</v>
      </c>
      <c r="AP224" s="213">
        <v>39.479999999999997</v>
      </c>
      <c r="AQ224" s="213">
        <v>37.879999999999995</v>
      </c>
      <c r="AR224" s="213">
        <v>38.679999999999993</v>
      </c>
      <c r="AS224" s="213">
        <v>40.22</v>
      </c>
      <c r="AT224" s="213">
        <v>38.86</v>
      </c>
      <c r="AU224" s="213">
        <v>39.54</v>
      </c>
      <c r="AV224" s="213">
        <v>20.6</v>
      </c>
      <c r="AW224" s="213">
        <v>20</v>
      </c>
      <c r="AX224" s="213">
        <v>20.3</v>
      </c>
      <c r="AY224" s="213">
        <v>4.16</v>
      </c>
      <c r="AZ224" s="213">
        <v>4</v>
      </c>
      <c r="BA224" s="213">
        <v>4.08</v>
      </c>
      <c r="BB224" s="213">
        <v>1.89</v>
      </c>
      <c r="BC224" s="213">
        <v>1.5899999999999999</v>
      </c>
      <c r="BD224" s="213">
        <v>1.7399999999999998</v>
      </c>
      <c r="BE224" s="213">
        <v>0.67</v>
      </c>
      <c r="BF224" s="213">
        <v>0.37000000000000005</v>
      </c>
      <c r="BG224" s="213">
        <v>0.52</v>
      </c>
      <c r="BH224" s="213">
        <v>481.79</v>
      </c>
      <c r="BI224" s="213">
        <v>465.79</v>
      </c>
      <c r="BJ224" s="213">
        <v>473.79</v>
      </c>
      <c r="BK224" s="213">
        <v>40.51</v>
      </c>
      <c r="BL224" s="213">
        <v>39.15</v>
      </c>
      <c r="BM224" s="213">
        <v>39.83</v>
      </c>
      <c r="BN224" s="213">
        <v>1.01</v>
      </c>
      <c r="BO224" s="213">
        <v>0.77</v>
      </c>
      <c r="BP224" s="213">
        <v>0.89</v>
      </c>
      <c r="BQ224" s="213">
        <v>8.5299999999999994</v>
      </c>
      <c r="BR224" s="213">
        <v>6.5299999999999994</v>
      </c>
      <c r="BS224" s="213">
        <v>7.5299999999999994</v>
      </c>
      <c r="BT224" s="213">
        <v>10.81</v>
      </c>
      <c r="BU224" s="213">
        <v>10.41</v>
      </c>
      <c r="BV224" s="213">
        <v>10.61</v>
      </c>
      <c r="BW224" s="213">
        <v>2.66</v>
      </c>
      <c r="BX224" s="213">
        <v>2.38</v>
      </c>
      <c r="BY224" s="213">
        <v>2.52</v>
      </c>
      <c r="BZ224" s="213">
        <v>9.3699999999999992</v>
      </c>
      <c r="CA224" s="213">
        <v>6.3699999999999992</v>
      </c>
      <c r="CB224" s="213">
        <v>7.8699999999999992</v>
      </c>
      <c r="CC224" s="213">
        <v>6.42</v>
      </c>
      <c r="CD224" s="213">
        <v>6.18</v>
      </c>
      <c r="CE224" s="213">
        <v>6.3</v>
      </c>
      <c r="CF224" s="213">
        <v>1.96</v>
      </c>
      <c r="CG224" s="213">
        <v>1.46</v>
      </c>
      <c r="CH224" s="213">
        <v>1.71</v>
      </c>
      <c r="CI224" s="213">
        <v>0.42</v>
      </c>
      <c r="CJ224" s="213">
        <v>0.38</v>
      </c>
      <c r="CK224" s="213">
        <v>0.4</v>
      </c>
      <c r="CL224" s="213">
        <v>38.119999999999997</v>
      </c>
      <c r="CM224" s="213">
        <v>35.72</v>
      </c>
      <c r="CN224" s="213">
        <v>36.92</v>
      </c>
      <c r="CO224" s="213">
        <v>6.86</v>
      </c>
      <c r="CP224" s="213">
        <v>1.8600000000000003</v>
      </c>
      <c r="CQ224" s="213">
        <v>4.3600000000000003</v>
      </c>
      <c r="CR224" s="213"/>
      <c r="CS224" s="213"/>
    </row>
    <row r="225" spans="1:97">
      <c r="A225" s="424">
        <v>45511</v>
      </c>
      <c r="B225" s="211" t="s">
        <v>249</v>
      </c>
      <c r="C225" s="213">
        <v>148.04</v>
      </c>
      <c r="D225" s="213">
        <v>146.04</v>
      </c>
      <c r="E225" s="213">
        <v>147.04</v>
      </c>
      <c r="F225" s="213">
        <v>162.19999999999999</v>
      </c>
      <c r="G225" s="213">
        <v>159.19999999999999</v>
      </c>
      <c r="H225" s="213">
        <v>160.69999999999999</v>
      </c>
      <c r="I225" s="213">
        <v>108.31</v>
      </c>
      <c r="J225" s="213">
        <v>105.11</v>
      </c>
      <c r="K225" s="213">
        <v>106.71000000000001</v>
      </c>
      <c r="L225" s="213">
        <v>190.77</v>
      </c>
      <c r="M225" s="213">
        <v>182.77</v>
      </c>
      <c r="N225" s="213">
        <v>186.77</v>
      </c>
      <c r="O225" s="213">
        <v>173.1</v>
      </c>
      <c r="P225" s="213">
        <v>171.29999999999998</v>
      </c>
      <c r="Q225" s="213">
        <v>172.2</v>
      </c>
      <c r="R225" s="213">
        <v>21.83</v>
      </c>
      <c r="S225" s="213">
        <v>21.229999999999997</v>
      </c>
      <c r="T225" s="213">
        <v>21.529999999999998</v>
      </c>
      <c r="U225" s="213">
        <v>13.77</v>
      </c>
      <c r="V225" s="213">
        <v>13.17</v>
      </c>
      <c r="W225" s="213">
        <v>13.469999999999999</v>
      </c>
      <c r="X225" s="213">
        <v>14.36</v>
      </c>
      <c r="Y225" s="213">
        <v>13.559999999999999</v>
      </c>
      <c r="Z225" s="213">
        <v>13.959999999999999</v>
      </c>
      <c r="AA225" s="213">
        <v>98.12</v>
      </c>
      <c r="AB225" s="213">
        <v>94.12</v>
      </c>
      <c r="AC225" s="213">
        <v>96.12</v>
      </c>
      <c r="AD225" s="213">
        <v>90.19</v>
      </c>
      <c r="AE225" s="213">
        <v>86.19</v>
      </c>
      <c r="AF225" s="213">
        <v>88.19</v>
      </c>
      <c r="AG225" s="213">
        <v>19.29</v>
      </c>
      <c r="AH225" s="213">
        <v>18.43</v>
      </c>
      <c r="AI225" s="213">
        <v>18.86</v>
      </c>
      <c r="AJ225" s="213"/>
      <c r="AK225" s="213"/>
      <c r="AL225" s="213"/>
      <c r="AM225" s="213">
        <v>111.78</v>
      </c>
      <c r="AN225" s="213">
        <v>110.12</v>
      </c>
      <c r="AO225" s="213">
        <v>110.95</v>
      </c>
      <c r="AP225" s="213">
        <v>40.03</v>
      </c>
      <c r="AQ225" s="213">
        <v>38.43</v>
      </c>
      <c r="AR225" s="213">
        <v>39.230000000000004</v>
      </c>
      <c r="AS225" s="213">
        <v>40.78</v>
      </c>
      <c r="AT225" s="213">
        <v>39.42</v>
      </c>
      <c r="AU225" s="213">
        <v>40.1</v>
      </c>
      <c r="AV225" s="213">
        <v>20.83</v>
      </c>
      <c r="AW225" s="213">
        <v>20.229999999999997</v>
      </c>
      <c r="AX225" s="213">
        <v>20.529999999999998</v>
      </c>
      <c r="AY225" s="213">
        <v>4.22</v>
      </c>
      <c r="AZ225" s="213">
        <v>4.0599999999999996</v>
      </c>
      <c r="BA225" s="213">
        <v>4.1399999999999997</v>
      </c>
      <c r="BB225" s="213">
        <v>1.91</v>
      </c>
      <c r="BC225" s="213">
        <v>1.6099999999999999</v>
      </c>
      <c r="BD225" s="213">
        <v>1.7599999999999998</v>
      </c>
      <c r="BE225" s="213">
        <v>0.68</v>
      </c>
      <c r="BF225" s="213">
        <v>0.38000000000000006</v>
      </c>
      <c r="BG225" s="213">
        <v>0.53</v>
      </c>
      <c r="BH225" s="213">
        <v>489.94</v>
      </c>
      <c r="BI225" s="213">
        <v>473.94</v>
      </c>
      <c r="BJ225" s="213">
        <v>481.94</v>
      </c>
      <c r="BK225" s="213">
        <v>41.08</v>
      </c>
      <c r="BL225" s="213">
        <v>39.72</v>
      </c>
      <c r="BM225" s="213">
        <v>40.4</v>
      </c>
      <c r="BN225" s="213">
        <v>1.03</v>
      </c>
      <c r="BO225" s="213">
        <v>0.79</v>
      </c>
      <c r="BP225" s="213">
        <v>0.91</v>
      </c>
      <c r="BQ225" s="213">
        <v>8.5299999999999994</v>
      </c>
      <c r="BR225" s="213">
        <v>6.5299999999999994</v>
      </c>
      <c r="BS225" s="213">
        <v>7.5299999999999994</v>
      </c>
      <c r="BT225" s="213">
        <v>10.91</v>
      </c>
      <c r="BU225" s="213">
        <v>10.51</v>
      </c>
      <c r="BV225" s="213">
        <v>10.71</v>
      </c>
      <c r="BW225" s="213">
        <v>2.7</v>
      </c>
      <c r="BX225" s="213">
        <v>2.42</v>
      </c>
      <c r="BY225" s="213">
        <v>2.56</v>
      </c>
      <c r="BZ225" s="213">
        <v>9.4499999999999993</v>
      </c>
      <c r="CA225" s="213">
        <v>6.4499999999999993</v>
      </c>
      <c r="CB225" s="213">
        <v>7.9499999999999993</v>
      </c>
      <c r="CC225" s="213">
        <v>6.49</v>
      </c>
      <c r="CD225" s="213">
        <v>6.25</v>
      </c>
      <c r="CE225" s="213">
        <v>6.37</v>
      </c>
      <c r="CF225" s="213">
        <v>1.97</v>
      </c>
      <c r="CG225" s="213">
        <v>1.47</v>
      </c>
      <c r="CH225" s="213">
        <v>1.72</v>
      </c>
      <c r="CI225" s="213">
        <v>0.42</v>
      </c>
      <c r="CJ225" s="213">
        <v>0.38</v>
      </c>
      <c r="CK225" s="213">
        <v>0.4</v>
      </c>
      <c r="CL225" s="213">
        <v>38.46</v>
      </c>
      <c r="CM225" s="213">
        <v>36.06</v>
      </c>
      <c r="CN225" s="213">
        <v>37.260000000000005</v>
      </c>
      <c r="CO225" s="213">
        <v>6.88</v>
      </c>
      <c r="CP225" s="213">
        <v>1.88</v>
      </c>
      <c r="CQ225" s="213">
        <v>4.38</v>
      </c>
      <c r="CR225" s="213"/>
      <c r="CS225" s="213"/>
    </row>
    <row r="226" spans="1:97">
      <c r="A226" s="424">
        <v>45512</v>
      </c>
      <c r="B226" s="211" t="s">
        <v>250</v>
      </c>
      <c r="C226" s="213">
        <v>147.19999999999999</v>
      </c>
      <c r="D226" s="213">
        <v>145.19999999999999</v>
      </c>
      <c r="E226" s="213">
        <v>146.19999999999999</v>
      </c>
      <c r="F226" s="213">
        <v>161.22</v>
      </c>
      <c r="G226" s="213">
        <v>158.22</v>
      </c>
      <c r="H226" s="213">
        <v>159.72</v>
      </c>
      <c r="I226" s="213">
        <v>107.94</v>
      </c>
      <c r="J226" s="213">
        <v>104.74</v>
      </c>
      <c r="K226" s="213">
        <v>106.34</v>
      </c>
      <c r="L226" s="213">
        <v>189.35</v>
      </c>
      <c r="M226" s="213">
        <v>181.35</v>
      </c>
      <c r="N226" s="213">
        <v>185.35</v>
      </c>
      <c r="O226" s="213">
        <v>171.16</v>
      </c>
      <c r="P226" s="213">
        <v>169.35999999999999</v>
      </c>
      <c r="Q226" s="213">
        <v>170.26</v>
      </c>
      <c r="R226" s="213">
        <v>21.7</v>
      </c>
      <c r="S226" s="213">
        <v>21.099999999999998</v>
      </c>
      <c r="T226" s="213">
        <v>21.4</v>
      </c>
      <c r="U226" s="213">
        <v>13.81</v>
      </c>
      <c r="V226" s="213">
        <v>13.21</v>
      </c>
      <c r="W226" s="213">
        <v>13.510000000000002</v>
      </c>
      <c r="X226" s="213">
        <v>14.35</v>
      </c>
      <c r="Y226" s="213">
        <v>13.549999999999999</v>
      </c>
      <c r="Z226" s="213">
        <v>13.95</v>
      </c>
      <c r="AA226" s="213">
        <v>97.22</v>
      </c>
      <c r="AB226" s="213">
        <v>93.22</v>
      </c>
      <c r="AC226" s="213">
        <v>95.22</v>
      </c>
      <c r="AD226" s="213">
        <v>89.65</v>
      </c>
      <c r="AE226" s="213">
        <v>85.65</v>
      </c>
      <c r="AF226" s="213">
        <v>87.65</v>
      </c>
      <c r="AG226" s="213">
        <v>19.2</v>
      </c>
      <c r="AH226" s="213">
        <v>18.34</v>
      </c>
      <c r="AI226" s="213">
        <v>18.77</v>
      </c>
      <c r="AJ226" s="213"/>
      <c r="AK226" s="213"/>
      <c r="AL226" s="213"/>
      <c r="AM226" s="213">
        <v>111.03</v>
      </c>
      <c r="AN226" s="213">
        <v>109.37</v>
      </c>
      <c r="AO226" s="213">
        <v>110.2</v>
      </c>
      <c r="AP226" s="213">
        <v>39.81</v>
      </c>
      <c r="AQ226" s="213">
        <v>38.21</v>
      </c>
      <c r="AR226" s="213">
        <v>39.010000000000005</v>
      </c>
      <c r="AS226" s="213">
        <v>40.549999999999997</v>
      </c>
      <c r="AT226" s="213">
        <v>39.19</v>
      </c>
      <c r="AU226" s="213">
        <v>39.869999999999997</v>
      </c>
      <c r="AV226" s="213">
        <v>20.71</v>
      </c>
      <c r="AW226" s="213">
        <v>20.11</v>
      </c>
      <c r="AX226" s="213">
        <v>20.41</v>
      </c>
      <c r="AY226" s="213">
        <v>4.1900000000000004</v>
      </c>
      <c r="AZ226" s="213">
        <v>4.03</v>
      </c>
      <c r="BA226" s="213">
        <v>4.1100000000000003</v>
      </c>
      <c r="BB226" s="213">
        <v>1.9</v>
      </c>
      <c r="BC226" s="213">
        <v>1.5999999999999999</v>
      </c>
      <c r="BD226" s="213">
        <v>1.75</v>
      </c>
      <c r="BE226" s="213">
        <v>0.68</v>
      </c>
      <c r="BF226" s="213">
        <v>0.38000000000000006</v>
      </c>
      <c r="BG226" s="213">
        <v>0.53</v>
      </c>
      <c r="BH226" s="213">
        <v>487.03</v>
      </c>
      <c r="BI226" s="213">
        <v>471.03</v>
      </c>
      <c r="BJ226" s="213">
        <v>479.03</v>
      </c>
      <c r="BK226" s="213">
        <v>40.840000000000003</v>
      </c>
      <c r="BL226" s="213">
        <v>39.480000000000004</v>
      </c>
      <c r="BM226" s="213">
        <v>40.160000000000004</v>
      </c>
      <c r="BN226" s="213">
        <v>1.04</v>
      </c>
      <c r="BO226" s="213">
        <v>0.8</v>
      </c>
      <c r="BP226" s="213">
        <v>0.92</v>
      </c>
      <c r="BQ226" s="213">
        <v>8.57</v>
      </c>
      <c r="BR226" s="213">
        <v>6.57</v>
      </c>
      <c r="BS226" s="213">
        <v>7.57</v>
      </c>
      <c r="BT226" s="213">
        <v>10.82</v>
      </c>
      <c r="BU226" s="213">
        <v>10.42</v>
      </c>
      <c r="BV226" s="213">
        <v>10.620000000000001</v>
      </c>
      <c r="BW226" s="213">
        <v>2.7</v>
      </c>
      <c r="BX226" s="213">
        <v>2.42</v>
      </c>
      <c r="BY226" s="213">
        <v>2.56</v>
      </c>
      <c r="BZ226" s="213">
        <v>9.44</v>
      </c>
      <c r="CA226" s="213">
        <v>6.4399999999999995</v>
      </c>
      <c r="CB226" s="213">
        <v>7.9399999999999995</v>
      </c>
      <c r="CC226" s="213">
        <v>6.45</v>
      </c>
      <c r="CD226" s="213">
        <v>6.21</v>
      </c>
      <c r="CE226" s="213">
        <v>6.33</v>
      </c>
      <c r="CF226" s="213">
        <v>1.96</v>
      </c>
      <c r="CG226" s="213">
        <v>1.46</v>
      </c>
      <c r="CH226" s="213">
        <v>1.71</v>
      </c>
      <c r="CI226" s="213">
        <v>0.42</v>
      </c>
      <c r="CJ226" s="213">
        <v>0.38</v>
      </c>
      <c r="CK226" s="213">
        <v>0.4</v>
      </c>
      <c r="CL226" s="213">
        <v>38.119999999999997</v>
      </c>
      <c r="CM226" s="213">
        <v>35.72</v>
      </c>
      <c r="CN226" s="213">
        <v>36.92</v>
      </c>
      <c r="CO226" s="213">
        <v>6.87</v>
      </c>
      <c r="CP226" s="213">
        <v>1.87</v>
      </c>
      <c r="CQ226" s="213">
        <v>4.37</v>
      </c>
      <c r="CR226" s="213"/>
      <c r="CS226" s="213"/>
    </row>
    <row r="227" spans="1:97">
      <c r="A227" s="424">
        <v>45513</v>
      </c>
      <c r="B227" s="211" t="s">
        <v>251</v>
      </c>
      <c r="C227" s="213">
        <v>148.66</v>
      </c>
      <c r="D227" s="213">
        <v>146.66</v>
      </c>
      <c r="E227" s="213">
        <v>147.66</v>
      </c>
      <c r="F227" s="213">
        <v>162.63999999999999</v>
      </c>
      <c r="G227" s="213">
        <v>159.63999999999999</v>
      </c>
      <c r="H227" s="213">
        <v>161.13999999999999</v>
      </c>
      <c r="I227" s="213">
        <v>109.05</v>
      </c>
      <c r="J227" s="213">
        <v>105.85</v>
      </c>
      <c r="K227" s="213">
        <v>107.44999999999999</v>
      </c>
      <c r="L227" s="213">
        <v>192.15</v>
      </c>
      <c r="M227" s="213">
        <v>184.15</v>
      </c>
      <c r="N227" s="213">
        <v>188.15</v>
      </c>
      <c r="O227" s="213">
        <v>171.33</v>
      </c>
      <c r="P227" s="213">
        <v>169.53</v>
      </c>
      <c r="Q227" s="213">
        <v>170.43</v>
      </c>
      <c r="R227" s="213">
        <v>21.89</v>
      </c>
      <c r="S227" s="213">
        <v>21.29</v>
      </c>
      <c r="T227" s="213">
        <v>21.59</v>
      </c>
      <c r="U227" s="213">
        <v>13.91</v>
      </c>
      <c r="V227" s="213">
        <v>13.31</v>
      </c>
      <c r="W227" s="213">
        <v>13.61</v>
      </c>
      <c r="X227" s="213">
        <v>14.43</v>
      </c>
      <c r="Y227" s="213">
        <v>13.629999999999999</v>
      </c>
      <c r="Z227" s="213">
        <v>14.03</v>
      </c>
      <c r="AA227" s="213">
        <v>99.25</v>
      </c>
      <c r="AB227" s="213">
        <v>95.25</v>
      </c>
      <c r="AC227" s="213">
        <v>97.25</v>
      </c>
      <c r="AD227" s="213">
        <v>90.7</v>
      </c>
      <c r="AE227" s="213">
        <v>86.7</v>
      </c>
      <c r="AF227" s="213">
        <v>88.7</v>
      </c>
      <c r="AG227" s="213">
        <v>19.37</v>
      </c>
      <c r="AH227" s="213">
        <v>18.510000000000002</v>
      </c>
      <c r="AI227" s="213">
        <v>18.940000000000001</v>
      </c>
      <c r="AJ227" s="213"/>
      <c r="AK227" s="213"/>
      <c r="AL227" s="213"/>
      <c r="AM227" s="213">
        <v>112.18</v>
      </c>
      <c r="AN227" s="213">
        <v>110.52000000000001</v>
      </c>
      <c r="AO227" s="213">
        <v>111.35000000000001</v>
      </c>
      <c r="AP227" s="213">
        <v>40.24</v>
      </c>
      <c r="AQ227" s="213">
        <v>38.64</v>
      </c>
      <c r="AR227" s="213">
        <v>39.44</v>
      </c>
      <c r="AS227" s="213">
        <v>40.950000000000003</v>
      </c>
      <c r="AT227" s="213">
        <v>39.590000000000003</v>
      </c>
      <c r="AU227" s="213">
        <v>40.270000000000003</v>
      </c>
      <c r="AV227" s="213">
        <v>20.83</v>
      </c>
      <c r="AW227" s="213">
        <v>20.229999999999997</v>
      </c>
      <c r="AX227" s="213">
        <v>20.529999999999998</v>
      </c>
      <c r="AY227" s="213">
        <v>4.2699999999999996</v>
      </c>
      <c r="AZ227" s="213">
        <v>4.1099999999999994</v>
      </c>
      <c r="BA227" s="213">
        <v>4.1899999999999995</v>
      </c>
      <c r="BB227" s="213">
        <v>1.92</v>
      </c>
      <c r="BC227" s="213">
        <v>1.6199999999999999</v>
      </c>
      <c r="BD227" s="213">
        <v>1.77</v>
      </c>
      <c r="BE227" s="213">
        <v>0.68</v>
      </c>
      <c r="BF227" s="213">
        <v>0.38000000000000006</v>
      </c>
      <c r="BG227" s="213">
        <v>0.53</v>
      </c>
      <c r="BH227" s="213">
        <v>489.29</v>
      </c>
      <c r="BI227" s="213">
        <v>473.29</v>
      </c>
      <c r="BJ227" s="213">
        <v>481.29</v>
      </c>
      <c r="BK227" s="213">
        <v>41.25</v>
      </c>
      <c r="BL227" s="213">
        <v>39.89</v>
      </c>
      <c r="BM227" s="213">
        <v>40.57</v>
      </c>
      <c r="BN227" s="213">
        <v>1.05</v>
      </c>
      <c r="BO227" s="213">
        <v>0.81</v>
      </c>
      <c r="BP227" s="213">
        <v>0.93</v>
      </c>
      <c r="BQ227" s="213">
        <v>8.82</v>
      </c>
      <c r="BR227" s="213">
        <v>6.82</v>
      </c>
      <c r="BS227" s="213">
        <v>7.82</v>
      </c>
      <c r="BT227" s="213">
        <v>10.94</v>
      </c>
      <c r="BU227" s="213">
        <v>10.54</v>
      </c>
      <c r="BV227" s="213">
        <v>10.739999999999998</v>
      </c>
      <c r="BW227" s="213">
        <v>2.74</v>
      </c>
      <c r="BX227" s="213">
        <v>2.46</v>
      </c>
      <c r="BY227" s="213">
        <v>2.6</v>
      </c>
      <c r="BZ227" s="213">
        <v>9.5399999999999991</v>
      </c>
      <c r="CA227" s="213">
        <v>6.5399999999999991</v>
      </c>
      <c r="CB227" s="213">
        <v>8.0399999999999991</v>
      </c>
      <c r="CC227" s="213">
        <v>6.51</v>
      </c>
      <c r="CD227" s="213">
        <v>6.27</v>
      </c>
      <c r="CE227" s="213">
        <v>6.39</v>
      </c>
      <c r="CF227" s="213">
        <v>1.96</v>
      </c>
      <c r="CG227" s="213">
        <v>1.46</v>
      </c>
      <c r="CH227" s="213">
        <v>1.71</v>
      </c>
      <c r="CI227" s="213">
        <v>0.43</v>
      </c>
      <c r="CJ227" s="213">
        <v>0.39</v>
      </c>
      <c r="CK227" s="213">
        <v>0.41000000000000003</v>
      </c>
      <c r="CL227" s="213">
        <v>38.53</v>
      </c>
      <c r="CM227" s="213">
        <v>36.130000000000003</v>
      </c>
      <c r="CN227" s="213">
        <v>37.33</v>
      </c>
      <c r="CO227" s="213">
        <v>6.92</v>
      </c>
      <c r="CP227" s="213">
        <v>1.92</v>
      </c>
      <c r="CQ227" s="213">
        <v>4.42</v>
      </c>
      <c r="CR227" s="213"/>
      <c r="CS227" s="213"/>
    </row>
    <row r="228" spans="1:97">
      <c r="A228" s="424">
        <v>45514</v>
      </c>
      <c r="B228" s="211" t="s">
        <v>252</v>
      </c>
      <c r="C228" s="213"/>
      <c r="D228" s="213"/>
      <c r="E228" s="213"/>
      <c r="F228" s="213"/>
      <c r="G228" s="213"/>
      <c r="H228" s="213"/>
      <c r="I228" s="213"/>
      <c r="J228" s="213"/>
      <c r="K228" s="213"/>
      <c r="L228" s="213"/>
      <c r="M228" s="213"/>
      <c r="N228" s="213"/>
      <c r="O228" s="213"/>
      <c r="P228" s="213"/>
      <c r="Q228" s="213"/>
      <c r="R228" s="213"/>
      <c r="S228" s="213"/>
      <c r="T228" s="213"/>
      <c r="U228" s="213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13"/>
      <c r="AF228" s="213"/>
      <c r="AG228" s="213"/>
      <c r="AH228" s="213"/>
      <c r="AI228" s="213"/>
      <c r="AJ228" s="213"/>
      <c r="AK228" s="213"/>
      <c r="AL228" s="213"/>
      <c r="AM228" s="213"/>
      <c r="AN228" s="213"/>
      <c r="AO228" s="213"/>
      <c r="AP228" s="213"/>
      <c r="AQ228" s="213"/>
      <c r="AR228" s="213"/>
      <c r="AS228" s="213"/>
      <c r="AT228" s="213"/>
      <c r="AU228" s="213"/>
      <c r="AV228" s="213"/>
      <c r="AW228" s="213"/>
      <c r="AX228" s="213"/>
      <c r="AY228" s="213"/>
      <c r="AZ228" s="213"/>
      <c r="BA228" s="213"/>
      <c r="BB228" s="213"/>
      <c r="BC228" s="213"/>
      <c r="BD228" s="213"/>
      <c r="BE228" s="213"/>
      <c r="BF228" s="213"/>
      <c r="BG228" s="213"/>
      <c r="BH228" s="213"/>
      <c r="BI228" s="213"/>
      <c r="BJ228" s="213"/>
      <c r="BK228" s="213"/>
      <c r="BL228" s="213"/>
      <c r="BM228" s="213"/>
      <c r="BN228" s="213"/>
      <c r="BO228" s="213"/>
      <c r="BP228" s="213"/>
      <c r="BQ228" s="213"/>
      <c r="BR228" s="213"/>
      <c r="BS228" s="213"/>
      <c r="BT228" s="213"/>
      <c r="BU228" s="213"/>
      <c r="BV228" s="213"/>
      <c r="BW228" s="213"/>
      <c r="BX228" s="213"/>
      <c r="BY228" s="213"/>
      <c r="BZ228" s="213"/>
      <c r="CA228" s="213"/>
      <c r="CB228" s="213"/>
      <c r="CC228" s="213"/>
      <c r="CD228" s="213"/>
      <c r="CE228" s="213"/>
      <c r="CF228" s="213"/>
      <c r="CG228" s="213"/>
      <c r="CH228" s="213"/>
      <c r="CI228" s="213"/>
      <c r="CJ228" s="213"/>
      <c r="CK228" s="213"/>
      <c r="CL228" s="213"/>
      <c r="CM228" s="213"/>
      <c r="CN228" s="213"/>
      <c r="CO228" s="213"/>
      <c r="CP228" s="213"/>
      <c r="CQ228" s="213"/>
      <c r="CR228" s="213"/>
      <c r="CS228" s="213"/>
    </row>
    <row r="229" spans="1:97">
      <c r="A229" s="424">
        <v>45515</v>
      </c>
      <c r="B229" s="211" t="s">
        <v>253</v>
      </c>
      <c r="C229" s="213"/>
      <c r="D229" s="213"/>
      <c r="E229" s="213"/>
      <c r="F229" s="213"/>
      <c r="G229" s="213"/>
      <c r="H229" s="213"/>
      <c r="I229" s="213"/>
      <c r="J229" s="213"/>
      <c r="K229" s="213"/>
      <c r="L229" s="213"/>
      <c r="M229" s="213"/>
      <c r="N229" s="213"/>
      <c r="O229" s="213"/>
      <c r="P229" s="213"/>
      <c r="Q229" s="213"/>
      <c r="R229" s="213"/>
      <c r="S229" s="213"/>
      <c r="T229" s="213"/>
      <c r="U229" s="213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13"/>
      <c r="AF229" s="213"/>
      <c r="AG229" s="213"/>
      <c r="AH229" s="213"/>
      <c r="AI229" s="213"/>
      <c r="AJ229" s="213"/>
      <c r="AK229" s="213"/>
      <c r="AL229" s="213"/>
      <c r="AM229" s="213"/>
      <c r="AN229" s="213"/>
      <c r="AO229" s="213"/>
      <c r="AP229" s="213"/>
      <c r="AQ229" s="213"/>
      <c r="AR229" s="213"/>
      <c r="AS229" s="213"/>
      <c r="AT229" s="213"/>
      <c r="AU229" s="213"/>
      <c r="AV229" s="213"/>
      <c r="AW229" s="213"/>
      <c r="AX229" s="213"/>
      <c r="AY229" s="213"/>
      <c r="AZ229" s="213"/>
      <c r="BA229" s="213"/>
      <c r="BB229" s="213"/>
      <c r="BC229" s="213"/>
      <c r="BD229" s="213"/>
      <c r="BE229" s="213"/>
      <c r="BF229" s="213"/>
      <c r="BG229" s="213"/>
      <c r="BH229" s="213"/>
      <c r="BI229" s="213"/>
      <c r="BJ229" s="213"/>
      <c r="BK229" s="213"/>
      <c r="BL229" s="213"/>
      <c r="BM229" s="213"/>
      <c r="BN229" s="213"/>
      <c r="BO229" s="213"/>
      <c r="BP229" s="213"/>
      <c r="BQ229" s="213"/>
      <c r="BR229" s="213"/>
      <c r="BS229" s="213"/>
      <c r="BT229" s="213"/>
      <c r="BU229" s="213"/>
      <c r="BV229" s="213"/>
      <c r="BW229" s="213"/>
      <c r="BX229" s="213"/>
      <c r="BY229" s="213"/>
      <c r="BZ229" s="213"/>
      <c r="CA229" s="213"/>
      <c r="CB229" s="213"/>
      <c r="CC229" s="213"/>
      <c r="CD229" s="213"/>
      <c r="CE229" s="213"/>
      <c r="CF229" s="213"/>
      <c r="CG229" s="213"/>
      <c r="CH229" s="213"/>
      <c r="CI229" s="213"/>
      <c r="CJ229" s="213"/>
      <c r="CK229" s="213"/>
      <c r="CL229" s="213"/>
      <c r="CM229" s="213"/>
      <c r="CN229" s="213"/>
      <c r="CO229" s="213"/>
      <c r="CP229" s="213"/>
      <c r="CQ229" s="213"/>
      <c r="CR229" s="213"/>
      <c r="CS229" s="213"/>
    </row>
    <row r="230" spans="1:97">
      <c r="A230" s="424">
        <v>45516</v>
      </c>
      <c r="B230" s="211" t="s">
        <v>247</v>
      </c>
      <c r="C230" s="213"/>
      <c r="D230" s="213"/>
      <c r="E230" s="213"/>
      <c r="F230" s="213"/>
      <c r="G230" s="213"/>
      <c r="H230" s="213"/>
      <c r="I230" s="213"/>
      <c r="J230" s="213"/>
      <c r="K230" s="213"/>
      <c r="L230" s="213"/>
      <c r="M230" s="213"/>
      <c r="N230" s="213"/>
      <c r="O230" s="213"/>
      <c r="P230" s="213"/>
      <c r="Q230" s="213"/>
      <c r="R230" s="213"/>
      <c r="S230" s="213"/>
      <c r="T230" s="213"/>
      <c r="U230" s="213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13"/>
      <c r="AF230" s="213"/>
      <c r="AG230" s="213"/>
      <c r="AH230" s="213"/>
      <c r="AI230" s="213"/>
      <c r="AJ230" s="213"/>
      <c r="AK230" s="213"/>
      <c r="AL230" s="213"/>
      <c r="AM230" s="213"/>
      <c r="AN230" s="213"/>
      <c r="AO230" s="213"/>
      <c r="AP230" s="213"/>
      <c r="AQ230" s="213"/>
      <c r="AR230" s="213"/>
      <c r="AS230" s="213"/>
      <c r="AT230" s="213"/>
      <c r="AU230" s="213"/>
      <c r="AV230" s="213"/>
      <c r="AW230" s="213"/>
      <c r="AX230" s="213"/>
      <c r="AY230" s="213"/>
      <c r="AZ230" s="213"/>
      <c r="BA230" s="213"/>
      <c r="BB230" s="213"/>
      <c r="BC230" s="213"/>
      <c r="BD230" s="213"/>
      <c r="BE230" s="213"/>
      <c r="BF230" s="213"/>
      <c r="BG230" s="213"/>
      <c r="BH230" s="213"/>
      <c r="BI230" s="213"/>
      <c r="BJ230" s="213"/>
      <c r="BK230" s="213"/>
      <c r="BL230" s="213"/>
      <c r="BM230" s="213"/>
      <c r="BN230" s="213"/>
      <c r="BO230" s="213"/>
      <c r="BP230" s="213"/>
      <c r="BQ230" s="213"/>
      <c r="BR230" s="213"/>
      <c r="BS230" s="213"/>
      <c r="BT230" s="213"/>
      <c r="BU230" s="213"/>
      <c r="BV230" s="213"/>
      <c r="BW230" s="213"/>
      <c r="BX230" s="213"/>
      <c r="BY230" s="213"/>
      <c r="BZ230" s="213"/>
      <c r="CA230" s="213"/>
      <c r="CB230" s="213"/>
      <c r="CC230" s="213"/>
      <c r="CD230" s="213"/>
      <c r="CE230" s="213"/>
      <c r="CF230" s="213"/>
      <c r="CG230" s="213"/>
      <c r="CH230" s="213"/>
      <c r="CI230" s="213"/>
      <c r="CJ230" s="213"/>
      <c r="CK230" s="213"/>
      <c r="CL230" s="213"/>
      <c r="CM230" s="213"/>
      <c r="CN230" s="213"/>
      <c r="CO230" s="213"/>
      <c r="CP230" s="213"/>
      <c r="CQ230" s="213"/>
      <c r="CR230" s="213"/>
      <c r="CS230" s="213"/>
    </row>
    <row r="231" spans="1:97">
      <c r="A231" s="424">
        <v>45517</v>
      </c>
      <c r="B231" s="211" t="s">
        <v>248</v>
      </c>
      <c r="C231" s="213">
        <v>148.34</v>
      </c>
      <c r="D231" s="213">
        <v>146.34</v>
      </c>
      <c r="E231" s="213">
        <v>147.34</v>
      </c>
      <c r="F231" s="213">
        <v>162.54</v>
      </c>
      <c r="G231" s="213">
        <v>159.54</v>
      </c>
      <c r="H231" s="213">
        <v>161.04</v>
      </c>
      <c r="I231" s="213">
        <v>108.79</v>
      </c>
      <c r="J231" s="213">
        <v>105.59</v>
      </c>
      <c r="K231" s="213">
        <v>107.19</v>
      </c>
      <c r="L231" s="213">
        <v>192.09</v>
      </c>
      <c r="M231" s="213">
        <v>184.09</v>
      </c>
      <c r="N231" s="213">
        <v>188.09</v>
      </c>
      <c r="O231" s="213">
        <v>170.92</v>
      </c>
      <c r="P231" s="213">
        <v>169.11999999999998</v>
      </c>
      <c r="Q231" s="213">
        <v>170.01999999999998</v>
      </c>
      <c r="R231" s="213">
        <v>21.88</v>
      </c>
      <c r="S231" s="213">
        <v>21.279999999999998</v>
      </c>
      <c r="T231" s="213">
        <v>21.58</v>
      </c>
      <c r="U231" s="213">
        <v>13.93</v>
      </c>
      <c r="V231" s="213">
        <v>13.33</v>
      </c>
      <c r="W231" s="213">
        <v>13.629999999999999</v>
      </c>
      <c r="X231" s="213">
        <v>14.4</v>
      </c>
      <c r="Y231" s="213">
        <v>13.6</v>
      </c>
      <c r="Z231" s="213">
        <v>14</v>
      </c>
      <c r="AA231" s="213">
        <v>98.95</v>
      </c>
      <c r="AB231" s="213">
        <v>94.95</v>
      </c>
      <c r="AC231" s="213">
        <v>96.95</v>
      </c>
      <c r="AD231" s="213">
        <v>90.76</v>
      </c>
      <c r="AE231" s="213">
        <v>86.76</v>
      </c>
      <c r="AF231" s="213">
        <v>88.76</v>
      </c>
      <c r="AG231" s="213">
        <v>19.34</v>
      </c>
      <c r="AH231" s="213">
        <v>18.48</v>
      </c>
      <c r="AI231" s="213">
        <v>18.91</v>
      </c>
      <c r="AJ231" s="213"/>
      <c r="AK231" s="213"/>
      <c r="AL231" s="213"/>
      <c r="AM231" s="213">
        <v>112.09</v>
      </c>
      <c r="AN231" s="213">
        <v>110.43</v>
      </c>
      <c r="AO231" s="213">
        <v>111.26</v>
      </c>
      <c r="AP231" s="213">
        <v>40.119999999999997</v>
      </c>
      <c r="AQ231" s="213">
        <v>38.519999999999996</v>
      </c>
      <c r="AR231" s="213">
        <v>39.319999999999993</v>
      </c>
      <c r="AS231" s="213">
        <v>40.86</v>
      </c>
      <c r="AT231" s="213">
        <v>39.5</v>
      </c>
      <c r="AU231" s="213">
        <v>40.18</v>
      </c>
      <c r="AV231" s="213">
        <v>20.82</v>
      </c>
      <c r="AW231" s="213">
        <v>20.22</v>
      </c>
      <c r="AX231" s="213">
        <v>20.52</v>
      </c>
      <c r="AY231" s="213">
        <v>4.28</v>
      </c>
      <c r="AZ231" s="213">
        <v>4.12</v>
      </c>
      <c r="BA231" s="213">
        <v>4.2</v>
      </c>
      <c r="BB231" s="213">
        <v>1.91</v>
      </c>
      <c r="BC231" s="213">
        <v>1.6099999999999999</v>
      </c>
      <c r="BD231" s="213">
        <v>1.7599999999999998</v>
      </c>
      <c r="BE231" s="213">
        <v>0.68</v>
      </c>
      <c r="BF231" s="213">
        <v>0.38000000000000006</v>
      </c>
      <c r="BG231" s="213">
        <v>0.53</v>
      </c>
      <c r="BH231" s="213">
        <v>489.98</v>
      </c>
      <c r="BI231" s="213">
        <v>473.98</v>
      </c>
      <c r="BJ231" s="213">
        <v>481.98</v>
      </c>
      <c r="BK231" s="213">
        <v>41.16</v>
      </c>
      <c r="BL231" s="213">
        <v>39.799999999999997</v>
      </c>
      <c r="BM231" s="213">
        <v>40.479999999999997</v>
      </c>
      <c r="BN231" s="213">
        <v>1.05</v>
      </c>
      <c r="BO231" s="213">
        <v>0.81</v>
      </c>
      <c r="BP231" s="213">
        <v>0.93</v>
      </c>
      <c r="BQ231" s="213">
        <v>8.73</v>
      </c>
      <c r="BR231" s="213">
        <v>6.73</v>
      </c>
      <c r="BS231" s="213">
        <v>7.73</v>
      </c>
      <c r="BT231" s="213">
        <v>10.96</v>
      </c>
      <c r="BU231" s="213">
        <v>10.56</v>
      </c>
      <c r="BV231" s="213">
        <v>10.760000000000002</v>
      </c>
      <c r="BW231" s="213">
        <v>2.73</v>
      </c>
      <c r="BX231" s="213">
        <v>2.4500000000000002</v>
      </c>
      <c r="BY231" s="213">
        <v>2.59</v>
      </c>
      <c r="BZ231" s="213">
        <v>9.57</v>
      </c>
      <c r="CA231" s="213">
        <v>6.57</v>
      </c>
      <c r="CB231" s="213">
        <v>8.07</v>
      </c>
      <c r="CC231" s="213">
        <v>6.52</v>
      </c>
      <c r="CD231" s="213">
        <v>6.2799999999999994</v>
      </c>
      <c r="CE231" s="213">
        <v>6.3999999999999995</v>
      </c>
      <c r="CF231" s="213">
        <v>1.87</v>
      </c>
      <c r="CG231" s="213">
        <v>1.37</v>
      </c>
      <c r="CH231" s="213">
        <v>1.62</v>
      </c>
      <c r="CI231" s="213">
        <v>0.43</v>
      </c>
      <c r="CJ231" s="213">
        <v>0.39</v>
      </c>
      <c r="CK231" s="213">
        <v>0.41000000000000003</v>
      </c>
      <c r="CL231" s="213">
        <v>38.630000000000003</v>
      </c>
      <c r="CM231" s="213">
        <v>36.230000000000004</v>
      </c>
      <c r="CN231" s="213">
        <v>37.430000000000007</v>
      </c>
      <c r="CO231" s="213">
        <v>6.91</v>
      </c>
      <c r="CP231" s="213">
        <v>1.9100000000000001</v>
      </c>
      <c r="CQ231" s="213">
        <v>4.41</v>
      </c>
      <c r="CR231" s="213"/>
      <c r="CS231" s="213"/>
    </row>
    <row r="232" spans="1:97">
      <c r="A232" s="424">
        <v>45518</v>
      </c>
      <c r="B232" s="211" t="s">
        <v>249</v>
      </c>
      <c r="C232" s="213">
        <v>148.12</v>
      </c>
      <c r="D232" s="213">
        <v>146.12</v>
      </c>
      <c r="E232" s="213">
        <v>147.12</v>
      </c>
      <c r="F232" s="213">
        <v>163.22999999999999</v>
      </c>
      <c r="G232" s="213">
        <v>160.22999999999999</v>
      </c>
      <c r="H232" s="213">
        <v>161.72999999999999</v>
      </c>
      <c r="I232" s="213">
        <v>108.92</v>
      </c>
      <c r="J232" s="213">
        <v>105.72</v>
      </c>
      <c r="K232" s="213">
        <v>107.32</v>
      </c>
      <c r="L232" s="213">
        <v>193.28</v>
      </c>
      <c r="M232" s="213">
        <v>185.28</v>
      </c>
      <c r="N232" s="213">
        <v>189.28</v>
      </c>
      <c r="O232" s="213">
        <v>170.9</v>
      </c>
      <c r="P232" s="213">
        <v>169.1</v>
      </c>
      <c r="Q232" s="213">
        <v>170</v>
      </c>
      <c r="R232" s="213">
        <v>21.97</v>
      </c>
      <c r="S232" s="213">
        <v>21.369999999999997</v>
      </c>
      <c r="T232" s="213">
        <v>21.669999999999998</v>
      </c>
      <c r="U232" s="213">
        <v>14</v>
      </c>
      <c r="V232" s="213">
        <v>13.4</v>
      </c>
      <c r="W232" s="213">
        <v>13.7</v>
      </c>
      <c r="X232" s="213">
        <v>14.46</v>
      </c>
      <c r="Y232" s="213">
        <v>13.66</v>
      </c>
      <c r="Z232" s="213">
        <v>14.06</v>
      </c>
      <c r="AA232" s="213">
        <v>99.69</v>
      </c>
      <c r="AB232" s="213">
        <v>95.69</v>
      </c>
      <c r="AC232" s="213">
        <v>97.69</v>
      </c>
      <c r="AD232" s="213">
        <v>91.46</v>
      </c>
      <c r="AE232" s="213">
        <v>87.46</v>
      </c>
      <c r="AF232" s="213">
        <v>89.46</v>
      </c>
      <c r="AG232" s="213">
        <v>19.32</v>
      </c>
      <c r="AH232" s="213">
        <v>18.46</v>
      </c>
      <c r="AI232" s="213">
        <v>18.89</v>
      </c>
      <c r="AJ232" s="213"/>
      <c r="AK232" s="213"/>
      <c r="AL232" s="213"/>
      <c r="AM232" s="213">
        <v>112.54</v>
      </c>
      <c r="AN232" s="213">
        <v>110.88000000000001</v>
      </c>
      <c r="AO232" s="213">
        <v>111.71000000000001</v>
      </c>
      <c r="AP232" s="213">
        <v>40.049999999999997</v>
      </c>
      <c r="AQ232" s="213">
        <v>38.449999999999996</v>
      </c>
      <c r="AR232" s="213">
        <v>39.25</v>
      </c>
      <c r="AS232" s="213">
        <v>40.799999999999997</v>
      </c>
      <c r="AT232" s="213">
        <v>39.44</v>
      </c>
      <c r="AU232" s="213">
        <v>40.119999999999997</v>
      </c>
      <c r="AV232" s="213">
        <v>20.87</v>
      </c>
      <c r="AW232" s="213">
        <v>20.27</v>
      </c>
      <c r="AX232" s="213">
        <v>20.57</v>
      </c>
      <c r="AY232" s="213">
        <v>4.29</v>
      </c>
      <c r="AZ232" s="213">
        <v>4.13</v>
      </c>
      <c r="BA232" s="213">
        <v>4.21</v>
      </c>
      <c r="BB232" s="213">
        <v>1.91</v>
      </c>
      <c r="BC232" s="213">
        <v>1.6099999999999999</v>
      </c>
      <c r="BD232" s="213">
        <v>1.7599999999999998</v>
      </c>
      <c r="BE232" s="213">
        <v>0.68</v>
      </c>
      <c r="BF232" s="213">
        <v>0.38000000000000006</v>
      </c>
      <c r="BG232" s="213">
        <v>0.53</v>
      </c>
      <c r="BH232" s="213">
        <v>489.73</v>
      </c>
      <c r="BI232" s="213">
        <v>473.73</v>
      </c>
      <c r="BJ232" s="213">
        <v>481.73</v>
      </c>
      <c r="BK232" s="213">
        <v>41.09</v>
      </c>
      <c r="BL232" s="213">
        <v>39.730000000000004</v>
      </c>
      <c r="BM232" s="213">
        <v>40.410000000000004</v>
      </c>
      <c r="BN232" s="213">
        <v>1.05</v>
      </c>
      <c r="BO232" s="213">
        <v>0.81</v>
      </c>
      <c r="BP232" s="213">
        <v>0.93</v>
      </c>
      <c r="BQ232" s="213">
        <v>8.74</v>
      </c>
      <c r="BR232" s="213">
        <v>6.74</v>
      </c>
      <c r="BS232" s="213">
        <v>7.74</v>
      </c>
      <c r="BT232" s="213">
        <v>11.02</v>
      </c>
      <c r="BU232" s="213">
        <v>10.62</v>
      </c>
      <c r="BV232" s="213">
        <v>10.82</v>
      </c>
      <c r="BW232" s="213">
        <v>2.74</v>
      </c>
      <c r="BX232" s="213">
        <v>2.46</v>
      </c>
      <c r="BY232" s="213">
        <v>2.6</v>
      </c>
      <c r="BZ232" s="213">
        <v>9.6199999999999992</v>
      </c>
      <c r="CA232" s="213">
        <v>6.6199999999999992</v>
      </c>
      <c r="CB232" s="213">
        <v>8.1199999999999992</v>
      </c>
      <c r="CC232" s="213">
        <v>6.55</v>
      </c>
      <c r="CD232" s="213">
        <v>6.31</v>
      </c>
      <c r="CE232" s="213">
        <v>6.43</v>
      </c>
      <c r="CF232" s="213">
        <v>1.85</v>
      </c>
      <c r="CG232" s="213">
        <v>1.35</v>
      </c>
      <c r="CH232" s="213">
        <v>1.6</v>
      </c>
      <c r="CI232" s="213">
        <v>0.43</v>
      </c>
      <c r="CJ232" s="213">
        <v>0.39</v>
      </c>
      <c r="CK232" s="213">
        <v>0.41000000000000003</v>
      </c>
      <c r="CL232" s="213">
        <v>38.94</v>
      </c>
      <c r="CM232" s="213">
        <v>36.54</v>
      </c>
      <c r="CN232" s="213">
        <v>37.739999999999995</v>
      </c>
      <c r="CO232" s="213">
        <v>6.9</v>
      </c>
      <c r="CP232" s="213">
        <v>1.9000000000000004</v>
      </c>
      <c r="CQ232" s="213">
        <v>4.4000000000000004</v>
      </c>
      <c r="CR232" s="213"/>
      <c r="CS232" s="213"/>
    </row>
    <row r="233" spans="1:97">
      <c r="A233" s="424">
        <v>45519</v>
      </c>
      <c r="B233" s="211" t="s">
        <v>250</v>
      </c>
      <c r="C233" s="213">
        <v>148.38999999999999</v>
      </c>
      <c r="D233" s="213">
        <v>146.38999999999999</v>
      </c>
      <c r="E233" s="213">
        <v>147.38999999999999</v>
      </c>
      <c r="F233" s="213">
        <v>163.76</v>
      </c>
      <c r="G233" s="213">
        <v>160.76</v>
      </c>
      <c r="H233" s="213">
        <v>162.26</v>
      </c>
      <c r="I233" s="213">
        <v>109.07</v>
      </c>
      <c r="J233" s="213">
        <v>105.86999999999999</v>
      </c>
      <c r="K233" s="213">
        <v>107.47</v>
      </c>
      <c r="L233" s="213">
        <v>193.06</v>
      </c>
      <c r="M233" s="213">
        <v>185.06</v>
      </c>
      <c r="N233" s="213">
        <v>189.06</v>
      </c>
      <c r="O233" s="213">
        <v>171.19</v>
      </c>
      <c r="P233" s="213">
        <v>169.39</v>
      </c>
      <c r="Q233" s="213">
        <v>170.29</v>
      </c>
      <c r="R233" s="213">
        <v>22.05</v>
      </c>
      <c r="S233" s="213">
        <v>21.45</v>
      </c>
      <c r="T233" s="213">
        <v>21.75</v>
      </c>
      <c r="U233" s="213">
        <v>14.04</v>
      </c>
      <c r="V233" s="213">
        <v>13.44</v>
      </c>
      <c r="W233" s="213">
        <v>13.739999999999998</v>
      </c>
      <c r="X233" s="213">
        <v>14.47</v>
      </c>
      <c r="Y233" s="213">
        <v>13.67</v>
      </c>
      <c r="Z233" s="213">
        <v>14.07</v>
      </c>
      <c r="AA233" s="213">
        <v>99.2</v>
      </c>
      <c r="AB233" s="213">
        <v>95.2</v>
      </c>
      <c r="AC233" s="213">
        <v>97.2</v>
      </c>
      <c r="AD233" s="213">
        <v>90.36</v>
      </c>
      <c r="AE233" s="213">
        <v>86.36</v>
      </c>
      <c r="AF233" s="213">
        <v>88.36</v>
      </c>
      <c r="AG233" s="213">
        <v>19.34</v>
      </c>
      <c r="AH233" s="213">
        <v>18.48</v>
      </c>
      <c r="AI233" s="213">
        <v>18.91</v>
      </c>
      <c r="AJ233" s="213"/>
      <c r="AK233" s="213"/>
      <c r="AL233" s="213"/>
      <c r="AM233" s="213">
        <v>112.77</v>
      </c>
      <c r="AN233" s="213">
        <v>111.11</v>
      </c>
      <c r="AO233" s="213">
        <v>111.94</v>
      </c>
      <c r="AP233" s="213">
        <v>40.14</v>
      </c>
      <c r="AQ233" s="213">
        <v>38.54</v>
      </c>
      <c r="AR233" s="213">
        <v>39.340000000000003</v>
      </c>
      <c r="AS233" s="213">
        <v>40.869999999999997</v>
      </c>
      <c r="AT233" s="213">
        <v>39.51</v>
      </c>
      <c r="AU233" s="213">
        <v>40.19</v>
      </c>
      <c r="AV233" s="213">
        <v>20.91</v>
      </c>
      <c r="AW233" s="213">
        <v>20.309999999999999</v>
      </c>
      <c r="AX233" s="213">
        <v>20.61</v>
      </c>
      <c r="AY233" s="213">
        <v>4.28</v>
      </c>
      <c r="AZ233" s="213">
        <v>4.12</v>
      </c>
      <c r="BA233" s="213">
        <v>4.2</v>
      </c>
      <c r="BB233" s="213">
        <v>1.92</v>
      </c>
      <c r="BC233" s="213">
        <v>1.6199999999999999</v>
      </c>
      <c r="BD233" s="213">
        <v>1.77</v>
      </c>
      <c r="BE233" s="213">
        <v>0.68</v>
      </c>
      <c r="BF233" s="213">
        <v>0.38000000000000006</v>
      </c>
      <c r="BG233" s="213">
        <v>0.53</v>
      </c>
      <c r="BH233" s="213">
        <v>490.45</v>
      </c>
      <c r="BI233" s="213">
        <v>474.45</v>
      </c>
      <c r="BJ233" s="213">
        <v>482.45</v>
      </c>
      <c r="BK233" s="213">
        <v>41.16</v>
      </c>
      <c r="BL233" s="213">
        <v>39.799999999999997</v>
      </c>
      <c r="BM233" s="213">
        <v>40.479999999999997</v>
      </c>
      <c r="BN233" s="213">
        <v>1.06</v>
      </c>
      <c r="BO233" s="213">
        <v>0.82000000000000006</v>
      </c>
      <c r="BP233" s="213">
        <v>0.94000000000000006</v>
      </c>
      <c r="BQ233" s="213">
        <v>8.83</v>
      </c>
      <c r="BR233" s="213">
        <v>6.83</v>
      </c>
      <c r="BS233" s="213">
        <v>7.83</v>
      </c>
      <c r="BT233" s="213">
        <v>11.08</v>
      </c>
      <c r="BU233" s="213">
        <v>10.68</v>
      </c>
      <c r="BV233" s="213">
        <v>10.879999999999999</v>
      </c>
      <c r="BW233" s="213">
        <v>2.75</v>
      </c>
      <c r="BX233" s="213">
        <v>2.4699999999999998</v>
      </c>
      <c r="BY233" s="213">
        <v>2.61</v>
      </c>
      <c r="BZ233" s="213">
        <v>9.67</v>
      </c>
      <c r="CA233" s="213">
        <v>6.67</v>
      </c>
      <c r="CB233" s="213">
        <v>8.17</v>
      </c>
      <c r="CC233" s="213">
        <v>6.58</v>
      </c>
      <c r="CD233" s="213">
        <v>6.34</v>
      </c>
      <c r="CE233" s="213">
        <v>6.46</v>
      </c>
      <c r="CF233" s="213">
        <v>1.89</v>
      </c>
      <c r="CG233" s="213">
        <v>1.39</v>
      </c>
      <c r="CH233" s="213">
        <v>1.64</v>
      </c>
      <c r="CI233" s="213">
        <v>0.43</v>
      </c>
      <c r="CJ233" s="213">
        <v>0.39</v>
      </c>
      <c r="CK233" s="213">
        <v>0.41000000000000003</v>
      </c>
      <c r="CL233" s="213">
        <v>39</v>
      </c>
      <c r="CM233" s="213">
        <v>36.6</v>
      </c>
      <c r="CN233" s="213">
        <v>37.799999999999997</v>
      </c>
      <c r="CO233" s="213">
        <v>6.89</v>
      </c>
      <c r="CP233" s="213">
        <v>1.8899999999999997</v>
      </c>
      <c r="CQ233" s="213">
        <v>4.3899999999999997</v>
      </c>
      <c r="CR233" s="213"/>
      <c r="CS233" s="213"/>
    </row>
    <row r="234" spans="1:97">
      <c r="A234" s="424">
        <v>45520</v>
      </c>
      <c r="B234" s="211" t="s">
        <v>251</v>
      </c>
      <c r="C234" s="213">
        <v>150.13</v>
      </c>
      <c r="D234" s="213">
        <v>148.13</v>
      </c>
      <c r="E234" s="213">
        <v>149.13</v>
      </c>
      <c r="F234" s="213">
        <v>165.14</v>
      </c>
      <c r="G234" s="213">
        <v>162.13999999999999</v>
      </c>
      <c r="H234" s="213">
        <v>163.63999999999999</v>
      </c>
      <c r="I234" s="213">
        <v>110.21</v>
      </c>
      <c r="J234" s="213">
        <v>107.00999999999999</v>
      </c>
      <c r="K234" s="213">
        <v>108.60999999999999</v>
      </c>
      <c r="L234" s="213">
        <v>195.83</v>
      </c>
      <c r="M234" s="213">
        <v>187.83</v>
      </c>
      <c r="N234" s="213">
        <v>191.83</v>
      </c>
      <c r="O234" s="213">
        <v>171.92</v>
      </c>
      <c r="P234" s="213">
        <v>170.11999999999998</v>
      </c>
      <c r="Q234" s="213">
        <v>171.01999999999998</v>
      </c>
      <c r="R234" s="213">
        <v>22.23</v>
      </c>
      <c r="S234" s="213">
        <v>21.63</v>
      </c>
      <c r="T234" s="213">
        <v>21.93</v>
      </c>
      <c r="U234" s="213">
        <v>14.18</v>
      </c>
      <c r="V234" s="213">
        <v>13.58</v>
      </c>
      <c r="W234" s="213">
        <v>13.879999999999999</v>
      </c>
      <c r="X234" s="213">
        <v>14.55</v>
      </c>
      <c r="Y234" s="213">
        <v>13.75</v>
      </c>
      <c r="Z234" s="213">
        <v>14.15</v>
      </c>
      <c r="AA234" s="213">
        <v>100.65</v>
      </c>
      <c r="AB234" s="213">
        <v>96.65</v>
      </c>
      <c r="AC234" s="213">
        <v>98.65</v>
      </c>
      <c r="AD234" s="213">
        <v>91.31</v>
      </c>
      <c r="AE234" s="213">
        <v>87.31</v>
      </c>
      <c r="AF234" s="213">
        <v>89.31</v>
      </c>
      <c r="AG234" s="213">
        <v>19.559999999999999</v>
      </c>
      <c r="AH234" s="213">
        <v>18.7</v>
      </c>
      <c r="AI234" s="213">
        <v>19.13</v>
      </c>
      <c r="AJ234" s="213"/>
      <c r="AK234" s="213"/>
      <c r="AL234" s="213"/>
      <c r="AM234" s="213">
        <v>113.67</v>
      </c>
      <c r="AN234" s="213">
        <v>112.01</v>
      </c>
      <c r="AO234" s="213">
        <v>112.84</v>
      </c>
      <c r="AP234" s="213">
        <v>40.61</v>
      </c>
      <c r="AQ234" s="213">
        <v>39.01</v>
      </c>
      <c r="AR234" s="213">
        <v>39.81</v>
      </c>
      <c r="AS234" s="213">
        <v>41.35</v>
      </c>
      <c r="AT234" s="213">
        <v>39.99</v>
      </c>
      <c r="AU234" s="213">
        <v>40.67</v>
      </c>
      <c r="AV234" s="213">
        <v>21.06</v>
      </c>
      <c r="AW234" s="213">
        <v>20.459999999999997</v>
      </c>
      <c r="AX234" s="213">
        <v>20.759999999999998</v>
      </c>
      <c r="AY234" s="213">
        <v>4.34</v>
      </c>
      <c r="AZ234" s="213">
        <v>4.18</v>
      </c>
      <c r="BA234" s="213">
        <v>4.26</v>
      </c>
      <c r="BB234" s="213">
        <v>1.94</v>
      </c>
      <c r="BC234" s="213">
        <v>1.64</v>
      </c>
      <c r="BD234" s="213">
        <v>1.79</v>
      </c>
      <c r="BE234" s="213">
        <v>0.69</v>
      </c>
      <c r="BF234" s="213">
        <v>0.38999999999999996</v>
      </c>
      <c r="BG234" s="213">
        <v>0.53999999999999992</v>
      </c>
      <c r="BH234" s="213">
        <v>496.15</v>
      </c>
      <c r="BI234" s="213">
        <v>480.15</v>
      </c>
      <c r="BJ234" s="213">
        <v>488.15</v>
      </c>
      <c r="BK234" s="213">
        <v>41.64</v>
      </c>
      <c r="BL234" s="213">
        <v>40.28</v>
      </c>
      <c r="BM234" s="213">
        <v>40.96</v>
      </c>
      <c r="BN234" s="213">
        <v>1.07</v>
      </c>
      <c r="BO234" s="213">
        <v>0.83000000000000007</v>
      </c>
      <c r="BP234" s="213">
        <v>0.95000000000000007</v>
      </c>
      <c r="BQ234" s="213">
        <v>9</v>
      </c>
      <c r="BR234" s="213">
        <v>7</v>
      </c>
      <c r="BS234" s="213">
        <v>8</v>
      </c>
      <c r="BT234" s="213">
        <v>11.17</v>
      </c>
      <c r="BU234" s="213">
        <v>10.77</v>
      </c>
      <c r="BV234" s="213">
        <v>10.969999999999999</v>
      </c>
      <c r="BW234" s="213">
        <v>2.78</v>
      </c>
      <c r="BX234" s="213">
        <v>2.5</v>
      </c>
      <c r="BY234" s="213">
        <v>2.6399999999999997</v>
      </c>
      <c r="BZ234" s="213">
        <v>9.7799999999999994</v>
      </c>
      <c r="CA234" s="213">
        <v>6.7799999999999994</v>
      </c>
      <c r="CB234" s="213">
        <v>8.2799999999999994</v>
      </c>
      <c r="CC234" s="213">
        <v>6.61</v>
      </c>
      <c r="CD234" s="213">
        <v>6.37</v>
      </c>
      <c r="CE234" s="213">
        <v>6.49</v>
      </c>
      <c r="CF234" s="213">
        <v>1.93</v>
      </c>
      <c r="CG234" s="213">
        <v>1.43</v>
      </c>
      <c r="CH234" s="213">
        <v>1.68</v>
      </c>
      <c r="CI234" s="213">
        <v>0.43</v>
      </c>
      <c r="CJ234" s="213">
        <v>0.39</v>
      </c>
      <c r="CK234" s="213">
        <v>0.41000000000000003</v>
      </c>
      <c r="CL234" s="213">
        <v>39.39</v>
      </c>
      <c r="CM234" s="213">
        <v>36.99</v>
      </c>
      <c r="CN234" s="213">
        <v>38.19</v>
      </c>
      <c r="CO234" s="213">
        <v>6.93</v>
      </c>
      <c r="CP234" s="213">
        <v>1.9299999999999997</v>
      </c>
      <c r="CQ234" s="213">
        <v>4.43</v>
      </c>
      <c r="CR234" s="213"/>
      <c r="CS234" s="213"/>
    </row>
    <row r="235" spans="1:97">
      <c r="A235" s="424">
        <v>45521</v>
      </c>
      <c r="B235" s="211" t="s">
        <v>252</v>
      </c>
      <c r="C235" s="213"/>
      <c r="D235" s="213"/>
      <c r="E235" s="213"/>
      <c r="F235" s="213"/>
      <c r="G235" s="213"/>
      <c r="H235" s="213"/>
      <c r="I235" s="213"/>
      <c r="J235" s="213"/>
      <c r="K235" s="213"/>
      <c r="L235" s="213"/>
      <c r="M235" s="213"/>
      <c r="N235" s="213"/>
      <c r="O235" s="213"/>
      <c r="P235" s="213"/>
      <c r="Q235" s="213"/>
      <c r="R235" s="213"/>
      <c r="S235" s="213"/>
      <c r="T235" s="213"/>
      <c r="U235" s="213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13"/>
      <c r="AF235" s="213"/>
      <c r="AG235" s="213"/>
      <c r="AH235" s="213"/>
      <c r="AI235" s="213"/>
      <c r="AJ235" s="213"/>
      <c r="AK235" s="213"/>
      <c r="AL235" s="213"/>
      <c r="AM235" s="213"/>
      <c r="AN235" s="213"/>
      <c r="AO235" s="213"/>
      <c r="AP235" s="213"/>
      <c r="AQ235" s="213"/>
      <c r="AR235" s="213"/>
      <c r="AS235" s="213"/>
      <c r="AT235" s="213"/>
      <c r="AU235" s="213"/>
      <c r="AV235" s="213"/>
      <c r="AW235" s="213"/>
      <c r="AX235" s="213"/>
      <c r="AY235" s="213"/>
      <c r="AZ235" s="213"/>
      <c r="BA235" s="213"/>
      <c r="BB235" s="213"/>
      <c r="BC235" s="213"/>
      <c r="BD235" s="213"/>
      <c r="BE235" s="213"/>
      <c r="BF235" s="213"/>
      <c r="BG235" s="213"/>
      <c r="BH235" s="213"/>
      <c r="BI235" s="213"/>
      <c r="BJ235" s="213"/>
      <c r="BK235" s="213"/>
      <c r="BL235" s="213"/>
      <c r="BM235" s="213"/>
      <c r="BN235" s="213"/>
      <c r="BO235" s="213"/>
      <c r="BP235" s="213"/>
      <c r="BQ235" s="213"/>
      <c r="BR235" s="213"/>
      <c r="BS235" s="213"/>
      <c r="BT235" s="213"/>
      <c r="BU235" s="213"/>
      <c r="BV235" s="213"/>
      <c r="BW235" s="213"/>
      <c r="BX235" s="213"/>
      <c r="BY235" s="213"/>
      <c r="BZ235" s="213"/>
      <c r="CA235" s="213"/>
      <c r="CB235" s="213"/>
      <c r="CC235" s="213"/>
      <c r="CD235" s="213"/>
      <c r="CE235" s="213"/>
      <c r="CF235" s="213"/>
      <c r="CG235" s="213"/>
      <c r="CH235" s="213"/>
      <c r="CI235" s="213"/>
      <c r="CJ235" s="213"/>
      <c r="CK235" s="213"/>
      <c r="CL235" s="213"/>
      <c r="CM235" s="213"/>
      <c r="CN235" s="213"/>
      <c r="CO235" s="213"/>
      <c r="CP235" s="213"/>
      <c r="CQ235" s="213"/>
      <c r="CR235" s="213"/>
      <c r="CS235" s="213"/>
    </row>
    <row r="236" spans="1:97">
      <c r="A236" s="424">
        <v>45522</v>
      </c>
      <c r="B236" s="211" t="s">
        <v>253</v>
      </c>
      <c r="C236" s="213"/>
      <c r="D236" s="213"/>
      <c r="E236" s="213"/>
      <c r="F236" s="213"/>
      <c r="G236" s="213"/>
      <c r="H236" s="213"/>
      <c r="I236" s="213"/>
      <c r="J236" s="213"/>
      <c r="K236" s="213"/>
      <c r="L236" s="213"/>
      <c r="M236" s="213"/>
      <c r="N236" s="213"/>
      <c r="O236" s="213"/>
      <c r="P236" s="213"/>
      <c r="Q236" s="213"/>
      <c r="R236" s="213"/>
      <c r="S236" s="213"/>
      <c r="T236" s="213"/>
      <c r="U236" s="213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13"/>
      <c r="AF236" s="213"/>
      <c r="AG236" s="213"/>
      <c r="AH236" s="213"/>
      <c r="AI236" s="213"/>
      <c r="AJ236" s="213"/>
      <c r="AK236" s="213"/>
      <c r="AL236" s="213"/>
      <c r="AM236" s="213"/>
      <c r="AN236" s="213"/>
      <c r="AO236" s="213"/>
      <c r="AP236" s="213"/>
      <c r="AQ236" s="213"/>
      <c r="AR236" s="213"/>
      <c r="AS236" s="213"/>
      <c r="AT236" s="213"/>
      <c r="AU236" s="213"/>
      <c r="AV236" s="213"/>
      <c r="AW236" s="213"/>
      <c r="AX236" s="213"/>
      <c r="AY236" s="213"/>
      <c r="AZ236" s="213"/>
      <c r="BA236" s="213"/>
      <c r="BB236" s="213"/>
      <c r="BC236" s="213"/>
      <c r="BD236" s="213"/>
      <c r="BE236" s="213"/>
      <c r="BF236" s="213"/>
      <c r="BG236" s="213"/>
      <c r="BH236" s="213"/>
      <c r="BI236" s="213"/>
      <c r="BJ236" s="213"/>
      <c r="BK236" s="213"/>
      <c r="BL236" s="213"/>
      <c r="BM236" s="213"/>
      <c r="BN236" s="213"/>
      <c r="BO236" s="213"/>
      <c r="BP236" s="213"/>
      <c r="BQ236" s="213"/>
      <c r="BR236" s="213"/>
      <c r="BS236" s="213"/>
      <c r="BT236" s="213"/>
      <c r="BU236" s="213"/>
      <c r="BV236" s="213"/>
      <c r="BW236" s="213"/>
      <c r="BX236" s="213"/>
      <c r="BY236" s="213"/>
      <c r="BZ236" s="213"/>
      <c r="CA236" s="213"/>
      <c r="CB236" s="213"/>
      <c r="CC236" s="213"/>
      <c r="CD236" s="213"/>
      <c r="CE236" s="213"/>
      <c r="CF236" s="213"/>
      <c r="CG236" s="213"/>
      <c r="CH236" s="213"/>
      <c r="CI236" s="213"/>
      <c r="CJ236" s="213"/>
      <c r="CK236" s="213"/>
      <c r="CL236" s="213"/>
      <c r="CM236" s="213"/>
      <c r="CN236" s="213"/>
      <c r="CO236" s="213"/>
      <c r="CP236" s="213"/>
      <c r="CQ236" s="213"/>
      <c r="CR236" s="213"/>
      <c r="CS236" s="213"/>
    </row>
    <row r="237" spans="1:97">
      <c r="A237" s="424">
        <v>45523</v>
      </c>
      <c r="B237" s="211" t="s">
        <v>247</v>
      </c>
      <c r="C237" s="213">
        <v>148.93</v>
      </c>
      <c r="D237" s="213">
        <v>146.93</v>
      </c>
      <c r="E237" s="213">
        <v>147.93</v>
      </c>
      <c r="F237" s="213">
        <v>164.65</v>
      </c>
      <c r="G237" s="213">
        <v>161.65</v>
      </c>
      <c r="H237" s="213">
        <v>163.15</v>
      </c>
      <c r="I237" s="213">
        <v>109.82</v>
      </c>
      <c r="J237" s="213">
        <v>106.61999999999999</v>
      </c>
      <c r="K237" s="213">
        <v>108.22</v>
      </c>
      <c r="L237" s="213">
        <v>195.47</v>
      </c>
      <c r="M237" s="213">
        <v>187.47</v>
      </c>
      <c r="N237" s="213">
        <v>191.47</v>
      </c>
      <c r="O237" s="213">
        <v>171.52</v>
      </c>
      <c r="P237" s="213">
        <v>169.72</v>
      </c>
      <c r="Q237" s="213">
        <v>170.62</v>
      </c>
      <c r="R237" s="213">
        <v>22.17</v>
      </c>
      <c r="S237" s="213">
        <v>21.57</v>
      </c>
      <c r="T237" s="213">
        <v>21.87</v>
      </c>
      <c r="U237" s="213">
        <v>14.13</v>
      </c>
      <c r="V237" s="213">
        <v>13.530000000000001</v>
      </c>
      <c r="W237" s="213">
        <v>13.830000000000002</v>
      </c>
      <c r="X237" s="213">
        <v>14.58</v>
      </c>
      <c r="Y237" s="213">
        <v>13.78</v>
      </c>
      <c r="Z237" s="213">
        <v>14.18</v>
      </c>
      <c r="AA237" s="213">
        <v>100.85</v>
      </c>
      <c r="AB237" s="213">
        <v>96.85</v>
      </c>
      <c r="AC237" s="213">
        <v>98.85</v>
      </c>
      <c r="AD237" s="213">
        <v>91.65</v>
      </c>
      <c r="AE237" s="213">
        <v>87.65</v>
      </c>
      <c r="AF237" s="213">
        <v>89.65</v>
      </c>
      <c r="AG237" s="213">
        <v>19.41</v>
      </c>
      <c r="AH237" s="213">
        <v>18.55</v>
      </c>
      <c r="AI237" s="213">
        <v>18.98</v>
      </c>
      <c r="AJ237" s="213"/>
      <c r="AK237" s="213"/>
      <c r="AL237" s="213"/>
      <c r="AM237" s="213">
        <v>113.35</v>
      </c>
      <c r="AN237" s="213">
        <v>111.69</v>
      </c>
      <c r="AO237" s="213">
        <v>112.52</v>
      </c>
      <c r="AP237" s="213">
        <v>40.299999999999997</v>
      </c>
      <c r="AQ237" s="213">
        <v>38.699999999999996</v>
      </c>
      <c r="AR237" s="213">
        <v>39.5</v>
      </c>
      <c r="AS237" s="213">
        <v>41.02</v>
      </c>
      <c r="AT237" s="213">
        <v>39.660000000000004</v>
      </c>
      <c r="AU237" s="213">
        <v>40.340000000000003</v>
      </c>
      <c r="AV237" s="213">
        <v>20.96</v>
      </c>
      <c r="AW237" s="213">
        <v>20.36</v>
      </c>
      <c r="AX237" s="213">
        <v>20.66</v>
      </c>
      <c r="AY237" s="213">
        <v>4.37</v>
      </c>
      <c r="AZ237" s="213">
        <v>4.21</v>
      </c>
      <c r="BA237" s="213">
        <v>4.29</v>
      </c>
      <c r="BB237" s="213">
        <v>1.92</v>
      </c>
      <c r="BC237" s="213">
        <v>1.6199999999999999</v>
      </c>
      <c r="BD237" s="213">
        <v>1.77</v>
      </c>
      <c r="BE237" s="213">
        <v>0.68</v>
      </c>
      <c r="BF237" s="213">
        <v>0.38000000000000006</v>
      </c>
      <c r="BG237" s="213">
        <v>0.53</v>
      </c>
      <c r="BH237" s="213">
        <v>491.43</v>
      </c>
      <c r="BI237" s="213">
        <v>475.43</v>
      </c>
      <c r="BJ237" s="213">
        <v>483.43</v>
      </c>
      <c r="BK237" s="213">
        <v>41.31</v>
      </c>
      <c r="BL237" s="213">
        <v>39.950000000000003</v>
      </c>
      <c r="BM237" s="213">
        <v>40.630000000000003</v>
      </c>
      <c r="BN237" s="213">
        <v>1.07</v>
      </c>
      <c r="BO237" s="213">
        <v>0.83000000000000007</v>
      </c>
      <c r="BP237" s="213">
        <v>0.95000000000000007</v>
      </c>
      <c r="BQ237" s="213">
        <v>8.94</v>
      </c>
      <c r="BR237" s="213">
        <v>6.9399999999999995</v>
      </c>
      <c r="BS237" s="213">
        <v>7.9399999999999995</v>
      </c>
      <c r="BT237" s="213">
        <v>11.21</v>
      </c>
      <c r="BU237" s="213">
        <v>10.81</v>
      </c>
      <c r="BV237" s="213">
        <v>11.010000000000002</v>
      </c>
      <c r="BW237" s="213">
        <v>2.74</v>
      </c>
      <c r="BX237" s="213">
        <v>2.46</v>
      </c>
      <c r="BY237" s="213">
        <v>2.6</v>
      </c>
      <c r="BZ237" s="213">
        <v>9.7799999999999994</v>
      </c>
      <c r="CA237" s="213">
        <v>6.7799999999999994</v>
      </c>
      <c r="CB237" s="213">
        <v>8.2799999999999994</v>
      </c>
      <c r="CC237" s="213">
        <v>6.6</v>
      </c>
      <c r="CD237" s="213">
        <v>6.3599999999999994</v>
      </c>
      <c r="CE237" s="213">
        <v>6.4799999999999995</v>
      </c>
      <c r="CF237" s="213">
        <v>1.9</v>
      </c>
      <c r="CG237" s="213">
        <v>1.4</v>
      </c>
      <c r="CH237" s="213">
        <v>1.65</v>
      </c>
      <c r="CI237" s="213">
        <v>0.43</v>
      </c>
      <c r="CJ237" s="213">
        <v>0.39</v>
      </c>
      <c r="CK237" s="213">
        <v>0.41000000000000003</v>
      </c>
      <c r="CL237" s="213">
        <v>39.42</v>
      </c>
      <c r="CM237" s="213">
        <v>37.020000000000003</v>
      </c>
      <c r="CN237" s="213">
        <v>38.22</v>
      </c>
      <c r="CO237" s="213">
        <v>6.9</v>
      </c>
      <c r="CP237" s="213">
        <v>1.9000000000000004</v>
      </c>
      <c r="CQ237" s="213">
        <v>4.4000000000000004</v>
      </c>
      <c r="CR237" s="213"/>
      <c r="CS237" s="213"/>
    </row>
    <row r="238" spans="1:97">
      <c r="A238" s="424">
        <v>45524</v>
      </c>
      <c r="B238" s="211" t="s">
        <v>248</v>
      </c>
      <c r="C238" s="213">
        <v>147.44999999999999</v>
      </c>
      <c r="D238" s="213">
        <v>145.44999999999999</v>
      </c>
      <c r="E238" s="213">
        <v>146.44999999999999</v>
      </c>
      <c r="F238" s="213">
        <v>163.81</v>
      </c>
      <c r="G238" s="213">
        <v>160.81</v>
      </c>
      <c r="H238" s="213">
        <v>162.31</v>
      </c>
      <c r="I238" s="213">
        <v>109</v>
      </c>
      <c r="J238" s="213">
        <v>105.8</v>
      </c>
      <c r="K238" s="213">
        <v>107.4</v>
      </c>
      <c r="L238" s="213">
        <v>194.17</v>
      </c>
      <c r="M238" s="213">
        <v>186.17</v>
      </c>
      <c r="N238" s="213">
        <v>190.17</v>
      </c>
      <c r="O238" s="213">
        <v>170.76</v>
      </c>
      <c r="P238" s="213">
        <v>168.95999999999998</v>
      </c>
      <c r="Q238" s="213">
        <v>169.85999999999999</v>
      </c>
      <c r="R238" s="213">
        <v>22.05</v>
      </c>
      <c r="S238" s="213">
        <v>21.45</v>
      </c>
      <c r="T238" s="213">
        <v>21.75</v>
      </c>
      <c r="U238" s="213">
        <v>14.19</v>
      </c>
      <c r="V238" s="213">
        <v>13.59</v>
      </c>
      <c r="W238" s="213">
        <v>13.89</v>
      </c>
      <c r="X238" s="213">
        <v>14.62</v>
      </c>
      <c r="Y238" s="213">
        <v>13.819999999999999</v>
      </c>
      <c r="Z238" s="213">
        <v>14.219999999999999</v>
      </c>
      <c r="AA238" s="213">
        <v>100.49</v>
      </c>
      <c r="AB238" s="213">
        <v>96.49</v>
      </c>
      <c r="AC238" s="213">
        <v>98.49</v>
      </c>
      <c r="AD238" s="213">
        <v>91.6</v>
      </c>
      <c r="AE238" s="213">
        <v>87.6</v>
      </c>
      <c r="AF238" s="213">
        <v>89.6</v>
      </c>
      <c r="AG238" s="213">
        <v>19.239999999999998</v>
      </c>
      <c r="AH238" s="213">
        <v>18.38</v>
      </c>
      <c r="AI238" s="213">
        <v>18.809999999999999</v>
      </c>
      <c r="AJ238" s="213"/>
      <c r="AK238" s="213"/>
      <c r="AL238" s="213"/>
      <c r="AM238" s="213">
        <v>112.78</v>
      </c>
      <c r="AN238" s="213">
        <v>111.12</v>
      </c>
      <c r="AO238" s="213">
        <v>111.95</v>
      </c>
      <c r="AP238" s="213">
        <v>39.9</v>
      </c>
      <c r="AQ238" s="213">
        <v>38.299999999999997</v>
      </c>
      <c r="AR238" s="213">
        <v>39.099999999999994</v>
      </c>
      <c r="AS238" s="213">
        <v>40.619999999999997</v>
      </c>
      <c r="AT238" s="213">
        <v>39.26</v>
      </c>
      <c r="AU238" s="213">
        <v>39.94</v>
      </c>
      <c r="AV238" s="213">
        <v>20.84</v>
      </c>
      <c r="AW238" s="213">
        <v>20.239999999999998</v>
      </c>
      <c r="AX238" s="213">
        <v>20.54</v>
      </c>
      <c r="AY238" s="213">
        <v>4.3499999999999996</v>
      </c>
      <c r="AZ238" s="213">
        <v>4.1899999999999995</v>
      </c>
      <c r="BA238" s="213">
        <v>4.2699999999999996</v>
      </c>
      <c r="BB238" s="213">
        <v>1.91</v>
      </c>
      <c r="BC238" s="213">
        <v>1.6099999999999999</v>
      </c>
      <c r="BD238" s="213">
        <v>1.7599999999999998</v>
      </c>
      <c r="BE238" s="213">
        <v>0.68</v>
      </c>
      <c r="BF238" s="213">
        <v>0.38000000000000006</v>
      </c>
      <c r="BG238" s="213">
        <v>0.53</v>
      </c>
      <c r="BH238" s="213">
        <v>486.28</v>
      </c>
      <c r="BI238" s="213">
        <v>470.28</v>
      </c>
      <c r="BJ238" s="213">
        <v>478.28</v>
      </c>
      <c r="BK238" s="213">
        <v>40.9</v>
      </c>
      <c r="BL238" s="213">
        <v>39.54</v>
      </c>
      <c r="BM238" s="213">
        <v>40.22</v>
      </c>
      <c r="BN238" s="213">
        <v>1.07</v>
      </c>
      <c r="BO238" s="213">
        <v>0.83000000000000007</v>
      </c>
      <c r="BP238" s="213">
        <v>0.95000000000000007</v>
      </c>
      <c r="BQ238" s="213">
        <v>8.84</v>
      </c>
      <c r="BR238" s="213">
        <v>6.84</v>
      </c>
      <c r="BS238" s="213">
        <v>7.84</v>
      </c>
      <c r="BT238" s="213">
        <v>11.2</v>
      </c>
      <c r="BU238" s="213">
        <v>10.799999999999999</v>
      </c>
      <c r="BV238" s="213">
        <v>11</v>
      </c>
      <c r="BW238" s="213">
        <v>2.74</v>
      </c>
      <c r="BX238" s="213">
        <v>2.46</v>
      </c>
      <c r="BY238" s="213">
        <v>2.6</v>
      </c>
      <c r="BZ238" s="213">
        <v>9.76</v>
      </c>
      <c r="CA238" s="213">
        <v>6.76</v>
      </c>
      <c r="CB238" s="213">
        <v>8.26</v>
      </c>
      <c r="CC238" s="213">
        <v>6.58</v>
      </c>
      <c r="CD238" s="213">
        <v>6.34</v>
      </c>
      <c r="CE238" s="213">
        <v>6.46</v>
      </c>
      <c r="CF238" s="213">
        <v>1.88</v>
      </c>
      <c r="CG238" s="213">
        <v>1.38</v>
      </c>
      <c r="CH238" s="213">
        <v>1.63</v>
      </c>
      <c r="CI238" s="213">
        <v>0.43</v>
      </c>
      <c r="CJ238" s="213">
        <v>0.39</v>
      </c>
      <c r="CK238" s="213">
        <v>0.41000000000000003</v>
      </c>
      <c r="CL238" s="213">
        <v>39.229999999999997</v>
      </c>
      <c r="CM238" s="213">
        <v>36.83</v>
      </c>
      <c r="CN238" s="213">
        <v>38.03</v>
      </c>
      <c r="CO238" s="213">
        <v>6.84</v>
      </c>
      <c r="CP238" s="213">
        <v>1.8399999999999999</v>
      </c>
      <c r="CQ238" s="213">
        <v>4.34</v>
      </c>
      <c r="CR238" s="213"/>
      <c r="CS238" s="213"/>
    </row>
    <row r="239" spans="1:97">
      <c r="A239" s="424">
        <v>45525</v>
      </c>
      <c r="B239" s="211" t="s">
        <v>249</v>
      </c>
      <c r="C239" s="213">
        <v>146.6</v>
      </c>
      <c r="D239" s="213">
        <v>144.6</v>
      </c>
      <c r="E239" s="213">
        <v>145.6</v>
      </c>
      <c r="F239" s="213">
        <v>163.47999999999999</v>
      </c>
      <c r="G239" s="213">
        <v>160.47999999999999</v>
      </c>
      <c r="H239" s="213">
        <v>161.97999999999999</v>
      </c>
      <c r="I239" s="213">
        <v>108.52</v>
      </c>
      <c r="J239" s="213">
        <v>105.32</v>
      </c>
      <c r="K239" s="213">
        <v>106.91999999999999</v>
      </c>
      <c r="L239" s="213">
        <v>193.78</v>
      </c>
      <c r="M239" s="213">
        <v>185.78</v>
      </c>
      <c r="N239" s="213">
        <v>189.78</v>
      </c>
      <c r="O239" s="213">
        <v>171.41</v>
      </c>
      <c r="P239" s="213">
        <v>169.60999999999999</v>
      </c>
      <c r="Q239" s="213">
        <v>170.51</v>
      </c>
      <c r="R239" s="213">
        <v>22.01</v>
      </c>
      <c r="S239" s="213">
        <v>21.41</v>
      </c>
      <c r="T239" s="213">
        <v>21.71</v>
      </c>
      <c r="U239" s="213">
        <v>14.18</v>
      </c>
      <c r="V239" s="213">
        <v>13.58</v>
      </c>
      <c r="W239" s="213">
        <v>13.879999999999999</v>
      </c>
      <c r="X239" s="213">
        <v>14.68</v>
      </c>
      <c r="Y239" s="213">
        <v>13.879999999999999</v>
      </c>
      <c r="Z239" s="213">
        <v>14.28</v>
      </c>
      <c r="AA239" s="213">
        <v>100.27</v>
      </c>
      <c r="AB239" s="213">
        <v>96.27</v>
      </c>
      <c r="AC239" s="213">
        <v>98.27</v>
      </c>
      <c r="AD239" s="213">
        <v>91.69</v>
      </c>
      <c r="AE239" s="213">
        <v>87.69</v>
      </c>
      <c r="AF239" s="213">
        <v>89.69</v>
      </c>
      <c r="AG239" s="213">
        <v>19.12</v>
      </c>
      <c r="AH239" s="213">
        <v>18.260000000000002</v>
      </c>
      <c r="AI239" s="213">
        <v>18.690000000000001</v>
      </c>
      <c r="AJ239" s="213"/>
      <c r="AK239" s="213"/>
      <c r="AL239" s="213"/>
      <c r="AM239" s="213">
        <v>112.4</v>
      </c>
      <c r="AN239" s="213">
        <v>110.74000000000001</v>
      </c>
      <c r="AO239" s="213">
        <v>111.57000000000001</v>
      </c>
      <c r="AP239" s="213">
        <v>39.67</v>
      </c>
      <c r="AQ239" s="213">
        <v>38.07</v>
      </c>
      <c r="AR239" s="213">
        <v>38.870000000000005</v>
      </c>
      <c r="AS239" s="213">
        <v>40.39</v>
      </c>
      <c r="AT239" s="213">
        <v>39.03</v>
      </c>
      <c r="AU239" s="213">
        <v>39.71</v>
      </c>
      <c r="AV239" s="213">
        <v>20.74</v>
      </c>
      <c r="AW239" s="213">
        <v>20.139999999999997</v>
      </c>
      <c r="AX239" s="213">
        <v>20.439999999999998</v>
      </c>
      <c r="AY239" s="213">
        <v>4.3499999999999996</v>
      </c>
      <c r="AZ239" s="213">
        <v>4.1899999999999995</v>
      </c>
      <c r="BA239" s="213">
        <v>4.2699999999999996</v>
      </c>
      <c r="BB239" s="213">
        <v>1.9</v>
      </c>
      <c r="BC239" s="213">
        <v>1.5999999999999999</v>
      </c>
      <c r="BD239" s="213">
        <v>1.75</v>
      </c>
      <c r="BE239" s="213">
        <v>0.68</v>
      </c>
      <c r="BF239" s="213">
        <v>0.38000000000000006</v>
      </c>
      <c r="BG239" s="213">
        <v>0.53</v>
      </c>
      <c r="BH239" s="213">
        <v>484.28</v>
      </c>
      <c r="BI239" s="213">
        <v>468.28</v>
      </c>
      <c r="BJ239" s="213">
        <v>476.28</v>
      </c>
      <c r="BK239" s="213">
        <v>40.67</v>
      </c>
      <c r="BL239" s="213">
        <v>39.31</v>
      </c>
      <c r="BM239" s="213">
        <v>39.99</v>
      </c>
      <c r="BN239" s="213">
        <v>1.07</v>
      </c>
      <c r="BO239" s="213">
        <v>0.83000000000000007</v>
      </c>
      <c r="BP239" s="213">
        <v>0.95000000000000007</v>
      </c>
      <c r="BQ239" s="213">
        <v>8.66</v>
      </c>
      <c r="BR239" s="213">
        <v>6.66</v>
      </c>
      <c r="BS239" s="213">
        <v>7.66</v>
      </c>
      <c r="BT239" s="213">
        <v>11.17</v>
      </c>
      <c r="BU239" s="213">
        <v>10.77</v>
      </c>
      <c r="BV239" s="213">
        <v>10.969999999999999</v>
      </c>
      <c r="BW239" s="213">
        <v>2.73</v>
      </c>
      <c r="BX239" s="213">
        <v>2.4500000000000002</v>
      </c>
      <c r="BY239" s="213">
        <v>2.59</v>
      </c>
      <c r="BZ239" s="213">
        <v>9.68</v>
      </c>
      <c r="CA239" s="213">
        <v>6.68</v>
      </c>
      <c r="CB239" s="213">
        <v>8.18</v>
      </c>
      <c r="CC239" s="213">
        <v>6.57</v>
      </c>
      <c r="CD239" s="213">
        <v>6.33</v>
      </c>
      <c r="CE239" s="213">
        <v>6.45</v>
      </c>
      <c r="CF239" s="213">
        <v>1.85</v>
      </c>
      <c r="CG239" s="213">
        <v>1.35</v>
      </c>
      <c r="CH239" s="213">
        <v>1.6</v>
      </c>
      <c r="CI239" s="213">
        <v>0.43</v>
      </c>
      <c r="CJ239" s="213">
        <v>0.39</v>
      </c>
      <c r="CK239" s="213">
        <v>0.41000000000000003</v>
      </c>
      <c r="CL239" s="213">
        <v>39.11</v>
      </c>
      <c r="CM239" s="213">
        <v>36.71</v>
      </c>
      <c r="CN239" s="213">
        <v>37.909999999999997</v>
      </c>
      <c r="CO239" s="213">
        <v>6.8</v>
      </c>
      <c r="CP239" s="213">
        <v>1.7999999999999998</v>
      </c>
      <c r="CQ239" s="213">
        <v>4.3</v>
      </c>
      <c r="CR239" s="213"/>
      <c r="CS239" s="213"/>
    </row>
    <row r="240" spans="1:97">
      <c r="A240" s="424">
        <v>45526</v>
      </c>
      <c r="B240" s="211" t="s">
        <v>250</v>
      </c>
      <c r="C240" s="213">
        <v>146.41</v>
      </c>
      <c r="D240" s="213">
        <v>144.41</v>
      </c>
      <c r="E240" s="213">
        <v>145.41</v>
      </c>
      <c r="F240" s="213">
        <v>163.57</v>
      </c>
      <c r="G240" s="213">
        <v>160.57</v>
      </c>
      <c r="H240" s="213">
        <v>162.07</v>
      </c>
      <c r="I240" s="213">
        <v>108.65</v>
      </c>
      <c r="J240" s="213">
        <v>105.45</v>
      </c>
      <c r="K240" s="213">
        <v>107.05000000000001</v>
      </c>
      <c r="L240" s="213">
        <v>194.33</v>
      </c>
      <c r="M240" s="213">
        <v>186.33</v>
      </c>
      <c r="N240" s="213">
        <v>190.33</v>
      </c>
      <c r="O240" s="213">
        <v>171.55</v>
      </c>
      <c r="P240" s="213">
        <v>169.75</v>
      </c>
      <c r="Q240" s="213">
        <v>170.65</v>
      </c>
      <c r="R240" s="213">
        <v>22.02</v>
      </c>
      <c r="S240" s="213">
        <v>21.419999999999998</v>
      </c>
      <c r="T240" s="213">
        <v>21.72</v>
      </c>
      <c r="U240" s="213">
        <v>14.13</v>
      </c>
      <c r="V240" s="213">
        <v>13.530000000000001</v>
      </c>
      <c r="W240" s="213">
        <v>13.830000000000002</v>
      </c>
      <c r="X240" s="213">
        <v>14.65</v>
      </c>
      <c r="Y240" s="213">
        <v>13.85</v>
      </c>
      <c r="Z240" s="213">
        <v>14.25</v>
      </c>
      <c r="AA240" s="213">
        <v>100.08</v>
      </c>
      <c r="AB240" s="213">
        <v>96.08</v>
      </c>
      <c r="AC240" s="213">
        <v>98.08</v>
      </c>
      <c r="AD240" s="213">
        <v>91.51</v>
      </c>
      <c r="AE240" s="213">
        <v>87.51</v>
      </c>
      <c r="AF240" s="213">
        <v>89.51</v>
      </c>
      <c r="AG240" s="213">
        <v>19.09</v>
      </c>
      <c r="AH240" s="213">
        <v>18.23</v>
      </c>
      <c r="AI240" s="213">
        <v>18.66</v>
      </c>
      <c r="AJ240" s="213"/>
      <c r="AK240" s="213"/>
      <c r="AL240" s="213"/>
      <c r="AM240" s="213">
        <v>112.2</v>
      </c>
      <c r="AN240" s="213">
        <v>110.54</v>
      </c>
      <c r="AO240" s="213">
        <v>111.37</v>
      </c>
      <c r="AP240" s="213">
        <v>39.619999999999997</v>
      </c>
      <c r="AQ240" s="213">
        <v>38.019999999999996</v>
      </c>
      <c r="AR240" s="213">
        <v>38.819999999999993</v>
      </c>
      <c r="AS240" s="213">
        <v>40.33</v>
      </c>
      <c r="AT240" s="213">
        <v>38.97</v>
      </c>
      <c r="AU240" s="213">
        <v>39.65</v>
      </c>
      <c r="AV240" s="213">
        <v>20.69</v>
      </c>
      <c r="AW240" s="213">
        <v>20.09</v>
      </c>
      <c r="AX240" s="213">
        <v>20.39</v>
      </c>
      <c r="AY240" s="213">
        <v>4.33</v>
      </c>
      <c r="AZ240" s="213">
        <v>4.17</v>
      </c>
      <c r="BA240" s="213">
        <v>4.25</v>
      </c>
      <c r="BB240" s="213">
        <v>1.89</v>
      </c>
      <c r="BC240" s="213">
        <v>1.5899999999999999</v>
      </c>
      <c r="BD240" s="213">
        <v>1.7399999999999998</v>
      </c>
      <c r="BE240" s="213">
        <v>0.68</v>
      </c>
      <c r="BF240" s="213">
        <v>0.38000000000000006</v>
      </c>
      <c r="BG240" s="213">
        <v>0.53</v>
      </c>
      <c r="BH240" s="213">
        <v>485.07</v>
      </c>
      <c r="BI240" s="213">
        <v>469.07</v>
      </c>
      <c r="BJ240" s="213">
        <v>477.07</v>
      </c>
      <c r="BK240" s="213">
        <v>40.630000000000003</v>
      </c>
      <c r="BL240" s="213">
        <v>39.270000000000003</v>
      </c>
      <c r="BM240" s="213">
        <v>39.950000000000003</v>
      </c>
      <c r="BN240" s="213">
        <v>1.06</v>
      </c>
      <c r="BO240" s="213">
        <v>0.82000000000000006</v>
      </c>
      <c r="BP240" s="213">
        <v>0.94000000000000006</v>
      </c>
      <c r="BQ240" s="213">
        <v>8.5399999999999991</v>
      </c>
      <c r="BR240" s="213">
        <v>6.5399999999999991</v>
      </c>
      <c r="BS240" s="213">
        <v>7.5399999999999991</v>
      </c>
      <c r="BT240" s="213">
        <v>11.13</v>
      </c>
      <c r="BU240" s="213">
        <v>10.73</v>
      </c>
      <c r="BV240" s="213">
        <v>10.93</v>
      </c>
      <c r="BW240" s="213">
        <v>2.73</v>
      </c>
      <c r="BX240" s="213">
        <v>2.4500000000000002</v>
      </c>
      <c r="BY240" s="213">
        <v>2.59</v>
      </c>
      <c r="BZ240" s="213">
        <v>9.64</v>
      </c>
      <c r="CA240" s="213">
        <v>6.6400000000000006</v>
      </c>
      <c r="CB240" s="213">
        <v>8.14</v>
      </c>
      <c r="CC240" s="213">
        <v>6.58</v>
      </c>
      <c r="CD240" s="213">
        <v>6.34</v>
      </c>
      <c r="CE240" s="213">
        <v>6.46</v>
      </c>
      <c r="CF240" s="213">
        <v>1.84</v>
      </c>
      <c r="CG240" s="213">
        <v>1.34</v>
      </c>
      <c r="CH240" s="213">
        <v>1.59</v>
      </c>
      <c r="CI240" s="213">
        <v>0.43</v>
      </c>
      <c r="CJ240" s="213">
        <v>0.39</v>
      </c>
      <c r="CK240" s="213">
        <v>0.41000000000000003</v>
      </c>
      <c r="CL240" s="213">
        <v>39.119999999999997</v>
      </c>
      <c r="CM240" s="213">
        <v>36.72</v>
      </c>
      <c r="CN240" s="213">
        <v>37.92</v>
      </c>
      <c r="CO240" s="213">
        <v>6.79</v>
      </c>
      <c r="CP240" s="213">
        <v>1.79</v>
      </c>
      <c r="CQ240" s="213">
        <v>4.29</v>
      </c>
      <c r="CR240" s="213"/>
      <c r="CS240" s="213"/>
    </row>
    <row r="241" spans="1:97">
      <c r="A241" s="424">
        <v>45527</v>
      </c>
      <c r="B241" s="211" t="s">
        <v>251</v>
      </c>
      <c r="C241" s="213">
        <v>147.27000000000001</v>
      </c>
      <c r="D241" s="213">
        <v>145.27000000000001</v>
      </c>
      <c r="E241" s="213">
        <v>146.27000000000001</v>
      </c>
      <c r="F241" s="213">
        <v>164.17</v>
      </c>
      <c r="G241" s="213">
        <v>161.16999999999999</v>
      </c>
      <c r="H241" s="213">
        <v>162.66999999999999</v>
      </c>
      <c r="I241" s="213">
        <v>109.12</v>
      </c>
      <c r="J241" s="213">
        <v>105.92</v>
      </c>
      <c r="K241" s="213">
        <v>107.52000000000001</v>
      </c>
      <c r="L241" s="213">
        <v>195.63</v>
      </c>
      <c r="M241" s="213">
        <v>187.63</v>
      </c>
      <c r="N241" s="213">
        <v>191.63</v>
      </c>
      <c r="O241" s="213">
        <v>172.62</v>
      </c>
      <c r="P241" s="213">
        <v>170.82</v>
      </c>
      <c r="Q241" s="213">
        <v>171.72</v>
      </c>
      <c r="R241" s="213">
        <v>22.1</v>
      </c>
      <c r="S241" s="213">
        <v>21.5</v>
      </c>
      <c r="T241" s="213">
        <v>21.8</v>
      </c>
      <c r="U241" s="213">
        <v>14.11</v>
      </c>
      <c r="V241" s="213">
        <v>13.51</v>
      </c>
      <c r="W241" s="213">
        <v>13.809999999999999</v>
      </c>
      <c r="X241" s="213">
        <v>14.7</v>
      </c>
      <c r="Y241" s="213">
        <v>13.899999999999999</v>
      </c>
      <c r="Z241" s="213">
        <v>14.299999999999999</v>
      </c>
      <c r="AA241" s="213">
        <v>100.15</v>
      </c>
      <c r="AB241" s="213">
        <v>96.15</v>
      </c>
      <c r="AC241" s="213">
        <v>98.15</v>
      </c>
      <c r="AD241" s="213">
        <v>91.93</v>
      </c>
      <c r="AE241" s="213">
        <v>87.93</v>
      </c>
      <c r="AF241" s="213">
        <v>89.93</v>
      </c>
      <c r="AG241" s="213">
        <v>19.190000000000001</v>
      </c>
      <c r="AH241" s="213">
        <v>18.330000000000002</v>
      </c>
      <c r="AI241" s="213">
        <v>18.760000000000002</v>
      </c>
      <c r="AJ241" s="213"/>
      <c r="AK241" s="213"/>
      <c r="AL241" s="213"/>
      <c r="AM241" s="213">
        <v>112.5</v>
      </c>
      <c r="AN241" s="213">
        <v>110.84</v>
      </c>
      <c r="AO241" s="213">
        <v>111.67</v>
      </c>
      <c r="AP241" s="213">
        <v>39.85</v>
      </c>
      <c r="AQ241" s="213">
        <v>38.25</v>
      </c>
      <c r="AR241" s="213">
        <v>39.049999999999997</v>
      </c>
      <c r="AS241" s="213">
        <v>40.47</v>
      </c>
      <c r="AT241" s="213">
        <v>39.11</v>
      </c>
      <c r="AU241" s="213">
        <v>39.79</v>
      </c>
      <c r="AV241" s="213">
        <v>20.77</v>
      </c>
      <c r="AW241" s="213">
        <v>20.169999999999998</v>
      </c>
      <c r="AX241" s="213">
        <v>20.47</v>
      </c>
      <c r="AY241" s="213">
        <v>4.33</v>
      </c>
      <c r="AZ241" s="213">
        <v>4.17</v>
      </c>
      <c r="BA241" s="213">
        <v>4.25</v>
      </c>
      <c r="BB241" s="213">
        <v>1.9</v>
      </c>
      <c r="BC241" s="213">
        <v>1.5999999999999999</v>
      </c>
      <c r="BD241" s="213">
        <v>1.75</v>
      </c>
      <c r="BE241" s="213">
        <v>0.68</v>
      </c>
      <c r="BF241" s="213">
        <v>0.38000000000000006</v>
      </c>
      <c r="BG241" s="213">
        <v>0.53</v>
      </c>
      <c r="BH241" s="213">
        <v>487.57</v>
      </c>
      <c r="BI241" s="213">
        <v>471.57</v>
      </c>
      <c r="BJ241" s="213">
        <v>479.57</v>
      </c>
      <c r="BK241" s="213">
        <v>40.880000000000003</v>
      </c>
      <c r="BL241" s="213">
        <v>39.520000000000003</v>
      </c>
      <c r="BM241" s="213">
        <v>40.200000000000003</v>
      </c>
      <c r="BN241" s="213">
        <v>1.06</v>
      </c>
      <c r="BO241" s="213">
        <v>0.82000000000000006</v>
      </c>
      <c r="BP241" s="213">
        <v>0.94000000000000006</v>
      </c>
      <c r="BQ241" s="213">
        <v>8.51</v>
      </c>
      <c r="BR241" s="213">
        <v>6.51</v>
      </c>
      <c r="BS241" s="213">
        <v>7.51</v>
      </c>
      <c r="BT241" s="213">
        <v>11.13</v>
      </c>
      <c r="BU241" s="213">
        <v>10.73</v>
      </c>
      <c r="BV241" s="213">
        <v>10.93</v>
      </c>
      <c r="BW241" s="213">
        <v>2.76</v>
      </c>
      <c r="BX241" s="213">
        <v>2.4799999999999995</v>
      </c>
      <c r="BY241" s="213">
        <v>2.6199999999999997</v>
      </c>
      <c r="BZ241" s="213">
        <v>9.6199999999999992</v>
      </c>
      <c r="CA241" s="213">
        <v>6.6199999999999992</v>
      </c>
      <c r="CB241" s="213">
        <v>8.1199999999999992</v>
      </c>
      <c r="CC241" s="213">
        <v>6.61</v>
      </c>
      <c r="CD241" s="213">
        <v>6.37</v>
      </c>
      <c r="CE241" s="213">
        <v>6.49</v>
      </c>
      <c r="CF241" s="213">
        <v>1.85</v>
      </c>
      <c r="CG241" s="213">
        <v>1.35</v>
      </c>
      <c r="CH241" s="213">
        <v>1.6</v>
      </c>
      <c r="CI241" s="213">
        <v>0.43</v>
      </c>
      <c r="CJ241" s="213">
        <v>0.39</v>
      </c>
      <c r="CK241" s="213">
        <v>0.41000000000000003</v>
      </c>
      <c r="CL241" s="213">
        <v>39.17</v>
      </c>
      <c r="CM241" s="213">
        <v>36.770000000000003</v>
      </c>
      <c r="CN241" s="213">
        <v>37.97</v>
      </c>
      <c r="CO241" s="213">
        <v>6.83</v>
      </c>
      <c r="CP241" s="213">
        <v>1.83</v>
      </c>
      <c r="CQ241" s="213">
        <v>4.33</v>
      </c>
      <c r="CR241" s="213"/>
      <c r="CS241" s="213"/>
    </row>
    <row r="242" spans="1:97">
      <c r="A242" s="424">
        <v>45528</v>
      </c>
      <c r="B242" s="211" t="s">
        <v>252</v>
      </c>
      <c r="C242" s="213"/>
      <c r="D242" s="213"/>
      <c r="E242" s="213"/>
      <c r="F242" s="213"/>
      <c r="G242" s="213"/>
      <c r="H242" s="213"/>
      <c r="I242" s="213"/>
      <c r="J242" s="213"/>
      <c r="K242" s="213"/>
      <c r="L242" s="213"/>
      <c r="M242" s="213"/>
      <c r="N242" s="213"/>
      <c r="O242" s="213"/>
      <c r="P242" s="213"/>
      <c r="Q242" s="213"/>
      <c r="R242" s="213"/>
      <c r="S242" s="213"/>
      <c r="T242" s="213"/>
      <c r="U242" s="213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13"/>
      <c r="AF242" s="213"/>
      <c r="AG242" s="213"/>
      <c r="AH242" s="213"/>
      <c r="AI242" s="213"/>
      <c r="AJ242" s="213"/>
      <c r="AK242" s="213"/>
      <c r="AL242" s="213"/>
      <c r="AM242" s="213"/>
      <c r="AN242" s="213"/>
      <c r="AO242" s="213"/>
      <c r="AP242" s="213"/>
      <c r="AQ242" s="213"/>
      <c r="AR242" s="213"/>
      <c r="AS242" s="213"/>
      <c r="AT242" s="213"/>
      <c r="AU242" s="213"/>
      <c r="AV242" s="213"/>
      <c r="AW242" s="213"/>
      <c r="AX242" s="213"/>
      <c r="AY242" s="213"/>
      <c r="AZ242" s="213"/>
      <c r="BA242" s="213"/>
      <c r="BB242" s="213"/>
      <c r="BC242" s="213"/>
      <c r="BD242" s="213"/>
      <c r="BE242" s="213"/>
      <c r="BF242" s="213"/>
      <c r="BG242" s="213"/>
      <c r="BH242" s="213"/>
      <c r="BI242" s="213"/>
      <c r="BJ242" s="213"/>
      <c r="BK242" s="213"/>
      <c r="BL242" s="213"/>
      <c r="BM242" s="213"/>
      <c r="BN242" s="213"/>
      <c r="BO242" s="213"/>
      <c r="BP242" s="213"/>
      <c r="BQ242" s="213"/>
      <c r="BR242" s="213"/>
      <c r="BS242" s="213"/>
      <c r="BT242" s="213"/>
      <c r="BU242" s="213"/>
      <c r="BV242" s="213"/>
      <c r="BW242" s="213"/>
      <c r="BX242" s="213"/>
      <c r="BY242" s="213"/>
      <c r="BZ242" s="213"/>
      <c r="CA242" s="213"/>
      <c r="CB242" s="213"/>
      <c r="CC242" s="213"/>
      <c r="CD242" s="213"/>
      <c r="CE242" s="213"/>
      <c r="CF242" s="213"/>
      <c r="CG242" s="213"/>
      <c r="CH242" s="213"/>
      <c r="CI242" s="213"/>
      <c r="CJ242" s="213"/>
      <c r="CK242" s="213"/>
      <c r="CL242" s="213"/>
      <c r="CM242" s="213"/>
      <c r="CN242" s="213"/>
      <c r="CO242" s="213"/>
      <c r="CP242" s="213"/>
      <c r="CQ242" s="213"/>
      <c r="CR242" s="213"/>
      <c r="CS242" s="213"/>
    </row>
    <row r="243" spans="1:97">
      <c r="A243" s="424">
        <v>45529</v>
      </c>
      <c r="B243" s="211" t="s">
        <v>253</v>
      </c>
      <c r="C243" s="213"/>
      <c r="D243" s="213"/>
      <c r="E243" s="213"/>
      <c r="F243" s="213"/>
      <c r="G243" s="213"/>
      <c r="H243" s="213"/>
      <c r="I243" s="213"/>
      <c r="J243" s="213"/>
      <c r="K243" s="213"/>
      <c r="L243" s="213"/>
      <c r="M243" s="213"/>
      <c r="N243" s="213"/>
      <c r="O243" s="213"/>
      <c r="P243" s="213"/>
      <c r="Q243" s="213"/>
      <c r="R243" s="213"/>
      <c r="S243" s="213"/>
      <c r="T243" s="213"/>
      <c r="U243" s="213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13"/>
      <c r="AF243" s="213"/>
      <c r="AG243" s="213"/>
      <c r="AH243" s="213"/>
      <c r="AI243" s="213"/>
      <c r="AJ243" s="213"/>
      <c r="AK243" s="213"/>
      <c r="AL243" s="213"/>
      <c r="AM243" s="213"/>
      <c r="AN243" s="213"/>
      <c r="AO243" s="213"/>
      <c r="AP243" s="213"/>
      <c r="AQ243" s="213"/>
      <c r="AR243" s="213"/>
      <c r="AS243" s="213"/>
      <c r="AT243" s="213"/>
      <c r="AU243" s="213"/>
      <c r="AV243" s="213"/>
      <c r="AW243" s="213"/>
      <c r="AX243" s="213"/>
      <c r="AY243" s="213"/>
      <c r="AZ243" s="213"/>
      <c r="BA243" s="213"/>
      <c r="BB243" s="213"/>
      <c r="BC243" s="213"/>
      <c r="BD243" s="213"/>
      <c r="BE243" s="213"/>
      <c r="BF243" s="213"/>
      <c r="BG243" s="213"/>
      <c r="BH243" s="213"/>
      <c r="BI243" s="213"/>
      <c r="BJ243" s="213"/>
      <c r="BK243" s="213"/>
      <c r="BL243" s="213"/>
      <c r="BM243" s="213"/>
      <c r="BN243" s="213"/>
      <c r="BO243" s="213"/>
      <c r="BP243" s="213"/>
      <c r="BQ243" s="213"/>
      <c r="BR243" s="213"/>
      <c r="BS243" s="213"/>
      <c r="BT243" s="213"/>
      <c r="BU243" s="213"/>
      <c r="BV243" s="213"/>
      <c r="BW243" s="213"/>
      <c r="BX243" s="213"/>
      <c r="BY243" s="213"/>
      <c r="BZ243" s="213"/>
      <c r="CA243" s="213"/>
      <c r="CB243" s="213"/>
      <c r="CC243" s="213"/>
      <c r="CD243" s="213"/>
      <c r="CE243" s="213"/>
      <c r="CF243" s="213"/>
      <c r="CG243" s="213"/>
      <c r="CH243" s="213"/>
      <c r="CI243" s="213"/>
      <c r="CJ243" s="213"/>
      <c r="CK243" s="213"/>
      <c r="CL243" s="213"/>
      <c r="CM243" s="213"/>
      <c r="CN243" s="213"/>
      <c r="CO243" s="213"/>
      <c r="CP243" s="213"/>
      <c r="CQ243" s="213"/>
      <c r="CR243" s="213"/>
      <c r="CS243" s="213"/>
    </row>
    <row r="244" spans="1:97">
      <c r="A244" s="424">
        <v>45530</v>
      </c>
      <c r="B244" s="211" t="s">
        <v>247</v>
      </c>
      <c r="C244" s="213">
        <v>144.56</v>
      </c>
      <c r="D244" s="213">
        <v>142.56</v>
      </c>
      <c r="E244" s="213">
        <v>143.56</v>
      </c>
      <c r="F244" s="213">
        <v>162.26</v>
      </c>
      <c r="G244" s="213">
        <v>159.26</v>
      </c>
      <c r="H244" s="213">
        <v>160.76</v>
      </c>
      <c r="I244" s="213">
        <v>107.92</v>
      </c>
      <c r="J244" s="213">
        <v>104.72</v>
      </c>
      <c r="K244" s="213">
        <v>106.32</v>
      </c>
      <c r="L244" s="213">
        <v>193.77</v>
      </c>
      <c r="M244" s="213">
        <v>185.77</v>
      </c>
      <c r="N244" s="213">
        <v>189.77</v>
      </c>
      <c r="O244" s="213">
        <v>170.61</v>
      </c>
      <c r="P244" s="213">
        <v>168.81</v>
      </c>
      <c r="Q244" s="213">
        <v>169.71</v>
      </c>
      <c r="R244" s="213">
        <v>21.85</v>
      </c>
      <c r="S244" s="213">
        <v>21.25</v>
      </c>
      <c r="T244" s="213">
        <v>21.55</v>
      </c>
      <c r="U244" s="213">
        <v>14.04</v>
      </c>
      <c r="V244" s="213">
        <v>13.44</v>
      </c>
      <c r="W244" s="213">
        <v>13.739999999999998</v>
      </c>
      <c r="X244" s="213">
        <v>14.48</v>
      </c>
      <c r="Y244" s="213">
        <v>13.68</v>
      </c>
      <c r="Z244" s="213">
        <v>14.08</v>
      </c>
      <c r="AA244" s="213">
        <v>99.51</v>
      </c>
      <c r="AB244" s="213">
        <v>95.51</v>
      </c>
      <c r="AC244" s="213">
        <v>97.51</v>
      </c>
      <c r="AD244" s="213">
        <v>91.41</v>
      </c>
      <c r="AE244" s="213">
        <v>87.41</v>
      </c>
      <c r="AF244" s="213">
        <v>89.41</v>
      </c>
      <c r="AG244" s="213">
        <v>18.850000000000001</v>
      </c>
      <c r="AH244" s="213">
        <v>17.990000000000002</v>
      </c>
      <c r="AI244" s="213">
        <v>18.420000000000002</v>
      </c>
      <c r="AJ244" s="213"/>
      <c r="AK244" s="213"/>
      <c r="AL244" s="213"/>
      <c r="AM244" s="213">
        <v>111.26</v>
      </c>
      <c r="AN244" s="213">
        <v>109.60000000000001</v>
      </c>
      <c r="AO244" s="213">
        <v>110.43</v>
      </c>
      <c r="AP244" s="213">
        <v>39.119999999999997</v>
      </c>
      <c r="AQ244" s="213">
        <v>37.519999999999996</v>
      </c>
      <c r="AR244" s="213">
        <v>38.319999999999993</v>
      </c>
      <c r="AS244" s="213">
        <v>39.83</v>
      </c>
      <c r="AT244" s="213">
        <v>38.47</v>
      </c>
      <c r="AU244" s="213">
        <v>39.15</v>
      </c>
      <c r="AV244" s="213">
        <v>20.49</v>
      </c>
      <c r="AW244" s="213">
        <v>19.889999999999997</v>
      </c>
      <c r="AX244" s="213">
        <v>20.189999999999998</v>
      </c>
      <c r="AY244" s="213">
        <v>4.32</v>
      </c>
      <c r="AZ244" s="213">
        <v>4.16</v>
      </c>
      <c r="BA244" s="213">
        <v>4.24</v>
      </c>
      <c r="BB244" s="213">
        <v>1.87</v>
      </c>
      <c r="BC244" s="213">
        <v>1.57</v>
      </c>
      <c r="BD244" s="213">
        <v>1.7200000000000002</v>
      </c>
      <c r="BE244" s="213">
        <v>0.67</v>
      </c>
      <c r="BF244" s="213">
        <v>0.37000000000000005</v>
      </c>
      <c r="BG244" s="213">
        <v>0.52</v>
      </c>
      <c r="BH244" s="213">
        <v>480.08</v>
      </c>
      <c r="BI244" s="213">
        <v>464.08</v>
      </c>
      <c r="BJ244" s="213">
        <v>472.08</v>
      </c>
      <c r="BK244" s="213">
        <v>40.119999999999997</v>
      </c>
      <c r="BL244" s="213">
        <v>38.76</v>
      </c>
      <c r="BM244" s="213">
        <v>39.44</v>
      </c>
      <c r="BN244" s="213">
        <v>1.05</v>
      </c>
      <c r="BO244" s="213">
        <v>0.81</v>
      </c>
      <c r="BP244" s="213">
        <v>0.93</v>
      </c>
      <c r="BQ244" s="213">
        <v>8.4700000000000006</v>
      </c>
      <c r="BR244" s="213">
        <v>6.4700000000000006</v>
      </c>
      <c r="BS244" s="213">
        <v>7.4700000000000006</v>
      </c>
      <c r="BT244" s="213">
        <v>11.08</v>
      </c>
      <c r="BU244" s="213">
        <v>10.68</v>
      </c>
      <c r="BV244" s="213">
        <v>10.879999999999999</v>
      </c>
      <c r="BW244" s="213">
        <v>2.7</v>
      </c>
      <c r="BX244" s="213">
        <v>2.42</v>
      </c>
      <c r="BY244" s="213">
        <v>2.56</v>
      </c>
      <c r="BZ244" s="213">
        <v>9.59</v>
      </c>
      <c r="CA244" s="213">
        <v>6.59</v>
      </c>
      <c r="CB244" s="213">
        <v>8.09</v>
      </c>
      <c r="CC244" s="213">
        <v>6.55</v>
      </c>
      <c r="CD244" s="213">
        <v>6.31</v>
      </c>
      <c r="CE244" s="213">
        <v>6.43</v>
      </c>
      <c r="CF244" s="213">
        <v>1.82</v>
      </c>
      <c r="CG244" s="213">
        <v>1.32</v>
      </c>
      <c r="CH244" s="213">
        <v>1.57</v>
      </c>
      <c r="CI244" s="213">
        <v>0.43</v>
      </c>
      <c r="CJ244" s="213">
        <v>0.39</v>
      </c>
      <c r="CK244" s="213">
        <v>0.41000000000000003</v>
      </c>
      <c r="CL244" s="213">
        <v>38.86</v>
      </c>
      <c r="CM244" s="213">
        <v>36.46</v>
      </c>
      <c r="CN244" s="213">
        <v>37.659999999999997</v>
      </c>
      <c r="CO244" s="213">
        <v>6.73</v>
      </c>
      <c r="CP244" s="213">
        <v>1.7300000000000004</v>
      </c>
      <c r="CQ244" s="213">
        <v>4.2300000000000004</v>
      </c>
      <c r="CR244" s="213"/>
      <c r="CS244" s="213"/>
    </row>
    <row r="245" spans="1:97">
      <c r="A245" s="424">
        <v>45531</v>
      </c>
      <c r="B245" s="211" t="s">
        <v>248</v>
      </c>
      <c r="C245" s="213">
        <v>145.86000000000001</v>
      </c>
      <c r="D245" s="213">
        <v>143.86000000000001</v>
      </c>
      <c r="E245" s="213">
        <v>144.86000000000001</v>
      </c>
      <c r="F245" s="213">
        <v>163.15</v>
      </c>
      <c r="G245" s="213">
        <v>160.15</v>
      </c>
      <c r="H245" s="213">
        <v>161.65</v>
      </c>
      <c r="I245" s="213">
        <v>109</v>
      </c>
      <c r="J245" s="213">
        <v>105.8</v>
      </c>
      <c r="K245" s="213">
        <v>107.4</v>
      </c>
      <c r="L245" s="213">
        <v>194.93</v>
      </c>
      <c r="M245" s="213">
        <v>186.93</v>
      </c>
      <c r="N245" s="213">
        <v>190.93</v>
      </c>
      <c r="O245" s="213">
        <v>171.79</v>
      </c>
      <c r="P245" s="213">
        <v>169.98999999999998</v>
      </c>
      <c r="Q245" s="213">
        <v>170.89</v>
      </c>
      <c r="R245" s="213">
        <v>21.97</v>
      </c>
      <c r="S245" s="213">
        <v>21.369999999999997</v>
      </c>
      <c r="T245" s="213">
        <v>21.669999999999998</v>
      </c>
      <c r="U245" s="213">
        <v>14.03</v>
      </c>
      <c r="V245" s="213">
        <v>13.43</v>
      </c>
      <c r="W245" s="213">
        <v>13.73</v>
      </c>
      <c r="X245" s="213">
        <v>14.58</v>
      </c>
      <c r="Y245" s="213">
        <v>13.78</v>
      </c>
      <c r="Z245" s="213">
        <v>14.18</v>
      </c>
      <c r="AA245" s="213">
        <v>99.94</v>
      </c>
      <c r="AB245" s="213">
        <v>95.94</v>
      </c>
      <c r="AC245" s="213">
        <v>97.94</v>
      </c>
      <c r="AD245" s="213">
        <v>91.74</v>
      </c>
      <c r="AE245" s="213">
        <v>87.74</v>
      </c>
      <c r="AF245" s="213">
        <v>89.74</v>
      </c>
      <c r="AG245" s="213">
        <v>19</v>
      </c>
      <c r="AH245" s="213">
        <v>18.14</v>
      </c>
      <c r="AI245" s="213">
        <v>18.57</v>
      </c>
      <c r="AJ245" s="213"/>
      <c r="AK245" s="213"/>
      <c r="AL245" s="213"/>
      <c r="AM245" s="213">
        <v>111.85</v>
      </c>
      <c r="AN245" s="213">
        <v>110.19</v>
      </c>
      <c r="AO245" s="213">
        <v>111.02</v>
      </c>
      <c r="AP245" s="213">
        <v>39.47</v>
      </c>
      <c r="AQ245" s="213">
        <v>37.869999999999997</v>
      </c>
      <c r="AR245" s="213">
        <v>38.67</v>
      </c>
      <c r="AS245" s="213">
        <v>40.18</v>
      </c>
      <c r="AT245" s="213">
        <v>38.82</v>
      </c>
      <c r="AU245" s="213">
        <v>39.5</v>
      </c>
      <c r="AV245" s="213">
        <v>20.62</v>
      </c>
      <c r="AW245" s="213">
        <v>20.02</v>
      </c>
      <c r="AX245" s="213">
        <v>20.32</v>
      </c>
      <c r="AY245" s="213">
        <v>4.33</v>
      </c>
      <c r="AZ245" s="213">
        <v>4.17</v>
      </c>
      <c r="BA245" s="213">
        <v>4.25</v>
      </c>
      <c r="BB245" s="213">
        <v>1.89</v>
      </c>
      <c r="BC245" s="213">
        <v>1.5899999999999999</v>
      </c>
      <c r="BD245" s="213">
        <v>1.7399999999999998</v>
      </c>
      <c r="BE245" s="213">
        <v>0.67</v>
      </c>
      <c r="BF245" s="213">
        <v>0.37000000000000005</v>
      </c>
      <c r="BG245" s="213">
        <v>0.52</v>
      </c>
      <c r="BH245" s="213">
        <v>482.95</v>
      </c>
      <c r="BI245" s="213">
        <v>466.95</v>
      </c>
      <c r="BJ245" s="213">
        <v>474.95</v>
      </c>
      <c r="BK245" s="213">
        <v>40.479999999999997</v>
      </c>
      <c r="BL245" s="213">
        <v>39.119999999999997</v>
      </c>
      <c r="BM245" s="213">
        <v>39.799999999999997</v>
      </c>
      <c r="BN245" s="213">
        <v>1.06</v>
      </c>
      <c r="BO245" s="213">
        <v>0.82000000000000006</v>
      </c>
      <c r="BP245" s="213">
        <v>0.94000000000000006</v>
      </c>
      <c r="BQ245" s="213">
        <v>8.4600000000000009</v>
      </c>
      <c r="BR245" s="213">
        <v>6.4600000000000009</v>
      </c>
      <c r="BS245" s="213">
        <v>7.4600000000000009</v>
      </c>
      <c r="BT245" s="213">
        <v>11.1</v>
      </c>
      <c r="BU245" s="213">
        <v>10.7</v>
      </c>
      <c r="BV245" s="213">
        <v>10.899999999999999</v>
      </c>
      <c r="BW245" s="213">
        <v>2.72</v>
      </c>
      <c r="BX245" s="213">
        <v>2.4400000000000004</v>
      </c>
      <c r="BY245" s="213">
        <v>2.58</v>
      </c>
      <c r="BZ245" s="213">
        <v>9.67</v>
      </c>
      <c r="CA245" s="213">
        <v>6.67</v>
      </c>
      <c r="CB245" s="213">
        <v>8.17</v>
      </c>
      <c r="CC245" s="213">
        <v>6.57</v>
      </c>
      <c r="CD245" s="213">
        <v>6.33</v>
      </c>
      <c r="CE245" s="213">
        <v>6.45</v>
      </c>
      <c r="CF245" s="213">
        <v>1.82</v>
      </c>
      <c r="CG245" s="213">
        <v>1.32</v>
      </c>
      <c r="CH245" s="213">
        <v>1.57</v>
      </c>
      <c r="CI245" s="213">
        <v>0.43</v>
      </c>
      <c r="CJ245" s="213">
        <v>0.39</v>
      </c>
      <c r="CK245" s="213">
        <v>0.41000000000000003</v>
      </c>
      <c r="CL245" s="213">
        <v>38.979999999999997</v>
      </c>
      <c r="CM245" s="213">
        <v>36.58</v>
      </c>
      <c r="CN245" s="213">
        <v>37.78</v>
      </c>
      <c r="CO245" s="213">
        <v>6.77</v>
      </c>
      <c r="CP245" s="213">
        <v>1.7699999999999996</v>
      </c>
      <c r="CQ245" s="213">
        <v>4.2699999999999996</v>
      </c>
      <c r="CR245" s="213"/>
      <c r="CS245" s="213"/>
    </row>
    <row r="246" spans="1:97">
      <c r="A246" s="424">
        <v>45532</v>
      </c>
      <c r="B246" s="211" t="s">
        <v>249</v>
      </c>
      <c r="C246" s="213">
        <v>145.27000000000001</v>
      </c>
      <c r="D246" s="213">
        <v>143.27000000000001</v>
      </c>
      <c r="E246" s="213">
        <v>144.27000000000001</v>
      </c>
      <c r="F246" s="213">
        <v>162.72</v>
      </c>
      <c r="G246" s="213">
        <v>159.72</v>
      </c>
      <c r="H246" s="213">
        <v>161.22</v>
      </c>
      <c r="I246" s="213">
        <v>108.91</v>
      </c>
      <c r="J246" s="213">
        <v>105.71</v>
      </c>
      <c r="K246" s="213">
        <v>107.31</v>
      </c>
      <c r="L246" s="213">
        <v>195.24</v>
      </c>
      <c r="M246" s="213">
        <v>187.24</v>
      </c>
      <c r="N246" s="213">
        <v>191.24</v>
      </c>
      <c r="O246" s="213">
        <v>172.22</v>
      </c>
      <c r="P246" s="213">
        <v>170.42</v>
      </c>
      <c r="Q246" s="213">
        <v>171.32</v>
      </c>
      <c r="R246" s="213">
        <v>21.91</v>
      </c>
      <c r="S246" s="213">
        <v>21.31</v>
      </c>
      <c r="T246" s="213">
        <v>21.61</v>
      </c>
      <c r="U246" s="213">
        <v>14.1</v>
      </c>
      <c r="V246" s="213">
        <v>13.5</v>
      </c>
      <c r="W246" s="213">
        <v>13.8</v>
      </c>
      <c r="X246" s="213">
        <v>14.61</v>
      </c>
      <c r="Y246" s="213">
        <v>13.809999999999999</v>
      </c>
      <c r="Z246" s="213">
        <v>14.209999999999999</v>
      </c>
      <c r="AA246" s="213">
        <v>99.92</v>
      </c>
      <c r="AB246" s="213">
        <v>95.92</v>
      </c>
      <c r="AC246" s="213">
        <v>97.92</v>
      </c>
      <c r="AD246" s="213">
        <v>92.13</v>
      </c>
      <c r="AE246" s="213">
        <v>88.13</v>
      </c>
      <c r="AF246" s="213">
        <v>90.13</v>
      </c>
      <c r="AG246" s="213">
        <v>18.920000000000002</v>
      </c>
      <c r="AH246" s="213">
        <v>18.060000000000002</v>
      </c>
      <c r="AI246" s="213">
        <v>18.490000000000002</v>
      </c>
      <c r="AJ246" s="213"/>
      <c r="AK246" s="213"/>
      <c r="AL246" s="213"/>
      <c r="AM246" s="213">
        <v>111.67</v>
      </c>
      <c r="AN246" s="213">
        <v>110.01</v>
      </c>
      <c r="AO246" s="213">
        <v>110.84</v>
      </c>
      <c r="AP246" s="213">
        <v>39.31</v>
      </c>
      <c r="AQ246" s="213">
        <v>37.71</v>
      </c>
      <c r="AR246" s="213">
        <v>38.510000000000005</v>
      </c>
      <c r="AS246" s="213">
        <v>40.020000000000003</v>
      </c>
      <c r="AT246" s="213">
        <v>38.660000000000004</v>
      </c>
      <c r="AU246" s="213">
        <v>39.340000000000003</v>
      </c>
      <c r="AV246" s="213">
        <v>20.54</v>
      </c>
      <c r="AW246" s="213">
        <v>19.939999999999998</v>
      </c>
      <c r="AX246" s="213">
        <v>20.239999999999998</v>
      </c>
      <c r="AY246" s="213">
        <v>4.34</v>
      </c>
      <c r="AZ246" s="213">
        <v>4.18</v>
      </c>
      <c r="BA246" s="213">
        <v>4.26</v>
      </c>
      <c r="BB246" s="213">
        <v>1.88</v>
      </c>
      <c r="BC246" s="213">
        <v>1.5799999999999998</v>
      </c>
      <c r="BD246" s="213">
        <v>1.73</v>
      </c>
      <c r="BE246" s="213">
        <v>0.67</v>
      </c>
      <c r="BF246" s="213">
        <v>0.37000000000000005</v>
      </c>
      <c r="BG246" s="213">
        <v>0.52</v>
      </c>
      <c r="BH246" s="213">
        <v>481.79</v>
      </c>
      <c r="BI246" s="213">
        <v>465.79</v>
      </c>
      <c r="BJ246" s="213">
        <v>473.79</v>
      </c>
      <c r="BK246" s="213">
        <v>40.33</v>
      </c>
      <c r="BL246" s="213">
        <v>38.97</v>
      </c>
      <c r="BM246" s="213">
        <v>39.65</v>
      </c>
      <c r="BN246" s="213">
        <v>1.05</v>
      </c>
      <c r="BO246" s="213">
        <v>0.81</v>
      </c>
      <c r="BP246" s="213">
        <v>0.93</v>
      </c>
      <c r="BQ246" s="213">
        <v>8.31</v>
      </c>
      <c r="BR246" s="213">
        <v>6.3100000000000005</v>
      </c>
      <c r="BS246" s="213">
        <v>7.3100000000000005</v>
      </c>
      <c r="BT246" s="213">
        <v>11.05</v>
      </c>
      <c r="BU246" s="213">
        <v>10.65</v>
      </c>
      <c r="BV246" s="213">
        <v>10.850000000000001</v>
      </c>
      <c r="BW246" s="213">
        <v>2.72</v>
      </c>
      <c r="BX246" s="213">
        <v>2.4400000000000004</v>
      </c>
      <c r="BY246" s="213">
        <v>2.58</v>
      </c>
      <c r="BZ246" s="213">
        <v>9.64</v>
      </c>
      <c r="CA246" s="213">
        <v>6.6400000000000006</v>
      </c>
      <c r="CB246" s="213">
        <v>8.14</v>
      </c>
      <c r="CC246" s="213">
        <v>6.57</v>
      </c>
      <c r="CD246" s="213">
        <v>6.33</v>
      </c>
      <c r="CE246" s="213">
        <v>6.45</v>
      </c>
      <c r="CF246" s="213">
        <v>1.83</v>
      </c>
      <c r="CG246" s="213">
        <v>1.33</v>
      </c>
      <c r="CH246" s="213">
        <v>1.58</v>
      </c>
      <c r="CI246" s="213">
        <v>0.43</v>
      </c>
      <c r="CJ246" s="213">
        <v>0.39</v>
      </c>
      <c r="CK246" s="213">
        <v>0.41000000000000003</v>
      </c>
      <c r="CL246" s="213">
        <v>38.869999999999997</v>
      </c>
      <c r="CM246" s="213">
        <v>36.47</v>
      </c>
      <c r="CN246" s="213">
        <v>37.67</v>
      </c>
      <c r="CO246" s="213">
        <v>6.75</v>
      </c>
      <c r="CP246" s="213">
        <v>1.75</v>
      </c>
      <c r="CQ246" s="213">
        <v>4.25</v>
      </c>
      <c r="CR246" s="213"/>
      <c r="CS246" s="213"/>
    </row>
    <row r="247" spans="1:97">
      <c r="A247" s="424">
        <v>45533</v>
      </c>
      <c r="B247" s="211" t="s">
        <v>250</v>
      </c>
      <c r="C247" s="213">
        <v>145.53</v>
      </c>
      <c r="D247" s="213">
        <v>143.53</v>
      </c>
      <c r="E247" s="213">
        <v>144.53</v>
      </c>
      <c r="F247" s="213">
        <v>162.36000000000001</v>
      </c>
      <c r="G247" s="213">
        <v>159.36000000000001</v>
      </c>
      <c r="H247" s="213">
        <v>160.86000000000001</v>
      </c>
      <c r="I247" s="213">
        <v>108.87</v>
      </c>
      <c r="J247" s="213">
        <v>105.67</v>
      </c>
      <c r="K247" s="213">
        <v>107.27000000000001</v>
      </c>
      <c r="L247" s="213">
        <v>194.84</v>
      </c>
      <c r="M247" s="213">
        <v>186.84</v>
      </c>
      <c r="N247" s="213">
        <v>190.84</v>
      </c>
      <c r="O247" s="213">
        <v>172.51</v>
      </c>
      <c r="P247" s="213">
        <v>170.70999999999998</v>
      </c>
      <c r="Q247" s="213">
        <v>171.60999999999999</v>
      </c>
      <c r="R247" s="213">
        <v>21.86</v>
      </c>
      <c r="S247" s="213">
        <v>21.259999999999998</v>
      </c>
      <c r="T247" s="213">
        <v>21.56</v>
      </c>
      <c r="U247" s="213">
        <v>14.07</v>
      </c>
      <c r="V247" s="213">
        <v>13.47</v>
      </c>
      <c r="W247" s="213">
        <v>13.77</v>
      </c>
      <c r="X247" s="213">
        <v>14.6</v>
      </c>
      <c r="Y247" s="213">
        <v>13.799999999999999</v>
      </c>
      <c r="Z247" s="213">
        <v>14.2</v>
      </c>
      <c r="AA247" s="213">
        <v>100.21</v>
      </c>
      <c r="AB247" s="213">
        <v>96.21</v>
      </c>
      <c r="AC247" s="213">
        <v>98.21</v>
      </c>
      <c r="AD247" s="213">
        <v>92.45</v>
      </c>
      <c r="AE247" s="213">
        <v>88.45</v>
      </c>
      <c r="AF247" s="213">
        <v>90.45</v>
      </c>
      <c r="AG247" s="213">
        <v>18.96</v>
      </c>
      <c r="AH247" s="213">
        <v>18.100000000000001</v>
      </c>
      <c r="AI247" s="213">
        <v>18.53</v>
      </c>
      <c r="AJ247" s="213"/>
      <c r="AK247" s="213"/>
      <c r="AL247" s="213"/>
      <c r="AM247" s="213">
        <v>111.78</v>
      </c>
      <c r="AN247" s="213">
        <v>110.12</v>
      </c>
      <c r="AO247" s="213">
        <v>110.95</v>
      </c>
      <c r="AP247" s="213">
        <v>39.380000000000003</v>
      </c>
      <c r="AQ247" s="213">
        <v>37.78</v>
      </c>
      <c r="AR247" s="213">
        <v>38.58</v>
      </c>
      <c r="AS247" s="213">
        <v>40.1</v>
      </c>
      <c r="AT247" s="213">
        <v>38.74</v>
      </c>
      <c r="AU247" s="213">
        <v>39.42</v>
      </c>
      <c r="AV247" s="213">
        <v>20.55</v>
      </c>
      <c r="AW247" s="213">
        <v>19.95</v>
      </c>
      <c r="AX247" s="213">
        <v>20.25</v>
      </c>
      <c r="AY247" s="213">
        <v>4.33</v>
      </c>
      <c r="AZ247" s="213">
        <v>4.17</v>
      </c>
      <c r="BA247" s="213">
        <v>4.25</v>
      </c>
      <c r="BB247" s="213">
        <v>1.88</v>
      </c>
      <c r="BC247" s="213">
        <v>1.5799999999999998</v>
      </c>
      <c r="BD247" s="213">
        <v>1.73</v>
      </c>
      <c r="BE247" s="213">
        <v>0.67</v>
      </c>
      <c r="BF247" s="213">
        <v>0.37000000000000005</v>
      </c>
      <c r="BG247" s="213">
        <v>0.52</v>
      </c>
      <c r="BH247" s="213">
        <v>482.34</v>
      </c>
      <c r="BI247" s="213">
        <v>466.34</v>
      </c>
      <c r="BJ247" s="213">
        <v>474.34</v>
      </c>
      <c r="BK247" s="213">
        <v>40.4</v>
      </c>
      <c r="BL247" s="213">
        <v>39.04</v>
      </c>
      <c r="BM247" s="213">
        <v>39.72</v>
      </c>
      <c r="BN247" s="213">
        <v>1.06</v>
      </c>
      <c r="BO247" s="213">
        <v>0.82000000000000006</v>
      </c>
      <c r="BP247" s="213">
        <v>0.94000000000000006</v>
      </c>
      <c r="BQ247" s="213">
        <v>8.36</v>
      </c>
      <c r="BR247" s="213">
        <v>6.3599999999999994</v>
      </c>
      <c r="BS247" s="213">
        <v>7.3599999999999994</v>
      </c>
      <c r="BT247" s="213">
        <v>11.04</v>
      </c>
      <c r="BU247" s="213">
        <v>10.639999999999999</v>
      </c>
      <c r="BV247" s="213">
        <v>10.84</v>
      </c>
      <c r="BW247" s="213">
        <v>2.73</v>
      </c>
      <c r="BX247" s="213">
        <v>2.4500000000000002</v>
      </c>
      <c r="BY247" s="213">
        <v>2.59</v>
      </c>
      <c r="BZ247" s="213">
        <v>9.61</v>
      </c>
      <c r="CA247" s="213">
        <v>6.6099999999999994</v>
      </c>
      <c r="CB247" s="213">
        <v>8.11</v>
      </c>
      <c r="CC247" s="213">
        <v>6.54</v>
      </c>
      <c r="CD247" s="213">
        <v>6.3</v>
      </c>
      <c r="CE247" s="213">
        <v>6.42</v>
      </c>
      <c r="CF247" s="213">
        <v>1.83</v>
      </c>
      <c r="CG247" s="213">
        <v>1.33</v>
      </c>
      <c r="CH247" s="213">
        <v>1.58</v>
      </c>
      <c r="CI247" s="213">
        <v>0.43</v>
      </c>
      <c r="CJ247" s="213">
        <v>0.39</v>
      </c>
      <c r="CK247" s="213">
        <v>0.41000000000000003</v>
      </c>
      <c r="CL247" s="213">
        <v>38.65</v>
      </c>
      <c r="CM247" s="213">
        <v>36.25</v>
      </c>
      <c r="CN247" s="213">
        <v>37.450000000000003</v>
      </c>
      <c r="CO247" s="213">
        <v>6.76</v>
      </c>
      <c r="CP247" s="213">
        <v>1.7599999999999998</v>
      </c>
      <c r="CQ247" s="213">
        <v>4.26</v>
      </c>
      <c r="CR247" s="213"/>
      <c r="CS247" s="213"/>
    </row>
    <row r="248" spans="1:97">
      <c r="A248" s="424">
        <v>45534</v>
      </c>
      <c r="B248" s="211" t="s">
        <v>251</v>
      </c>
      <c r="C248" s="213">
        <v>145.80000000000001</v>
      </c>
      <c r="D248" s="213">
        <v>143.80000000000001</v>
      </c>
      <c r="E248" s="213">
        <v>144.80000000000001</v>
      </c>
      <c r="F248" s="213">
        <v>161.94</v>
      </c>
      <c r="G248" s="213">
        <v>158.94</v>
      </c>
      <c r="H248" s="213">
        <v>160.44</v>
      </c>
      <c r="I248" s="213">
        <v>108.94</v>
      </c>
      <c r="J248" s="213">
        <v>105.74</v>
      </c>
      <c r="K248" s="213">
        <v>107.34</v>
      </c>
      <c r="L248" s="213">
        <v>194.7</v>
      </c>
      <c r="M248" s="213">
        <v>186.7</v>
      </c>
      <c r="N248" s="213">
        <v>190.7</v>
      </c>
      <c r="O248" s="213">
        <v>171.74</v>
      </c>
      <c r="P248" s="213">
        <v>169.94</v>
      </c>
      <c r="Q248" s="213">
        <v>170.84</v>
      </c>
      <c r="R248" s="213">
        <v>21.81</v>
      </c>
      <c r="S248" s="213">
        <v>21.209999999999997</v>
      </c>
      <c r="T248" s="213">
        <v>21.509999999999998</v>
      </c>
      <c r="U248" s="213">
        <v>14.09</v>
      </c>
      <c r="V248" s="213">
        <v>13.49</v>
      </c>
      <c r="W248" s="213">
        <v>13.79</v>
      </c>
      <c r="X248" s="213">
        <v>14.57</v>
      </c>
      <c r="Y248" s="213">
        <v>13.77</v>
      </c>
      <c r="Z248" s="213">
        <v>14.17</v>
      </c>
      <c r="AA248" s="213">
        <v>100.44</v>
      </c>
      <c r="AB248" s="213">
        <v>96.44</v>
      </c>
      <c r="AC248" s="213">
        <v>98.44</v>
      </c>
      <c r="AD248" s="213">
        <v>92.79</v>
      </c>
      <c r="AE248" s="213">
        <v>88.79</v>
      </c>
      <c r="AF248" s="213">
        <v>90.79</v>
      </c>
      <c r="AG248" s="213">
        <v>19</v>
      </c>
      <c r="AH248" s="213">
        <v>18.14</v>
      </c>
      <c r="AI248" s="213">
        <v>18.57</v>
      </c>
      <c r="AJ248" s="213"/>
      <c r="AK248" s="213"/>
      <c r="AL248" s="213"/>
      <c r="AM248" s="213">
        <v>111.98</v>
      </c>
      <c r="AN248" s="213">
        <v>110.32000000000001</v>
      </c>
      <c r="AO248" s="213">
        <v>111.15</v>
      </c>
      <c r="AP248" s="213">
        <v>39.450000000000003</v>
      </c>
      <c r="AQ248" s="213">
        <v>37.85</v>
      </c>
      <c r="AR248" s="213">
        <v>38.650000000000006</v>
      </c>
      <c r="AS248" s="213">
        <v>40.17</v>
      </c>
      <c r="AT248" s="213">
        <v>38.81</v>
      </c>
      <c r="AU248" s="213">
        <v>39.49</v>
      </c>
      <c r="AV248" s="213">
        <v>20.7</v>
      </c>
      <c r="AW248" s="213">
        <v>20.099999999999998</v>
      </c>
      <c r="AX248" s="213">
        <v>20.399999999999999</v>
      </c>
      <c r="AY248" s="213">
        <v>4.3499999999999996</v>
      </c>
      <c r="AZ248" s="213">
        <v>4.1899999999999995</v>
      </c>
      <c r="BA248" s="213">
        <v>4.2699999999999996</v>
      </c>
      <c r="BB248" s="213">
        <v>1.89</v>
      </c>
      <c r="BC248" s="213">
        <v>1.5899999999999999</v>
      </c>
      <c r="BD248" s="213">
        <v>1.7399999999999998</v>
      </c>
      <c r="BE248" s="213">
        <v>0.67</v>
      </c>
      <c r="BF248" s="213">
        <v>0.37000000000000005</v>
      </c>
      <c r="BG248" s="213">
        <v>0.52</v>
      </c>
      <c r="BH248" s="213">
        <v>483.07</v>
      </c>
      <c r="BI248" s="213">
        <v>467.07</v>
      </c>
      <c r="BJ248" s="213">
        <v>475.07</v>
      </c>
      <c r="BK248" s="213">
        <v>40.47</v>
      </c>
      <c r="BL248" s="213">
        <v>39.11</v>
      </c>
      <c r="BM248" s="213">
        <v>39.79</v>
      </c>
      <c r="BN248" s="213">
        <v>1.06</v>
      </c>
      <c r="BO248" s="213">
        <v>0.82000000000000006</v>
      </c>
      <c r="BP248" s="213">
        <v>0.94000000000000006</v>
      </c>
      <c r="BQ248" s="213">
        <v>8.2899999999999991</v>
      </c>
      <c r="BR248" s="213">
        <v>6.2899999999999991</v>
      </c>
      <c r="BS248" s="213">
        <v>7.2899999999999991</v>
      </c>
      <c r="BT248" s="213">
        <v>11.06</v>
      </c>
      <c r="BU248" s="213">
        <v>10.66</v>
      </c>
      <c r="BV248" s="213">
        <v>10.86</v>
      </c>
      <c r="BW248" s="213">
        <v>2.73</v>
      </c>
      <c r="BX248" s="213">
        <v>2.4500000000000002</v>
      </c>
      <c r="BY248" s="213">
        <v>2.59</v>
      </c>
      <c r="BZ248" s="213">
        <v>9.65</v>
      </c>
      <c r="CA248" s="213">
        <v>6.65</v>
      </c>
      <c r="CB248" s="213">
        <v>8.15</v>
      </c>
      <c r="CC248" s="213">
        <v>6.53</v>
      </c>
      <c r="CD248" s="213">
        <v>6.29</v>
      </c>
      <c r="CE248" s="213">
        <v>6.41</v>
      </c>
      <c r="CF248" s="213">
        <v>1.84</v>
      </c>
      <c r="CG248" s="213">
        <v>1.34</v>
      </c>
      <c r="CH248" s="213">
        <v>1.59</v>
      </c>
      <c r="CI248" s="213">
        <v>0.43</v>
      </c>
      <c r="CJ248" s="213">
        <v>0.39</v>
      </c>
      <c r="CK248" s="213">
        <v>0.41000000000000003</v>
      </c>
      <c r="CL248" s="213">
        <v>38.67</v>
      </c>
      <c r="CM248" s="213">
        <v>36.270000000000003</v>
      </c>
      <c r="CN248" s="213">
        <v>37.47</v>
      </c>
      <c r="CO248" s="213">
        <v>6.77</v>
      </c>
      <c r="CP248" s="213">
        <v>1.7699999999999996</v>
      </c>
      <c r="CQ248" s="213">
        <v>4.2699999999999996</v>
      </c>
      <c r="CR248" s="213"/>
      <c r="CS248" s="213"/>
    </row>
    <row r="249" spans="1:97">
      <c r="A249" s="424">
        <v>45535</v>
      </c>
      <c r="B249" s="211" t="s">
        <v>252</v>
      </c>
      <c r="C249" s="213"/>
      <c r="D249" s="213"/>
      <c r="E249" s="213"/>
      <c r="F249" s="213"/>
      <c r="G249" s="213"/>
      <c r="H249" s="213"/>
      <c r="I249" s="213"/>
      <c r="J249" s="213"/>
      <c r="K249" s="213"/>
      <c r="L249" s="213"/>
      <c r="M249" s="213"/>
      <c r="N249" s="213"/>
      <c r="O249" s="213"/>
      <c r="P249" s="213"/>
      <c r="Q249" s="213"/>
      <c r="R249" s="213"/>
      <c r="S249" s="213"/>
      <c r="T249" s="213"/>
      <c r="U249" s="213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13"/>
      <c r="AF249" s="213"/>
      <c r="AG249" s="213"/>
      <c r="AH249" s="213"/>
      <c r="AI249" s="213"/>
      <c r="AJ249" s="213"/>
      <c r="AK249" s="213"/>
      <c r="AL249" s="213"/>
      <c r="AM249" s="213"/>
      <c r="AN249" s="213"/>
      <c r="AO249" s="213"/>
      <c r="AP249" s="213"/>
      <c r="AQ249" s="213"/>
      <c r="AR249" s="213"/>
      <c r="AS249" s="213"/>
      <c r="AT249" s="213"/>
      <c r="AU249" s="213"/>
      <c r="AV249" s="213"/>
      <c r="AW249" s="213"/>
      <c r="AX249" s="213"/>
      <c r="AY249" s="213"/>
      <c r="AZ249" s="213"/>
      <c r="BA249" s="213"/>
      <c r="BB249" s="213"/>
      <c r="BC249" s="213"/>
      <c r="BD249" s="213"/>
      <c r="BE249" s="213"/>
      <c r="BF249" s="213"/>
      <c r="BG249" s="213"/>
      <c r="BH249" s="213"/>
      <c r="BI249" s="213"/>
      <c r="BJ249" s="213"/>
      <c r="BK249" s="213"/>
      <c r="BL249" s="213"/>
      <c r="BM249" s="213"/>
      <c r="BN249" s="213"/>
      <c r="BO249" s="213"/>
      <c r="BP249" s="213"/>
      <c r="BQ249" s="213"/>
      <c r="BR249" s="213"/>
      <c r="BS249" s="213"/>
      <c r="BT249" s="213"/>
      <c r="BU249" s="213"/>
      <c r="BV249" s="213"/>
      <c r="BW249" s="213"/>
      <c r="BX249" s="213"/>
      <c r="BY249" s="213"/>
      <c r="BZ249" s="213"/>
      <c r="CA249" s="213"/>
      <c r="CB249" s="213"/>
      <c r="CC249" s="213"/>
      <c r="CD249" s="213"/>
      <c r="CE249" s="213"/>
      <c r="CF249" s="213"/>
      <c r="CG249" s="213"/>
      <c r="CH249" s="213"/>
      <c r="CI249" s="213"/>
      <c r="CJ249" s="213"/>
      <c r="CK249" s="213"/>
      <c r="CL249" s="213"/>
      <c r="CM249" s="213"/>
      <c r="CN249" s="213"/>
      <c r="CO249" s="213"/>
      <c r="CP249" s="213"/>
      <c r="CQ249" s="213"/>
      <c r="CR249" s="213"/>
      <c r="CS249" s="213"/>
    </row>
    <row r="250" spans="1:97">
      <c r="A250" s="424">
        <v>45536</v>
      </c>
      <c r="B250" s="211" t="s">
        <v>253</v>
      </c>
      <c r="C250" s="213"/>
      <c r="D250" s="213"/>
      <c r="E250" s="213"/>
      <c r="F250" s="213"/>
      <c r="G250" s="213"/>
      <c r="H250" s="213"/>
      <c r="I250" s="213"/>
      <c r="J250" s="213"/>
      <c r="K250" s="213"/>
      <c r="L250" s="213"/>
      <c r="M250" s="213"/>
      <c r="N250" s="213"/>
      <c r="O250" s="213"/>
      <c r="P250" s="213"/>
      <c r="Q250" s="213"/>
      <c r="R250" s="213"/>
      <c r="S250" s="213"/>
      <c r="T250" s="213"/>
      <c r="U250" s="213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13"/>
      <c r="AF250" s="213"/>
      <c r="AG250" s="213"/>
      <c r="AH250" s="213"/>
      <c r="AI250" s="213"/>
      <c r="AJ250" s="213"/>
      <c r="AK250" s="213"/>
      <c r="AL250" s="213"/>
      <c r="AM250" s="213"/>
      <c r="AN250" s="213"/>
      <c r="AO250" s="213"/>
      <c r="AP250" s="213"/>
      <c r="AQ250" s="213"/>
      <c r="AR250" s="213"/>
      <c r="AS250" s="213"/>
      <c r="AT250" s="213"/>
      <c r="AU250" s="213"/>
      <c r="AV250" s="213"/>
      <c r="AW250" s="213"/>
      <c r="AX250" s="213"/>
      <c r="AY250" s="213"/>
      <c r="AZ250" s="213"/>
      <c r="BA250" s="213"/>
      <c r="BB250" s="213"/>
      <c r="BC250" s="213"/>
      <c r="BD250" s="213"/>
      <c r="BE250" s="213"/>
      <c r="BF250" s="213"/>
      <c r="BG250" s="213"/>
      <c r="BH250" s="213"/>
      <c r="BI250" s="213"/>
      <c r="BJ250" s="213"/>
      <c r="BK250" s="213"/>
      <c r="BL250" s="213"/>
      <c r="BM250" s="213"/>
      <c r="BN250" s="213"/>
      <c r="BO250" s="213"/>
      <c r="BP250" s="213"/>
      <c r="BQ250" s="213"/>
      <c r="BR250" s="213"/>
      <c r="BS250" s="213"/>
      <c r="BT250" s="213"/>
      <c r="BU250" s="213"/>
      <c r="BV250" s="213"/>
      <c r="BW250" s="213"/>
      <c r="BX250" s="213"/>
      <c r="BY250" s="213"/>
      <c r="BZ250" s="213"/>
      <c r="CA250" s="213"/>
      <c r="CB250" s="213"/>
      <c r="CC250" s="213"/>
      <c r="CD250" s="213"/>
      <c r="CE250" s="213"/>
      <c r="CF250" s="213"/>
      <c r="CG250" s="213"/>
      <c r="CH250" s="213"/>
      <c r="CI250" s="213"/>
      <c r="CJ250" s="213"/>
      <c r="CK250" s="213"/>
      <c r="CL250" s="213"/>
      <c r="CM250" s="213"/>
      <c r="CN250" s="213"/>
      <c r="CO250" s="213"/>
      <c r="CP250" s="213"/>
      <c r="CQ250" s="213"/>
      <c r="CR250" s="213"/>
      <c r="CS250" s="213"/>
    </row>
    <row r="251" spans="1:97">
      <c r="A251" s="424">
        <v>45537</v>
      </c>
      <c r="B251" s="211" t="s">
        <v>247</v>
      </c>
      <c r="C251" s="213">
        <v>147.24</v>
      </c>
      <c r="D251" s="213">
        <v>145.24</v>
      </c>
      <c r="E251" s="213">
        <v>146.24</v>
      </c>
      <c r="F251" s="213">
        <v>163.13999999999999</v>
      </c>
      <c r="G251" s="213">
        <v>160.13999999999999</v>
      </c>
      <c r="H251" s="213">
        <v>161.63999999999999</v>
      </c>
      <c r="I251" s="213">
        <v>110.01</v>
      </c>
      <c r="J251" s="213">
        <v>106.81</v>
      </c>
      <c r="K251" s="213">
        <v>108.41</v>
      </c>
      <c r="L251" s="213">
        <v>196.1</v>
      </c>
      <c r="M251" s="213">
        <v>188.1</v>
      </c>
      <c r="N251" s="213">
        <v>192.1</v>
      </c>
      <c r="O251" s="213">
        <v>172.89</v>
      </c>
      <c r="P251" s="213">
        <v>171.08999999999997</v>
      </c>
      <c r="Q251" s="213">
        <v>171.98999999999998</v>
      </c>
      <c r="R251" s="213">
        <v>21.97</v>
      </c>
      <c r="S251" s="213">
        <v>21.369999999999997</v>
      </c>
      <c r="T251" s="213">
        <v>21.669999999999998</v>
      </c>
      <c r="U251" s="213">
        <v>14.08</v>
      </c>
      <c r="V251" s="213">
        <v>13.48</v>
      </c>
      <c r="W251" s="213">
        <v>13.780000000000001</v>
      </c>
      <c r="X251" s="213">
        <v>14.66</v>
      </c>
      <c r="Y251" s="213">
        <v>13.86</v>
      </c>
      <c r="Z251" s="213">
        <v>14.26</v>
      </c>
      <c r="AA251" s="213">
        <v>101.09</v>
      </c>
      <c r="AB251" s="213">
        <v>97.09</v>
      </c>
      <c r="AC251" s="213">
        <v>99.09</v>
      </c>
      <c r="AD251" s="213">
        <v>93.37</v>
      </c>
      <c r="AE251" s="213">
        <v>89.37</v>
      </c>
      <c r="AF251" s="213">
        <v>91.37</v>
      </c>
      <c r="AG251" s="213">
        <v>19.18</v>
      </c>
      <c r="AH251" s="213">
        <v>18.32</v>
      </c>
      <c r="AI251" s="213">
        <v>18.75</v>
      </c>
      <c r="AJ251" s="213"/>
      <c r="AK251" s="213"/>
      <c r="AL251" s="213"/>
      <c r="AM251" s="213">
        <v>112.81</v>
      </c>
      <c r="AN251" s="213">
        <v>111.15</v>
      </c>
      <c r="AO251" s="213">
        <v>111.98</v>
      </c>
      <c r="AP251" s="213">
        <v>39.83</v>
      </c>
      <c r="AQ251" s="213">
        <v>38.229999999999997</v>
      </c>
      <c r="AR251" s="213">
        <v>39.03</v>
      </c>
      <c r="AS251" s="213">
        <v>40.56</v>
      </c>
      <c r="AT251" s="213">
        <v>39.200000000000003</v>
      </c>
      <c r="AU251" s="213">
        <v>39.880000000000003</v>
      </c>
      <c r="AV251" s="213">
        <v>20.9</v>
      </c>
      <c r="AW251" s="213">
        <v>20.299999999999997</v>
      </c>
      <c r="AX251" s="213">
        <v>20.599999999999998</v>
      </c>
      <c r="AY251" s="213">
        <v>4.37</v>
      </c>
      <c r="AZ251" s="213">
        <v>4.21</v>
      </c>
      <c r="BA251" s="213">
        <v>4.29</v>
      </c>
      <c r="BB251" s="213">
        <v>1.9</v>
      </c>
      <c r="BC251" s="213">
        <v>1.5999999999999999</v>
      </c>
      <c r="BD251" s="213">
        <v>1.75</v>
      </c>
      <c r="BE251" s="213">
        <v>0.68</v>
      </c>
      <c r="BF251" s="213">
        <v>0.38000000000000006</v>
      </c>
      <c r="BG251" s="213">
        <v>0.53</v>
      </c>
      <c r="BH251" s="213">
        <v>486.85</v>
      </c>
      <c r="BI251" s="213">
        <v>470.85</v>
      </c>
      <c r="BJ251" s="213">
        <v>478.85</v>
      </c>
      <c r="BK251" s="213">
        <v>40.869999999999997</v>
      </c>
      <c r="BL251" s="213">
        <v>39.51</v>
      </c>
      <c r="BM251" s="213">
        <v>40.19</v>
      </c>
      <c r="BN251" s="213">
        <v>1.07</v>
      </c>
      <c r="BO251" s="213">
        <v>0.83000000000000007</v>
      </c>
      <c r="BP251" s="213">
        <v>0.95000000000000007</v>
      </c>
      <c r="BQ251" s="213">
        <v>8.41</v>
      </c>
      <c r="BR251" s="213">
        <v>6.41</v>
      </c>
      <c r="BS251" s="213">
        <v>7.41</v>
      </c>
      <c r="BT251" s="213">
        <v>11.13</v>
      </c>
      <c r="BU251" s="213">
        <v>10.73</v>
      </c>
      <c r="BV251" s="213">
        <v>10.93</v>
      </c>
      <c r="BW251" s="213">
        <v>2.76</v>
      </c>
      <c r="BX251" s="213">
        <v>2.4799999999999995</v>
      </c>
      <c r="BY251" s="213">
        <v>2.6199999999999997</v>
      </c>
      <c r="BZ251" s="213">
        <v>9.69</v>
      </c>
      <c r="CA251" s="213">
        <v>6.6899999999999995</v>
      </c>
      <c r="CB251" s="213">
        <v>8.19</v>
      </c>
      <c r="CC251" s="213">
        <v>6.58</v>
      </c>
      <c r="CD251" s="213">
        <v>6.34</v>
      </c>
      <c r="CE251" s="213">
        <v>6.46</v>
      </c>
      <c r="CF251" s="213">
        <v>1.86</v>
      </c>
      <c r="CG251" s="213">
        <v>1.36</v>
      </c>
      <c r="CH251" s="213">
        <v>1.61</v>
      </c>
      <c r="CI251" s="213">
        <v>0.43</v>
      </c>
      <c r="CJ251" s="213">
        <v>0.39</v>
      </c>
      <c r="CK251" s="213">
        <v>0.41000000000000003</v>
      </c>
      <c r="CL251" s="213">
        <v>38.950000000000003</v>
      </c>
      <c r="CM251" s="213">
        <v>36.550000000000004</v>
      </c>
      <c r="CN251" s="213">
        <v>37.75</v>
      </c>
      <c r="CO251" s="213">
        <v>6.8</v>
      </c>
      <c r="CP251" s="213">
        <v>1.7999999999999998</v>
      </c>
      <c r="CQ251" s="213">
        <v>4.3</v>
      </c>
      <c r="CR251" s="213"/>
      <c r="CS251" s="213"/>
    </row>
    <row r="252" spans="1:97">
      <c r="A252" s="424">
        <v>45538</v>
      </c>
      <c r="B252" s="211" t="s">
        <v>248</v>
      </c>
      <c r="C252" s="213">
        <v>148.16</v>
      </c>
      <c r="D252" s="213">
        <v>146.16</v>
      </c>
      <c r="E252" s="213">
        <v>147.16</v>
      </c>
      <c r="F252" s="213">
        <v>164.26</v>
      </c>
      <c r="G252" s="213">
        <v>161.26</v>
      </c>
      <c r="H252" s="213">
        <v>162.76</v>
      </c>
      <c r="I252" s="213">
        <v>110.6</v>
      </c>
      <c r="J252" s="213">
        <v>107.39999999999999</v>
      </c>
      <c r="K252" s="213">
        <v>109</v>
      </c>
      <c r="L252" s="213">
        <v>197.31</v>
      </c>
      <c r="M252" s="213">
        <v>189.31</v>
      </c>
      <c r="N252" s="213">
        <v>193.31</v>
      </c>
      <c r="O252" s="213">
        <v>173.5</v>
      </c>
      <c r="P252" s="213">
        <v>171.7</v>
      </c>
      <c r="Q252" s="213">
        <v>172.6</v>
      </c>
      <c r="R252" s="213">
        <v>22.12</v>
      </c>
      <c r="S252" s="213">
        <v>21.52</v>
      </c>
      <c r="T252" s="213">
        <v>21.82</v>
      </c>
      <c r="U252" s="213">
        <v>14.19</v>
      </c>
      <c r="V252" s="213">
        <v>13.59</v>
      </c>
      <c r="W252" s="213">
        <v>13.89</v>
      </c>
      <c r="X252" s="213">
        <v>14.76</v>
      </c>
      <c r="Y252" s="213">
        <v>13.959999999999999</v>
      </c>
      <c r="Z252" s="213">
        <v>14.36</v>
      </c>
      <c r="AA252" s="213">
        <v>101.82</v>
      </c>
      <c r="AB252" s="213">
        <v>97.82</v>
      </c>
      <c r="AC252" s="213">
        <v>99.82</v>
      </c>
      <c r="AD252" s="213">
        <v>93.52</v>
      </c>
      <c r="AE252" s="213">
        <v>89.52</v>
      </c>
      <c r="AF252" s="213">
        <v>91.52</v>
      </c>
      <c r="AG252" s="213">
        <v>19.3</v>
      </c>
      <c r="AH252" s="213">
        <v>18.440000000000001</v>
      </c>
      <c r="AI252" s="213">
        <v>18.87</v>
      </c>
      <c r="AJ252" s="213"/>
      <c r="AK252" s="213"/>
      <c r="AL252" s="213"/>
      <c r="AM252" s="213">
        <v>113.34</v>
      </c>
      <c r="AN252" s="213">
        <v>111.68</v>
      </c>
      <c r="AO252" s="213">
        <v>112.51</v>
      </c>
      <c r="AP252" s="213">
        <v>40.07</v>
      </c>
      <c r="AQ252" s="213">
        <v>38.47</v>
      </c>
      <c r="AR252" s="213">
        <v>39.269999999999996</v>
      </c>
      <c r="AS252" s="213">
        <v>40.81</v>
      </c>
      <c r="AT252" s="213">
        <v>39.450000000000003</v>
      </c>
      <c r="AU252" s="213">
        <v>40.130000000000003</v>
      </c>
      <c r="AV252" s="213">
        <v>20.97</v>
      </c>
      <c r="AW252" s="213">
        <v>20.369999999999997</v>
      </c>
      <c r="AX252" s="213">
        <v>20.669999999999998</v>
      </c>
      <c r="AY252" s="213">
        <v>4.38</v>
      </c>
      <c r="AZ252" s="213">
        <v>4.22</v>
      </c>
      <c r="BA252" s="213">
        <v>4.3</v>
      </c>
      <c r="BB252" s="213">
        <v>1.91</v>
      </c>
      <c r="BC252" s="213">
        <v>1.6099999999999999</v>
      </c>
      <c r="BD252" s="213">
        <v>1.7599999999999998</v>
      </c>
      <c r="BE252" s="213">
        <v>0.68</v>
      </c>
      <c r="BF252" s="213">
        <v>0.38000000000000006</v>
      </c>
      <c r="BG252" s="213">
        <v>0.53</v>
      </c>
      <c r="BH252" s="213">
        <v>488.76</v>
      </c>
      <c r="BI252" s="213">
        <v>472.76</v>
      </c>
      <c r="BJ252" s="213">
        <v>480.76</v>
      </c>
      <c r="BK252" s="213">
        <v>41.12</v>
      </c>
      <c r="BL252" s="213">
        <v>39.76</v>
      </c>
      <c r="BM252" s="213">
        <v>40.44</v>
      </c>
      <c r="BN252" s="213">
        <v>1.07</v>
      </c>
      <c r="BO252" s="213">
        <v>0.83000000000000007</v>
      </c>
      <c r="BP252" s="213">
        <v>0.95000000000000007</v>
      </c>
      <c r="BQ252" s="213">
        <v>8.42</v>
      </c>
      <c r="BR252" s="213">
        <v>6.42</v>
      </c>
      <c r="BS252" s="213">
        <v>7.42</v>
      </c>
      <c r="BT252" s="213">
        <v>11.19</v>
      </c>
      <c r="BU252" s="213">
        <v>10.79</v>
      </c>
      <c r="BV252" s="213">
        <v>10.989999999999998</v>
      </c>
      <c r="BW252" s="213">
        <v>2.77</v>
      </c>
      <c r="BX252" s="213">
        <v>2.4900000000000002</v>
      </c>
      <c r="BY252" s="213">
        <v>2.63</v>
      </c>
      <c r="BZ252" s="213">
        <v>9.75</v>
      </c>
      <c r="CA252" s="213">
        <v>6.75</v>
      </c>
      <c r="CB252" s="213">
        <v>8.25</v>
      </c>
      <c r="CC252" s="213">
        <v>6.63</v>
      </c>
      <c r="CD252" s="213">
        <v>6.39</v>
      </c>
      <c r="CE252" s="213">
        <v>6.51</v>
      </c>
      <c r="CF252" s="213">
        <v>1.89</v>
      </c>
      <c r="CG252" s="213">
        <v>1.39</v>
      </c>
      <c r="CH252" s="213">
        <v>1.64</v>
      </c>
      <c r="CI252" s="213">
        <v>0.44</v>
      </c>
      <c r="CJ252" s="213">
        <v>0.4</v>
      </c>
      <c r="CK252" s="213">
        <v>0.42000000000000004</v>
      </c>
      <c r="CL252" s="213">
        <v>39.35</v>
      </c>
      <c r="CM252" s="213">
        <v>36.950000000000003</v>
      </c>
      <c r="CN252" s="213">
        <v>38.150000000000006</v>
      </c>
      <c r="CO252" s="213">
        <v>6.85</v>
      </c>
      <c r="CP252" s="213">
        <v>1.8499999999999996</v>
      </c>
      <c r="CQ252" s="213">
        <v>4.3499999999999996</v>
      </c>
      <c r="CR252" s="213"/>
      <c r="CS252" s="213"/>
    </row>
    <row r="253" spans="1:97">
      <c r="A253" s="424">
        <v>45539</v>
      </c>
      <c r="B253" s="211" t="s">
        <v>249</v>
      </c>
      <c r="C253" s="213">
        <v>146.4</v>
      </c>
      <c r="D253" s="213">
        <v>144.4</v>
      </c>
      <c r="E253" s="213">
        <v>145.4</v>
      </c>
      <c r="F253" s="213">
        <v>162.13999999999999</v>
      </c>
      <c r="G253" s="213">
        <v>159.13999999999999</v>
      </c>
      <c r="H253" s="213">
        <v>160.63999999999999</v>
      </c>
      <c r="I253" s="213">
        <v>108.91</v>
      </c>
      <c r="J253" s="213">
        <v>105.71</v>
      </c>
      <c r="K253" s="213">
        <v>107.31</v>
      </c>
      <c r="L253" s="213">
        <v>194.56</v>
      </c>
      <c r="M253" s="213">
        <v>186.56</v>
      </c>
      <c r="N253" s="213">
        <v>190.56</v>
      </c>
      <c r="O253" s="213">
        <v>172.18</v>
      </c>
      <c r="P253" s="213">
        <v>170.38</v>
      </c>
      <c r="Q253" s="213">
        <v>171.28</v>
      </c>
      <c r="R253" s="213">
        <v>21.83</v>
      </c>
      <c r="S253" s="213">
        <v>21.229999999999997</v>
      </c>
      <c r="T253" s="213">
        <v>21.529999999999998</v>
      </c>
      <c r="U253" s="213">
        <v>13.89</v>
      </c>
      <c r="V253" s="213">
        <v>13.290000000000001</v>
      </c>
      <c r="W253" s="213">
        <v>13.59</v>
      </c>
      <c r="X253" s="213">
        <v>14.52</v>
      </c>
      <c r="Y253" s="213">
        <v>13.719999999999999</v>
      </c>
      <c r="Z253" s="213">
        <v>14.12</v>
      </c>
      <c r="AA253" s="213">
        <v>99.39</v>
      </c>
      <c r="AB253" s="213">
        <v>95.39</v>
      </c>
      <c r="AC253" s="213">
        <v>97.39</v>
      </c>
      <c r="AD253" s="213">
        <v>91.83</v>
      </c>
      <c r="AE253" s="213">
        <v>87.83</v>
      </c>
      <c r="AF253" s="213">
        <v>89.83</v>
      </c>
      <c r="AG253" s="213">
        <v>19.079999999999998</v>
      </c>
      <c r="AH253" s="213">
        <v>18.22</v>
      </c>
      <c r="AI253" s="213">
        <v>18.649999999999999</v>
      </c>
      <c r="AJ253" s="213"/>
      <c r="AK253" s="213"/>
      <c r="AL253" s="213"/>
      <c r="AM253" s="213">
        <v>112.03</v>
      </c>
      <c r="AN253" s="213">
        <v>110.37</v>
      </c>
      <c r="AO253" s="213">
        <v>111.2</v>
      </c>
      <c r="AP253" s="213">
        <v>39.64</v>
      </c>
      <c r="AQ253" s="213">
        <v>38.04</v>
      </c>
      <c r="AR253" s="213">
        <v>38.840000000000003</v>
      </c>
      <c r="AS253" s="213">
        <v>40.33</v>
      </c>
      <c r="AT253" s="213">
        <v>38.97</v>
      </c>
      <c r="AU253" s="213">
        <v>39.65</v>
      </c>
      <c r="AV253" s="213">
        <v>20.73</v>
      </c>
      <c r="AW253" s="213">
        <v>20.13</v>
      </c>
      <c r="AX253" s="213">
        <v>20.43</v>
      </c>
      <c r="AY253" s="213">
        <v>4.33</v>
      </c>
      <c r="AZ253" s="213">
        <v>4.17</v>
      </c>
      <c r="BA253" s="213">
        <v>4.25</v>
      </c>
      <c r="BB253" s="213">
        <v>1.89</v>
      </c>
      <c r="BC253" s="213">
        <v>1.5899999999999999</v>
      </c>
      <c r="BD253" s="213">
        <v>1.7399999999999998</v>
      </c>
      <c r="BE253" s="213">
        <v>0.67</v>
      </c>
      <c r="BF253" s="213">
        <v>0.37000000000000005</v>
      </c>
      <c r="BG253" s="213">
        <v>0.52</v>
      </c>
      <c r="BH253" s="213">
        <v>484.88</v>
      </c>
      <c r="BI253" s="213">
        <v>468.88</v>
      </c>
      <c r="BJ253" s="213">
        <v>476.88</v>
      </c>
      <c r="BK253" s="213">
        <v>40.64</v>
      </c>
      <c r="BL253" s="213">
        <v>39.28</v>
      </c>
      <c r="BM253" s="213">
        <v>39.96</v>
      </c>
      <c r="BN253" s="213">
        <v>1.06</v>
      </c>
      <c r="BO253" s="213">
        <v>0.82000000000000006</v>
      </c>
      <c r="BP253" s="213">
        <v>0.94000000000000006</v>
      </c>
      <c r="BQ253" s="213">
        <v>8.34</v>
      </c>
      <c r="BR253" s="213">
        <v>6.34</v>
      </c>
      <c r="BS253" s="213">
        <v>7.34</v>
      </c>
      <c r="BT253" s="213">
        <v>11.04</v>
      </c>
      <c r="BU253" s="213">
        <v>10.639999999999999</v>
      </c>
      <c r="BV253" s="213">
        <v>10.84</v>
      </c>
      <c r="BW253" s="213">
        <v>2.73</v>
      </c>
      <c r="BX253" s="213">
        <v>2.4500000000000002</v>
      </c>
      <c r="BY253" s="213">
        <v>2.59</v>
      </c>
      <c r="BZ253" s="213">
        <v>9.58</v>
      </c>
      <c r="CA253" s="213">
        <v>6.58</v>
      </c>
      <c r="CB253" s="213">
        <v>8.08</v>
      </c>
      <c r="CC253" s="213">
        <v>6.53</v>
      </c>
      <c r="CD253" s="213">
        <v>6.29</v>
      </c>
      <c r="CE253" s="213">
        <v>6.41</v>
      </c>
      <c r="CF253" s="213">
        <v>1.9</v>
      </c>
      <c r="CG253" s="213">
        <v>1.4</v>
      </c>
      <c r="CH253" s="213">
        <v>1.65</v>
      </c>
      <c r="CI253" s="213">
        <v>0.43</v>
      </c>
      <c r="CJ253" s="213">
        <v>0.39</v>
      </c>
      <c r="CK253" s="213">
        <v>0.41000000000000003</v>
      </c>
      <c r="CL253" s="213">
        <v>38.71</v>
      </c>
      <c r="CM253" s="213">
        <v>36.31</v>
      </c>
      <c r="CN253" s="213">
        <v>37.510000000000005</v>
      </c>
      <c r="CO253" s="213">
        <v>6.78</v>
      </c>
      <c r="CP253" s="213">
        <v>1.7800000000000002</v>
      </c>
      <c r="CQ253" s="213">
        <v>4.28</v>
      </c>
      <c r="CR253" s="213"/>
      <c r="CS253" s="213"/>
    </row>
    <row r="254" spans="1:97">
      <c r="A254" s="424">
        <v>45540</v>
      </c>
      <c r="B254" s="211" t="s">
        <v>250</v>
      </c>
      <c r="C254" s="213">
        <v>144.79</v>
      </c>
      <c r="D254" s="213">
        <v>142.79</v>
      </c>
      <c r="E254" s="213">
        <v>143.79</v>
      </c>
      <c r="F254" s="213">
        <v>160.75</v>
      </c>
      <c r="G254" s="213">
        <v>157.75</v>
      </c>
      <c r="H254" s="213">
        <v>159.25</v>
      </c>
      <c r="I254" s="213">
        <v>108.05</v>
      </c>
      <c r="J254" s="213">
        <v>104.85</v>
      </c>
      <c r="K254" s="213">
        <v>106.44999999999999</v>
      </c>
      <c r="L254" s="213">
        <v>192.98</v>
      </c>
      <c r="M254" s="213">
        <v>184.98</v>
      </c>
      <c r="N254" s="213">
        <v>188.98</v>
      </c>
      <c r="O254" s="213">
        <v>170.6</v>
      </c>
      <c r="P254" s="213">
        <v>168.79999999999998</v>
      </c>
      <c r="Q254" s="213">
        <v>169.7</v>
      </c>
      <c r="R254" s="213">
        <v>21.65</v>
      </c>
      <c r="S254" s="213">
        <v>21.049999999999997</v>
      </c>
      <c r="T254" s="213">
        <v>21.349999999999998</v>
      </c>
      <c r="U254" s="213">
        <v>13.8</v>
      </c>
      <c r="V254" s="213">
        <v>13.200000000000001</v>
      </c>
      <c r="W254" s="213">
        <v>13.5</v>
      </c>
      <c r="X254" s="213">
        <v>14.39</v>
      </c>
      <c r="Y254" s="213">
        <v>13.59</v>
      </c>
      <c r="Z254" s="213">
        <v>13.99</v>
      </c>
      <c r="AA254" s="213">
        <v>98.64</v>
      </c>
      <c r="AB254" s="213">
        <v>94.64</v>
      </c>
      <c r="AC254" s="213">
        <v>96.64</v>
      </c>
      <c r="AD254" s="213">
        <v>90.93</v>
      </c>
      <c r="AE254" s="213">
        <v>86.93</v>
      </c>
      <c r="AF254" s="213">
        <v>88.93</v>
      </c>
      <c r="AG254" s="213">
        <v>18.87</v>
      </c>
      <c r="AH254" s="213">
        <v>18.010000000000002</v>
      </c>
      <c r="AI254" s="213">
        <v>18.440000000000001</v>
      </c>
      <c r="AJ254" s="213"/>
      <c r="AK254" s="213"/>
      <c r="AL254" s="213"/>
      <c r="AM254" s="213">
        <v>111.15</v>
      </c>
      <c r="AN254" s="213">
        <v>109.49000000000001</v>
      </c>
      <c r="AO254" s="213">
        <v>110.32000000000001</v>
      </c>
      <c r="AP254" s="213">
        <v>39.17</v>
      </c>
      <c r="AQ254" s="213">
        <v>37.57</v>
      </c>
      <c r="AR254" s="213">
        <v>38.370000000000005</v>
      </c>
      <c r="AS254" s="213">
        <v>39.89</v>
      </c>
      <c r="AT254" s="213">
        <v>38.53</v>
      </c>
      <c r="AU254" s="213">
        <v>39.21</v>
      </c>
      <c r="AV254" s="213">
        <v>20.52</v>
      </c>
      <c r="AW254" s="213">
        <v>19.919999999999998</v>
      </c>
      <c r="AX254" s="213">
        <v>20.22</v>
      </c>
      <c r="AY254" s="213">
        <v>4.3099999999999996</v>
      </c>
      <c r="AZ254" s="213">
        <v>4.1499999999999995</v>
      </c>
      <c r="BA254" s="213">
        <v>4.2299999999999995</v>
      </c>
      <c r="BB254" s="213">
        <v>1.87</v>
      </c>
      <c r="BC254" s="213">
        <v>1.57</v>
      </c>
      <c r="BD254" s="213">
        <v>1.7200000000000002</v>
      </c>
      <c r="BE254" s="213">
        <v>0.67</v>
      </c>
      <c r="BF254" s="213">
        <v>0.37000000000000005</v>
      </c>
      <c r="BG254" s="213">
        <v>0.52</v>
      </c>
      <c r="BH254" s="213">
        <v>478.52</v>
      </c>
      <c r="BI254" s="213">
        <v>462.52</v>
      </c>
      <c r="BJ254" s="213">
        <v>470.52</v>
      </c>
      <c r="BK254" s="213">
        <v>40.19</v>
      </c>
      <c r="BL254" s="213">
        <v>38.83</v>
      </c>
      <c r="BM254" s="213">
        <v>39.51</v>
      </c>
      <c r="BN254" s="213">
        <v>1.05</v>
      </c>
      <c r="BO254" s="213">
        <v>0.81</v>
      </c>
      <c r="BP254" s="213">
        <v>0.93</v>
      </c>
      <c r="BQ254" s="213">
        <v>8.2200000000000006</v>
      </c>
      <c r="BR254" s="213">
        <v>6.2200000000000006</v>
      </c>
      <c r="BS254" s="213">
        <v>7.2200000000000006</v>
      </c>
      <c r="BT254" s="213">
        <v>10.98</v>
      </c>
      <c r="BU254" s="213">
        <v>10.58</v>
      </c>
      <c r="BV254" s="213">
        <v>10.780000000000001</v>
      </c>
      <c r="BW254" s="213">
        <v>2.7</v>
      </c>
      <c r="BX254" s="213">
        <v>2.42</v>
      </c>
      <c r="BY254" s="213">
        <v>2.56</v>
      </c>
      <c r="BZ254" s="213">
        <v>9.5399999999999991</v>
      </c>
      <c r="CA254" s="213">
        <v>6.5399999999999991</v>
      </c>
      <c r="CB254" s="213">
        <v>8.0399999999999991</v>
      </c>
      <c r="CC254" s="213">
        <v>6.48</v>
      </c>
      <c r="CD254" s="213">
        <v>6.24</v>
      </c>
      <c r="CE254" s="213">
        <v>6.36</v>
      </c>
      <c r="CF254" s="213">
        <v>1.9</v>
      </c>
      <c r="CG254" s="213">
        <v>1.4</v>
      </c>
      <c r="CH254" s="213">
        <v>1.65</v>
      </c>
      <c r="CI254" s="213">
        <v>0.42</v>
      </c>
      <c r="CJ254" s="213">
        <v>0.38</v>
      </c>
      <c r="CK254" s="213">
        <v>0.4</v>
      </c>
      <c r="CL254" s="213">
        <v>38.450000000000003</v>
      </c>
      <c r="CM254" s="213">
        <v>36.050000000000004</v>
      </c>
      <c r="CN254" s="213">
        <v>37.25</v>
      </c>
      <c r="CO254" s="213">
        <v>6.73</v>
      </c>
      <c r="CP254" s="213">
        <v>1.7300000000000004</v>
      </c>
      <c r="CQ254" s="213">
        <v>4.2300000000000004</v>
      </c>
      <c r="CR254" s="213"/>
      <c r="CS254" s="213"/>
    </row>
    <row r="255" spans="1:97">
      <c r="A255" s="424">
        <v>45541</v>
      </c>
      <c r="B255" s="211" t="s">
        <v>251</v>
      </c>
      <c r="C255" s="213">
        <v>144.24</v>
      </c>
      <c r="D255" s="213">
        <v>142.24</v>
      </c>
      <c r="E255" s="213">
        <v>143.24</v>
      </c>
      <c r="F255" s="213">
        <v>160.68</v>
      </c>
      <c r="G255" s="213">
        <v>157.68</v>
      </c>
      <c r="H255" s="213">
        <v>159.18</v>
      </c>
      <c r="I255" s="213">
        <v>107.73</v>
      </c>
      <c r="J255" s="213">
        <v>104.53</v>
      </c>
      <c r="K255" s="213">
        <v>106.13</v>
      </c>
      <c r="L255" s="213">
        <v>192.83</v>
      </c>
      <c r="M255" s="213">
        <v>184.83</v>
      </c>
      <c r="N255" s="213">
        <v>188.83</v>
      </c>
      <c r="O255" s="213">
        <v>170.72</v>
      </c>
      <c r="P255" s="213">
        <v>168.92</v>
      </c>
      <c r="Q255" s="213">
        <v>169.82</v>
      </c>
      <c r="R255" s="213">
        <v>21.64</v>
      </c>
      <c r="S255" s="213">
        <v>21.04</v>
      </c>
      <c r="T255" s="213">
        <v>21.34</v>
      </c>
      <c r="U255" s="213">
        <v>13.78</v>
      </c>
      <c r="V255" s="213">
        <v>13.18</v>
      </c>
      <c r="W255" s="213">
        <v>13.48</v>
      </c>
      <c r="X255" s="213">
        <v>14.38</v>
      </c>
      <c r="Y255" s="213">
        <v>13.58</v>
      </c>
      <c r="Z255" s="213">
        <v>13.98</v>
      </c>
      <c r="AA255" s="213">
        <v>98.59</v>
      </c>
      <c r="AB255" s="213">
        <v>94.59</v>
      </c>
      <c r="AC255" s="213">
        <v>96.59</v>
      </c>
      <c r="AD255" s="213">
        <v>91.14</v>
      </c>
      <c r="AE255" s="213">
        <v>87.14</v>
      </c>
      <c r="AF255" s="213">
        <v>89.14</v>
      </c>
      <c r="AG255" s="213">
        <v>18.809999999999999</v>
      </c>
      <c r="AH255" s="213">
        <v>17.95</v>
      </c>
      <c r="AI255" s="213">
        <v>18.38</v>
      </c>
      <c r="AJ255" s="213"/>
      <c r="AK255" s="213"/>
      <c r="AL255" s="213"/>
      <c r="AM255" s="213">
        <v>111.07</v>
      </c>
      <c r="AN255" s="213">
        <v>109.41</v>
      </c>
      <c r="AO255" s="213">
        <v>110.24</v>
      </c>
      <c r="AP255" s="213">
        <v>39.020000000000003</v>
      </c>
      <c r="AQ255" s="213">
        <v>37.42</v>
      </c>
      <c r="AR255" s="213">
        <v>38.22</v>
      </c>
      <c r="AS255" s="213">
        <v>39.74</v>
      </c>
      <c r="AT255" s="213">
        <v>38.380000000000003</v>
      </c>
      <c r="AU255" s="213">
        <v>39.06</v>
      </c>
      <c r="AV255" s="213">
        <v>20.51</v>
      </c>
      <c r="AW255" s="213">
        <v>19.91</v>
      </c>
      <c r="AX255" s="213">
        <v>20.21</v>
      </c>
      <c r="AY255" s="213">
        <v>4.3499999999999996</v>
      </c>
      <c r="AZ255" s="213">
        <v>4.1899999999999995</v>
      </c>
      <c r="BA255" s="213">
        <v>4.2699999999999996</v>
      </c>
      <c r="BB255" s="213">
        <v>1.87</v>
      </c>
      <c r="BC255" s="213">
        <v>1.57</v>
      </c>
      <c r="BD255" s="213">
        <v>1.7200000000000002</v>
      </c>
      <c r="BE255" s="213">
        <v>0.67</v>
      </c>
      <c r="BF255" s="213">
        <v>0.37000000000000005</v>
      </c>
      <c r="BG255" s="213">
        <v>0.52</v>
      </c>
      <c r="BH255" s="213">
        <v>477.95</v>
      </c>
      <c r="BI255" s="213">
        <v>461.95</v>
      </c>
      <c r="BJ255" s="213">
        <v>469.95</v>
      </c>
      <c r="BK255" s="213">
        <v>40.04</v>
      </c>
      <c r="BL255" s="213">
        <v>38.68</v>
      </c>
      <c r="BM255" s="213">
        <v>39.36</v>
      </c>
      <c r="BN255" s="213">
        <v>1.05</v>
      </c>
      <c r="BO255" s="213">
        <v>0.81</v>
      </c>
      <c r="BP255" s="213">
        <v>0.93</v>
      </c>
      <c r="BQ255" s="213">
        <v>8.1999999999999993</v>
      </c>
      <c r="BR255" s="213">
        <v>6.1999999999999993</v>
      </c>
      <c r="BS255" s="213">
        <v>7.1999999999999993</v>
      </c>
      <c r="BT255" s="213">
        <v>10.97</v>
      </c>
      <c r="BU255" s="213">
        <v>10.57</v>
      </c>
      <c r="BV255" s="213">
        <v>10.77</v>
      </c>
      <c r="BW255" s="213">
        <v>2.71</v>
      </c>
      <c r="BX255" s="213">
        <v>2.4299999999999997</v>
      </c>
      <c r="BY255" s="213">
        <v>2.57</v>
      </c>
      <c r="BZ255" s="213">
        <v>9.59</v>
      </c>
      <c r="CA255" s="213">
        <v>6.59</v>
      </c>
      <c r="CB255" s="213">
        <v>8.09</v>
      </c>
      <c r="CC255" s="213">
        <v>6.49</v>
      </c>
      <c r="CD255" s="213">
        <v>6.25</v>
      </c>
      <c r="CE255" s="213">
        <v>6.37</v>
      </c>
      <c r="CF255" s="213">
        <v>1.88</v>
      </c>
      <c r="CG255" s="213">
        <v>1.38</v>
      </c>
      <c r="CH255" s="213">
        <v>1.63</v>
      </c>
      <c r="CI255" s="213">
        <v>0.43</v>
      </c>
      <c r="CJ255" s="213">
        <v>0.39</v>
      </c>
      <c r="CK255" s="213">
        <v>0.41000000000000003</v>
      </c>
      <c r="CL255" s="213">
        <v>38.4</v>
      </c>
      <c r="CM255" s="213">
        <v>36</v>
      </c>
      <c r="CN255" s="213">
        <v>37.200000000000003</v>
      </c>
      <c r="CO255" s="213">
        <v>6.73</v>
      </c>
      <c r="CP255" s="213">
        <v>1.7300000000000004</v>
      </c>
      <c r="CQ255" s="213">
        <v>4.2300000000000004</v>
      </c>
      <c r="CR255" s="213"/>
      <c r="CS255" s="213"/>
    </row>
    <row r="256" spans="1:97">
      <c r="A256" s="424">
        <v>45542</v>
      </c>
      <c r="B256" s="211" t="s">
        <v>252</v>
      </c>
      <c r="C256" s="213"/>
      <c r="D256" s="213"/>
      <c r="E256" s="213"/>
      <c r="F256" s="213"/>
      <c r="G256" s="213"/>
      <c r="H256" s="213"/>
      <c r="I256" s="213"/>
      <c r="J256" s="213"/>
      <c r="K256" s="213"/>
      <c r="L256" s="213"/>
      <c r="M256" s="213"/>
      <c r="N256" s="213"/>
      <c r="O256" s="213"/>
      <c r="P256" s="213"/>
      <c r="Q256" s="213"/>
      <c r="R256" s="213"/>
      <c r="S256" s="213"/>
      <c r="T256" s="213"/>
      <c r="U256" s="213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13"/>
      <c r="AF256" s="213"/>
      <c r="AG256" s="213"/>
      <c r="AH256" s="213"/>
      <c r="AI256" s="213"/>
      <c r="AJ256" s="213"/>
      <c r="AK256" s="213"/>
      <c r="AL256" s="213"/>
      <c r="AM256" s="213"/>
      <c r="AN256" s="213"/>
      <c r="AO256" s="213"/>
      <c r="AP256" s="213"/>
      <c r="AQ256" s="213"/>
      <c r="AR256" s="213"/>
      <c r="AS256" s="213"/>
      <c r="AT256" s="213"/>
      <c r="AU256" s="213"/>
      <c r="AV256" s="213"/>
      <c r="AW256" s="213"/>
      <c r="AX256" s="213"/>
      <c r="AY256" s="213"/>
      <c r="AZ256" s="213"/>
      <c r="BA256" s="213"/>
      <c r="BB256" s="213"/>
      <c r="BC256" s="213"/>
      <c r="BD256" s="213"/>
      <c r="BE256" s="213"/>
      <c r="BF256" s="213"/>
      <c r="BG256" s="213"/>
      <c r="BH256" s="213"/>
      <c r="BI256" s="213"/>
      <c r="BJ256" s="213"/>
      <c r="BK256" s="213"/>
      <c r="BL256" s="213"/>
      <c r="BM256" s="213"/>
      <c r="BN256" s="213"/>
      <c r="BO256" s="213"/>
      <c r="BP256" s="213"/>
      <c r="BQ256" s="213"/>
      <c r="BR256" s="213"/>
      <c r="BS256" s="213"/>
      <c r="BT256" s="213"/>
      <c r="BU256" s="213"/>
      <c r="BV256" s="213"/>
      <c r="BW256" s="213"/>
      <c r="BX256" s="213"/>
      <c r="BY256" s="213"/>
      <c r="BZ256" s="213"/>
      <c r="CA256" s="213"/>
      <c r="CB256" s="213"/>
      <c r="CC256" s="213"/>
      <c r="CD256" s="213"/>
      <c r="CE256" s="213"/>
      <c r="CF256" s="213"/>
      <c r="CG256" s="213"/>
      <c r="CH256" s="213"/>
      <c r="CI256" s="213"/>
      <c r="CJ256" s="213"/>
      <c r="CK256" s="213"/>
      <c r="CL256" s="213"/>
      <c r="CM256" s="213"/>
      <c r="CN256" s="213"/>
      <c r="CO256" s="213"/>
      <c r="CP256" s="213"/>
      <c r="CQ256" s="213"/>
      <c r="CR256" s="213"/>
      <c r="CS256" s="213"/>
    </row>
    <row r="257" spans="1:97">
      <c r="A257" s="424">
        <v>45543</v>
      </c>
      <c r="B257" s="211" t="s">
        <v>253</v>
      </c>
      <c r="C257" s="213"/>
      <c r="D257" s="213"/>
      <c r="E257" s="213"/>
      <c r="F257" s="213"/>
      <c r="G257" s="213"/>
      <c r="H257" s="213"/>
      <c r="I257" s="213"/>
      <c r="J257" s="213"/>
      <c r="K257" s="213"/>
      <c r="L257" s="213"/>
      <c r="M257" s="213"/>
      <c r="N257" s="213"/>
      <c r="O257" s="213"/>
      <c r="P257" s="213"/>
      <c r="Q257" s="213"/>
      <c r="R257" s="213"/>
      <c r="S257" s="213"/>
      <c r="T257" s="213"/>
      <c r="U257" s="213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13"/>
      <c r="AF257" s="213"/>
      <c r="AG257" s="213"/>
      <c r="AH257" s="213"/>
      <c r="AI257" s="213"/>
      <c r="AJ257" s="213"/>
      <c r="AK257" s="213"/>
      <c r="AL257" s="213"/>
      <c r="AM257" s="213"/>
      <c r="AN257" s="213"/>
      <c r="AO257" s="213"/>
      <c r="AP257" s="213"/>
      <c r="AQ257" s="213"/>
      <c r="AR257" s="213"/>
      <c r="AS257" s="213"/>
      <c r="AT257" s="213"/>
      <c r="AU257" s="213"/>
      <c r="AV257" s="213"/>
      <c r="AW257" s="213"/>
      <c r="AX257" s="213"/>
      <c r="AY257" s="213"/>
      <c r="AZ257" s="213"/>
      <c r="BA257" s="213"/>
      <c r="BB257" s="213"/>
      <c r="BC257" s="213"/>
      <c r="BD257" s="213"/>
      <c r="BE257" s="213"/>
      <c r="BF257" s="213"/>
      <c r="BG257" s="213"/>
      <c r="BH257" s="213"/>
      <c r="BI257" s="213"/>
      <c r="BJ257" s="213"/>
      <c r="BK257" s="213"/>
      <c r="BL257" s="213"/>
      <c r="BM257" s="213"/>
      <c r="BN257" s="213"/>
      <c r="BO257" s="213"/>
      <c r="BP257" s="213"/>
      <c r="BQ257" s="213"/>
      <c r="BR257" s="213"/>
      <c r="BS257" s="213"/>
      <c r="BT257" s="213"/>
      <c r="BU257" s="213"/>
      <c r="BV257" s="213"/>
      <c r="BW257" s="213"/>
      <c r="BX257" s="213"/>
      <c r="BY257" s="213"/>
      <c r="BZ257" s="213"/>
      <c r="CA257" s="213"/>
      <c r="CB257" s="213"/>
      <c r="CC257" s="213"/>
      <c r="CD257" s="213"/>
      <c r="CE257" s="213"/>
      <c r="CF257" s="213"/>
      <c r="CG257" s="213"/>
      <c r="CH257" s="213"/>
      <c r="CI257" s="213"/>
      <c r="CJ257" s="213"/>
      <c r="CK257" s="213"/>
      <c r="CL257" s="213"/>
      <c r="CM257" s="213"/>
      <c r="CN257" s="213"/>
      <c r="CO257" s="213"/>
      <c r="CP257" s="213"/>
      <c r="CQ257" s="213"/>
      <c r="CR257" s="213"/>
      <c r="CS257" s="213"/>
    </row>
    <row r="258" spans="1:97">
      <c r="A258" s="424">
        <v>45544</v>
      </c>
      <c r="B258" s="211" t="s">
        <v>247</v>
      </c>
      <c r="C258" s="213">
        <v>143.78</v>
      </c>
      <c r="D258" s="213">
        <v>141.78</v>
      </c>
      <c r="E258" s="213">
        <v>142.78</v>
      </c>
      <c r="F258" s="213">
        <v>159.72999999999999</v>
      </c>
      <c r="G258" s="213">
        <v>156.72999999999999</v>
      </c>
      <c r="H258" s="213">
        <v>158.22999999999999</v>
      </c>
      <c r="I258" s="213">
        <v>106.87</v>
      </c>
      <c r="J258" s="213">
        <v>103.67</v>
      </c>
      <c r="K258" s="213">
        <v>105.27000000000001</v>
      </c>
      <c r="L258" s="213">
        <v>191.51</v>
      </c>
      <c r="M258" s="213">
        <v>183.51</v>
      </c>
      <c r="N258" s="213">
        <v>187.51</v>
      </c>
      <c r="O258" s="213">
        <v>169.97</v>
      </c>
      <c r="P258" s="213">
        <v>168.17</v>
      </c>
      <c r="Q258" s="213">
        <v>169.07</v>
      </c>
      <c r="R258" s="213">
        <v>21.51</v>
      </c>
      <c r="S258" s="213">
        <v>20.91</v>
      </c>
      <c r="T258" s="213">
        <v>21.21</v>
      </c>
      <c r="U258" s="213">
        <v>13.62</v>
      </c>
      <c r="V258" s="213">
        <v>13.02</v>
      </c>
      <c r="W258" s="213">
        <v>13.32</v>
      </c>
      <c r="X258" s="213">
        <v>14.24</v>
      </c>
      <c r="Y258" s="213">
        <v>13.44</v>
      </c>
      <c r="Z258" s="213">
        <v>13.84</v>
      </c>
      <c r="AA258" s="213">
        <v>97.28</v>
      </c>
      <c r="AB258" s="213">
        <v>93.28</v>
      </c>
      <c r="AC258" s="213">
        <v>95.28</v>
      </c>
      <c r="AD258" s="213">
        <v>90.17</v>
      </c>
      <c r="AE258" s="213">
        <v>86.17</v>
      </c>
      <c r="AF258" s="213">
        <v>88.17</v>
      </c>
      <c r="AG258" s="213">
        <v>18.739999999999998</v>
      </c>
      <c r="AH258" s="213">
        <v>17.88</v>
      </c>
      <c r="AI258" s="213">
        <v>18.309999999999999</v>
      </c>
      <c r="AJ258" s="213"/>
      <c r="AK258" s="213"/>
      <c r="AL258" s="213"/>
      <c r="AM258" s="213">
        <v>110.34</v>
      </c>
      <c r="AN258" s="213">
        <v>108.68</v>
      </c>
      <c r="AO258" s="213">
        <v>109.51</v>
      </c>
      <c r="AP258" s="213">
        <v>38.89</v>
      </c>
      <c r="AQ258" s="213">
        <v>37.29</v>
      </c>
      <c r="AR258" s="213">
        <v>38.090000000000003</v>
      </c>
      <c r="AS258" s="213">
        <v>39.619999999999997</v>
      </c>
      <c r="AT258" s="213">
        <v>38.26</v>
      </c>
      <c r="AU258" s="213">
        <v>38.94</v>
      </c>
      <c r="AV258" s="213">
        <v>20.399999999999999</v>
      </c>
      <c r="AW258" s="213">
        <v>19.799999999999997</v>
      </c>
      <c r="AX258" s="213">
        <v>20.099999999999998</v>
      </c>
      <c r="AY258" s="213">
        <v>4.32</v>
      </c>
      <c r="AZ258" s="213">
        <v>4.16</v>
      </c>
      <c r="BA258" s="213">
        <v>4.24</v>
      </c>
      <c r="BB258" s="213">
        <v>1.86</v>
      </c>
      <c r="BC258" s="213">
        <v>1.56</v>
      </c>
      <c r="BD258" s="213">
        <v>1.71</v>
      </c>
      <c r="BE258" s="213">
        <v>0.66</v>
      </c>
      <c r="BF258" s="213">
        <v>0.36000000000000004</v>
      </c>
      <c r="BG258" s="213">
        <v>0.51</v>
      </c>
      <c r="BH258" s="213">
        <v>475.82</v>
      </c>
      <c r="BI258" s="213">
        <v>459.82</v>
      </c>
      <c r="BJ258" s="213">
        <v>467.82</v>
      </c>
      <c r="BK258" s="213">
        <v>39.799999999999997</v>
      </c>
      <c r="BL258" s="213">
        <v>38.44</v>
      </c>
      <c r="BM258" s="213">
        <v>39.119999999999997</v>
      </c>
      <c r="BN258" s="213">
        <v>1.05</v>
      </c>
      <c r="BO258" s="213">
        <v>0.81</v>
      </c>
      <c r="BP258" s="213">
        <v>0.93</v>
      </c>
      <c r="BQ258" s="213">
        <v>8.15</v>
      </c>
      <c r="BR258" s="213">
        <v>6.15</v>
      </c>
      <c r="BS258" s="213">
        <v>7.15</v>
      </c>
      <c r="BT258" s="213">
        <v>10.87</v>
      </c>
      <c r="BU258" s="213">
        <v>10.469999999999999</v>
      </c>
      <c r="BV258" s="213">
        <v>10.669999999999998</v>
      </c>
      <c r="BW258" s="213">
        <v>2.71</v>
      </c>
      <c r="BX258" s="213">
        <v>2.4299999999999997</v>
      </c>
      <c r="BY258" s="213">
        <v>2.57</v>
      </c>
      <c r="BZ258" s="213">
        <v>9.51</v>
      </c>
      <c r="CA258" s="213">
        <v>6.51</v>
      </c>
      <c r="CB258" s="213">
        <v>8.01</v>
      </c>
      <c r="CC258" s="213">
        <v>6.44</v>
      </c>
      <c r="CD258" s="213">
        <v>6.2</v>
      </c>
      <c r="CE258" s="213">
        <v>6.32</v>
      </c>
      <c r="CF258" s="213">
        <v>1.83</v>
      </c>
      <c r="CG258" s="213">
        <v>1.33</v>
      </c>
      <c r="CH258" s="213">
        <v>1.58</v>
      </c>
      <c r="CI258" s="213">
        <v>0.42</v>
      </c>
      <c r="CJ258" s="213">
        <v>0.38</v>
      </c>
      <c r="CK258" s="213">
        <v>0.4</v>
      </c>
      <c r="CL258" s="213">
        <v>38.15</v>
      </c>
      <c r="CM258" s="213">
        <v>35.75</v>
      </c>
      <c r="CN258" s="213">
        <v>36.950000000000003</v>
      </c>
      <c r="CO258" s="213">
        <v>6.7</v>
      </c>
      <c r="CP258" s="213">
        <v>1.7000000000000002</v>
      </c>
      <c r="CQ258" s="213">
        <v>4.2</v>
      </c>
      <c r="CR258" s="213"/>
      <c r="CS258" s="213"/>
    </row>
    <row r="259" spans="1:97">
      <c r="A259" s="424">
        <v>45545</v>
      </c>
      <c r="B259" s="211" t="s">
        <v>248</v>
      </c>
      <c r="C259" s="213">
        <v>144.53</v>
      </c>
      <c r="D259" s="213">
        <v>142.53</v>
      </c>
      <c r="E259" s="213">
        <v>143.53</v>
      </c>
      <c r="F259" s="213">
        <v>159.83000000000001</v>
      </c>
      <c r="G259" s="213">
        <v>156.83000000000001</v>
      </c>
      <c r="H259" s="213">
        <v>158.33000000000001</v>
      </c>
      <c r="I259" s="213">
        <v>107.38</v>
      </c>
      <c r="J259" s="213">
        <v>104.17999999999999</v>
      </c>
      <c r="K259" s="213">
        <v>105.78</v>
      </c>
      <c r="L259" s="213">
        <v>191.52</v>
      </c>
      <c r="M259" s="213">
        <v>183.52</v>
      </c>
      <c r="N259" s="213">
        <v>187.52</v>
      </c>
      <c r="O259" s="213">
        <v>169.82</v>
      </c>
      <c r="P259" s="213">
        <v>168.01999999999998</v>
      </c>
      <c r="Q259" s="213">
        <v>168.92</v>
      </c>
      <c r="R259" s="213">
        <v>21.52</v>
      </c>
      <c r="S259" s="213">
        <v>20.919999999999998</v>
      </c>
      <c r="T259" s="213">
        <v>21.22</v>
      </c>
      <c r="U259" s="213">
        <v>13.53</v>
      </c>
      <c r="V259" s="213">
        <v>12.93</v>
      </c>
      <c r="W259" s="213">
        <v>13.23</v>
      </c>
      <c r="X259" s="213">
        <v>14.23</v>
      </c>
      <c r="Y259" s="213">
        <v>13.43</v>
      </c>
      <c r="Z259" s="213">
        <v>13.83</v>
      </c>
      <c r="AA259" s="213">
        <v>97.45</v>
      </c>
      <c r="AB259" s="213">
        <v>93.45</v>
      </c>
      <c r="AC259" s="213">
        <v>95.45</v>
      </c>
      <c r="AD259" s="213">
        <v>90.03</v>
      </c>
      <c r="AE259" s="213">
        <v>86.03</v>
      </c>
      <c r="AF259" s="213">
        <v>88.03</v>
      </c>
      <c r="AG259" s="213">
        <v>18.829999999999998</v>
      </c>
      <c r="AH259" s="213">
        <v>17.97</v>
      </c>
      <c r="AI259" s="213">
        <v>18.399999999999999</v>
      </c>
      <c r="AJ259" s="213"/>
      <c r="AK259" s="213"/>
      <c r="AL259" s="213"/>
      <c r="AM259" s="213">
        <v>110.65</v>
      </c>
      <c r="AN259" s="213">
        <v>108.99000000000001</v>
      </c>
      <c r="AO259" s="213">
        <v>109.82000000000001</v>
      </c>
      <c r="AP259" s="213">
        <v>38.979999999999997</v>
      </c>
      <c r="AQ259" s="213">
        <v>37.379999999999995</v>
      </c>
      <c r="AR259" s="213">
        <v>38.179999999999993</v>
      </c>
      <c r="AS259" s="213">
        <v>39.69</v>
      </c>
      <c r="AT259" s="213">
        <v>38.33</v>
      </c>
      <c r="AU259" s="213">
        <v>39.01</v>
      </c>
      <c r="AV259" s="213">
        <v>20.45</v>
      </c>
      <c r="AW259" s="213">
        <v>19.849999999999998</v>
      </c>
      <c r="AX259" s="213">
        <v>20.149999999999999</v>
      </c>
      <c r="AY259" s="213">
        <v>4.32</v>
      </c>
      <c r="AZ259" s="213">
        <v>4.16</v>
      </c>
      <c r="BA259" s="213">
        <v>4.24</v>
      </c>
      <c r="BB259" s="213">
        <v>1.87</v>
      </c>
      <c r="BC259" s="213">
        <v>1.57</v>
      </c>
      <c r="BD259" s="213">
        <v>1.7200000000000002</v>
      </c>
      <c r="BE259" s="213">
        <v>0.67</v>
      </c>
      <c r="BF259" s="213">
        <v>0.37000000000000005</v>
      </c>
      <c r="BG259" s="213">
        <v>0.52</v>
      </c>
      <c r="BH259" s="213">
        <v>477.36</v>
      </c>
      <c r="BI259" s="213">
        <v>461.36</v>
      </c>
      <c r="BJ259" s="213">
        <v>469.36</v>
      </c>
      <c r="BK259" s="213">
        <v>40.119999999999997</v>
      </c>
      <c r="BL259" s="213">
        <v>38.76</v>
      </c>
      <c r="BM259" s="213">
        <v>39.44</v>
      </c>
      <c r="BN259" s="213">
        <v>1.05</v>
      </c>
      <c r="BO259" s="213">
        <v>0.81</v>
      </c>
      <c r="BP259" s="213">
        <v>0.93</v>
      </c>
      <c r="BQ259" s="213">
        <v>8.2100000000000009</v>
      </c>
      <c r="BR259" s="213">
        <v>6.2100000000000009</v>
      </c>
      <c r="BS259" s="213">
        <v>7.2100000000000009</v>
      </c>
      <c r="BT259" s="213">
        <v>10.88</v>
      </c>
      <c r="BU259" s="213">
        <v>10.48</v>
      </c>
      <c r="BV259" s="213">
        <v>10.68</v>
      </c>
      <c r="BW259" s="213">
        <v>2.7</v>
      </c>
      <c r="BX259" s="213">
        <v>2.42</v>
      </c>
      <c r="BY259" s="213">
        <v>2.56</v>
      </c>
      <c r="BZ259" s="213">
        <v>9.51</v>
      </c>
      <c r="CA259" s="213">
        <v>6.51</v>
      </c>
      <c r="CB259" s="213">
        <v>8.01</v>
      </c>
      <c r="CC259" s="213">
        <v>6.45</v>
      </c>
      <c r="CD259" s="213">
        <v>6.21</v>
      </c>
      <c r="CE259" s="213">
        <v>6.33</v>
      </c>
      <c r="CF259" s="213">
        <v>1.84</v>
      </c>
      <c r="CG259" s="213">
        <v>1.34</v>
      </c>
      <c r="CH259" s="213">
        <v>1.59</v>
      </c>
      <c r="CI259" s="213">
        <v>0.42</v>
      </c>
      <c r="CJ259" s="213">
        <v>0.38</v>
      </c>
      <c r="CK259" s="213">
        <v>0.4</v>
      </c>
      <c r="CL259" s="213">
        <v>38.25</v>
      </c>
      <c r="CM259" s="213">
        <v>35.85</v>
      </c>
      <c r="CN259" s="213">
        <v>37.049999999999997</v>
      </c>
      <c r="CO259" s="213">
        <v>6.72</v>
      </c>
      <c r="CP259" s="213">
        <v>1.7199999999999998</v>
      </c>
      <c r="CQ259" s="213">
        <v>4.22</v>
      </c>
      <c r="CR259" s="213"/>
      <c r="CS259" s="213"/>
    </row>
    <row r="260" spans="1:97">
      <c r="A260" s="424">
        <v>45546</v>
      </c>
      <c r="B260" s="211" t="s">
        <v>249</v>
      </c>
      <c r="C260" s="213">
        <v>143.12</v>
      </c>
      <c r="D260" s="213">
        <v>141.12</v>
      </c>
      <c r="E260" s="213">
        <v>142.12</v>
      </c>
      <c r="F260" s="213">
        <v>158.13</v>
      </c>
      <c r="G260" s="213">
        <v>155.13</v>
      </c>
      <c r="H260" s="213">
        <v>156.63</v>
      </c>
      <c r="I260" s="213">
        <v>106</v>
      </c>
      <c r="J260" s="213">
        <v>102.8</v>
      </c>
      <c r="K260" s="213">
        <v>104.4</v>
      </c>
      <c r="L260" s="213">
        <v>189.77</v>
      </c>
      <c r="M260" s="213">
        <v>181.77</v>
      </c>
      <c r="N260" s="213">
        <v>185.77</v>
      </c>
      <c r="O260" s="213">
        <v>168.81</v>
      </c>
      <c r="P260" s="213">
        <v>167.01</v>
      </c>
      <c r="Q260" s="213">
        <v>167.91</v>
      </c>
      <c r="R260" s="213">
        <v>21.29</v>
      </c>
      <c r="S260" s="213">
        <v>20.689999999999998</v>
      </c>
      <c r="T260" s="213">
        <v>20.99</v>
      </c>
      <c r="U260" s="213">
        <v>13.43</v>
      </c>
      <c r="V260" s="213">
        <v>12.83</v>
      </c>
      <c r="W260" s="213">
        <v>13.129999999999999</v>
      </c>
      <c r="X260" s="213">
        <v>14.11</v>
      </c>
      <c r="Y260" s="213">
        <v>13.309999999999999</v>
      </c>
      <c r="Z260" s="213">
        <v>13.709999999999999</v>
      </c>
      <c r="AA260" s="213">
        <v>96.51</v>
      </c>
      <c r="AB260" s="213">
        <v>92.51</v>
      </c>
      <c r="AC260" s="213">
        <v>94.51</v>
      </c>
      <c r="AD260" s="213">
        <v>89.29</v>
      </c>
      <c r="AE260" s="213">
        <v>85.29</v>
      </c>
      <c r="AF260" s="213">
        <v>87.29</v>
      </c>
      <c r="AG260" s="213">
        <v>18.66</v>
      </c>
      <c r="AH260" s="213">
        <v>17.8</v>
      </c>
      <c r="AI260" s="213">
        <v>18.23</v>
      </c>
      <c r="AJ260" s="213"/>
      <c r="AK260" s="213"/>
      <c r="AL260" s="213"/>
      <c r="AM260" s="213">
        <v>109.77</v>
      </c>
      <c r="AN260" s="213">
        <v>108.11</v>
      </c>
      <c r="AO260" s="213">
        <v>108.94</v>
      </c>
      <c r="AP260" s="213">
        <v>38.74</v>
      </c>
      <c r="AQ260" s="213">
        <v>37.14</v>
      </c>
      <c r="AR260" s="213">
        <v>37.94</v>
      </c>
      <c r="AS260" s="213">
        <v>39.44</v>
      </c>
      <c r="AT260" s="213">
        <v>38.08</v>
      </c>
      <c r="AU260" s="213">
        <v>38.76</v>
      </c>
      <c r="AV260" s="213">
        <v>20.21</v>
      </c>
      <c r="AW260" s="213">
        <v>19.61</v>
      </c>
      <c r="AX260" s="213">
        <v>19.91</v>
      </c>
      <c r="AY260" s="213">
        <v>4.3099999999999996</v>
      </c>
      <c r="AZ260" s="213">
        <v>4.1499999999999995</v>
      </c>
      <c r="BA260" s="213">
        <v>4.2299999999999995</v>
      </c>
      <c r="BB260" s="213">
        <v>1.85</v>
      </c>
      <c r="BC260" s="213">
        <v>1.55</v>
      </c>
      <c r="BD260" s="213">
        <v>1.7000000000000002</v>
      </c>
      <c r="BE260" s="213">
        <v>0.66</v>
      </c>
      <c r="BF260" s="213">
        <v>0.36000000000000004</v>
      </c>
      <c r="BG260" s="213">
        <v>0.51</v>
      </c>
      <c r="BH260" s="213">
        <v>474.12</v>
      </c>
      <c r="BI260" s="213">
        <v>458.12</v>
      </c>
      <c r="BJ260" s="213">
        <v>466.12</v>
      </c>
      <c r="BK260" s="213">
        <v>39.729999999999997</v>
      </c>
      <c r="BL260" s="213">
        <v>38.369999999999997</v>
      </c>
      <c r="BM260" s="213">
        <v>39.049999999999997</v>
      </c>
      <c r="BN260" s="213">
        <v>1.04</v>
      </c>
      <c r="BO260" s="213">
        <v>0.8</v>
      </c>
      <c r="BP260" s="213">
        <v>0.92</v>
      </c>
      <c r="BQ260" s="213">
        <v>8.06</v>
      </c>
      <c r="BR260" s="213">
        <v>6.0600000000000005</v>
      </c>
      <c r="BS260" s="213">
        <v>7.0600000000000005</v>
      </c>
      <c r="BT260" s="213">
        <v>10.79</v>
      </c>
      <c r="BU260" s="213">
        <v>10.389999999999999</v>
      </c>
      <c r="BV260" s="213">
        <v>10.59</v>
      </c>
      <c r="BW260" s="213">
        <v>2.68</v>
      </c>
      <c r="BX260" s="213">
        <v>2.4000000000000004</v>
      </c>
      <c r="BY260" s="213">
        <v>2.54</v>
      </c>
      <c r="BZ260" s="213">
        <v>9.41</v>
      </c>
      <c r="CA260" s="213">
        <v>6.41</v>
      </c>
      <c r="CB260" s="213">
        <v>7.91</v>
      </c>
      <c r="CC260" s="213">
        <v>6.38</v>
      </c>
      <c r="CD260" s="213">
        <v>6.14</v>
      </c>
      <c r="CE260" s="213">
        <v>6.26</v>
      </c>
      <c r="CF260" s="213">
        <v>1.81</v>
      </c>
      <c r="CG260" s="213">
        <v>1.31</v>
      </c>
      <c r="CH260" s="213">
        <v>1.56</v>
      </c>
      <c r="CI260" s="213">
        <v>0.41</v>
      </c>
      <c r="CJ260" s="213">
        <v>0.37</v>
      </c>
      <c r="CK260" s="213">
        <v>0.39</v>
      </c>
      <c r="CL260" s="213">
        <v>37.86</v>
      </c>
      <c r="CM260" s="213">
        <v>35.46</v>
      </c>
      <c r="CN260" s="213">
        <v>36.659999999999997</v>
      </c>
      <c r="CO260" s="213">
        <v>6.68</v>
      </c>
      <c r="CP260" s="213">
        <v>1.6799999999999997</v>
      </c>
      <c r="CQ260" s="213">
        <v>4.18</v>
      </c>
      <c r="CR260" s="213"/>
      <c r="CS260" s="213"/>
    </row>
    <row r="261" spans="1:97">
      <c r="A261" s="424">
        <v>45547</v>
      </c>
      <c r="B261" s="211" t="s">
        <v>250</v>
      </c>
      <c r="C261" s="213">
        <v>143.85</v>
      </c>
      <c r="D261" s="213">
        <v>141.85</v>
      </c>
      <c r="E261" s="213">
        <v>142.85</v>
      </c>
      <c r="F261" s="213">
        <v>158.71</v>
      </c>
      <c r="G261" s="213">
        <v>155.71</v>
      </c>
      <c r="H261" s="213">
        <v>157.21</v>
      </c>
      <c r="I261" s="213">
        <v>106.8</v>
      </c>
      <c r="J261" s="213">
        <v>103.6</v>
      </c>
      <c r="K261" s="213">
        <v>105.19999999999999</v>
      </c>
      <c r="L261" s="213">
        <v>190.22</v>
      </c>
      <c r="M261" s="213">
        <v>182.22</v>
      </c>
      <c r="N261" s="213">
        <v>186.22</v>
      </c>
      <c r="O261" s="213">
        <v>168.31</v>
      </c>
      <c r="P261" s="213">
        <v>166.51</v>
      </c>
      <c r="Q261" s="213">
        <v>167.41</v>
      </c>
      <c r="R261" s="213">
        <v>21.37</v>
      </c>
      <c r="S261" s="213">
        <v>20.77</v>
      </c>
      <c r="T261" s="213">
        <v>21.07</v>
      </c>
      <c r="U261" s="213">
        <v>13.44</v>
      </c>
      <c r="V261" s="213">
        <v>12.84</v>
      </c>
      <c r="W261" s="213">
        <v>13.14</v>
      </c>
      <c r="X261" s="213">
        <v>14.13</v>
      </c>
      <c r="Y261" s="213">
        <v>13.33</v>
      </c>
      <c r="Z261" s="213">
        <v>13.73</v>
      </c>
      <c r="AA261" s="213">
        <v>97.38</v>
      </c>
      <c r="AB261" s="213">
        <v>93.38</v>
      </c>
      <c r="AC261" s="213">
        <v>95.38</v>
      </c>
      <c r="AD261" s="213">
        <v>89.57</v>
      </c>
      <c r="AE261" s="213">
        <v>85.57</v>
      </c>
      <c r="AF261" s="213">
        <v>87.57</v>
      </c>
      <c r="AG261" s="213">
        <v>18.75</v>
      </c>
      <c r="AH261" s="213">
        <v>17.89</v>
      </c>
      <c r="AI261" s="213">
        <v>18.32</v>
      </c>
      <c r="AJ261" s="213"/>
      <c r="AK261" s="213"/>
      <c r="AL261" s="213"/>
      <c r="AM261" s="213">
        <v>110.3</v>
      </c>
      <c r="AN261" s="213">
        <v>108.64</v>
      </c>
      <c r="AO261" s="213">
        <v>109.47</v>
      </c>
      <c r="AP261" s="213">
        <v>38.92</v>
      </c>
      <c r="AQ261" s="213">
        <v>37.32</v>
      </c>
      <c r="AR261" s="213">
        <v>38.120000000000005</v>
      </c>
      <c r="AS261" s="213">
        <v>39.64</v>
      </c>
      <c r="AT261" s="213">
        <v>38.28</v>
      </c>
      <c r="AU261" s="213">
        <v>38.96</v>
      </c>
      <c r="AV261" s="213">
        <v>20.329999999999998</v>
      </c>
      <c r="AW261" s="213">
        <v>19.729999999999997</v>
      </c>
      <c r="AX261" s="213">
        <v>20.029999999999998</v>
      </c>
      <c r="AY261" s="213">
        <v>4.3099999999999996</v>
      </c>
      <c r="AZ261" s="213">
        <v>4.1499999999999995</v>
      </c>
      <c r="BA261" s="213">
        <v>4.2299999999999995</v>
      </c>
      <c r="BB261" s="213">
        <v>1.86</v>
      </c>
      <c r="BC261" s="213">
        <v>1.56</v>
      </c>
      <c r="BD261" s="213">
        <v>1.71</v>
      </c>
      <c r="BE261" s="213">
        <v>0.67</v>
      </c>
      <c r="BF261" s="213">
        <v>0.37000000000000005</v>
      </c>
      <c r="BG261" s="213">
        <v>0.52</v>
      </c>
      <c r="BH261" s="213">
        <v>476.21</v>
      </c>
      <c r="BI261" s="213">
        <v>460.21</v>
      </c>
      <c r="BJ261" s="213">
        <v>468.21</v>
      </c>
      <c r="BK261" s="213">
        <v>39.94</v>
      </c>
      <c r="BL261" s="213">
        <v>38.58</v>
      </c>
      <c r="BM261" s="213">
        <v>39.26</v>
      </c>
      <c r="BN261" s="213">
        <v>1.05</v>
      </c>
      <c r="BO261" s="213">
        <v>0.81</v>
      </c>
      <c r="BP261" s="213">
        <v>0.93</v>
      </c>
      <c r="BQ261" s="213">
        <v>8.2100000000000009</v>
      </c>
      <c r="BR261" s="213">
        <v>6.2100000000000009</v>
      </c>
      <c r="BS261" s="213">
        <v>7.2100000000000009</v>
      </c>
      <c r="BT261" s="213">
        <v>10.89</v>
      </c>
      <c r="BU261" s="213">
        <v>10.49</v>
      </c>
      <c r="BV261" s="213">
        <v>10.690000000000001</v>
      </c>
      <c r="BW261" s="213">
        <v>2.71</v>
      </c>
      <c r="BX261" s="213">
        <v>2.4299999999999997</v>
      </c>
      <c r="BY261" s="213">
        <v>2.57</v>
      </c>
      <c r="BZ261" s="213">
        <v>9.4600000000000009</v>
      </c>
      <c r="CA261" s="213">
        <v>6.4600000000000009</v>
      </c>
      <c r="CB261" s="213">
        <v>7.9600000000000009</v>
      </c>
      <c r="CC261" s="213">
        <v>6.39</v>
      </c>
      <c r="CD261" s="213">
        <v>6.1499999999999995</v>
      </c>
      <c r="CE261" s="213">
        <v>6.27</v>
      </c>
      <c r="CF261" s="213">
        <v>1.81</v>
      </c>
      <c r="CG261" s="213">
        <v>1.31</v>
      </c>
      <c r="CH261" s="213">
        <v>1.56</v>
      </c>
      <c r="CI261" s="213">
        <v>0.42</v>
      </c>
      <c r="CJ261" s="213">
        <v>0.38</v>
      </c>
      <c r="CK261" s="213">
        <v>0.4</v>
      </c>
      <c r="CL261" s="213">
        <v>37.89</v>
      </c>
      <c r="CM261" s="213">
        <v>35.49</v>
      </c>
      <c r="CN261" s="213">
        <v>36.69</v>
      </c>
      <c r="CO261" s="213">
        <v>6.71</v>
      </c>
      <c r="CP261" s="213">
        <v>1.71</v>
      </c>
      <c r="CQ261" s="213">
        <v>4.21</v>
      </c>
      <c r="CR261" s="213"/>
      <c r="CS261" s="213"/>
    </row>
    <row r="262" spans="1:97">
      <c r="A262" s="424">
        <v>45548</v>
      </c>
      <c r="B262" s="211" t="s">
        <v>251</v>
      </c>
      <c r="C262" s="213">
        <v>142.54</v>
      </c>
      <c r="D262" s="213">
        <v>140.54</v>
      </c>
      <c r="E262" s="213">
        <v>141.54</v>
      </c>
      <c r="F262" s="213">
        <v>158.38</v>
      </c>
      <c r="G262" s="213">
        <v>155.38</v>
      </c>
      <c r="H262" s="213">
        <v>156.88</v>
      </c>
      <c r="I262" s="213">
        <v>105.9</v>
      </c>
      <c r="J262" s="213">
        <v>102.7</v>
      </c>
      <c r="K262" s="213">
        <v>104.30000000000001</v>
      </c>
      <c r="L262" s="213">
        <v>190.01</v>
      </c>
      <c r="M262" s="213">
        <v>182.01</v>
      </c>
      <c r="N262" s="213">
        <v>186.01</v>
      </c>
      <c r="O262" s="213">
        <v>167.36</v>
      </c>
      <c r="P262" s="213">
        <v>165.56</v>
      </c>
      <c r="Q262" s="213">
        <v>166.46</v>
      </c>
      <c r="R262" s="213">
        <v>21.32</v>
      </c>
      <c r="S262" s="213">
        <v>20.72</v>
      </c>
      <c r="T262" s="213">
        <v>21.02</v>
      </c>
      <c r="U262" s="213">
        <v>13.53</v>
      </c>
      <c r="V262" s="213">
        <v>12.93</v>
      </c>
      <c r="W262" s="213">
        <v>13.23</v>
      </c>
      <c r="X262" s="213">
        <v>14.19</v>
      </c>
      <c r="Y262" s="213">
        <v>13.389999999999999</v>
      </c>
      <c r="Z262" s="213">
        <v>13.79</v>
      </c>
      <c r="AA262" s="213">
        <v>97.2</v>
      </c>
      <c r="AB262" s="213">
        <v>93.2</v>
      </c>
      <c r="AC262" s="213">
        <v>95.2</v>
      </c>
      <c r="AD262" s="213">
        <v>89.58</v>
      </c>
      <c r="AE262" s="213">
        <v>85.58</v>
      </c>
      <c r="AF262" s="213">
        <v>87.58</v>
      </c>
      <c r="AG262" s="213">
        <v>18.57</v>
      </c>
      <c r="AH262" s="213">
        <v>17.71</v>
      </c>
      <c r="AI262" s="213">
        <v>18.14</v>
      </c>
      <c r="AJ262" s="213"/>
      <c r="AK262" s="213"/>
      <c r="AL262" s="213"/>
      <c r="AM262" s="213">
        <v>109.72</v>
      </c>
      <c r="AN262" s="213">
        <v>108.06</v>
      </c>
      <c r="AO262" s="213">
        <v>108.89</v>
      </c>
      <c r="AP262" s="213">
        <v>38.57</v>
      </c>
      <c r="AQ262" s="213">
        <v>36.97</v>
      </c>
      <c r="AR262" s="213">
        <v>37.769999999999996</v>
      </c>
      <c r="AS262" s="213">
        <v>39.28</v>
      </c>
      <c r="AT262" s="213">
        <v>37.92</v>
      </c>
      <c r="AU262" s="213">
        <v>38.6</v>
      </c>
      <c r="AV262" s="213">
        <v>20.2</v>
      </c>
      <c r="AW262" s="213">
        <v>19.599999999999998</v>
      </c>
      <c r="AX262" s="213">
        <v>19.899999999999999</v>
      </c>
      <c r="AY262" s="213">
        <v>4.33</v>
      </c>
      <c r="AZ262" s="213">
        <v>4.17</v>
      </c>
      <c r="BA262" s="213">
        <v>4.25</v>
      </c>
      <c r="BB262" s="213">
        <v>1.85</v>
      </c>
      <c r="BC262" s="213">
        <v>1.55</v>
      </c>
      <c r="BD262" s="213">
        <v>1.7000000000000002</v>
      </c>
      <c r="BE262" s="213">
        <v>0.66</v>
      </c>
      <c r="BF262" s="213">
        <v>0.36000000000000004</v>
      </c>
      <c r="BG262" s="213">
        <v>0.51</v>
      </c>
      <c r="BH262" s="213">
        <v>472.52</v>
      </c>
      <c r="BI262" s="213">
        <v>456.52</v>
      </c>
      <c r="BJ262" s="213">
        <v>464.52</v>
      </c>
      <c r="BK262" s="213">
        <v>39.58</v>
      </c>
      <c r="BL262" s="213">
        <v>38.22</v>
      </c>
      <c r="BM262" s="213">
        <v>38.9</v>
      </c>
      <c r="BN262" s="213">
        <v>1.04</v>
      </c>
      <c r="BO262" s="213">
        <v>0.8</v>
      </c>
      <c r="BP262" s="213">
        <v>0.92</v>
      </c>
      <c r="BQ262" s="213">
        <v>8.25</v>
      </c>
      <c r="BR262" s="213">
        <v>6.25</v>
      </c>
      <c r="BS262" s="213">
        <v>7.25</v>
      </c>
      <c r="BT262" s="213">
        <v>10.85</v>
      </c>
      <c r="BU262" s="213">
        <v>10.45</v>
      </c>
      <c r="BV262" s="213">
        <v>10.649999999999999</v>
      </c>
      <c r="BW262" s="213">
        <v>2.68</v>
      </c>
      <c r="BX262" s="213">
        <v>2.4000000000000004</v>
      </c>
      <c r="BY262" s="213">
        <v>2.54</v>
      </c>
      <c r="BZ262" s="213">
        <v>9.4700000000000006</v>
      </c>
      <c r="CA262" s="213">
        <v>6.4700000000000006</v>
      </c>
      <c r="CB262" s="213">
        <v>7.9700000000000006</v>
      </c>
      <c r="CC262" s="213">
        <v>6.37</v>
      </c>
      <c r="CD262" s="213">
        <v>6.13</v>
      </c>
      <c r="CE262" s="213">
        <v>6.25</v>
      </c>
      <c r="CF262" s="213">
        <v>1.84</v>
      </c>
      <c r="CG262" s="213">
        <v>1.34</v>
      </c>
      <c r="CH262" s="213">
        <v>1.59</v>
      </c>
      <c r="CI262" s="213">
        <v>0.42</v>
      </c>
      <c r="CJ262" s="213">
        <v>0.38</v>
      </c>
      <c r="CK262" s="213">
        <v>0.4</v>
      </c>
      <c r="CL262" s="213">
        <v>37.83</v>
      </c>
      <c r="CM262" s="213">
        <v>35.43</v>
      </c>
      <c r="CN262" s="213">
        <v>36.629999999999995</v>
      </c>
      <c r="CO262" s="213">
        <v>6.69</v>
      </c>
      <c r="CP262" s="213">
        <v>1.6900000000000004</v>
      </c>
      <c r="CQ262" s="213">
        <v>4.1900000000000004</v>
      </c>
      <c r="CR262" s="213"/>
      <c r="CS262" s="213"/>
    </row>
    <row r="263" spans="1:97">
      <c r="A263" s="424">
        <v>45549</v>
      </c>
      <c r="B263" s="211" t="s">
        <v>252</v>
      </c>
      <c r="C263" s="213"/>
      <c r="D263" s="213"/>
      <c r="E263" s="213"/>
      <c r="F263" s="213"/>
      <c r="G263" s="213"/>
      <c r="H263" s="213"/>
      <c r="I263" s="213"/>
      <c r="J263" s="213"/>
      <c r="K263" s="213"/>
      <c r="L263" s="213"/>
      <c r="M263" s="213"/>
      <c r="N263" s="213"/>
      <c r="O263" s="213"/>
      <c r="P263" s="213"/>
      <c r="Q263" s="213"/>
      <c r="R263" s="213"/>
      <c r="S263" s="213"/>
      <c r="T263" s="213"/>
      <c r="U263" s="213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13"/>
      <c r="AF263" s="213"/>
      <c r="AG263" s="213"/>
      <c r="AH263" s="213"/>
      <c r="AI263" s="213"/>
      <c r="AJ263" s="213"/>
      <c r="AK263" s="213"/>
      <c r="AL263" s="213"/>
      <c r="AM263" s="213"/>
      <c r="AN263" s="213"/>
      <c r="AO263" s="213"/>
      <c r="AP263" s="213"/>
      <c r="AQ263" s="213"/>
      <c r="AR263" s="213"/>
      <c r="AS263" s="213"/>
      <c r="AT263" s="213"/>
      <c r="AU263" s="213"/>
      <c r="AV263" s="213"/>
      <c r="AW263" s="213"/>
      <c r="AX263" s="213"/>
      <c r="AY263" s="213"/>
      <c r="AZ263" s="213"/>
      <c r="BA263" s="213"/>
      <c r="BB263" s="213"/>
      <c r="BC263" s="213"/>
      <c r="BD263" s="213"/>
      <c r="BE263" s="213"/>
      <c r="BF263" s="213"/>
      <c r="BG263" s="213"/>
      <c r="BH263" s="213"/>
      <c r="BI263" s="213"/>
      <c r="BJ263" s="213"/>
      <c r="BK263" s="213"/>
      <c r="BL263" s="213"/>
      <c r="BM263" s="213"/>
      <c r="BN263" s="213"/>
      <c r="BO263" s="213"/>
      <c r="BP263" s="213"/>
      <c r="BQ263" s="213"/>
      <c r="BR263" s="213"/>
      <c r="BS263" s="213"/>
      <c r="BT263" s="213"/>
      <c r="BU263" s="213"/>
      <c r="BV263" s="213"/>
      <c r="BW263" s="213"/>
      <c r="BX263" s="213"/>
      <c r="BY263" s="213"/>
      <c r="BZ263" s="213"/>
      <c r="CA263" s="213"/>
      <c r="CB263" s="213"/>
      <c r="CC263" s="213"/>
      <c r="CD263" s="213"/>
      <c r="CE263" s="213"/>
      <c r="CF263" s="213"/>
      <c r="CG263" s="213"/>
      <c r="CH263" s="213"/>
      <c r="CI263" s="213"/>
      <c r="CJ263" s="213"/>
      <c r="CK263" s="213"/>
      <c r="CL263" s="213"/>
      <c r="CM263" s="213"/>
      <c r="CN263" s="213"/>
      <c r="CO263" s="213"/>
      <c r="CP263" s="213"/>
      <c r="CQ263" s="213"/>
      <c r="CR263" s="213"/>
      <c r="CS263" s="213"/>
    </row>
    <row r="264" spans="1:97">
      <c r="A264" s="424">
        <v>45550</v>
      </c>
      <c r="B264" s="211" t="s">
        <v>253</v>
      </c>
      <c r="C264" s="213"/>
      <c r="D264" s="213"/>
      <c r="E264" s="213"/>
      <c r="F264" s="213"/>
      <c r="G264" s="213"/>
      <c r="H264" s="213"/>
      <c r="I264" s="213"/>
      <c r="J264" s="213"/>
      <c r="K264" s="213"/>
      <c r="L264" s="213"/>
      <c r="M264" s="213"/>
      <c r="N264" s="213"/>
      <c r="O264" s="213"/>
      <c r="P264" s="213"/>
      <c r="Q264" s="213"/>
      <c r="R264" s="213"/>
      <c r="S264" s="213"/>
      <c r="T264" s="213"/>
      <c r="U264" s="213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13"/>
      <c r="AF264" s="213"/>
      <c r="AG264" s="213"/>
      <c r="AH264" s="213"/>
      <c r="AI264" s="213"/>
      <c r="AJ264" s="213"/>
      <c r="AK264" s="213"/>
      <c r="AL264" s="213"/>
      <c r="AM264" s="213"/>
      <c r="AN264" s="213"/>
      <c r="AO264" s="213"/>
      <c r="AP264" s="213"/>
      <c r="AQ264" s="213"/>
      <c r="AR264" s="213"/>
      <c r="AS264" s="213"/>
      <c r="AT264" s="213"/>
      <c r="AU264" s="213"/>
      <c r="AV264" s="213"/>
      <c r="AW264" s="213"/>
      <c r="AX264" s="213"/>
      <c r="AY264" s="213"/>
      <c r="AZ264" s="213"/>
      <c r="BA264" s="213"/>
      <c r="BB264" s="213"/>
      <c r="BC264" s="213"/>
      <c r="BD264" s="213"/>
      <c r="BE264" s="213"/>
      <c r="BF264" s="213"/>
      <c r="BG264" s="213"/>
      <c r="BH264" s="213"/>
      <c r="BI264" s="213"/>
      <c r="BJ264" s="213"/>
      <c r="BK264" s="213"/>
      <c r="BL264" s="213"/>
      <c r="BM264" s="213"/>
      <c r="BN264" s="213"/>
      <c r="BO264" s="213"/>
      <c r="BP264" s="213"/>
      <c r="BQ264" s="213"/>
      <c r="BR264" s="213"/>
      <c r="BS264" s="213"/>
      <c r="BT264" s="213"/>
      <c r="BU264" s="213"/>
      <c r="BV264" s="213"/>
      <c r="BW264" s="213"/>
      <c r="BX264" s="213"/>
      <c r="BY264" s="213"/>
      <c r="BZ264" s="213"/>
      <c r="CA264" s="213"/>
      <c r="CB264" s="213"/>
      <c r="CC264" s="213"/>
      <c r="CD264" s="213"/>
      <c r="CE264" s="213"/>
      <c r="CF264" s="213"/>
      <c r="CG264" s="213"/>
      <c r="CH264" s="213"/>
      <c r="CI264" s="213"/>
      <c r="CJ264" s="213"/>
      <c r="CK264" s="213"/>
      <c r="CL264" s="213"/>
      <c r="CM264" s="213"/>
      <c r="CN264" s="213"/>
      <c r="CO264" s="213"/>
      <c r="CP264" s="213"/>
      <c r="CQ264" s="213"/>
      <c r="CR264" s="213"/>
      <c r="CS264" s="213"/>
    </row>
    <row r="265" spans="1:97">
      <c r="A265" s="424">
        <v>45551</v>
      </c>
      <c r="B265" s="211" t="s">
        <v>247</v>
      </c>
      <c r="C265" s="213"/>
      <c r="D265" s="213"/>
      <c r="E265" s="213"/>
      <c r="F265" s="213"/>
      <c r="G265" s="213"/>
      <c r="H265" s="213"/>
      <c r="I265" s="213"/>
      <c r="J265" s="213"/>
      <c r="K265" s="213"/>
      <c r="L265" s="213"/>
      <c r="M265" s="213"/>
      <c r="N265" s="213"/>
      <c r="O265" s="213"/>
      <c r="P265" s="213"/>
      <c r="Q265" s="213"/>
      <c r="R265" s="213"/>
      <c r="S265" s="213"/>
      <c r="T265" s="213"/>
      <c r="U265" s="213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13"/>
      <c r="AF265" s="213"/>
      <c r="AG265" s="213"/>
      <c r="AH265" s="213"/>
      <c r="AI265" s="213"/>
      <c r="AJ265" s="213"/>
      <c r="AK265" s="213"/>
      <c r="AL265" s="213"/>
      <c r="AM265" s="213"/>
      <c r="AN265" s="213"/>
      <c r="AO265" s="213"/>
      <c r="AP265" s="213"/>
      <c r="AQ265" s="213"/>
      <c r="AR265" s="213"/>
      <c r="AS265" s="213"/>
      <c r="AT265" s="213"/>
      <c r="AU265" s="213"/>
      <c r="AV265" s="213"/>
      <c r="AW265" s="213"/>
      <c r="AX265" s="213"/>
      <c r="AY265" s="213"/>
      <c r="AZ265" s="213"/>
      <c r="BA265" s="213"/>
      <c r="BB265" s="213"/>
      <c r="BC265" s="213"/>
      <c r="BD265" s="213"/>
      <c r="BE265" s="213"/>
      <c r="BF265" s="213"/>
      <c r="BG265" s="213"/>
      <c r="BH265" s="213"/>
      <c r="BI265" s="213"/>
      <c r="BJ265" s="213"/>
      <c r="BK265" s="213"/>
      <c r="BL265" s="213"/>
      <c r="BM265" s="213"/>
      <c r="BN265" s="213"/>
      <c r="BO265" s="213"/>
      <c r="BP265" s="213"/>
      <c r="BQ265" s="213"/>
      <c r="BR265" s="213"/>
      <c r="BS265" s="213"/>
      <c r="BT265" s="213"/>
      <c r="BU265" s="213"/>
      <c r="BV265" s="213"/>
      <c r="BW265" s="213"/>
      <c r="BX265" s="213"/>
      <c r="BY265" s="213"/>
      <c r="BZ265" s="213"/>
      <c r="CA265" s="213"/>
      <c r="CB265" s="213"/>
      <c r="CC265" s="213"/>
      <c r="CD265" s="213"/>
      <c r="CE265" s="213"/>
      <c r="CF265" s="213"/>
      <c r="CG265" s="213"/>
      <c r="CH265" s="213"/>
      <c r="CI265" s="213"/>
      <c r="CJ265" s="213"/>
      <c r="CK265" s="213"/>
      <c r="CL265" s="213"/>
      <c r="CM265" s="213"/>
      <c r="CN265" s="213"/>
      <c r="CO265" s="213"/>
      <c r="CP265" s="213"/>
      <c r="CQ265" s="213"/>
      <c r="CR265" s="213"/>
      <c r="CS265" s="213"/>
    </row>
    <row r="266" spans="1:97">
      <c r="A266" s="424">
        <v>45552</v>
      </c>
      <c r="B266" s="211" t="s">
        <v>248</v>
      </c>
      <c r="C266" s="213">
        <v>141.77000000000001</v>
      </c>
      <c r="D266" s="213">
        <v>139.77000000000001</v>
      </c>
      <c r="E266" s="213">
        <v>140.77000000000001</v>
      </c>
      <c r="F266" s="213">
        <v>158.05000000000001</v>
      </c>
      <c r="G266" s="213">
        <v>155.05000000000001</v>
      </c>
      <c r="H266" s="213">
        <v>156.55000000000001</v>
      </c>
      <c r="I266" s="213">
        <v>105.16</v>
      </c>
      <c r="J266" s="213">
        <v>101.96</v>
      </c>
      <c r="K266" s="213">
        <v>103.56</v>
      </c>
      <c r="L266" s="213">
        <v>189.84</v>
      </c>
      <c r="M266" s="213">
        <v>181.84</v>
      </c>
      <c r="N266" s="213">
        <v>185.84</v>
      </c>
      <c r="O266" s="213">
        <v>167.47</v>
      </c>
      <c r="P266" s="213">
        <v>165.67</v>
      </c>
      <c r="Q266" s="213">
        <v>166.57</v>
      </c>
      <c r="R266" s="213">
        <v>21.28</v>
      </c>
      <c r="S266" s="213">
        <v>20.68</v>
      </c>
      <c r="T266" s="213">
        <v>20.98</v>
      </c>
      <c r="U266" s="213">
        <v>13.58</v>
      </c>
      <c r="V266" s="213">
        <v>12.98</v>
      </c>
      <c r="W266" s="213">
        <v>13.280000000000001</v>
      </c>
      <c r="X266" s="213">
        <v>14.22</v>
      </c>
      <c r="Y266" s="213">
        <v>13.42</v>
      </c>
      <c r="Z266" s="213">
        <v>13.82</v>
      </c>
      <c r="AA266" s="213">
        <v>96.89</v>
      </c>
      <c r="AB266" s="213">
        <v>92.89</v>
      </c>
      <c r="AC266" s="213">
        <v>94.89</v>
      </c>
      <c r="AD266" s="213">
        <v>89.07</v>
      </c>
      <c r="AE266" s="213">
        <v>85.07</v>
      </c>
      <c r="AF266" s="213">
        <v>87.07</v>
      </c>
      <c r="AG266" s="213">
        <v>18.489999999999998</v>
      </c>
      <c r="AH266" s="213">
        <v>17.63</v>
      </c>
      <c r="AI266" s="213">
        <v>18.059999999999999</v>
      </c>
      <c r="AJ266" s="213"/>
      <c r="AK266" s="213"/>
      <c r="AL266" s="213"/>
      <c r="AM266" s="213">
        <v>109.42</v>
      </c>
      <c r="AN266" s="213">
        <v>107.76</v>
      </c>
      <c r="AO266" s="213">
        <v>108.59</v>
      </c>
      <c r="AP266" s="213">
        <v>38.369999999999997</v>
      </c>
      <c r="AQ266" s="213">
        <v>36.769999999999996</v>
      </c>
      <c r="AR266" s="213">
        <v>37.569999999999993</v>
      </c>
      <c r="AS266" s="213">
        <v>39.07</v>
      </c>
      <c r="AT266" s="213">
        <v>37.71</v>
      </c>
      <c r="AU266" s="213">
        <v>38.39</v>
      </c>
      <c r="AV266" s="213">
        <v>20.12</v>
      </c>
      <c r="AW266" s="213">
        <v>19.52</v>
      </c>
      <c r="AX266" s="213">
        <v>19.82</v>
      </c>
      <c r="AY266" s="213">
        <v>4.3</v>
      </c>
      <c r="AZ266" s="213">
        <v>4.1399999999999997</v>
      </c>
      <c r="BA266" s="213">
        <v>4.22</v>
      </c>
      <c r="BB266" s="213">
        <v>1.84</v>
      </c>
      <c r="BC266" s="213">
        <v>1.54</v>
      </c>
      <c r="BD266" s="213">
        <v>1.69</v>
      </c>
      <c r="BE266" s="213">
        <v>0.66</v>
      </c>
      <c r="BF266" s="213">
        <v>0.36000000000000004</v>
      </c>
      <c r="BG266" s="213">
        <v>0.51</v>
      </c>
      <c r="BH266" s="213">
        <v>470.6</v>
      </c>
      <c r="BI266" s="213">
        <v>454.6</v>
      </c>
      <c r="BJ266" s="213">
        <v>462.6</v>
      </c>
      <c r="BK266" s="213">
        <v>39.35</v>
      </c>
      <c r="BL266" s="213">
        <v>37.99</v>
      </c>
      <c r="BM266" s="213">
        <v>38.67</v>
      </c>
      <c r="BN266" s="213">
        <v>1.04</v>
      </c>
      <c r="BO266" s="213">
        <v>0.8</v>
      </c>
      <c r="BP266" s="213">
        <v>0.92</v>
      </c>
      <c r="BQ266" s="213">
        <v>8.32</v>
      </c>
      <c r="BR266" s="213">
        <v>6.32</v>
      </c>
      <c r="BS266" s="213">
        <v>7.32</v>
      </c>
      <c r="BT266" s="213">
        <v>10.87</v>
      </c>
      <c r="BU266" s="213">
        <v>10.469999999999999</v>
      </c>
      <c r="BV266" s="213">
        <v>10.669999999999998</v>
      </c>
      <c r="BW266" s="213">
        <v>2.68</v>
      </c>
      <c r="BX266" s="213">
        <v>2.4000000000000004</v>
      </c>
      <c r="BY266" s="213">
        <v>2.54</v>
      </c>
      <c r="BZ266" s="213">
        <v>9.48</v>
      </c>
      <c r="CA266" s="213">
        <v>6.48</v>
      </c>
      <c r="CB266" s="213">
        <v>7.98</v>
      </c>
      <c r="CC266" s="213">
        <v>6.35</v>
      </c>
      <c r="CD266" s="213">
        <v>6.1099999999999994</v>
      </c>
      <c r="CE266" s="213">
        <v>6.2299999999999995</v>
      </c>
      <c r="CF266" s="213">
        <v>1.79</v>
      </c>
      <c r="CG266" s="213">
        <v>1.29</v>
      </c>
      <c r="CH266" s="213">
        <v>1.54</v>
      </c>
      <c r="CI266" s="213">
        <v>0.42</v>
      </c>
      <c r="CJ266" s="213">
        <v>0.38</v>
      </c>
      <c r="CK266" s="213">
        <v>0.4</v>
      </c>
      <c r="CL266" s="213">
        <v>37.83</v>
      </c>
      <c r="CM266" s="213">
        <v>35.43</v>
      </c>
      <c r="CN266" s="213">
        <v>36.629999999999995</v>
      </c>
      <c r="CO266" s="213">
        <v>6.65</v>
      </c>
      <c r="CP266" s="213">
        <v>1.6500000000000004</v>
      </c>
      <c r="CQ266" s="213">
        <v>4.1500000000000004</v>
      </c>
      <c r="CR266" s="213"/>
      <c r="CS266" s="213"/>
    </row>
    <row r="267" spans="1:97">
      <c r="A267" s="424">
        <v>45553</v>
      </c>
      <c r="B267" s="211" t="s">
        <v>249</v>
      </c>
      <c r="C267" s="213">
        <v>142.62</v>
      </c>
      <c r="D267" s="213">
        <v>140.62</v>
      </c>
      <c r="E267" s="213">
        <v>141.62</v>
      </c>
      <c r="F267" s="213">
        <v>159.07</v>
      </c>
      <c r="G267" s="213">
        <v>156.07</v>
      </c>
      <c r="H267" s="213">
        <v>157.57</v>
      </c>
      <c r="I267" s="213">
        <v>105.81</v>
      </c>
      <c r="J267" s="213">
        <v>102.61</v>
      </c>
      <c r="K267" s="213">
        <v>104.21000000000001</v>
      </c>
      <c r="L267" s="213">
        <v>190.53</v>
      </c>
      <c r="M267" s="213">
        <v>182.53</v>
      </c>
      <c r="N267" s="213">
        <v>186.53</v>
      </c>
      <c r="O267" s="213">
        <v>168.36</v>
      </c>
      <c r="P267" s="213">
        <v>166.56</v>
      </c>
      <c r="Q267" s="213">
        <v>167.46</v>
      </c>
      <c r="R267" s="213">
        <v>21.42</v>
      </c>
      <c r="S267" s="213">
        <v>20.82</v>
      </c>
      <c r="T267" s="213">
        <v>21.12</v>
      </c>
      <c r="U267" s="213">
        <v>13.65</v>
      </c>
      <c r="V267" s="213">
        <v>13.05</v>
      </c>
      <c r="W267" s="213">
        <v>13.350000000000001</v>
      </c>
      <c r="X267" s="213">
        <v>14.31</v>
      </c>
      <c r="Y267" s="213">
        <v>13.51</v>
      </c>
      <c r="Z267" s="213">
        <v>13.91</v>
      </c>
      <c r="AA267" s="213">
        <v>97.85</v>
      </c>
      <c r="AB267" s="213">
        <v>93.85</v>
      </c>
      <c r="AC267" s="213">
        <v>95.85</v>
      </c>
      <c r="AD267" s="213">
        <v>89.83</v>
      </c>
      <c r="AE267" s="213">
        <v>85.83</v>
      </c>
      <c r="AF267" s="213">
        <v>87.83</v>
      </c>
      <c r="AG267" s="213">
        <v>18.600000000000001</v>
      </c>
      <c r="AH267" s="213">
        <v>17.740000000000002</v>
      </c>
      <c r="AI267" s="213">
        <v>18.170000000000002</v>
      </c>
      <c r="AJ267" s="213"/>
      <c r="AK267" s="213"/>
      <c r="AL267" s="213"/>
      <c r="AM267" s="213">
        <v>110.18</v>
      </c>
      <c r="AN267" s="213">
        <v>108.52000000000001</v>
      </c>
      <c r="AO267" s="213">
        <v>109.35000000000001</v>
      </c>
      <c r="AP267" s="213">
        <v>38.47</v>
      </c>
      <c r="AQ267" s="213">
        <v>36.869999999999997</v>
      </c>
      <c r="AR267" s="213">
        <v>37.67</v>
      </c>
      <c r="AS267" s="213">
        <v>39.299999999999997</v>
      </c>
      <c r="AT267" s="213">
        <v>37.94</v>
      </c>
      <c r="AU267" s="213">
        <v>38.619999999999997</v>
      </c>
      <c r="AV267" s="213">
        <v>20.23</v>
      </c>
      <c r="AW267" s="213">
        <v>19.63</v>
      </c>
      <c r="AX267" s="213">
        <v>19.93</v>
      </c>
      <c r="AY267" s="213">
        <v>4.33</v>
      </c>
      <c r="AZ267" s="213">
        <v>4.17</v>
      </c>
      <c r="BA267" s="213">
        <v>4.25</v>
      </c>
      <c r="BB267" s="213">
        <v>1.85</v>
      </c>
      <c r="BC267" s="213">
        <v>1.55</v>
      </c>
      <c r="BD267" s="213">
        <v>1.7000000000000002</v>
      </c>
      <c r="BE267" s="213">
        <v>0.66</v>
      </c>
      <c r="BF267" s="213">
        <v>0.36000000000000004</v>
      </c>
      <c r="BG267" s="213">
        <v>0.51</v>
      </c>
      <c r="BH267" s="213">
        <v>473.09</v>
      </c>
      <c r="BI267" s="213">
        <v>457.09</v>
      </c>
      <c r="BJ267" s="213">
        <v>465.09</v>
      </c>
      <c r="BK267" s="213">
        <v>39.6</v>
      </c>
      <c r="BL267" s="213">
        <v>38.24</v>
      </c>
      <c r="BM267" s="213">
        <v>38.92</v>
      </c>
      <c r="BN267" s="213">
        <v>1.05</v>
      </c>
      <c r="BO267" s="213">
        <v>0.81</v>
      </c>
      <c r="BP267" s="213">
        <v>0.93</v>
      </c>
      <c r="BQ267" s="213">
        <v>8.4</v>
      </c>
      <c r="BR267" s="213">
        <v>6.4</v>
      </c>
      <c r="BS267" s="213">
        <v>7.4</v>
      </c>
      <c r="BT267" s="213">
        <v>10.94</v>
      </c>
      <c r="BU267" s="213">
        <v>10.54</v>
      </c>
      <c r="BV267" s="213">
        <v>10.739999999999998</v>
      </c>
      <c r="BW267" s="213">
        <v>2.7</v>
      </c>
      <c r="BX267" s="213">
        <v>2.42</v>
      </c>
      <c r="BY267" s="213">
        <v>2.56</v>
      </c>
      <c r="BZ267" s="213">
        <v>9.5500000000000007</v>
      </c>
      <c r="CA267" s="213">
        <v>6.5500000000000007</v>
      </c>
      <c r="CB267" s="213">
        <v>8.0500000000000007</v>
      </c>
      <c r="CC267" s="213">
        <v>6.4</v>
      </c>
      <c r="CD267" s="213">
        <v>6.16</v>
      </c>
      <c r="CE267" s="213">
        <v>6.28</v>
      </c>
      <c r="CF267" s="213">
        <v>1.81</v>
      </c>
      <c r="CG267" s="213">
        <v>1.31</v>
      </c>
      <c r="CH267" s="213">
        <v>1.56</v>
      </c>
      <c r="CI267" s="213">
        <v>0.42</v>
      </c>
      <c r="CJ267" s="213">
        <v>0.38</v>
      </c>
      <c r="CK267" s="213">
        <v>0.4</v>
      </c>
      <c r="CL267" s="213">
        <v>38</v>
      </c>
      <c r="CM267" s="213">
        <v>35.6</v>
      </c>
      <c r="CN267" s="213">
        <v>36.799999999999997</v>
      </c>
      <c r="CO267" s="213">
        <v>6.66</v>
      </c>
      <c r="CP267" s="213">
        <v>1.6600000000000001</v>
      </c>
      <c r="CQ267" s="213">
        <v>4.16</v>
      </c>
      <c r="CR267" s="213"/>
      <c r="CS267" s="213"/>
    </row>
    <row r="268" spans="1:97">
      <c r="A268" s="424">
        <v>45554</v>
      </c>
      <c r="B268" s="211" t="s">
        <v>250</v>
      </c>
      <c r="C268" s="213">
        <v>144.63999999999999</v>
      </c>
      <c r="D268" s="213">
        <v>142.63999999999999</v>
      </c>
      <c r="E268" s="213">
        <v>143.63999999999999</v>
      </c>
      <c r="F268" s="213">
        <v>160.77000000000001</v>
      </c>
      <c r="G268" s="213">
        <v>157.77000000000001</v>
      </c>
      <c r="H268" s="213">
        <v>159.27000000000001</v>
      </c>
      <c r="I268" s="213">
        <v>106.95</v>
      </c>
      <c r="J268" s="213">
        <v>103.75</v>
      </c>
      <c r="K268" s="213">
        <v>105.35</v>
      </c>
      <c r="L268" s="213">
        <v>193.27</v>
      </c>
      <c r="M268" s="213">
        <v>185.27</v>
      </c>
      <c r="N268" s="213">
        <v>189.27</v>
      </c>
      <c r="O268" s="213">
        <v>169.89</v>
      </c>
      <c r="P268" s="213">
        <v>168.08999999999997</v>
      </c>
      <c r="Q268" s="213">
        <v>168.98999999999998</v>
      </c>
      <c r="R268" s="213">
        <v>21.65</v>
      </c>
      <c r="S268" s="213">
        <v>21.049999999999997</v>
      </c>
      <c r="T268" s="213">
        <v>21.349999999999998</v>
      </c>
      <c r="U268" s="213">
        <v>13.81</v>
      </c>
      <c r="V268" s="213">
        <v>13.21</v>
      </c>
      <c r="W268" s="213">
        <v>13.510000000000002</v>
      </c>
      <c r="X268" s="213">
        <v>14.44</v>
      </c>
      <c r="Y268" s="213">
        <v>13.639999999999999</v>
      </c>
      <c r="Z268" s="213">
        <v>14.04</v>
      </c>
      <c r="AA268" s="213">
        <v>98.91</v>
      </c>
      <c r="AB268" s="213">
        <v>94.91</v>
      </c>
      <c r="AC268" s="213">
        <v>96.91</v>
      </c>
      <c r="AD268" s="213">
        <v>90.96</v>
      </c>
      <c r="AE268" s="213">
        <v>86.96</v>
      </c>
      <c r="AF268" s="213">
        <v>88.96</v>
      </c>
      <c r="AG268" s="213">
        <v>18.850000000000001</v>
      </c>
      <c r="AH268" s="213">
        <v>17.990000000000002</v>
      </c>
      <c r="AI268" s="213">
        <v>18.420000000000002</v>
      </c>
      <c r="AJ268" s="213"/>
      <c r="AK268" s="213"/>
      <c r="AL268" s="213"/>
      <c r="AM268" s="213">
        <v>111.44</v>
      </c>
      <c r="AN268" s="213">
        <v>109.78</v>
      </c>
      <c r="AO268" s="213">
        <v>110.61</v>
      </c>
      <c r="AP268" s="213">
        <v>39.130000000000003</v>
      </c>
      <c r="AQ268" s="213">
        <v>37.53</v>
      </c>
      <c r="AR268" s="213">
        <v>38.33</v>
      </c>
      <c r="AS268" s="213">
        <v>39.85</v>
      </c>
      <c r="AT268" s="213">
        <v>38.49</v>
      </c>
      <c r="AU268" s="213">
        <v>39.17</v>
      </c>
      <c r="AV268" s="213">
        <v>20.52</v>
      </c>
      <c r="AW268" s="213">
        <v>19.919999999999998</v>
      </c>
      <c r="AX268" s="213">
        <v>20.22</v>
      </c>
      <c r="AY268" s="213">
        <v>4.37</v>
      </c>
      <c r="AZ268" s="213">
        <v>4.21</v>
      </c>
      <c r="BA268" s="213">
        <v>4.29</v>
      </c>
      <c r="BB268" s="213">
        <v>1.88</v>
      </c>
      <c r="BC268" s="213">
        <v>1.5799999999999998</v>
      </c>
      <c r="BD268" s="213">
        <v>1.73</v>
      </c>
      <c r="BE268" s="213">
        <v>0.67</v>
      </c>
      <c r="BF268" s="213">
        <v>0.37000000000000005</v>
      </c>
      <c r="BG268" s="213">
        <v>0.52</v>
      </c>
      <c r="BH268" s="213">
        <v>479.88</v>
      </c>
      <c r="BI268" s="213">
        <v>463.88</v>
      </c>
      <c r="BJ268" s="213">
        <v>471.88</v>
      </c>
      <c r="BK268" s="213">
        <v>40.15</v>
      </c>
      <c r="BL268" s="213">
        <v>38.79</v>
      </c>
      <c r="BM268" s="213">
        <v>39.47</v>
      </c>
      <c r="BN268" s="213">
        <v>1.06</v>
      </c>
      <c r="BO268" s="213">
        <v>0.82000000000000006</v>
      </c>
      <c r="BP268" s="213">
        <v>0.94000000000000006</v>
      </c>
      <c r="BQ268" s="213">
        <v>8.4499999999999993</v>
      </c>
      <c r="BR268" s="213">
        <v>6.4499999999999993</v>
      </c>
      <c r="BS268" s="213">
        <v>7.4499999999999993</v>
      </c>
      <c r="BT268" s="213">
        <v>11.01</v>
      </c>
      <c r="BU268" s="213">
        <v>10.61</v>
      </c>
      <c r="BV268" s="213">
        <v>10.809999999999999</v>
      </c>
      <c r="BW268" s="213">
        <v>2.74</v>
      </c>
      <c r="BX268" s="213">
        <v>2.46</v>
      </c>
      <c r="BY268" s="213">
        <v>2.6</v>
      </c>
      <c r="BZ268" s="213">
        <v>9.66</v>
      </c>
      <c r="CA268" s="213">
        <v>6.66</v>
      </c>
      <c r="CB268" s="213">
        <v>8.16</v>
      </c>
      <c r="CC268" s="213">
        <v>6.48</v>
      </c>
      <c r="CD268" s="213">
        <v>6.24</v>
      </c>
      <c r="CE268" s="213">
        <v>6.36</v>
      </c>
      <c r="CF268" s="213">
        <v>1.81</v>
      </c>
      <c r="CG268" s="213">
        <v>1.31</v>
      </c>
      <c r="CH268" s="213">
        <v>1.56</v>
      </c>
      <c r="CI268" s="213">
        <v>0.42</v>
      </c>
      <c r="CJ268" s="213">
        <v>0.38</v>
      </c>
      <c r="CK268" s="213">
        <v>0.4</v>
      </c>
      <c r="CL268" s="213">
        <v>38.520000000000003</v>
      </c>
      <c r="CM268" s="213">
        <v>36.120000000000005</v>
      </c>
      <c r="CN268" s="213">
        <v>37.320000000000007</v>
      </c>
      <c r="CO268" s="213">
        <v>6.72</v>
      </c>
      <c r="CP268" s="213">
        <v>1.7199999999999998</v>
      </c>
      <c r="CQ268" s="213">
        <v>4.22</v>
      </c>
      <c r="CR268" s="213"/>
      <c r="CS268" s="213"/>
    </row>
    <row r="269" spans="1:97">
      <c r="A269" s="424">
        <v>45555</v>
      </c>
      <c r="B269" s="211" t="s">
        <v>251</v>
      </c>
      <c r="C269" s="213">
        <v>143.76</v>
      </c>
      <c r="D269" s="213">
        <v>141.76</v>
      </c>
      <c r="E269" s="213">
        <v>142.76</v>
      </c>
      <c r="F269" s="213">
        <v>160.81</v>
      </c>
      <c r="G269" s="213">
        <v>157.81</v>
      </c>
      <c r="H269" s="213">
        <v>159.31</v>
      </c>
      <c r="I269" s="213">
        <v>106.85</v>
      </c>
      <c r="J269" s="213">
        <v>103.64999999999999</v>
      </c>
      <c r="K269" s="213">
        <v>105.25</v>
      </c>
      <c r="L269" s="213">
        <v>193.57</v>
      </c>
      <c r="M269" s="213">
        <v>185.57</v>
      </c>
      <c r="N269" s="213">
        <v>189.57</v>
      </c>
      <c r="O269" s="213">
        <v>169.41</v>
      </c>
      <c r="P269" s="213">
        <v>167.60999999999999</v>
      </c>
      <c r="Q269" s="213">
        <v>168.51</v>
      </c>
      <c r="R269" s="213">
        <v>21.66</v>
      </c>
      <c r="S269" s="213">
        <v>21.06</v>
      </c>
      <c r="T269" s="213">
        <v>21.36</v>
      </c>
      <c r="U269" s="213">
        <v>13.89</v>
      </c>
      <c r="V269" s="213">
        <v>13.290000000000001</v>
      </c>
      <c r="W269" s="213">
        <v>13.59</v>
      </c>
      <c r="X269" s="213">
        <v>14.45</v>
      </c>
      <c r="Y269" s="213">
        <v>13.649999999999999</v>
      </c>
      <c r="Z269" s="213">
        <v>14.049999999999999</v>
      </c>
      <c r="AA269" s="213">
        <v>99.16</v>
      </c>
      <c r="AB269" s="213">
        <v>95.16</v>
      </c>
      <c r="AC269" s="213">
        <v>97.16</v>
      </c>
      <c r="AD269" s="213">
        <v>91.04</v>
      </c>
      <c r="AE269" s="213">
        <v>87.04</v>
      </c>
      <c r="AF269" s="213">
        <v>89.04</v>
      </c>
      <c r="AG269" s="213">
        <v>18.75</v>
      </c>
      <c r="AH269" s="213">
        <v>17.89</v>
      </c>
      <c r="AI269" s="213">
        <v>18.32</v>
      </c>
      <c r="AJ269" s="213"/>
      <c r="AK269" s="213"/>
      <c r="AL269" s="213"/>
      <c r="AM269" s="213">
        <v>111.3</v>
      </c>
      <c r="AN269" s="213">
        <v>109.64</v>
      </c>
      <c r="AO269" s="213">
        <v>110.47</v>
      </c>
      <c r="AP269" s="213">
        <v>38.909999999999997</v>
      </c>
      <c r="AQ269" s="213">
        <v>37.309999999999995</v>
      </c>
      <c r="AR269" s="213">
        <v>38.11</v>
      </c>
      <c r="AS269" s="213">
        <v>39.61</v>
      </c>
      <c r="AT269" s="213">
        <v>38.25</v>
      </c>
      <c r="AU269" s="213">
        <v>38.93</v>
      </c>
      <c r="AV269" s="213">
        <v>20.49</v>
      </c>
      <c r="AW269" s="213">
        <v>19.889999999999997</v>
      </c>
      <c r="AX269" s="213">
        <v>20.189999999999998</v>
      </c>
      <c r="AY269" s="213">
        <v>4.4000000000000004</v>
      </c>
      <c r="AZ269" s="213">
        <v>4.24</v>
      </c>
      <c r="BA269" s="213">
        <v>4.32</v>
      </c>
      <c r="BB269" s="213">
        <v>1.87</v>
      </c>
      <c r="BC269" s="213">
        <v>1.57</v>
      </c>
      <c r="BD269" s="213">
        <v>1.7200000000000002</v>
      </c>
      <c r="BE269" s="213">
        <v>0.67</v>
      </c>
      <c r="BF269" s="213">
        <v>0.37000000000000005</v>
      </c>
      <c r="BG269" s="213">
        <v>0.52</v>
      </c>
      <c r="BH269" s="213">
        <v>477.14</v>
      </c>
      <c r="BI269" s="213">
        <v>461.14</v>
      </c>
      <c r="BJ269" s="213">
        <v>469.14</v>
      </c>
      <c r="BK269" s="213">
        <v>39.909999999999997</v>
      </c>
      <c r="BL269" s="213">
        <v>38.549999999999997</v>
      </c>
      <c r="BM269" s="213">
        <v>39.229999999999997</v>
      </c>
      <c r="BN269" s="213">
        <v>1.06</v>
      </c>
      <c r="BO269" s="213">
        <v>0.82000000000000006</v>
      </c>
      <c r="BP269" s="213">
        <v>0.94000000000000006</v>
      </c>
      <c r="BQ269" s="213">
        <v>8.39</v>
      </c>
      <c r="BR269" s="213">
        <v>6.3900000000000006</v>
      </c>
      <c r="BS269" s="213">
        <v>7.3900000000000006</v>
      </c>
      <c r="BT269" s="213">
        <v>10.94</v>
      </c>
      <c r="BU269" s="213">
        <v>10.54</v>
      </c>
      <c r="BV269" s="213">
        <v>10.739999999999998</v>
      </c>
      <c r="BW269" s="213">
        <v>2.73</v>
      </c>
      <c r="BX269" s="213">
        <v>2.4500000000000002</v>
      </c>
      <c r="BY269" s="213">
        <v>2.59</v>
      </c>
      <c r="BZ269" s="213">
        <v>9.64</v>
      </c>
      <c r="CA269" s="213">
        <v>6.6400000000000006</v>
      </c>
      <c r="CB269" s="213">
        <v>8.14</v>
      </c>
      <c r="CC269" s="213">
        <v>6.47</v>
      </c>
      <c r="CD269" s="213">
        <v>6.2299999999999995</v>
      </c>
      <c r="CE269" s="213">
        <v>6.35</v>
      </c>
      <c r="CF269" s="213">
        <v>1.8</v>
      </c>
      <c r="CG269" s="213">
        <v>1.3</v>
      </c>
      <c r="CH269" s="213">
        <v>1.55</v>
      </c>
      <c r="CI269" s="213">
        <v>0.42</v>
      </c>
      <c r="CJ269" s="213">
        <v>0.38</v>
      </c>
      <c r="CK269" s="213">
        <v>0.4</v>
      </c>
      <c r="CL269" s="213">
        <v>38.5</v>
      </c>
      <c r="CM269" s="213">
        <v>36.1</v>
      </c>
      <c r="CN269" s="213">
        <v>37.299999999999997</v>
      </c>
      <c r="CO269" s="213">
        <v>6.71</v>
      </c>
      <c r="CP269" s="213">
        <v>1.71</v>
      </c>
      <c r="CQ269" s="213">
        <v>4.21</v>
      </c>
      <c r="CR269" s="213"/>
      <c r="CS269" s="213"/>
    </row>
    <row r="270" spans="1:97">
      <c r="A270" s="424">
        <v>45556</v>
      </c>
      <c r="B270" s="211" t="s">
        <v>252</v>
      </c>
      <c r="C270" s="213"/>
      <c r="D270" s="213"/>
      <c r="E270" s="213"/>
      <c r="F270" s="213"/>
      <c r="G270" s="213"/>
      <c r="H270" s="213"/>
      <c r="I270" s="213"/>
      <c r="J270" s="213"/>
      <c r="K270" s="213"/>
      <c r="L270" s="213"/>
      <c r="M270" s="213"/>
      <c r="N270" s="213"/>
      <c r="O270" s="213"/>
      <c r="P270" s="213"/>
      <c r="Q270" s="213"/>
      <c r="R270" s="213"/>
      <c r="S270" s="213"/>
      <c r="T270" s="213"/>
      <c r="U270" s="213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13"/>
      <c r="AF270" s="213"/>
      <c r="AG270" s="213"/>
      <c r="AH270" s="213"/>
      <c r="AI270" s="213"/>
      <c r="AJ270" s="213"/>
      <c r="AK270" s="213"/>
      <c r="AL270" s="213"/>
      <c r="AM270" s="213"/>
      <c r="AN270" s="213"/>
      <c r="AO270" s="213"/>
      <c r="AP270" s="213"/>
      <c r="AQ270" s="213"/>
      <c r="AR270" s="213"/>
      <c r="AS270" s="213"/>
      <c r="AT270" s="213"/>
      <c r="AU270" s="213"/>
      <c r="AV270" s="213"/>
      <c r="AW270" s="213"/>
      <c r="AX270" s="213"/>
      <c r="AY270" s="213"/>
      <c r="AZ270" s="213"/>
      <c r="BA270" s="213"/>
      <c r="BB270" s="213"/>
      <c r="BC270" s="213"/>
      <c r="BD270" s="213"/>
      <c r="BE270" s="213"/>
      <c r="BF270" s="213"/>
      <c r="BG270" s="213"/>
      <c r="BH270" s="213"/>
      <c r="BI270" s="213"/>
      <c r="BJ270" s="213"/>
      <c r="BK270" s="213"/>
      <c r="BL270" s="213"/>
      <c r="BM270" s="213"/>
      <c r="BN270" s="213"/>
      <c r="BO270" s="213"/>
      <c r="BP270" s="213"/>
      <c r="BQ270" s="213"/>
      <c r="BR270" s="213"/>
      <c r="BS270" s="213"/>
      <c r="BT270" s="213"/>
      <c r="BU270" s="213"/>
      <c r="BV270" s="213"/>
      <c r="BW270" s="213"/>
      <c r="BX270" s="213"/>
      <c r="BY270" s="213"/>
      <c r="BZ270" s="213"/>
      <c r="CA270" s="213"/>
      <c r="CB270" s="213"/>
      <c r="CC270" s="213"/>
      <c r="CD270" s="213"/>
      <c r="CE270" s="213"/>
      <c r="CF270" s="213"/>
      <c r="CG270" s="213"/>
      <c r="CH270" s="213"/>
      <c r="CI270" s="213"/>
      <c r="CJ270" s="213"/>
      <c r="CK270" s="213"/>
      <c r="CL270" s="213"/>
      <c r="CM270" s="213"/>
      <c r="CN270" s="213"/>
      <c r="CO270" s="213"/>
      <c r="CP270" s="213"/>
      <c r="CQ270" s="213"/>
      <c r="CR270" s="213"/>
      <c r="CS270" s="213"/>
    </row>
    <row r="271" spans="1:97">
      <c r="A271" s="424">
        <v>45557</v>
      </c>
      <c r="B271" s="211" t="s">
        <v>253</v>
      </c>
      <c r="C271" s="213"/>
      <c r="D271" s="213"/>
      <c r="E271" s="213"/>
      <c r="F271" s="213"/>
      <c r="G271" s="213"/>
      <c r="H271" s="213"/>
      <c r="I271" s="213"/>
      <c r="J271" s="213"/>
      <c r="K271" s="213"/>
      <c r="L271" s="213"/>
      <c r="M271" s="213"/>
      <c r="N271" s="213"/>
      <c r="O271" s="213"/>
      <c r="P271" s="213"/>
      <c r="Q271" s="213"/>
      <c r="R271" s="213"/>
      <c r="S271" s="213"/>
      <c r="T271" s="213"/>
      <c r="U271" s="213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13"/>
      <c r="AF271" s="213"/>
      <c r="AG271" s="213"/>
      <c r="AH271" s="213"/>
      <c r="AI271" s="213"/>
      <c r="AJ271" s="213"/>
      <c r="AK271" s="213"/>
      <c r="AL271" s="213"/>
      <c r="AM271" s="213"/>
      <c r="AN271" s="213"/>
      <c r="AO271" s="213"/>
      <c r="AP271" s="213"/>
      <c r="AQ271" s="213"/>
      <c r="AR271" s="213"/>
      <c r="AS271" s="213"/>
      <c r="AT271" s="213"/>
      <c r="AU271" s="213"/>
      <c r="AV271" s="213"/>
      <c r="AW271" s="213"/>
      <c r="AX271" s="213"/>
      <c r="AY271" s="213"/>
      <c r="AZ271" s="213"/>
      <c r="BA271" s="213"/>
      <c r="BB271" s="213"/>
      <c r="BC271" s="213"/>
      <c r="BD271" s="213"/>
      <c r="BE271" s="213"/>
      <c r="BF271" s="213"/>
      <c r="BG271" s="213"/>
      <c r="BH271" s="213"/>
      <c r="BI271" s="213"/>
      <c r="BJ271" s="213"/>
      <c r="BK271" s="213"/>
      <c r="BL271" s="213"/>
      <c r="BM271" s="213"/>
      <c r="BN271" s="213"/>
      <c r="BO271" s="213"/>
      <c r="BP271" s="213"/>
      <c r="BQ271" s="213"/>
      <c r="BR271" s="213"/>
      <c r="BS271" s="213"/>
      <c r="BT271" s="213"/>
      <c r="BU271" s="213"/>
      <c r="BV271" s="213"/>
      <c r="BW271" s="213"/>
      <c r="BX271" s="213"/>
      <c r="BY271" s="213"/>
      <c r="BZ271" s="213"/>
      <c r="CA271" s="213"/>
      <c r="CB271" s="213"/>
      <c r="CC271" s="213"/>
      <c r="CD271" s="213"/>
      <c r="CE271" s="213"/>
      <c r="CF271" s="213"/>
      <c r="CG271" s="213"/>
      <c r="CH271" s="213"/>
      <c r="CI271" s="213"/>
      <c r="CJ271" s="213"/>
      <c r="CK271" s="213"/>
      <c r="CL271" s="213"/>
      <c r="CM271" s="213"/>
      <c r="CN271" s="213"/>
      <c r="CO271" s="213"/>
      <c r="CP271" s="213"/>
      <c r="CQ271" s="213"/>
      <c r="CR271" s="213"/>
      <c r="CS271" s="213"/>
    </row>
    <row r="272" spans="1:97">
      <c r="A272" s="424">
        <v>45558</v>
      </c>
      <c r="B272" s="211" t="s">
        <v>247</v>
      </c>
      <c r="C272" s="213"/>
      <c r="D272" s="213"/>
      <c r="E272" s="213"/>
      <c r="F272" s="213"/>
      <c r="G272" s="213"/>
      <c r="H272" s="213"/>
      <c r="I272" s="213"/>
      <c r="J272" s="213"/>
      <c r="K272" s="213"/>
      <c r="L272" s="213"/>
      <c r="M272" s="213"/>
      <c r="N272" s="213"/>
      <c r="O272" s="213"/>
      <c r="P272" s="213"/>
      <c r="Q272" s="213"/>
      <c r="R272" s="213"/>
      <c r="S272" s="213"/>
      <c r="T272" s="213"/>
      <c r="U272" s="213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13"/>
      <c r="AF272" s="213"/>
      <c r="AG272" s="213"/>
      <c r="AH272" s="213"/>
      <c r="AI272" s="213"/>
      <c r="AJ272" s="213"/>
      <c r="AK272" s="213"/>
      <c r="AL272" s="213"/>
      <c r="AM272" s="213"/>
      <c r="AN272" s="213"/>
      <c r="AO272" s="213"/>
      <c r="AP272" s="213"/>
      <c r="AQ272" s="213"/>
      <c r="AR272" s="213"/>
      <c r="AS272" s="213"/>
      <c r="AT272" s="213"/>
      <c r="AU272" s="213"/>
      <c r="AV272" s="213"/>
      <c r="AW272" s="213"/>
      <c r="AX272" s="213"/>
      <c r="AY272" s="213"/>
      <c r="AZ272" s="213"/>
      <c r="BA272" s="213"/>
      <c r="BB272" s="213"/>
      <c r="BC272" s="213"/>
      <c r="BD272" s="213"/>
      <c r="BE272" s="213"/>
      <c r="BF272" s="213"/>
      <c r="BG272" s="213"/>
      <c r="BH272" s="213"/>
      <c r="BI272" s="213"/>
      <c r="BJ272" s="213"/>
      <c r="BK272" s="213"/>
      <c r="BL272" s="213"/>
      <c r="BM272" s="213"/>
      <c r="BN272" s="213"/>
      <c r="BO272" s="213"/>
      <c r="BP272" s="213"/>
      <c r="BQ272" s="213"/>
      <c r="BR272" s="213"/>
      <c r="BS272" s="213"/>
      <c r="BT272" s="213"/>
      <c r="BU272" s="213"/>
      <c r="BV272" s="213"/>
      <c r="BW272" s="213"/>
      <c r="BX272" s="213"/>
      <c r="BY272" s="213"/>
      <c r="BZ272" s="213"/>
      <c r="CA272" s="213"/>
      <c r="CB272" s="213"/>
      <c r="CC272" s="213"/>
      <c r="CD272" s="213"/>
      <c r="CE272" s="213"/>
      <c r="CF272" s="213"/>
      <c r="CG272" s="213"/>
      <c r="CH272" s="213"/>
      <c r="CI272" s="213"/>
      <c r="CJ272" s="213"/>
      <c r="CK272" s="213"/>
      <c r="CL272" s="213"/>
      <c r="CM272" s="213"/>
      <c r="CN272" s="213"/>
      <c r="CO272" s="213"/>
      <c r="CP272" s="213"/>
      <c r="CQ272" s="213"/>
      <c r="CR272" s="213"/>
      <c r="CS272" s="213"/>
    </row>
    <row r="273" spans="1:97">
      <c r="A273" s="424">
        <v>45559</v>
      </c>
      <c r="B273" s="211" t="s">
        <v>248</v>
      </c>
      <c r="C273" s="213">
        <v>144.74</v>
      </c>
      <c r="D273" s="213">
        <v>142.74</v>
      </c>
      <c r="E273" s="213">
        <v>143.74</v>
      </c>
      <c r="F273" s="213">
        <v>161.12</v>
      </c>
      <c r="G273" s="213">
        <v>158.12</v>
      </c>
      <c r="H273" s="213">
        <v>159.62</v>
      </c>
      <c r="I273" s="213">
        <v>107.83</v>
      </c>
      <c r="J273" s="213">
        <v>104.63</v>
      </c>
      <c r="K273" s="213">
        <v>106.22999999999999</v>
      </c>
      <c r="L273" s="213">
        <v>195.86</v>
      </c>
      <c r="M273" s="213">
        <v>187.86</v>
      </c>
      <c r="N273" s="213">
        <v>191.86</v>
      </c>
      <c r="O273" s="213">
        <v>170.54</v>
      </c>
      <c r="P273" s="213">
        <v>168.73999999999998</v>
      </c>
      <c r="Q273" s="213">
        <v>169.64</v>
      </c>
      <c r="R273" s="213">
        <v>21.7</v>
      </c>
      <c r="S273" s="213">
        <v>21.099999999999998</v>
      </c>
      <c r="T273" s="213">
        <v>21.4</v>
      </c>
      <c r="U273" s="213">
        <v>13.98</v>
      </c>
      <c r="V273" s="213">
        <v>13.38</v>
      </c>
      <c r="W273" s="213">
        <v>13.68</v>
      </c>
      <c r="X273" s="213">
        <v>14.5</v>
      </c>
      <c r="Y273" s="213">
        <v>13.7</v>
      </c>
      <c r="Z273" s="213">
        <v>14.1</v>
      </c>
      <c r="AA273" s="213">
        <v>100.13</v>
      </c>
      <c r="AB273" s="213">
        <v>96.13</v>
      </c>
      <c r="AC273" s="213">
        <v>98.13</v>
      </c>
      <c r="AD273" s="213">
        <v>91.98</v>
      </c>
      <c r="AE273" s="213">
        <v>87.98</v>
      </c>
      <c r="AF273" s="213">
        <v>89.98</v>
      </c>
      <c r="AG273" s="213">
        <v>18.89</v>
      </c>
      <c r="AH273" s="213">
        <v>18.03</v>
      </c>
      <c r="AI273" s="213">
        <v>18.46</v>
      </c>
      <c r="AJ273" s="213"/>
      <c r="AK273" s="213"/>
      <c r="AL273" s="213"/>
      <c r="AM273" s="213">
        <v>112.16</v>
      </c>
      <c r="AN273" s="213">
        <v>110.5</v>
      </c>
      <c r="AO273" s="213">
        <v>111.33</v>
      </c>
      <c r="AP273" s="213">
        <v>39.17</v>
      </c>
      <c r="AQ273" s="213">
        <v>37.57</v>
      </c>
      <c r="AR273" s="213">
        <v>38.370000000000005</v>
      </c>
      <c r="AS273" s="213">
        <v>39.880000000000003</v>
      </c>
      <c r="AT273" s="213">
        <v>38.520000000000003</v>
      </c>
      <c r="AU273" s="213">
        <v>39.200000000000003</v>
      </c>
      <c r="AV273" s="213">
        <v>20.66</v>
      </c>
      <c r="AW273" s="213">
        <v>20.059999999999999</v>
      </c>
      <c r="AX273" s="213">
        <v>20.36</v>
      </c>
      <c r="AY273" s="213">
        <v>4.45</v>
      </c>
      <c r="AZ273" s="213">
        <v>4.29</v>
      </c>
      <c r="BA273" s="213">
        <v>4.37</v>
      </c>
      <c r="BB273" s="213">
        <v>1.88</v>
      </c>
      <c r="BC273" s="213">
        <v>1.5799999999999998</v>
      </c>
      <c r="BD273" s="213">
        <v>1.73</v>
      </c>
      <c r="BE273" s="213">
        <v>0.67</v>
      </c>
      <c r="BF273" s="213">
        <v>0.37000000000000005</v>
      </c>
      <c r="BG273" s="213">
        <v>0.52</v>
      </c>
      <c r="BH273" s="213">
        <v>480.05</v>
      </c>
      <c r="BI273" s="213">
        <v>464.05</v>
      </c>
      <c r="BJ273" s="213">
        <v>472.05</v>
      </c>
      <c r="BK273" s="213">
        <v>40.18</v>
      </c>
      <c r="BL273" s="213">
        <v>38.82</v>
      </c>
      <c r="BM273" s="213">
        <v>39.5</v>
      </c>
      <c r="BN273" s="213">
        <v>1.07</v>
      </c>
      <c r="BO273" s="213">
        <v>0.83000000000000007</v>
      </c>
      <c r="BP273" s="213">
        <v>0.95000000000000007</v>
      </c>
      <c r="BQ273" s="213">
        <v>8.4</v>
      </c>
      <c r="BR273" s="213">
        <v>6.4</v>
      </c>
      <c r="BS273" s="213">
        <v>7.4</v>
      </c>
      <c r="BT273" s="213">
        <v>10.97</v>
      </c>
      <c r="BU273" s="213">
        <v>10.57</v>
      </c>
      <c r="BV273" s="213">
        <v>10.77</v>
      </c>
      <c r="BW273" s="213">
        <v>2.73</v>
      </c>
      <c r="BX273" s="213">
        <v>2.4500000000000002</v>
      </c>
      <c r="BY273" s="213">
        <v>2.59</v>
      </c>
      <c r="BZ273" s="213">
        <v>9.7799999999999994</v>
      </c>
      <c r="CA273" s="213">
        <v>6.7799999999999994</v>
      </c>
      <c r="CB273" s="213">
        <v>8.2799999999999994</v>
      </c>
      <c r="CC273" s="213">
        <v>6.48</v>
      </c>
      <c r="CD273" s="213">
        <v>6.24</v>
      </c>
      <c r="CE273" s="213">
        <v>6.36</v>
      </c>
      <c r="CF273" s="213">
        <v>1.82</v>
      </c>
      <c r="CG273" s="213">
        <v>1.32</v>
      </c>
      <c r="CH273" s="213">
        <v>1.57</v>
      </c>
      <c r="CI273" s="213">
        <v>0.42</v>
      </c>
      <c r="CJ273" s="213">
        <v>0.38</v>
      </c>
      <c r="CK273" s="213">
        <v>0.4</v>
      </c>
      <c r="CL273" s="213">
        <v>38.58</v>
      </c>
      <c r="CM273" s="213">
        <v>36.18</v>
      </c>
      <c r="CN273" s="213">
        <v>37.379999999999995</v>
      </c>
      <c r="CO273" s="213">
        <v>6.71</v>
      </c>
      <c r="CP273" s="213">
        <v>1.71</v>
      </c>
      <c r="CQ273" s="213">
        <v>4.21</v>
      </c>
      <c r="CR273" s="213"/>
      <c r="CS273" s="213"/>
    </row>
    <row r="274" spans="1:97">
      <c r="A274" s="424">
        <v>45560</v>
      </c>
      <c r="B274" s="211" t="s">
        <v>249</v>
      </c>
      <c r="C274" s="213">
        <v>144.33000000000001</v>
      </c>
      <c r="D274" s="213">
        <v>142.33000000000001</v>
      </c>
      <c r="E274" s="213">
        <v>143.33000000000001</v>
      </c>
      <c r="F274" s="213">
        <v>161.91</v>
      </c>
      <c r="G274" s="213">
        <v>158.91</v>
      </c>
      <c r="H274" s="213">
        <v>160.41</v>
      </c>
      <c r="I274" s="213">
        <v>108.37</v>
      </c>
      <c r="J274" s="213">
        <v>105.17</v>
      </c>
      <c r="K274" s="213">
        <v>106.77000000000001</v>
      </c>
      <c r="L274" s="213">
        <v>196.41</v>
      </c>
      <c r="M274" s="213">
        <v>188.41</v>
      </c>
      <c r="N274" s="213">
        <v>192.41</v>
      </c>
      <c r="O274" s="213">
        <v>171.13</v>
      </c>
      <c r="P274" s="213">
        <v>169.32999999999998</v>
      </c>
      <c r="Q274" s="213">
        <v>170.23</v>
      </c>
      <c r="R274" s="213">
        <v>21.81</v>
      </c>
      <c r="S274" s="213">
        <v>21.209999999999997</v>
      </c>
      <c r="T274" s="213">
        <v>21.509999999999998</v>
      </c>
      <c r="U274" s="213">
        <v>14.08</v>
      </c>
      <c r="V274" s="213">
        <v>13.48</v>
      </c>
      <c r="W274" s="213">
        <v>13.780000000000001</v>
      </c>
      <c r="X274" s="213">
        <v>14.6</v>
      </c>
      <c r="Y274" s="213">
        <v>13.799999999999999</v>
      </c>
      <c r="Z274" s="213">
        <v>14.2</v>
      </c>
      <c r="AA274" s="213">
        <v>100.8</v>
      </c>
      <c r="AB274" s="213">
        <v>96.8</v>
      </c>
      <c r="AC274" s="213">
        <v>98.8</v>
      </c>
      <c r="AD274" s="213">
        <v>93.03</v>
      </c>
      <c r="AE274" s="213">
        <v>89.03</v>
      </c>
      <c r="AF274" s="213">
        <v>91.03</v>
      </c>
      <c r="AG274" s="213">
        <v>18.84</v>
      </c>
      <c r="AH274" s="213">
        <v>17.98</v>
      </c>
      <c r="AI274" s="213">
        <v>18.41</v>
      </c>
      <c r="AJ274" s="213"/>
      <c r="AK274" s="213"/>
      <c r="AL274" s="213"/>
      <c r="AM274" s="213">
        <v>112.54</v>
      </c>
      <c r="AN274" s="213">
        <v>110.88000000000001</v>
      </c>
      <c r="AO274" s="213">
        <v>111.71000000000001</v>
      </c>
      <c r="AP274" s="213">
        <v>39.07</v>
      </c>
      <c r="AQ274" s="213">
        <v>37.47</v>
      </c>
      <c r="AR274" s="213">
        <v>38.269999999999996</v>
      </c>
      <c r="AS274" s="213">
        <v>39.770000000000003</v>
      </c>
      <c r="AT274" s="213">
        <v>38.410000000000004</v>
      </c>
      <c r="AU274" s="213">
        <v>39.090000000000003</v>
      </c>
      <c r="AV274" s="213">
        <v>20.76</v>
      </c>
      <c r="AW274" s="213">
        <v>20.16</v>
      </c>
      <c r="AX274" s="213">
        <v>20.46</v>
      </c>
      <c r="AY274" s="213">
        <v>4.4800000000000004</v>
      </c>
      <c r="AZ274" s="213">
        <v>4.32</v>
      </c>
      <c r="BA274" s="213">
        <v>4.4000000000000004</v>
      </c>
      <c r="BB274" s="213">
        <v>1.87</v>
      </c>
      <c r="BC274" s="213">
        <v>1.57</v>
      </c>
      <c r="BD274" s="213">
        <v>1.7200000000000002</v>
      </c>
      <c r="BE274" s="213">
        <v>0.67</v>
      </c>
      <c r="BF274" s="213">
        <v>0.37000000000000005</v>
      </c>
      <c r="BG274" s="213">
        <v>0.52</v>
      </c>
      <c r="BH274" s="213">
        <v>478.55</v>
      </c>
      <c r="BI274" s="213">
        <v>462.55</v>
      </c>
      <c r="BJ274" s="213">
        <v>470.55</v>
      </c>
      <c r="BK274" s="213">
        <v>40.07</v>
      </c>
      <c r="BL274" s="213">
        <v>38.71</v>
      </c>
      <c r="BM274" s="213">
        <v>39.39</v>
      </c>
      <c r="BN274" s="213">
        <v>1.07</v>
      </c>
      <c r="BO274" s="213">
        <v>0.83000000000000007</v>
      </c>
      <c r="BP274" s="213">
        <v>0.95000000000000007</v>
      </c>
      <c r="BQ274" s="213">
        <v>8.42</v>
      </c>
      <c r="BR274" s="213">
        <v>6.42</v>
      </c>
      <c r="BS274" s="213">
        <v>7.42</v>
      </c>
      <c r="BT274" s="213">
        <v>11</v>
      </c>
      <c r="BU274" s="213">
        <v>10.6</v>
      </c>
      <c r="BV274" s="213">
        <v>10.8</v>
      </c>
      <c r="BW274" s="213">
        <v>2.71</v>
      </c>
      <c r="BX274" s="213">
        <v>2.4299999999999997</v>
      </c>
      <c r="BY274" s="213">
        <v>2.57</v>
      </c>
      <c r="BZ274" s="213">
        <v>9.7899999999999991</v>
      </c>
      <c r="CA274" s="213">
        <v>6.7899999999999991</v>
      </c>
      <c r="CB274" s="213">
        <v>8.2899999999999991</v>
      </c>
      <c r="CC274" s="213">
        <v>6.52</v>
      </c>
      <c r="CD274" s="213">
        <v>6.2799999999999994</v>
      </c>
      <c r="CE274" s="213">
        <v>6.3999999999999995</v>
      </c>
      <c r="CF274" s="213">
        <v>1.8</v>
      </c>
      <c r="CG274" s="213">
        <v>1.3</v>
      </c>
      <c r="CH274" s="213">
        <v>1.55</v>
      </c>
      <c r="CI274" s="213">
        <v>0.43</v>
      </c>
      <c r="CJ274" s="213">
        <v>0.39</v>
      </c>
      <c r="CK274" s="213">
        <v>0.41000000000000003</v>
      </c>
      <c r="CL274" s="213">
        <v>38.93</v>
      </c>
      <c r="CM274" s="213">
        <v>36.53</v>
      </c>
      <c r="CN274" s="213">
        <v>37.730000000000004</v>
      </c>
      <c r="CO274" s="213">
        <v>6.71</v>
      </c>
      <c r="CP274" s="213">
        <v>1.71</v>
      </c>
      <c r="CQ274" s="213">
        <v>4.21</v>
      </c>
      <c r="CR274" s="213"/>
      <c r="CS274" s="213"/>
    </row>
    <row r="275" spans="1:97">
      <c r="A275" s="424">
        <v>45561</v>
      </c>
      <c r="B275" s="211" t="s">
        <v>250</v>
      </c>
      <c r="C275" s="213">
        <v>145.61000000000001</v>
      </c>
      <c r="D275" s="213">
        <v>143.61000000000001</v>
      </c>
      <c r="E275" s="213">
        <v>144.61000000000001</v>
      </c>
      <c r="F275" s="213">
        <v>162.47999999999999</v>
      </c>
      <c r="G275" s="213">
        <v>159.47999999999999</v>
      </c>
      <c r="H275" s="213">
        <v>160.97999999999999</v>
      </c>
      <c r="I275" s="213">
        <v>108.92</v>
      </c>
      <c r="J275" s="213">
        <v>105.72</v>
      </c>
      <c r="K275" s="213">
        <v>107.32</v>
      </c>
      <c r="L275" s="213">
        <v>196.74</v>
      </c>
      <c r="M275" s="213">
        <v>188.74</v>
      </c>
      <c r="N275" s="213">
        <v>192.74</v>
      </c>
      <c r="O275" s="213">
        <v>171.01</v>
      </c>
      <c r="P275" s="213">
        <v>169.20999999999998</v>
      </c>
      <c r="Q275" s="213">
        <v>170.10999999999999</v>
      </c>
      <c r="R275" s="213">
        <v>21.89</v>
      </c>
      <c r="S275" s="213">
        <v>21.29</v>
      </c>
      <c r="T275" s="213">
        <v>21.59</v>
      </c>
      <c r="U275" s="213">
        <v>13.97</v>
      </c>
      <c r="V275" s="213">
        <v>13.370000000000001</v>
      </c>
      <c r="W275" s="213">
        <v>13.670000000000002</v>
      </c>
      <c r="X275" s="213">
        <v>14.61</v>
      </c>
      <c r="Y275" s="213">
        <v>13.809999999999999</v>
      </c>
      <c r="Z275" s="213">
        <v>14.209999999999999</v>
      </c>
      <c r="AA275" s="213">
        <v>100.74</v>
      </c>
      <c r="AB275" s="213">
        <v>96.74</v>
      </c>
      <c r="AC275" s="213">
        <v>98.74</v>
      </c>
      <c r="AD275" s="213">
        <v>92.53</v>
      </c>
      <c r="AE275" s="213">
        <v>88.53</v>
      </c>
      <c r="AF275" s="213">
        <v>90.53</v>
      </c>
      <c r="AG275" s="213">
        <v>19.010000000000002</v>
      </c>
      <c r="AH275" s="213">
        <v>18.150000000000002</v>
      </c>
      <c r="AI275" s="213">
        <v>18.580000000000002</v>
      </c>
      <c r="AJ275" s="213"/>
      <c r="AK275" s="213"/>
      <c r="AL275" s="213"/>
      <c r="AM275" s="213">
        <v>113.11</v>
      </c>
      <c r="AN275" s="213">
        <v>111.45</v>
      </c>
      <c r="AO275" s="213">
        <v>112.28</v>
      </c>
      <c r="AP275" s="213">
        <v>39.4</v>
      </c>
      <c r="AQ275" s="213">
        <v>37.799999999999997</v>
      </c>
      <c r="AR275" s="213">
        <v>38.599999999999994</v>
      </c>
      <c r="AS275" s="213">
        <v>40.119999999999997</v>
      </c>
      <c r="AT275" s="213">
        <v>38.76</v>
      </c>
      <c r="AU275" s="213">
        <v>39.44</v>
      </c>
      <c r="AV275" s="213">
        <v>20.87</v>
      </c>
      <c r="AW275" s="213">
        <v>20.27</v>
      </c>
      <c r="AX275" s="213">
        <v>20.57</v>
      </c>
      <c r="AY275" s="213">
        <v>4.51</v>
      </c>
      <c r="AZ275" s="213">
        <v>4.3499999999999996</v>
      </c>
      <c r="BA275" s="213">
        <v>4.43</v>
      </c>
      <c r="BB275" s="213">
        <v>1.89</v>
      </c>
      <c r="BC275" s="213">
        <v>1.5899999999999999</v>
      </c>
      <c r="BD275" s="213">
        <v>1.7399999999999998</v>
      </c>
      <c r="BE275" s="213">
        <v>0.67</v>
      </c>
      <c r="BF275" s="213">
        <v>0.37000000000000005</v>
      </c>
      <c r="BG275" s="213">
        <v>0.52</v>
      </c>
      <c r="BH275" s="213">
        <v>482.6</v>
      </c>
      <c r="BI275" s="213">
        <v>466.6</v>
      </c>
      <c r="BJ275" s="213">
        <v>474.6</v>
      </c>
      <c r="BK275" s="213">
        <v>40.42</v>
      </c>
      <c r="BL275" s="213">
        <v>39.06</v>
      </c>
      <c r="BM275" s="213">
        <v>39.74</v>
      </c>
      <c r="BN275" s="213">
        <v>1.08</v>
      </c>
      <c r="BO275" s="213">
        <v>0.84000000000000008</v>
      </c>
      <c r="BP275" s="213">
        <v>0.96000000000000008</v>
      </c>
      <c r="BQ275" s="213">
        <v>8.36</v>
      </c>
      <c r="BR275" s="213">
        <v>6.3599999999999994</v>
      </c>
      <c r="BS275" s="213">
        <v>7.3599999999999994</v>
      </c>
      <c r="BT275" s="213">
        <v>11.08</v>
      </c>
      <c r="BU275" s="213">
        <v>10.68</v>
      </c>
      <c r="BV275" s="213">
        <v>10.879999999999999</v>
      </c>
      <c r="BW275" s="213">
        <v>2.75</v>
      </c>
      <c r="BX275" s="213">
        <v>2.4699999999999998</v>
      </c>
      <c r="BY275" s="213">
        <v>2.61</v>
      </c>
      <c r="BZ275" s="213">
        <v>9.8699999999999992</v>
      </c>
      <c r="CA275" s="213">
        <v>6.8699999999999992</v>
      </c>
      <c r="CB275" s="213">
        <v>8.3699999999999992</v>
      </c>
      <c r="CC275" s="213">
        <v>6.53</v>
      </c>
      <c r="CD275" s="213">
        <v>6.29</v>
      </c>
      <c r="CE275" s="213">
        <v>6.41</v>
      </c>
      <c r="CF275" s="213">
        <v>1.81</v>
      </c>
      <c r="CG275" s="213">
        <v>1.31</v>
      </c>
      <c r="CH275" s="213">
        <v>1.56</v>
      </c>
      <c r="CI275" s="213">
        <v>0.43</v>
      </c>
      <c r="CJ275" s="213">
        <v>0.39</v>
      </c>
      <c r="CK275" s="213">
        <v>0.41000000000000003</v>
      </c>
      <c r="CL275" s="213">
        <v>38.94</v>
      </c>
      <c r="CM275" s="213">
        <v>36.54</v>
      </c>
      <c r="CN275" s="213">
        <v>37.739999999999995</v>
      </c>
      <c r="CO275" s="213">
        <v>6.74</v>
      </c>
      <c r="CP275" s="213">
        <v>1.7400000000000002</v>
      </c>
      <c r="CQ275" s="213">
        <v>4.24</v>
      </c>
      <c r="CR275" s="213"/>
      <c r="CS275" s="213"/>
    </row>
    <row r="276" spans="1:97">
      <c r="A276" s="424">
        <v>45562</v>
      </c>
      <c r="B276" s="211" t="s">
        <v>251</v>
      </c>
      <c r="C276" s="213">
        <v>146.53</v>
      </c>
      <c r="D276" s="213">
        <v>144.53</v>
      </c>
      <c r="E276" s="213">
        <v>145.53</v>
      </c>
      <c r="F276" s="213">
        <v>164.06</v>
      </c>
      <c r="G276" s="213">
        <v>161.06</v>
      </c>
      <c r="H276" s="213">
        <v>162.56</v>
      </c>
      <c r="I276" s="213">
        <v>109.51</v>
      </c>
      <c r="J276" s="213">
        <v>106.31</v>
      </c>
      <c r="K276" s="213">
        <v>107.91</v>
      </c>
      <c r="L276" s="213">
        <v>199.13</v>
      </c>
      <c r="M276" s="213">
        <v>191.13</v>
      </c>
      <c r="N276" s="213">
        <v>195.13</v>
      </c>
      <c r="O276" s="213">
        <v>172.62</v>
      </c>
      <c r="P276" s="213">
        <v>170.82</v>
      </c>
      <c r="Q276" s="213">
        <v>171.72</v>
      </c>
      <c r="R276" s="213">
        <v>22.1</v>
      </c>
      <c r="S276" s="213">
        <v>21.5</v>
      </c>
      <c r="T276" s="213">
        <v>21.8</v>
      </c>
      <c r="U276" s="213">
        <v>14.08</v>
      </c>
      <c r="V276" s="213">
        <v>13.48</v>
      </c>
      <c r="W276" s="213">
        <v>13.780000000000001</v>
      </c>
      <c r="X276" s="213">
        <v>14.75</v>
      </c>
      <c r="Y276" s="213">
        <v>13.95</v>
      </c>
      <c r="Z276" s="213">
        <v>14.35</v>
      </c>
      <c r="AA276" s="213">
        <v>102.34</v>
      </c>
      <c r="AB276" s="213">
        <v>98.34</v>
      </c>
      <c r="AC276" s="213">
        <v>100.34</v>
      </c>
      <c r="AD276" s="213">
        <v>94.06</v>
      </c>
      <c r="AE276" s="213">
        <v>90.06</v>
      </c>
      <c r="AF276" s="213">
        <v>92.06</v>
      </c>
      <c r="AG276" s="213">
        <v>19.14</v>
      </c>
      <c r="AH276" s="213">
        <v>18.28</v>
      </c>
      <c r="AI276" s="213">
        <v>18.71</v>
      </c>
      <c r="AJ276" s="213"/>
      <c r="AK276" s="213"/>
      <c r="AL276" s="213"/>
      <c r="AM276" s="213">
        <v>114.07</v>
      </c>
      <c r="AN276" s="213">
        <v>112.41</v>
      </c>
      <c r="AO276" s="213">
        <v>113.24</v>
      </c>
      <c r="AP276" s="213">
        <v>39.659999999999997</v>
      </c>
      <c r="AQ276" s="213">
        <v>38.059999999999995</v>
      </c>
      <c r="AR276" s="213">
        <v>38.86</v>
      </c>
      <c r="AS276" s="213">
        <v>40.369999999999997</v>
      </c>
      <c r="AT276" s="213">
        <v>39.01</v>
      </c>
      <c r="AU276" s="213">
        <v>39.69</v>
      </c>
      <c r="AV276" s="213">
        <v>21.12</v>
      </c>
      <c r="AW276" s="213">
        <v>20.52</v>
      </c>
      <c r="AX276" s="213">
        <v>20.82</v>
      </c>
      <c r="AY276" s="213">
        <v>4.57</v>
      </c>
      <c r="AZ276" s="213">
        <v>4.41</v>
      </c>
      <c r="BA276" s="213">
        <v>4.49</v>
      </c>
      <c r="BB276" s="213">
        <v>1.9</v>
      </c>
      <c r="BC276" s="213">
        <v>1.5999999999999999</v>
      </c>
      <c r="BD276" s="213">
        <v>1.75</v>
      </c>
      <c r="BE276" s="213">
        <v>0.68</v>
      </c>
      <c r="BF276" s="213">
        <v>0.38000000000000006</v>
      </c>
      <c r="BG276" s="213">
        <v>0.53</v>
      </c>
      <c r="BH276" s="213">
        <v>485.77</v>
      </c>
      <c r="BI276" s="213">
        <v>469.77</v>
      </c>
      <c r="BJ276" s="213">
        <v>477.77</v>
      </c>
      <c r="BK276" s="213">
        <v>40.67</v>
      </c>
      <c r="BL276" s="213">
        <v>39.31</v>
      </c>
      <c r="BM276" s="213">
        <v>39.99</v>
      </c>
      <c r="BN276" s="213">
        <v>1.08</v>
      </c>
      <c r="BO276" s="213">
        <v>0.84000000000000008</v>
      </c>
      <c r="BP276" s="213">
        <v>0.96000000000000008</v>
      </c>
      <c r="BQ276" s="213">
        <v>8.42</v>
      </c>
      <c r="BR276" s="213">
        <v>6.42</v>
      </c>
      <c r="BS276" s="213">
        <v>7.42</v>
      </c>
      <c r="BT276" s="213">
        <v>11.25</v>
      </c>
      <c r="BU276" s="213">
        <v>10.85</v>
      </c>
      <c r="BV276" s="213">
        <v>11.05</v>
      </c>
      <c r="BW276" s="213">
        <v>2.76</v>
      </c>
      <c r="BX276" s="213">
        <v>2.4799999999999995</v>
      </c>
      <c r="BY276" s="213">
        <v>2.6199999999999997</v>
      </c>
      <c r="BZ276" s="213">
        <v>9.9600000000000009</v>
      </c>
      <c r="CA276" s="213">
        <v>6.9600000000000009</v>
      </c>
      <c r="CB276" s="213">
        <v>8.4600000000000009</v>
      </c>
      <c r="CC276" s="213">
        <v>6.59</v>
      </c>
      <c r="CD276" s="213">
        <v>6.35</v>
      </c>
      <c r="CE276" s="213">
        <v>6.47</v>
      </c>
      <c r="CF276" s="213">
        <v>1.82</v>
      </c>
      <c r="CG276" s="213">
        <v>1.32</v>
      </c>
      <c r="CH276" s="213">
        <v>1.57</v>
      </c>
      <c r="CI276" s="213">
        <v>0.43</v>
      </c>
      <c r="CJ276" s="213">
        <v>0.39</v>
      </c>
      <c r="CK276" s="213">
        <v>0.41000000000000003</v>
      </c>
      <c r="CL276" s="213">
        <v>39.25</v>
      </c>
      <c r="CM276" s="213">
        <v>36.85</v>
      </c>
      <c r="CN276" s="213">
        <v>38.049999999999997</v>
      </c>
      <c r="CO276" s="213">
        <v>6.77</v>
      </c>
      <c r="CP276" s="213">
        <v>1.7699999999999996</v>
      </c>
      <c r="CQ276" s="213">
        <v>4.2699999999999996</v>
      </c>
      <c r="CR276" s="213"/>
      <c r="CS276" s="213"/>
    </row>
    <row r="277" spans="1:97">
      <c r="A277" s="424">
        <v>45563</v>
      </c>
      <c r="B277" s="211" t="s">
        <v>252</v>
      </c>
      <c r="C277" s="213"/>
      <c r="D277" s="213"/>
      <c r="E277" s="213"/>
      <c r="F277" s="213"/>
      <c r="G277" s="213"/>
      <c r="H277" s="213"/>
      <c r="I277" s="213"/>
      <c r="J277" s="213"/>
      <c r="K277" s="213"/>
      <c r="L277" s="213"/>
      <c r="M277" s="213"/>
      <c r="N277" s="213"/>
      <c r="O277" s="213"/>
      <c r="P277" s="213"/>
      <c r="Q277" s="213"/>
      <c r="R277" s="213"/>
      <c r="S277" s="213"/>
      <c r="T277" s="213"/>
      <c r="U277" s="213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13"/>
      <c r="AF277" s="213"/>
      <c r="AG277" s="213"/>
      <c r="AH277" s="213"/>
      <c r="AI277" s="213"/>
      <c r="AJ277" s="213"/>
      <c r="AK277" s="213"/>
      <c r="AL277" s="213"/>
      <c r="AM277" s="213"/>
      <c r="AN277" s="213"/>
      <c r="AO277" s="213"/>
      <c r="AP277" s="213"/>
      <c r="AQ277" s="213"/>
      <c r="AR277" s="213"/>
      <c r="AS277" s="213"/>
      <c r="AT277" s="213"/>
      <c r="AU277" s="213"/>
      <c r="AV277" s="213"/>
      <c r="AW277" s="213"/>
      <c r="AX277" s="213"/>
      <c r="AY277" s="213"/>
      <c r="AZ277" s="213"/>
      <c r="BA277" s="213"/>
      <c r="BB277" s="213"/>
      <c r="BC277" s="213"/>
      <c r="BD277" s="213"/>
      <c r="BE277" s="213"/>
      <c r="BF277" s="213"/>
      <c r="BG277" s="213"/>
      <c r="BH277" s="213"/>
      <c r="BI277" s="213"/>
      <c r="BJ277" s="213"/>
      <c r="BK277" s="213"/>
      <c r="BL277" s="213"/>
      <c r="BM277" s="213"/>
      <c r="BN277" s="213"/>
      <c r="BO277" s="213"/>
      <c r="BP277" s="213"/>
      <c r="BQ277" s="213"/>
      <c r="BR277" s="213"/>
      <c r="BS277" s="213"/>
      <c r="BT277" s="213"/>
      <c r="BU277" s="213"/>
      <c r="BV277" s="213"/>
      <c r="BW277" s="213"/>
      <c r="BX277" s="213"/>
      <c r="BY277" s="213"/>
      <c r="BZ277" s="213"/>
      <c r="CA277" s="213"/>
      <c r="CB277" s="213"/>
      <c r="CC277" s="213"/>
      <c r="CD277" s="213"/>
      <c r="CE277" s="213"/>
      <c r="CF277" s="213"/>
      <c r="CG277" s="213"/>
      <c r="CH277" s="213"/>
      <c r="CI277" s="213"/>
      <c r="CJ277" s="213"/>
      <c r="CK277" s="213"/>
      <c r="CL277" s="213"/>
      <c r="CM277" s="213"/>
      <c r="CN277" s="213"/>
      <c r="CO277" s="213"/>
      <c r="CP277" s="213"/>
      <c r="CQ277" s="213"/>
      <c r="CR277" s="213"/>
      <c r="CS277" s="213"/>
    </row>
    <row r="278" spans="1:97">
      <c r="A278" s="424">
        <v>45564</v>
      </c>
      <c r="B278" s="211" t="s">
        <v>253</v>
      </c>
      <c r="C278" s="213"/>
      <c r="D278" s="213"/>
      <c r="E278" s="213"/>
      <c r="F278" s="213"/>
      <c r="G278" s="213"/>
      <c r="H278" s="213"/>
      <c r="I278" s="213"/>
      <c r="J278" s="213"/>
      <c r="K278" s="213"/>
      <c r="L278" s="213"/>
      <c r="M278" s="213"/>
      <c r="N278" s="213"/>
      <c r="O278" s="213"/>
      <c r="P278" s="213"/>
      <c r="Q278" s="213"/>
      <c r="R278" s="213"/>
      <c r="S278" s="213"/>
      <c r="T278" s="213"/>
      <c r="U278" s="213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13"/>
      <c r="AF278" s="213"/>
      <c r="AG278" s="213"/>
      <c r="AH278" s="213"/>
      <c r="AI278" s="213"/>
      <c r="AJ278" s="213"/>
      <c r="AK278" s="213"/>
      <c r="AL278" s="213"/>
      <c r="AM278" s="213"/>
      <c r="AN278" s="213"/>
      <c r="AO278" s="213"/>
      <c r="AP278" s="213"/>
      <c r="AQ278" s="213"/>
      <c r="AR278" s="213"/>
      <c r="AS278" s="213"/>
      <c r="AT278" s="213"/>
      <c r="AU278" s="213"/>
      <c r="AV278" s="213"/>
      <c r="AW278" s="213"/>
      <c r="AX278" s="213"/>
      <c r="AY278" s="213"/>
      <c r="AZ278" s="213"/>
      <c r="BA278" s="213"/>
      <c r="BB278" s="213"/>
      <c r="BC278" s="213"/>
      <c r="BD278" s="213"/>
      <c r="BE278" s="213"/>
      <c r="BF278" s="213"/>
      <c r="BG278" s="213"/>
      <c r="BH278" s="213"/>
      <c r="BI278" s="213"/>
      <c r="BJ278" s="213"/>
      <c r="BK278" s="213"/>
      <c r="BL278" s="213"/>
      <c r="BM278" s="213"/>
      <c r="BN278" s="213"/>
      <c r="BO278" s="213"/>
      <c r="BP278" s="213"/>
      <c r="BQ278" s="213"/>
      <c r="BR278" s="213"/>
      <c r="BS278" s="213"/>
      <c r="BT278" s="213"/>
      <c r="BU278" s="213"/>
      <c r="BV278" s="213"/>
      <c r="BW278" s="213"/>
      <c r="BX278" s="213"/>
      <c r="BY278" s="213"/>
      <c r="BZ278" s="213"/>
      <c r="CA278" s="213"/>
      <c r="CB278" s="213"/>
      <c r="CC278" s="213"/>
      <c r="CD278" s="213"/>
      <c r="CE278" s="213"/>
      <c r="CF278" s="213"/>
      <c r="CG278" s="213"/>
      <c r="CH278" s="213"/>
      <c r="CI278" s="213"/>
      <c r="CJ278" s="213"/>
      <c r="CK278" s="213"/>
      <c r="CL278" s="213"/>
      <c r="CM278" s="213"/>
      <c r="CN278" s="213"/>
      <c r="CO278" s="213"/>
      <c r="CP278" s="213"/>
      <c r="CQ278" s="213"/>
      <c r="CR278" s="213"/>
      <c r="CS278" s="213"/>
    </row>
    <row r="279" spans="1:97">
      <c r="A279" s="424">
        <v>45565</v>
      </c>
      <c r="B279" s="211" t="s">
        <v>247</v>
      </c>
      <c r="C279" s="213">
        <v>143.72999999999999</v>
      </c>
      <c r="D279" s="213">
        <v>141.72999999999999</v>
      </c>
      <c r="E279" s="213">
        <v>142.72999999999999</v>
      </c>
      <c r="F279" s="213">
        <v>160.93</v>
      </c>
      <c r="G279" s="213">
        <v>157.93</v>
      </c>
      <c r="H279" s="213">
        <v>159.43</v>
      </c>
      <c r="I279" s="213">
        <v>107.17</v>
      </c>
      <c r="J279" s="213">
        <v>103.97</v>
      </c>
      <c r="K279" s="213">
        <v>105.57</v>
      </c>
      <c r="L279" s="213">
        <v>195.03</v>
      </c>
      <c r="M279" s="213">
        <v>187.03</v>
      </c>
      <c r="N279" s="213">
        <v>191.03</v>
      </c>
      <c r="O279" s="213">
        <v>170.61</v>
      </c>
      <c r="P279" s="213">
        <v>168.81</v>
      </c>
      <c r="Q279" s="213">
        <v>169.71</v>
      </c>
      <c r="R279" s="213">
        <v>21.68</v>
      </c>
      <c r="S279" s="213">
        <v>21.08</v>
      </c>
      <c r="T279" s="213">
        <v>21.38</v>
      </c>
      <c r="U279" s="213">
        <v>13.9</v>
      </c>
      <c r="V279" s="213">
        <v>13.3</v>
      </c>
      <c r="W279" s="213">
        <v>13.600000000000001</v>
      </c>
      <c r="X279" s="213">
        <v>14.56</v>
      </c>
      <c r="Y279" s="213">
        <v>13.76</v>
      </c>
      <c r="Z279" s="213">
        <v>14.16</v>
      </c>
      <c r="AA279" s="213">
        <v>100.73</v>
      </c>
      <c r="AB279" s="213">
        <v>96.73</v>
      </c>
      <c r="AC279" s="213">
        <v>98.73</v>
      </c>
      <c r="AD279" s="213">
        <v>92.75</v>
      </c>
      <c r="AE279" s="213">
        <v>88.75</v>
      </c>
      <c r="AF279" s="213">
        <v>90.75</v>
      </c>
      <c r="AG279" s="213">
        <v>18.8</v>
      </c>
      <c r="AH279" s="213">
        <v>17.940000000000001</v>
      </c>
      <c r="AI279" s="213">
        <v>18.37</v>
      </c>
      <c r="AJ279" s="213"/>
      <c r="AK279" s="213"/>
      <c r="AL279" s="213"/>
      <c r="AM279" s="213">
        <v>112.3</v>
      </c>
      <c r="AN279" s="213">
        <v>110.64</v>
      </c>
      <c r="AO279" s="213">
        <v>111.47</v>
      </c>
      <c r="AP279" s="213">
        <v>38.909999999999997</v>
      </c>
      <c r="AQ279" s="213">
        <v>37.309999999999995</v>
      </c>
      <c r="AR279" s="213">
        <v>38.11</v>
      </c>
      <c r="AS279" s="213">
        <v>39.6</v>
      </c>
      <c r="AT279" s="213">
        <v>38.24</v>
      </c>
      <c r="AU279" s="213">
        <v>38.92</v>
      </c>
      <c r="AV279" s="213">
        <v>20.76</v>
      </c>
      <c r="AW279" s="213">
        <v>20.16</v>
      </c>
      <c r="AX279" s="213">
        <v>20.46</v>
      </c>
      <c r="AY279" s="213">
        <v>4.49</v>
      </c>
      <c r="AZ279" s="213">
        <v>4.33</v>
      </c>
      <c r="BA279" s="213">
        <v>4.41</v>
      </c>
      <c r="BB279" s="213">
        <v>1.86</v>
      </c>
      <c r="BC279" s="213">
        <v>1.56</v>
      </c>
      <c r="BD279" s="213">
        <v>1.71</v>
      </c>
      <c r="BE279" s="213">
        <v>0.67</v>
      </c>
      <c r="BF279" s="213">
        <v>0.37000000000000005</v>
      </c>
      <c r="BG279" s="213">
        <v>0.52</v>
      </c>
      <c r="BH279" s="213">
        <v>475.35</v>
      </c>
      <c r="BI279" s="213">
        <v>459.35</v>
      </c>
      <c r="BJ279" s="213">
        <v>467.35</v>
      </c>
      <c r="BK279" s="213">
        <v>39.9</v>
      </c>
      <c r="BL279" s="213">
        <v>38.54</v>
      </c>
      <c r="BM279" s="213">
        <v>39.22</v>
      </c>
      <c r="BN279" s="213">
        <v>1.07</v>
      </c>
      <c r="BO279" s="213">
        <v>0.83000000000000007</v>
      </c>
      <c r="BP279" s="213">
        <v>0.95000000000000007</v>
      </c>
      <c r="BQ279" s="213">
        <v>8.24</v>
      </c>
      <c r="BR279" s="213">
        <v>6.24</v>
      </c>
      <c r="BS279" s="213">
        <v>7.24</v>
      </c>
      <c r="BT279" s="213">
        <v>11.14</v>
      </c>
      <c r="BU279" s="213">
        <v>10.74</v>
      </c>
      <c r="BV279" s="213">
        <v>10.940000000000001</v>
      </c>
      <c r="BW279" s="213">
        <v>2.7</v>
      </c>
      <c r="BX279" s="213">
        <v>2.42</v>
      </c>
      <c r="BY279" s="213">
        <v>2.56</v>
      </c>
      <c r="BZ279" s="213">
        <v>9.84</v>
      </c>
      <c r="CA279" s="213">
        <v>6.84</v>
      </c>
      <c r="CB279" s="213">
        <v>8.34</v>
      </c>
      <c r="CC279" s="213">
        <v>6.47</v>
      </c>
      <c r="CD279" s="213">
        <v>6.2299999999999995</v>
      </c>
      <c r="CE279" s="213">
        <v>6.35</v>
      </c>
      <c r="CF279" s="213">
        <v>1.76</v>
      </c>
      <c r="CG279" s="213">
        <v>1.26</v>
      </c>
      <c r="CH279" s="213">
        <v>1.51</v>
      </c>
      <c r="CI279" s="213">
        <v>0.42</v>
      </c>
      <c r="CJ279" s="213">
        <v>0.38</v>
      </c>
      <c r="CK279" s="213">
        <v>0.4</v>
      </c>
      <c r="CL279" s="213">
        <v>38.51</v>
      </c>
      <c r="CM279" s="213">
        <v>36.11</v>
      </c>
      <c r="CN279" s="213">
        <v>37.31</v>
      </c>
      <c r="CO279" s="213">
        <v>6.68</v>
      </c>
      <c r="CP279" s="213">
        <v>1.6799999999999997</v>
      </c>
      <c r="CQ279" s="213">
        <v>4.18</v>
      </c>
      <c r="CR279" s="213"/>
      <c r="CS279" s="213"/>
    </row>
    <row r="280" spans="1:97">
      <c r="A280" s="424">
        <v>45566</v>
      </c>
      <c r="B280" s="211" t="s">
        <v>248</v>
      </c>
      <c r="C280" s="213">
        <v>145.1</v>
      </c>
      <c r="D280" s="213">
        <v>143.1</v>
      </c>
      <c r="E280" s="213">
        <v>144.1</v>
      </c>
      <c r="F280" s="213">
        <v>161.88</v>
      </c>
      <c r="G280" s="213">
        <v>158.88</v>
      </c>
      <c r="H280" s="213">
        <v>160.38</v>
      </c>
      <c r="I280" s="213">
        <v>108.1</v>
      </c>
      <c r="J280" s="213">
        <v>104.89999999999999</v>
      </c>
      <c r="K280" s="213">
        <v>106.5</v>
      </c>
      <c r="L280" s="213">
        <v>196.72</v>
      </c>
      <c r="M280" s="213">
        <v>188.72</v>
      </c>
      <c r="N280" s="213">
        <v>192.72</v>
      </c>
      <c r="O280" s="213">
        <v>171.21</v>
      </c>
      <c r="P280" s="213">
        <v>169.41</v>
      </c>
      <c r="Q280" s="213">
        <v>170.31</v>
      </c>
      <c r="R280" s="213">
        <v>21.81</v>
      </c>
      <c r="S280" s="213">
        <v>21.209999999999997</v>
      </c>
      <c r="T280" s="213">
        <v>21.509999999999998</v>
      </c>
      <c r="U280" s="213">
        <v>13.97</v>
      </c>
      <c r="V280" s="213">
        <v>13.370000000000001</v>
      </c>
      <c r="W280" s="213">
        <v>13.670000000000002</v>
      </c>
      <c r="X280" s="213">
        <v>14.58</v>
      </c>
      <c r="Y280" s="213">
        <v>13.78</v>
      </c>
      <c r="Z280" s="213">
        <v>14.18</v>
      </c>
      <c r="AA280" s="213">
        <v>101.6</v>
      </c>
      <c r="AB280" s="213">
        <v>97.6</v>
      </c>
      <c r="AC280" s="213">
        <v>99.6</v>
      </c>
      <c r="AD280" s="213">
        <v>93.43</v>
      </c>
      <c r="AE280" s="213">
        <v>89.43</v>
      </c>
      <c r="AF280" s="213">
        <v>91.43</v>
      </c>
      <c r="AG280" s="213">
        <v>18.97</v>
      </c>
      <c r="AH280" s="213">
        <v>18.11</v>
      </c>
      <c r="AI280" s="213">
        <v>18.54</v>
      </c>
      <c r="AJ280" s="213"/>
      <c r="AK280" s="213"/>
      <c r="AL280" s="213"/>
      <c r="AM280" s="213">
        <v>112.95</v>
      </c>
      <c r="AN280" s="213">
        <v>111.29</v>
      </c>
      <c r="AO280" s="213">
        <v>112.12</v>
      </c>
      <c r="AP280" s="213">
        <v>39.159999999999997</v>
      </c>
      <c r="AQ280" s="213">
        <v>37.559999999999995</v>
      </c>
      <c r="AR280" s="213">
        <v>38.36</v>
      </c>
      <c r="AS280" s="213">
        <v>39.979999999999997</v>
      </c>
      <c r="AT280" s="213">
        <v>38.619999999999997</v>
      </c>
      <c r="AU280" s="213">
        <v>39.299999999999997</v>
      </c>
      <c r="AV280" s="213">
        <v>20.84</v>
      </c>
      <c r="AW280" s="213">
        <v>20.239999999999998</v>
      </c>
      <c r="AX280" s="213">
        <v>20.54</v>
      </c>
      <c r="AY280" s="213">
        <v>4.5199999999999996</v>
      </c>
      <c r="AZ280" s="213">
        <v>4.3599999999999994</v>
      </c>
      <c r="BA280" s="213">
        <v>4.4399999999999995</v>
      </c>
      <c r="BB280" s="213">
        <v>1.88</v>
      </c>
      <c r="BC280" s="213">
        <v>1.5799999999999998</v>
      </c>
      <c r="BD280" s="213">
        <v>1.73</v>
      </c>
      <c r="BE280" s="213">
        <v>0.67</v>
      </c>
      <c r="BF280" s="213">
        <v>0.37000000000000005</v>
      </c>
      <c r="BG280" s="213">
        <v>0.52</v>
      </c>
      <c r="BH280" s="213">
        <v>480.77</v>
      </c>
      <c r="BI280" s="213">
        <v>464.77</v>
      </c>
      <c r="BJ280" s="213">
        <v>472.77</v>
      </c>
      <c r="BK280" s="213">
        <v>40.28</v>
      </c>
      <c r="BL280" s="213">
        <v>38.92</v>
      </c>
      <c r="BM280" s="213">
        <v>39.6</v>
      </c>
      <c r="BN280" s="213">
        <v>1.08</v>
      </c>
      <c r="BO280" s="213">
        <v>0.84000000000000008</v>
      </c>
      <c r="BP280" s="213">
        <v>0.96000000000000008</v>
      </c>
      <c r="BQ280" s="213">
        <v>8.32</v>
      </c>
      <c r="BR280" s="213">
        <v>6.32</v>
      </c>
      <c r="BS280" s="213">
        <v>7.32</v>
      </c>
      <c r="BT280" s="213">
        <v>11.15</v>
      </c>
      <c r="BU280" s="213">
        <v>10.75</v>
      </c>
      <c r="BV280" s="213">
        <v>10.95</v>
      </c>
      <c r="BW280" s="213">
        <v>2.73</v>
      </c>
      <c r="BX280" s="213">
        <v>2.4500000000000002</v>
      </c>
      <c r="BY280" s="213">
        <v>2.59</v>
      </c>
      <c r="BZ280" s="213">
        <v>9.83</v>
      </c>
      <c r="CA280" s="213">
        <v>6.83</v>
      </c>
      <c r="CB280" s="213">
        <v>8.33</v>
      </c>
      <c r="CC280" s="213">
        <v>6.47</v>
      </c>
      <c r="CD280" s="213">
        <v>6.2299999999999995</v>
      </c>
      <c r="CE280" s="213">
        <v>6.35</v>
      </c>
      <c r="CF280" s="213">
        <v>1.8</v>
      </c>
      <c r="CG280" s="213">
        <v>1.3</v>
      </c>
      <c r="CH280" s="213">
        <v>1.55</v>
      </c>
      <c r="CI280" s="213">
        <v>0.42</v>
      </c>
      <c r="CJ280" s="213">
        <v>0.38</v>
      </c>
      <c r="CK280" s="213">
        <v>0.4</v>
      </c>
      <c r="CL280" s="213">
        <v>38.630000000000003</v>
      </c>
      <c r="CM280" s="213">
        <v>36.230000000000004</v>
      </c>
      <c r="CN280" s="213">
        <v>37.430000000000007</v>
      </c>
      <c r="CO280" s="213">
        <v>6.72</v>
      </c>
      <c r="CP280" s="213">
        <v>1.7199999999999998</v>
      </c>
      <c r="CQ280" s="213">
        <v>4.22</v>
      </c>
      <c r="CR280" s="213"/>
      <c r="CS280" s="213"/>
    </row>
    <row r="281" spans="1:97">
      <c r="A281" s="424">
        <v>45567</v>
      </c>
      <c r="B281" s="211" t="s">
        <v>249</v>
      </c>
      <c r="C281" s="213">
        <v>144.93</v>
      </c>
      <c r="D281" s="213">
        <v>142.93</v>
      </c>
      <c r="E281" s="213">
        <v>143.93</v>
      </c>
      <c r="F281" s="213">
        <v>160.74</v>
      </c>
      <c r="G281" s="213">
        <v>157.74</v>
      </c>
      <c r="H281" s="213">
        <v>159.24</v>
      </c>
      <c r="I281" s="213">
        <v>108.32</v>
      </c>
      <c r="J281" s="213">
        <v>105.11999999999999</v>
      </c>
      <c r="K281" s="213">
        <v>106.72</v>
      </c>
      <c r="L281" s="213">
        <v>195.11</v>
      </c>
      <c r="M281" s="213">
        <v>187.11</v>
      </c>
      <c r="N281" s="213">
        <v>191.11</v>
      </c>
      <c r="O281" s="213">
        <v>170.97</v>
      </c>
      <c r="P281" s="213">
        <v>169.17</v>
      </c>
      <c r="Q281" s="213">
        <v>170.07</v>
      </c>
      <c r="R281" s="213">
        <v>21.65</v>
      </c>
      <c r="S281" s="213">
        <v>21.049999999999997</v>
      </c>
      <c r="T281" s="213">
        <v>21.349999999999998</v>
      </c>
      <c r="U281" s="213">
        <v>13.85</v>
      </c>
      <c r="V281" s="213">
        <v>13.25</v>
      </c>
      <c r="W281" s="213">
        <v>13.55</v>
      </c>
      <c r="X281" s="213">
        <v>14.41</v>
      </c>
      <c r="Y281" s="213">
        <v>13.61</v>
      </c>
      <c r="Z281" s="213">
        <v>14.01</v>
      </c>
      <c r="AA281" s="213">
        <v>101.05</v>
      </c>
      <c r="AB281" s="213">
        <v>97.05</v>
      </c>
      <c r="AC281" s="213">
        <v>99.05</v>
      </c>
      <c r="AD281" s="213">
        <v>92.52</v>
      </c>
      <c r="AE281" s="213">
        <v>88.52</v>
      </c>
      <c r="AF281" s="213">
        <v>90.52</v>
      </c>
      <c r="AG281" s="213">
        <v>18.96</v>
      </c>
      <c r="AH281" s="213">
        <v>18.100000000000001</v>
      </c>
      <c r="AI281" s="213">
        <v>18.53</v>
      </c>
      <c r="AJ281" s="213"/>
      <c r="AK281" s="213"/>
      <c r="AL281" s="213"/>
      <c r="AM281" s="213">
        <v>112.59</v>
      </c>
      <c r="AN281" s="213">
        <v>110.93</v>
      </c>
      <c r="AO281" s="213">
        <v>111.76</v>
      </c>
      <c r="AP281" s="213">
        <v>39.229999999999997</v>
      </c>
      <c r="AQ281" s="213">
        <v>37.629999999999995</v>
      </c>
      <c r="AR281" s="213">
        <v>38.429999999999993</v>
      </c>
      <c r="AS281" s="213">
        <v>39.93</v>
      </c>
      <c r="AT281" s="213">
        <v>38.57</v>
      </c>
      <c r="AU281" s="213">
        <v>39.25</v>
      </c>
      <c r="AV281" s="213">
        <v>20.78</v>
      </c>
      <c r="AW281" s="213">
        <v>20.18</v>
      </c>
      <c r="AX281" s="213">
        <v>20.48</v>
      </c>
      <c r="AY281" s="213">
        <v>4.5</v>
      </c>
      <c r="AZ281" s="213">
        <v>4.34</v>
      </c>
      <c r="BA281" s="213">
        <v>4.42</v>
      </c>
      <c r="BB281" s="213">
        <v>1.87</v>
      </c>
      <c r="BC281" s="213">
        <v>1.57</v>
      </c>
      <c r="BD281" s="213">
        <v>1.7200000000000002</v>
      </c>
      <c r="BE281" s="213">
        <v>0.67</v>
      </c>
      <c r="BF281" s="213">
        <v>0.37000000000000005</v>
      </c>
      <c r="BG281" s="213">
        <v>0.52</v>
      </c>
      <c r="BH281" s="213">
        <v>480.06</v>
      </c>
      <c r="BI281" s="213">
        <v>464.06</v>
      </c>
      <c r="BJ281" s="213">
        <v>472.06</v>
      </c>
      <c r="BK281" s="213">
        <v>40.229999999999997</v>
      </c>
      <c r="BL281" s="213">
        <v>38.869999999999997</v>
      </c>
      <c r="BM281" s="213">
        <v>39.549999999999997</v>
      </c>
      <c r="BN281" s="213">
        <v>1.07</v>
      </c>
      <c r="BO281" s="213">
        <v>0.83000000000000007</v>
      </c>
      <c r="BP281" s="213">
        <v>0.95000000000000007</v>
      </c>
      <c r="BQ281" s="213">
        <v>8.34</v>
      </c>
      <c r="BR281" s="213">
        <v>6.34</v>
      </c>
      <c r="BS281" s="213">
        <v>7.34</v>
      </c>
      <c r="BT281" s="213">
        <v>11.1</v>
      </c>
      <c r="BU281" s="213">
        <v>10.7</v>
      </c>
      <c r="BV281" s="213">
        <v>10.899999999999999</v>
      </c>
      <c r="BW281" s="213">
        <v>2.72</v>
      </c>
      <c r="BX281" s="213">
        <v>2.4400000000000004</v>
      </c>
      <c r="BY281" s="213">
        <v>2.58</v>
      </c>
      <c r="BZ281" s="213">
        <v>9.7799999999999994</v>
      </c>
      <c r="CA281" s="213">
        <v>6.7799999999999994</v>
      </c>
      <c r="CB281" s="213">
        <v>8.2799999999999994</v>
      </c>
      <c r="CC281" s="213">
        <v>6.42</v>
      </c>
      <c r="CD281" s="213">
        <v>6.18</v>
      </c>
      <c r="CE281" s="213">
        <v>6.3</v>
      </c>
      <c r="CF281" s="213">
        <v>1.75</v>
      </c>
      <c r="CG281" s="213">
        <v>1.25</v>
      </c>
      <c r="CH281" s="213">
        <v>1.5</v>
      </c>
      <c r="CI281" s="213">
        <v>0.42</v>
      </c>
      <c r="CJ281" s="213">
        <v>0.38</v>
      </c>
      <c r="CK281" s="213">
        <v>0.4</v>
      </c>
      <c r="CL281" s="213">
        <v>38.380000000000003</v>
      </c>
      <c r="CM281" s="213">
        <v>35.980000000000004</v>
      </c>
      <c r="CN281" s="213">
        <v>37.180000000000007</v>
      </c>
      <c r="CO281" s="213">
        <v>6.72</v>
      </c>
      <c r="CP281" s="213">
        <v>1.7199999999999998</v>
      </c>
      <c r="CQ281" s="213">
        <v>4.22</v>
      </c>
      <c r="CR281" s="213"/>
      <c r="CS281" s="213"/>
    </row>
    <row r="282" spans="1:97">
      <c r="A282" s="424">
        <v>45568</v>
      </c>
      <c r="B282" s="211" t="s">
        <v>250</v>
      </c>
      <c r="C282" s="213">
        <v>148.12</v>
      </c>
      <c r="D282" s="213">
        <v>146.12</v>
      </c>
      <c r="E282" s="213">
        <v>147.12</v>
      </c>
      <c r="F282" s="213">
        <v>163.91</v>
      </c>
      <c r="G282" s="213">
        <v>160.91</v>
      </c>
      <c r="H282" s="213">
        <v>162.41</v>
      </c>
      <c r="I282" s="213">
        <v>110.5</v>
      </c>
      <c r="J282" s="213">
        <v>107.3</v>
      </c>
      <c r="K282" s="213">
        <v>108.9</v>
      </c>
      <c r="L282" s="213">
        <v>199.1</v>
      </c>
      <c r="M282" s="213">
        <v>191.1</v>
      </c>
      <c r="N282" s="213">
        <v>195.1</v>
      </c>
      <c r="O282" s="213">
        <v>173.84</v>
      </c>
      <c r="P282" s="213">
        <v>172.04</v>
      </c>
      <c r="Q282" s="213">
        <v>172.94</v>
      </c>
      <c r="R282" s="213">
        <v>22.07</v>
      </c>
      <c r="S282" s="213">
        <v>21.47</v>
      </c>
      <c r="T282" s="213">
        <v>21.77</v>
      </c>
      <c r="U282" s="213">
        <v>14.21</v>
      </c>
      <c r="V282" s="213">
        <v>13.610000000000001</v>
      </c>
      <c r="W282" s="213">
        <v>13.91</v>
      </c>
      <c r="X282" s="213">
        <v>14.72</v>
      </c>
      <c r="Y282" s="213">
        <v>13.92</v>
      </c>
      <c r="Z282" s="213">
        <v>14.32</v>
      </c>
      <c r="AA282" s="213">
        <v>103.22</v>
      </c>
      <c r="AB282" s="213">
        <v>99.22</v>
      </c>
      <c r="AC282" s="213">
        <v>101.22</v>
      </c>
      <c r="AD282" s="213">
        <v>93.91</v>
      </c>
      <c r="AE282" s="213">
        <v>89.91</v>
      </c>
      <c r="AF282" s="213">
        <v>91.91</v>
      </c>
      <c r="AG282" s="213">
        <v>19.38</v>
      </c>
      <c r="AH282" s="213">
        <v>18.52</v>
      </c>
      <c r="AI282" s="213">
        <v>18.95</v>
      </c>
      <c r="AJ282" s="213"/>
      <c r="AK282" s="213"/>
      <c r="AL282" s="213"/>
      <c r="AM282" s="213">
        <v>114.59</v>
      </c>
      <c r="AN282" s="213">
        <v>112.93</v>
      </c>
      <c r="AO282" s="213">
        <v>113.76</v>
      </c>
      <c r="AP282" s="213">
        <v>40.06</v>
      </c>
      <c r="AQ282" s="213">
        <v>38.46</v>
      </c>
      <c r="AR282" s="213">
        <v>39.260000000000005</v>
      </c>
      <c r="AS282" s="213">
        <v>40.700000000000003</v>
      </c>
      <c r="AT282" s="213">
        <v>39.340000000000003</v>
      </c>
      <c r="AU282" s="213">
        <v>40.020000000000003</v>
      </c>
      <c r="AV282" s="213">
        <v>21.19</v>
      </c>
      <c r="AW282" s="213">
        <v>20.59</v>
      </c>
      <c r="AX282" s="213">
        <v>20.89</v>
      </c>
      <c r="AY282" s="213">
        <v>4.54</v>
      </c>
      <c r="AZ282" s="213">
        <v>4.38</v>
      </c>
      <c r="BA282" s="213">
        <v>4.46</v>
      </c>
      <c r="BB282" s="213">
        <v>1.91</v>
      </c>
      <c r="BC282" s="213">
        <v>1.6099999999999999</v>
      </c>
      <c r="BD282" s="213">
        <v>1.7599999999999998</v>
      </c>
      <c r="BE282" s="213">
        <v>0.68</v>
      </c>
      <c r="BF282" s="213">
        <v>0.38000000000000006</v>
      </c>
      <c r="BG282" s="213">
        <v>0.53</v>
      </c>
      <c r="BH282" s="213">
        <v>490.04</v>
      </c>
      <c r="BI282" s="213">
        <v>474.04</v>
      </c>
      <c r="BJ282" s="213">
        <v>482.04</v>
      </c>
      <c r="BK282" s="213">
        <v>41.11</v>
      </c>
      <c r="BL282" s="213">
        <v>39.75</v>
      </c>
      <c r="BM282" s="213">
        <v>40.43</v>
      </c>
      <c r="BN282" s="213">
        <v>1.0900000000000001</v>
      </c>
      <c r="BO282" s="213">
        <v>0.85000000000000009</v>
      </c>
      <c r="BP282" s="213">
        <v>0.97000000000000008</v>
      </c>
      <c r="BQ282" s="213">
        <v>8.57</v>
      </c>
      <c r="BR282" s="213">
        <v>6.57</v>
      </c>
      <c r="BS282" s="213">
        <v>7.57</v>
      </c>
      <c r="BT282" s="213">
        <v>11.32</v>
      </c>
      <c r="BU282" s="213">
        <v>10.92</v>
      </c>
      <c r="BV282" s="213">
        <v>11.120000000000001</v>
      </c>
      <c r="BW282" s="213">
        <v>2.78</v>
      </c>
      <c r="BX282" s="213">
        <v>2.5</v>
      </c>
      <c r="BY282" s="213">
        <v>2.6399999999999997</v>
      </c>
      <c r="BZ282" s="213">
        <v>9.9700000000000006</v>
      </c>
      <c r="CA282" s="213">
        <v>6.9700000000000006</v>
      </c>
      <c r="CB282" s="213">
        <v>8.4700000000000006</v>
      </c>
      <c r="CC282" s="213">
        <v>6.54</v>
      </c>
      <c r="CD282" s="213">
        <v>6.3</v>
      </c>
      <c r="CE282" s="213">
        <v>6.42</v>
      </c>
      <c r="CF282" s="213">
        <v>1.79</v>
      </c>
      <c r="CG282" s="213">
        <v>1.29</v>
      </c>
      <c r="CH282" s="213">
        <v>1.54</v>
      </c>
      <c r="CI282" s="213">
        <v>0.43</v>
      </c>
      <c r="CJ282" s="213">
        <v>0.39</v>
      </c>
      <c r="CK282" s="213">
        <v>0.41000000000000003</v>
      </c>
      <c r="CL282" s="213">
        <v>39.04</v>
      </c>
      <c r="CM282" s="213">
        <v>36.64</v>
      </c>
      <c r="CN282" s="213">
        <v>37.840000000000003</v>
      </c>
      <c r="CO282" s="213">
        <v>6.81</v>
      </c>
      <c r="CP282" s="213">
        <v>1.8099999999999996</v>
      </c>
      <c r="CQ282" s="213">
        <v>4.3099999999999996</v>
      </c>
      <c r="CR282" s="213"/>
      <c r="CS282" s="213"/>
    </row>
    <row r="283" spans="1:97">
      <c r="A283" s="424">
        <v>45569</v>
      </c>
      <c r="B283" s="211" t="s">
        <v>251</v>
      </c>
      <c r="C283" s="213">
        <v>147.72</v>
      </c>
      <c r="D283" s="213">
        <v>145.72</v>
      </c>
      <c r="E283" s="213">
        <v>146.72</v>
      </c>
      <c r="F283" s="213">
        <v>163.38999999999999</v>
      </c>
      <c r="G283" s="213">
        <v>160.38999999999999</v>
      </c>
      <c r="H283" s="213">
        <v>161.88999999999999</v>
      </c>
      <c r="I283" s="213">
        <v>109.89</v>
      </c>
      <c r="J283" s="213">
        <v>106.69</v>
      </c>
      <c r="K283" s="213">
        <v>108.28999999999999</v>
      </c>
      <c r="L283" s="213">
        <v>196.69</v>
      </c>
      <c r="M283" s="213">
        <v>188.69</v>
      </c>
      <c r="N283" s="213">
        <v>192.69</v>
      </c>
      <c r="O283" s="213">
        <v>173.09</v>
      </c>
      <c r="P283" s="213">
        <v>171.29</v>
      </c>
      <c r="Q283" s="213">
        <v>172.19</v>
      </c>
      <c r="R283" s="213">
        <v>22</v>
      </c>
      <c r="S283" s="213">
        <v>21.4</v>
      </c>
      <c r="T283" s="213">
        <v>21.7</v>
      </c>
      <c r="U283" s="213">
        <v>14.15</v>
      </c>
      <c r="V283" s="213">
        <v>13.55</v>
      </c>
      <c r="W283" s="213">
        <v>13.850000000000001</v>
      </c>
      <c r="X283" s="213">
        <v>14.64</v>
      </c>
      <c r="Y283" s="213">
        <v>13.84</v>
      </c>
      <c r="Z283" s="213">
        <v>14.24</v>
      </c>
      <c r="AA283" s="213">
        <v>102.47</v>
      </c>
      <c r="AB283" s="213">
        <v>98.47</v>
      </c>
      <c r="AC283" s="213">
        <v>100.47</v>
      </c>
      <c r="AD283" s="213">
        <v>93.2</v>
      </c>
      <c r="AE283" s="213">
        <v>89.2</v>
      </c>
      <c r="AF283" s="213">
        <v>91.2</v>
      </c>
      <c r="AG283" s="213">
        <v>19.32</v>
      </c>
      <c r="AH283" s="213">
        <v>18.46</v>
      </c>
      <c r="AI283" s="213">
        <v>18.89</v>
      </c>
      <c r="AJ283" s="213"/>
      <c r="AK283" s="213"/>
      <c r="AL283" s="213"/>
      <c r="AM283" s="213">
        <v>114.01</v>
      </c>
      <c r="AN283" s="213">
        <v>112.35000000000001</v>
      </c>
      <c r="AO283" s="213">
        <v>113.18</v>
      </c>
      <c r="AP283" s="213">
        <v>39.950000000000003</v>
      </c>
      <c r="AQ283" s="213">
        <v>38.35</v>
      </c>
      <c r="AR283" s="213">
        <v>39.150000000000006</v>
      </c>
      <c r="AS283" s="213">
        <v>40.69</v>
      </c>
      <c r="AT283" s="213">
        <v>39.33</v>
      </c>
      <c r="AU283" s="213">
        <v>40.01</v>
      </c>
      <c r="AV283" s="213">
        <v>21.11</v>
      </c>
      <c r="AW283" s="213">
        <v>20.509999999999998</v>
      </c>
      <c r="AX283" s="213">
        <v>20.81</v>
      </c>
      <c r="AY283" s="213">
        <v>4.51</v>
      </c>
      <c r="AZ283" s="213">
        <v>4.3499999999999996</v>
      </c>
      <c r="BA283" s="213">
        <v>4.43</v>
      </c>
      <c r="BB283" s="213">
        <v>1.91</v>
      </c>
      <c r="BC283" s="213">
        <v>1.6099999999999999</v>
      </c>
      <c r="BD283" s="213">
        <v>1.7599999999999998</v>
      </c>
      <c r="BE283" s="213">
        <v>0.68</v>
      </c>
      <c r="BF283" s="213">
        <v>0.38000000000000006</v>
      </c>
      <c r="BG283" s="213">
        <v>0.53</v>
      </c>
      <c r="BH283" s="213">
        <v>488.42</v>
      </c>
      <c r="BI283" s="213">
        <v>472.42</v>
      </c>
      <c r="BJ283" s="213">
        <v>480.42</v>
      </c>
      <c r="BK283" s="213">
        <v>41.01</v>
      </c>
      <c r="BL283" s="213">
        <v>39.65</v>
      </c>
      <c r="BM283" s="213">
        <v>40.33</v>
      </c>
      <c r="BN283" s="213">
        <v>1.08</v>
      </c>
      <c r="BO283" s="213">
        <v>0.84000000000000008</v>
      </c>
      <c r="BP283" s="213">
        <v>0.96000000000000008</v>
      </c>
      <c r="BQ283" s="213">
        <v>8.58</v>
      </c>
      <c r="BR283" s="213">
        <v>6.58</v>
      </c>
      <c r="BS283" s="213">
        <v>7.58</v>
      </c>
      <c r="BT283" s="213">
        <v>11.23</v>
      </c>
      <c r="BU283" s="213">
        <v>10.83</v>
      </c>
      <c r="BV283" s="213">
        <v>11.030000000000001</v>
      </c>
      <c r="BW283" s="213">
        <v>2.76</v>
      </c>
      <c r="BX283" s="213">
        <v>2.4799999999999995</v>
      </c>
      <c r="BY283" s="213">
        <v>2.6199999999999997</v>
      </c>
      <c r="BZ283" s="213">
        <v>9.8800000000000008</v>
      </c>
      <c r="CA283" s="213">
        <v>6.8800000000000008</v>
      </c>
      <c r="CB283" s="213">
        <v>8.3800000000000008</v>
      </c>
      <c r="CC283" s="213">
        <v>6.5</v>
      </c>
      <c r="CD283" s="213">
        <v>6.26</v>
      </c>
      <c r="CE283" s="213">
        <v>6.38</v>
      </c>
      <c r="CF283" s="213">
        <v>1.8</v>
      </c>
      <c r="CG283" s="213">
        <v>1.3</v>
      </c>
      <c r="CH283" s="213">
        <v>1.55</v>
      </c>
      <c r="CI283" s="213">
        <v>0.42</v>
      </c>
      <c r="CJ283" s="213">
        <v>0.38</v>
      </c>
      <c r="CK283" s="213">
        <v>0.4</v>
      </c>
      <c r="CL283" s="213">
        <v>38.79</v>
      </c>
      <c r="CM283" s="213">
        <v>36.39</v>
      </c>
      <c r="CN283" s="213">
        <v>37.590000000000003</v>
      </c>
      <c r="CO283" s="213">
        <v>6.8</v>
      </c>
      <c r="CP283" s="213">
        <v>1.7999999999999998</v>
      </c>
      <c r="CQ283" s="213">
        <v>4.3</v>
      </c>
      <c r="CR283" s="213"/>
      <c r="CS283" s="213"/>
    </row>
    <row r="284" spans="1:97">
      <c r="A284" s="424">
        <v>45570</v>
      </c>
      <c r="B284" s="211" t="s">
        <v>252</v>
      </c>
      <c r="C284" s="213"/>
      <c r="D284" s="213"/>
      <c r="E284" s="213"/>
      <c r="F284" s="213"/>
      <c r="G284" s="213"/>
      <c r="H284" s="213"/>
      <c r="I284" s="213"/>
      <c r="J284" s="213"/>
      <c r="K284" s="213"/>
      <c r="L284" s="213"/>
      <c r="M284" s="213"/>
      <c r="N284" s="213"/>
      <c r="O284" s="213"/>
      <c r="P284" s="213"/>
      <c r="Q284" s="213"/>
      <c r="R284" s="213"/>
      <c r="S284" s="213"/>
      <c r="T284" s="213"/>
      <c r="U284" s="213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13"/>
      <c r="AF284" s="213"/>
      <c r="AG284" s="213"/>
      <c r="AH284" s="213"/>
      <c r="AI284" s="213"/>
      <c r="AJ284" s="213"/>
      <c r="AK284" s="213"/>
      <c r="AL284" s="213"/>
      <c r="AM284" s="213"/>
      <c r="AN284" s="213"/>
      <c r="AO284" s="213"/>
      <c r="AP284" s="213"/>
      <c r="AQ284" s="213"/>
      <c r="AR284" s="213"/>
      <c r="AS284" s="213"/>
      <c r="AT284" s="213"/>
      <c r="AU284" s="213"/>
      <c r="AV284" s="213"/>
      <c r="AW284" s="213"/>
      <c r="AX284" s="213"/>
      <c r="AY284" s="213"/>
      <c r="AZ284" s="213"/>
      <c r="BA284" s="213"/>
      <c r="BB284" s="213"/>
      <c r="BC284" s="213"/>
      <c r="BD284" s="213"/>
      <c r="BE284" s="213"/>
      <c r="BF284" s="213"/>
      <c r="BG284" s="213"/>
      <c r="BH284" s="213"/>
      <c r="BI284" s="213"/>
      <c r="BJ284" s="213"/>
      <c r="BK284" s="213"/>
      <c r="BL284" s="213"/>
      <c r="BM284" s="213"/>
      <c r="BN284" s="213"/>
      <c r="BO284" s="213"/>
      <c r="BP284" s="213"/>
      <c r="BQ284" s="213"/>
      <c r="BR284" s="213"/>
      <c r="BS284" s="213"/>
      <c r="BT284" s="213"/>
      <c r="BU284" s="213"/>
      <c r="BV284" s="213"/>
      <c r="BW284" s="213"/>
      <c r="BX284" s="213"/>
      <c r="BY284" s="213"/>
      <c r="BZ284" s="213"/>
      <c r="CA284" s="213"/>
      <c r="CB284" s="213"/>
      <c r="CC284" s="213"/>
      <c r="CD284" s="213"/>
      <c r="CE284" s="213"/>
      <c r="CF284" s="213"/>
      <c r="CG284" s="213"/>
      <c r="CH284" s="213"/>
      <c r="CI284" s="213"/>
      <c r="CJ284" s="213"/>
      <c r="CK284" s="213"/>
      <c r="CL284" s="213"/>
      <c r="CM284" s="213"/>
      <c r="CN284" s="213"/>
      <c r="CO284" s="213"/>
      <c r="CP284" s="213"/>
      <c r="CQ284" s="213"/>
      <c r="CR284" s="213"/>
      <c r="CS284" s="213"/>
    </row>
    <row r="285" spans="1:97">
      <c r="A285" s="424">
        <v>45571</v>
      </c>
      <c r="B285" s="211" t="s">
        <v>253</v>
      </c>
      <c r="C285" s="213"/>
      <c r="D285" s="213"/>
      <c r="E285" s="213"/>
      <c r="F285" s="213"/>
      <c r="G285" s="213"/>
      <c r="H285" s="213"/>
      <c r="I285" s="213"/>
      <c r="J285" s="213"/>
      <c r="K285" s="213"/>
      <c r="L285" s="213"/>
      <c r="M285" s="213"/>
      <c r="N285" s="213"/>
      <c r="O285" s="213"/>
      <c r="P285" s="213"/>
      <c r="Q285" s="213"/>
      <c r="R285" s="213"/>
      <c r="S285" s="213"/>
      <c r="T285" s="213"/>
      <c r="U285" s="213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13"/>
      <c r="AF285" s="213"/>
      <c r="AG285" s="213"/>
      <c r="AH285" s="213"/>
      <c r="AI285" s="213"/>
      <c r="AJ285" s="213"/>
      <c r="AK285" s="213"/>
      <c r="AL285" s="213"/>
      <c r="AM285" s="213"/>
      <c r="AN285" s="213"/>
      <c r="AO285" s="213"/>
      <c r="AP285" s="213"/>
      <c r="AQ285" s="213"/>
      <c r="AR285" s="213"/>
      <c r="AS285" s="213"/>
      <c r="AT285" s="213"/>
      <c r="AU285" s="213"/>
      <c r="AV285" s="213"/>
      <c r="AW285" s="213"/>
      <c r="AX285" s="213"/>
      <c r="AY285" s="213"/>
      <c r="AZ285" s="213"/>
      <c r="BA285" s="213"/>
      <c r="BB285" s="213"/>
      <c r="BC285" s="213"/>
      <c r="BD285" s="213"/>
      <c r="BE285" s="213"/>
      <c r="BF285" s="213"/>
      <c r="BG285" s="213"/>
      <c r="BH285" s="213"/>
      <c r="BI285" s="213"/>
      <c r="BJ285" s="213"/>
      <c r="BK285" s="213"/>
      <c r="BL285" s="213"/>
      <c r="BM285" s="213"/>
      <c r="BN285" s="213"/>
      <c r="BO285" s="213"/>
      <c r="BP285" s="213"/>
      <c r="BQ285" s="213"/>
      <c r="BR285" s="213"/>
      <c r="BS285" s="213"/>
      <c r="BT285" s="213"/>
      <c r="BU285" s="213"/>
      <c r="BV285" s="213"/>
      <c r="BW285" s="213"/>
      <c r="BX285" s="213"/>
      <c r="BY285" s="213"/>
      <c r="BZ285" s="213"/>
      <c r="CA285" s="213"/>
      <c r="CB285" s="213"/>
      <c r="CC285" s="213"/>
      <c r="CD285" s="213"/>
      <c r="CE285" s="213"/>
      <c r="CF285" s="213"/>
      <c r="CG285" s="213"/>
      <c r="CH285" s="213"/>
      <c r="CI285" s="213"/>
      <c r="CJ285" s="213"/>
      <c r="CK285" s="213"/>
      <c r="CL285" s="213"/>
      <c r="CM285" s="213"/>
      <c r="CN285" s="213"/>
      <c r="CO285" s="213"/>
      <c r="CP285" s="213"/>
      <c r="CQ285" s="213"/>
      <c r="CR285" s="213"/>
      <c r="CS285" s="213"/>
    </row>
    <row r="286" spans="1:97">
      <c r="A286" s="424">
        <v>45572</v>
      </c>
      <c r="B286" s="211" t="s">
        <v>247</v>
      </c>
      <c r="C286" s="213">
        <v>149.47</v>
      </c>
      <c r="D286" s="213">
        <v>147.47</v>
      </c>
      <c r="E286" s="213">
        <v>148.47</v>
      </c>
      <c r="F286" s="213">
        <v>164.37</v>
      </c>
      <c r="G286" s="213">
        <v>161.37</v>
      </c>
      <c r="H286" s="213">
        <v>162.87</v>
      </c>
      <c r="I286" s="213">
        <v>110.92</v>
      </c>
      <c r="J286" s="213">
        <v>107.72</v>
      </c>
      <c r="K286" s="213">
        <v>109.32</v>
      </c>
      <c r="L286" s="213">
        <v>198.85</v>
      </c>
      <c r="M286" s="213">
        <v>190.85</v>
      </c>
      <c r="N286" s="213">
        <v>194.85</v>
      </c>
      <c r="O286" s="213">
        <v>173.84</v>
      </c>
      <c r="P286" s="213">
        <v>172.04</v>
      </c>
      <c r="Q286" s="213">
        <v>172.94</v>
      </c>
      <c r="R286" s="213">
        <v>22.14</v>
      </c>
      <c r="S286" s="213">
        <v>21.54</v>
      </c>
      <c r="T286" s="213">
        <v>21.84</v>
      </c>
      <c r="U286" s="213">
        <v>14.21</v>
      </c>
      <c r="V286" s="213">
        <v>13.610000000000001</v>
      </c>
      <c r="W286" s="213">
        <v>13.91</v>
      </c>
      <c r="X286" s="213">
        <v>14.72</v>
      </c>
      <c r="Y286" s="213">
        <v>13.92</v>
      </c>
      <c r="Z286" s="213">
        <v>14.32</v>
      </c>
      <c r="AA286" s="213">
        <v>103</v>
      </c>
      <c r="AB286" s="213">
        <v>99</v>
      </c>
      <c r="AC286" s="213">
        <v>101</v>
      </c>
      <c r="AD286" s="213">
        <v>93.52</v>
      </c>
      <c r="AE286" s="213">
        <v>89.52</v>
      </c>
      <c r="AF286" s="213">
        <v>91.52</v>
      </c>
      <c r="AG286" s="213">
        <v>19.55</v>
      </c>
      <c r="AH286" s="213">
        <v>18.690000000000001</v>
      </c>
      <c r="AI286" s="213">
        <v>19.12</v>
      </c>
      <c r="AJ286" s="213"/>
      <c r="AK286" s="213"/>
      <c r="AL286" s="213"/>
      <c r="AM286" s="213">
        <v>114.63</v>
      </c>
      <c r="AN286" s="213">
        <v>112.97</v>
      </c>
      <c r="AO286" s="213">
        <v>113.8</v>
      </c>
      <c r="AP286" s="213">
        <v>40.4</v>
      </c>
      <c r="AQ286" s="213">
        <v>38.799999999999997</v>
      </c>
      <c r="AR286" s="213">
        <v>39.599999999999994</v>
      </c>
      <c r="AS286" s="213">
        <v>41.17</v>
      </c>
      <c r="AT286" s="213">
        <v>39.81</v>
      </c>
      <c r="AU286" s="213">
        <v>40.49</v>
      </c>
      <c r="AV286" s="213">
        <v>21.23</v>
      </c>
      <c r="AW286" s="213">
        <v>20.63</v>
      </c>
      <c r="AX286" s="213">
        <v>20.93</v>
      </c>
      <c r="AY286" s="213">
        <v>4.53</v>
      </c>
      <c r="AZ286" s="213">
        <v>4.37</v>
      </c>
      <c r="BA286" s="213">
        <v>4.45</v>
      </c>
      <c r="BB286" s="213">
        <v>1.93</v>
      </c>
      <c r="BC286" s="213">
        <v>1.63</v>
      </c>
      <c r="BD286" s="213">
        <v>1.7799999999999998</v>
      </c>
      <c r="BE286" s="213">
        <v>0.69</v>
      </c>
      <c r="BF286" s="213">
        <v>0.38999999999999996</v>
      </c>
      <c r="BG286" s="213">
        <v>0.53999999999999992</v>
      </c>
      <c r="BH286" s="213">
        <v>493.67</v>
      </c>
      <c r="BI286" s="213">
        <v>477.67</v>
      </c>
      <c r="BJ286" s="213">
        <v>485.67</v>
      </c>
      <c r="BK286" s="213">
        <v>41.48</v>
      </c>
      <c r="BL286" s="213">
        <v>40.119999999999997</v>
      </c>
      <c r="BM286" s="213">
        <v>40.799999999999997</v>
      </c>
      <c r="BN286" s="213">
        <v>1.08</v>
      </c>
      <c r="BO286" s="213">
        <v>0.84000000000000008</v>
      </c>
      <c r="BP286" s="213">
        <v>0.96000000000000008</v>
      </c>
      <c r="BQ286" s="213">
        <v>8.6999999999999993</v>
      </c>
      <c r="BR286" s="213">
        <v>6.6999999999999993</v>
      </c>
      <c r="BS286" s="213">
        <v>7.6999999999999993</v>
      </c>
      <c r="BT286" s="213">
        <v>11.25</v>
      </c>
      <c r="BU286" s="213">
        <v>10.85</v>
      </c>
      <c r="BV286" s="213">
        <v>11.05</v>
      </c>
      <c r="BW286" s="213">
        <v>2.8</v>
      </c>
      <c r="BX286" s="213">
        <v>2.5199999999999996</v>
      </c>
      <c r="BY286" s="213">
        <v>2.6599999999999997</v>
      </c>
      <c r="BZ286" s="213">
        <v>9.98</v>
      </c>
      <c r="CA286" s="213">
        <v>6.98</v>
      </c>
      <c r="CB286" s="213">
        <v>8.48</v>
      </c>
      <c r="CC286" s="213">
        <v>6.54</v>
      </c>
      <c r="CD286" s="213">
        <v>6.3</v>
      </c>
      <c r="CE286" s="213">
        <v>6.42</v>
      </c>
      <c r="CF286" s="213">
        <v>1.81</v>
      </c>
      <c r="CG286" s="213">
        <v>1.31</v>
      </c>
      <c r="CH286" s="213">
        <v>1.56</v>
      </c>
      <c r="CI286" s="213">
        <v>0.43</v>
      </c>
      <c r="CJ286" s="213">
        <v>0.39</v>
      </c>
      <c r="CK286" s="213">
        <v>0.41000000000000003</v>
      </c>
      <c r="CL286" s="213">
        <v>38.94</v>
      </c>
      <c r="CM286" s="213">
        <v>36.54</v>
      </c>
      <c r="CN286" s="213">
        <v>37.739999999999995</v>
      </c>
      <c r="CO286" s="213">
        <v>6.84</v>
      </c>
      <c r="CP286" s="213">
        <v>1.8399999999999999</v>
      </c>
      <c r="CQ286" s="213">
        <v>4.34</v>
      </c>
      <c r="CR286" s="213"/>
      <c r="CS286" s="213"/>
    </row>
    <row r="287" spans="1:97">
      <c r="A287" s="424">
        <v>45573</v>
      </c>
      <c r="B287" s="211" t="s">
        <v>248</v>
      </c>
      <c r="C287" s="213">
        <v>148.9</v>
      </c>
      <c r="D287" s="213">
        <v>146.9</v>
      </c>
      <c r="E287" s="213">
        <v>147.9</v>
      </c>
      <c r="F287" s="213">
        <v>163.91</v>
      </c>
      <c r="G287" s="213">
        <v>160.91</v>
      </c>
      <c r="H287" s="213">
        <v>162.41</v>
      </c>
      <c r="I287" s="213">
        <v>110.24</v>
      </c>
      <c r="J287" s="213">
        <v>107.03999999999999</v>
      </c>
      <c r="K287" s="213">
        <v>108.63999999999999</v>
      </c>
      <c r="L287" s="213">
        <v>197.75</v>
      </c>
      <c r="M287" s="213">
        <v>189.75</v>
      </c>
      <c r="N287" s="213">
        <v>193.75</v>
      </c>
      <c r="O287" s="213">
        <v>174.02</v>
      </c>
      <c r="P287" s="213">
        <v>172.22</v>
      </c>
      <c r="Q287" s="213">
        <v>173.12</v>
      </c>
      <c r="R287" s="213">
        <v>22.08</v>
      </c>
      <c r="S287" s="213">
        <v>21.479999999999997</v>
      </c>
      <c r="T287" s="213">
        <v>21.779999999999998</v>
      </c>
      <c r="U287" s="213">
        <v>14.2</v>
      </c>
      <c r="V287" s="213">
        <v>13.6</v>
      </c>
      <c r="W287" s="213">
        <v>13.899999999999999</v>
      </c>
      <c r="X287" s="213">
        <v>14.7</v>
      </c>
      <c r="Y287" s="213">
        <v>13.899999999999999</v>
      </c>
      <c r="Z287" s="213">
        <v>14.299999999999999</v>
      </c>
      <c r="AA287" s="213">
        <v>102.11</v>
      </c>
      <c r="AB287" s="213">
        <v>98.11</v>
      </c>
      <c r="AC287" s="213">
        <v>100.11</v>
      </c>
      <c r="AD287" s="213">
        <v>92.88</v>
      </c>
      <c r="AE287" s="213">
        <v>88.88</v>
      </c>
      <c r="AF287" s="213">
        <v>90.88</v>
      </c>
      <c r="AG287" s="213">
        <v>19.48</v>
      </c>
      <c r="AH287" s="213">
        <v>18.62</v>
      </c>
      <c r="AI287" s="213">
        <v>19.05</v>
      </c>
      <c r="AJ287" s="213"/>
      <c r="AK287" s="213"/>
      <c r="AL287" s="213"/>
      <c r="AM287" s="213">
        <v>114.35</v>
      </c>
      <c r="AN287" s="213">
        <v>112.69</v>
      </c>
      <c r="AO287" s="213">
        <v>113.52</v>
      </c>
      <c r="AP287" s="213">
        <v>40.24</v>
      </c>
      <c r="AQ287" s="213">
        <v>38.64</v>
      </c>
      <c r="AR287" s="213">
        <v>39.44</v>
      </c>
      <c r="AS287" s="213">
        <v>41.01</v>
      </c>
      <c r="AT287" s="213">
        <v>39.65</v>
      </c>
      <c r="AU287" s="213">
        <v>40.33</v>
      </c>
      <c r="AV287" s="213">
        <v>21.24</v>
      </c>
      <c r="AW287" s="213">
        <v>20.639999999999997</v>
      </c>
      <c r="AX287" s="213">
        <v>20.939999999999998</v>
      </c>
      <c r="AY287" s="213">
        <v>4.5</v>
      </c>
      <c r="AZ287" s="213">
        <v>4.34</v>
      </c>
      <c r="BA287" s="213">
        <v>4.42</v>
      </c>
      <c r="BB287" s="213">
        <v>1.92</v>
      </c>
      <c r="BC287" s="213">
        <v>1.6199999999999999</v>
      </c>
      <c r="BD287" s="213">
        <v>1.77</v>
      </c>
      <c r="BE287" s="213">
        <v>0.68</v>
      </c>
      <c r="BF287" s="213">
        <v>0.38000000000000006</v>
      </c>
      <c r="BG287" s="213">
        <v>0.53</v>
      </c>
      <c r="BH287" s="213">
        <v>490.23</v>
      </c>
      <c r="BI287" s="213">
        <v>474.23</v>
      </c>
      <c r="BJ287" s="213">
        <v>482.23</v>
      </c>
      <c r="BK287" s="213">
        <v>41.32</v>
      </c>
      <c r="BL287" s="213">
        <v>39.96</v>
      </c>
      <c r="BM287" s="213">
        <v>40.64</v>
      </c>
      <c r="BN287" s="213">
        <v>1.06</v>
      </c>
      <c r="BO287" s="213">
        <v>0.82000000000000006</v>
      </c>
      <c r="BP287" s="213">
        <v>0.94000000000000006</v>
      </c>
      <c r="BQ287" s="213">
        <v>8.67</v>
      </c>
      <c r="BR287" s="213">
        <v>6.67</v>
      </c>
      <c r="BS287" s="213">
        <v>7.67</v>
      </c>
      <c r="BT287" s="213">
        <v>11.21</v>
      </c>
      <c r="BU287" s="213">
        <v>10.81</v>
      </c>
      <c r="BV287" s="213">
        <v>11.010000000000002</v>
      </c>
      <c r="BW287" s="213">
        <v>2.75</v>
      </c>
      <c r="BX287" s="213">
        <v>2.4699999999999998</v>
      </c>
      <c r="BY287" s="213">
        <v>2.61</v>
      </c>
      <c r="BZ287" s="213">
        <v>10.029999999999999</v>
      </c>
      <c r="CA287" s="213">
        <v>7.0299999999999994</v>
      </c>
      <c r="CB287" s="213">
        <v>8.5299999999999994</v>
      </c>
      <c r="CC287" s="213">
        <v>6.52</v>
      </c>
      <c r="CD287" s="213">
        <v>6.2799999999999994</v>
      </c>
      <c r="CE287" s="213">
        <v>6.3999999999999995</v>
      </c>
      <c r="CF287" s="213">
        <v>1.79</v>
      </c>
      <c r="CG287" s="213">
        <v>1.29</v>
      </c>
      <c r="CH287" s="213">
        <v>1.54</v>
      </c>
      <c r="CI287" s="213">
        <v>0.42</v>
      </c>
      <c r="CJ287" s="213">
        <v>0.38</v>
      </c>
      <c r="CK287" s="213">
        <v>0.4</v>
      </c>
      <c r="CL287" s="213">
        <v>38.770000000000003</v>
      </c>
      <c r="CM287" s="213">
        <v>36.370000000000005</v>
      </c>
      <c r="CN287" s="213">
        <v>37.570000000000007</v>
      </c>
      <c r="CO287" s="213">
        <v>6.82</v>
      </c>
      <c r="CP287" s="213">
        <v>1.8200000000000003</v>
      </c>
      <c r="CQ287" s="213">
        <v>4.32</v>
      </c>
      <c r="CR287" s="213"/>
      <c r="CS287" s="213"/>
    </row>
    <row r="288" spans="1:97">
      <c r="A288" s="424">
        <v>45574</v>
      </c>
      <c r="B288" s="211" t="s">
        <v>249</v>
      </c>
      <c r="C288" s="213">
        <v>149.25</v>
      </c>
      <c r="D288" s="213">
        <v>147.25</v>
      </c>
      <c r="E288" s="213">
        <v>148.25</v>
      </c>
      <c r="F288" s="213">
        <v>164.26</v>
      </c>
      <c r="G288" s="213">
        <v>161.26</v>
      </c>
      <c r="H288" s="213">
        <v>162.76</v>
      </c>
      <c r="I288" s="213">
        <v>110.18</v>
      </c>
      <c r="J288" s="213">
        <v>106.98</v>
      </c>
      <c r="K288" s="213">
        <v>108.58000000000001</v>
      </c>
      <c r="L288" s="213">
        <v>198.27</v>
      </c>
      <c r="M288" s="213">
        <v>190.27</v>
      </c>
      <c r="N288" s="213">
        <v>194.27</v>
      </c>
      <c r="O288" s="213">
        <v>173.87</v>
      </c>
      <c r="P288" s="213">
        <v>172.07</v>
      </c>
      <c r="Q288" s="213">
        <v>172.97</v>
      </c>
      <c r="R288" s="213">
        <v>22.12</v>
      </c>
      <c r="S288" s="213">
        <v>21.52</v>
      </c>
      <c r="T288" s="213">
        <v>21.82</v>
      </c>
      <c r="U288" s="213">
        <v>14.13</v>
      </c>
      <c r="V288" s="213">
        <v>13.530000000000001</v>
      </c>
      <c r="W288" s="213">
        <v>13.830000000000002</v>
      </c>
      <c r="X288" s="213">
        <v>14.76</v>
      </c>
      <c r="Y288" s="213">
        <v>13.959999999999999</v>
      </c>
      <c r="Z288" s="213">
        <v>14.36</v>
      </c>
      <c r="AA288" s="213">
        <v>101.92</v>
      </c>
      <c r="AB288" s="213">
        <v>97.92</v>
      </c>
      <c r="AC288" s="213">
        <v>99.92</v>
      </c>
      <c r="AD288" s="213">
        <v>92.91</v>
      </c>
      <c r="AE288" s="213">
        <v>88.91</v>
      </c>
      <c r="AF288" s="213">
        <v>90.91</v>
      </c>
      <c r="AG288" s="213">
        <v>19.5</v>
      </c>
      <c r="AH288" s="213">
        <v>18.64</v>
      </c>
      <c r="AI288" s="213">
        <v>19.07</v>
      </c>
      <c r="AJ288" s="213"/>
      <c r="AK288" s="213"/>
      <c r="AL288" s="213"/>
      <c r="AM288" s="213">
        <v>114.57</v>
      </c>
      <c r="AN288" s="213">
        <v>112.91</v>
      </c>
      <c r="AO288" s="213">
        <v>113.74</v>
      </c>
      <c r="AP288" s="213">
        <v>40.35</v>
      </c>
      <c r="AQ288" s="213">
        <v>38.75</v>
      </c>
      <c r="AR288" s="213">
        <v>39.549999999999997</v>
      </c>
      <c r="AS288" s="213">
        <v>41.11</v>
      </c>
      <c r="AT288" s="213">
        <v>39.75</v>
      </c>
      <c r="AU288" s="213">
        <v>40.43</v>
      </c>
      <c r="AV288" s="213">
        <v>21.27</v>
      </c>
      <c r="AW288" s="213">
        <v>20.669999999999998</v>
      </c>
      <c r="AX288" s="213">
        <v>20.97</v>
      </c>
      <c r="AY288" s="213">
        <v>4.51</v>
      </c>
      <c r="AZ288" s="213">
        <v>4.3499999999999996</v>
      </c>
      <c r="BA288" s="213">
        <v>4.43</v>
      </c>
      <c r="BB288" s="213">
        <v>1.93</v>
      </c>
      <c r="BC288" s="213">
        <v>1.63</v>
      </c>
      <c r="BD288" s="213">
        <v>1.7799999999999998</v>
      </c>
      <c r="BE288" s="213">
        <v>0.69</v>
      </c>
      <c r="BF288" s="213">
        <v>0.38999999999999996</v>
      </c>
      <c r="BG288" s="213">
        <v>0.53999999999999992</v>
      </c>
      <c r="BH288" s="213">
        <v>492.48</v>
      </c>
      <c r="BI288" s="213">
        <v>476.48</v>
      </c>
      <c r="BJ288" s="213">
        <v>484.48</v>
      </c>
      <c r="BK288" s="213">
        <v>41.42</v>
      </c>
      <c r="BL288" s="213">
        <v>40.06</v>
      </c>
      <c r="BM288" s="213">
        <v>40.74</v>
      </c>
      <c r="BN288" s="213">
        <v>1.07</v>
      </c>
      <c r="BO288" s="213">
        <v>0.83000000000000007</v>
      </c>
      <c r="BP288" s="213">
        <v>0.95000000000000007</v>
      </c>
      <c r="BQ288" s="213">
        <v>8.66</v>
      </c>
      <c r="BR288" s="213">
        <v>6.66</v>
      </c>
      <c r="BS288" s="213">
        <v>7.66</v>
      </c>
      <c r="BT288" s="213">
        <v>11.28</v>
      </c>
      <c r="BU288" s="213">
        <v>10.879999999999999</v>
      </c>
      <c r="BV288" s="213">
        <v>11.079999999999998</v>
      </c>
      <c r="BW288" s="213">
        <v>2.76</v>
      </c>
      <c r="BX288" s="213">
        <v>2.4799999999999995</v>
      </c>
      <c r="BY288" s="213">
        <v>2.6199999999999997</v>
      </c>
      <c r="BZ288" s="213">
        <v>9.93</v>
      </c>
      <c r="CA288" s="213">
        <v>6.93</v>
      </c>
      <c r="CB288" s="213">
        <v>8.43</v>
      </c>
      <c r="CC288" s="213">
        <v>6.55</v>
      </c>
      <c r="CD288" s="213">
        <v>6.31</v>
      </c>
      <c r="CE288" s="213">
        <v>6.43</v>
      </c>
      <c r="CF288" s="213">
        <v>1.78</v>
      </c>
      <c r="CG288" s="213">
        <v>1.28</v>
      </c>
      <c r="CH288" s="213">
        <v>1.53</v>
      </c>
      <c r="CI288" s="213">
        <v>0.43</v>
      </c>
      <c r="CJ288" s="213">
        <v>0.39</v>
      </c>
      <c r="CK288" s="213">
        <v>0.41000000000000003</v>
      </c>
      <c r="CL288" s="213">
        <v>39.049999999999997</v>
      </c>
      <c r="CM288" s="213">
        <v>36.65</v>
      </c>
      <c r="CN288" s="213">
        <v>37.849999999999994</v>
      </c>
      <c r="CO288" s="213">
        <v>6.83</v>
      </c>
      <c r="CP288" s="213">
        <v>1.83</v>
      </c>
      <c r="CQ288" s="213">
        <v>4.33</v>
      </c>
      <c r="CR288" s="213"/>
      <c r="CS288" s="213"/>
    </row>
    <row r="289" spans="1:97">
      <c r="A289" s="424">
        <v>45575</v>
      </c>
      <c r="B289" s="211" t="s">
        <v>250</v>
      </c>
      <c r="C289" s="213">
        <v>150.41</v>
      </c>
      <c r="D289" s="213">
        <v>148.41</v>
      </c>
      <c r="E289" s="213">
        <v>149.41</v>
      </c>
      <c r="F289" s="213">
        <v>164.95</v>
      </c>
      <c r="G289" s="213">
        <v>161.94999999999999</v>
      </c>
      <c r="H289" s="213">
        <v>163.44999999999999</v>
      </c>
      <c r="I289" s="213">
        <v>110.57</v>
      </c>
      <c r="J289" s="213">
        <v>107.36999999999999</v>
      </c>
      <c r="K289" s="213">
        <v>108.97</v>
      </c>
      <c r="L289" s="213">
        <v>199.31</v>
      </c>
      <c r="M289" s="213">
        <v>191.31</v>
      </c>
      <c r="N289" s="213">
        <v>195.31</v>
      </c>
      <c r="O289" s="213">
        <v>174.47</v>
      </c>
      <c r="P289" s="213">
        <v>172.67</v>
      </c>
      <c r="Q289" s="213">
        <v>173.57</v>
      </c>
      <c r="R289" s="213">
        <v>22.21</v>
      </c>
      <c r="S289" s="213">
        <v>21.61</v>
      </c>
      <c r="T289" s="213">
        <v>21.91</v>
      </c>
      <c r="U289" s="213">
        <v>14.15</v>
      </c>
      <c r="V289" s="213">
        <v>13.55</v>
      </c>
      <c r="W289" s="213">
        <v>13.850000000000001</v>
      </c>
      <c r="X289" s="213">
        <v>14.76</v>
      </c>
      <c r="Y289" s="213">
        <v>13.959999999999999</v>
      </c>
      <c r="Z289" s="213">
        <v>14.36</v>
      </c>
      <c r="AA289" s="213">
        <v>102.4</v>
      </c>
      <c r="AB289" s="213">
        <v>98.4</v>
      </c>
      <c r="AC289" s="213">
        <v>100.4</v>
      </c>
      <c r="AD289" s="213">
        <v>92.69</v>
      </c>
      <c r="AE289" s="213">
        <v>88.69</v>
      </c>
      <c r="AF289" s="213">
        <v>90.69</v>
      </c>
      <c r="AG289" s="213">
        <v>19.649999999999999</v>
      </c>
      <c r="AH289" s="213">
        <v>18.79</v>
      </c>
      <c r="AI289" s="213">
        <v>19.22</v>
      </c>
      <c r="AJ289" s="213"/>
      <c r="AK289" s="213"/>
      <c r="AL289" s="213"/>
      <c r="AM289" s="213">
        <v>115.16</v>
      </c>
      <c r="AN289" s="213">
        <v>113.5</v>
      </c>
      <c r="AO289" s="213">
        <v>114.33</v>
      </c>
      <c r="AP289" s="213">
        <v>40.67</v>
      </c>
      <c r="AQ289" s="213">
        <v>39.07</v>
      </c>
      <c r="AR289" s="213">
        <v>39.870000000000005</v>
      </c>
      <c r="AS289" s="213">
        <v>41.42</v>
      </c>
      <c r="AT289" s="213">
        <v>40.06</v>
      </c>
      <c r="AU289" s="213">
        <v>40.74</v>
      </c>
      <c r="AV289" s="213">
        <v>21.38</v>
      </c>
      <c r="AW289" s="213">
        <v>20.779999999999998</v>
      </c>
      <c r="AX289" s="213">
        <v>21.08</v>
      </c>
      <c r="AY289" s="213">
        <v>4.54</v>
      </c>
      <c r="AZ289" s="213">
        <v>4.38</v>
      </c>
      <c r="BA289" s="213">
        <v>4.46</v>
      </c>
      <c r="BB289" s="213">
        <v>1.94</v>
      </c>
      <c r="BC289" s="213">
        <v>1.64</v>
      </c>
      <c r="BD289" s="213">
        <v>1.79</v>
      </c>
      <c r="BE289" s="213">
        <v>0.69</v>
      </c>
      <c r="BF289" s="213">
        <v>0.38999999999999996</v>
      </c>
      <c r="BG289" s="213">
        <v>0.53999999999999992</v>
      </c>
      <c r="BH289" s="213">
        <v>496.11</v>
      </c>
      <c r="BI289" s="213">
        <v>480.11</v>
      </c>
      <c r="BJ289" s="213">
        <v>488.11</v>
      </c>
      <c r="BK289" s="213">
        <v>41.74</v>
      </c>
      <c r="BL289" s="213">
        <v>40.380000000000003</v>
      </c>
      <c r="BM289" s="213">
        <v>41.06</v>
      </c>
      <c r="BN289" s="213">
        <v>1.08</v>
      </c>
      <c r="BO289" s="213">
        <v>0.84000000000000008</v>
      </c>
      <c r="BP289" s="213">
        <v>0.96000000000000008</v>
      </c>
      <c r="BQ289" s="213">
        <v>8.68</v>
      </c>
      <c r="BR289" s="213">
        <v>6.68</v>
      </c>
      <c r="BS289" s="213">
        <v>7.68</v>
      </c>
      <c r="BT289" s="213">
        <v>11.3</v>
      </c>
      <c r="BU289" s="213">
        <v>10.9</v>
      </c>
      <c r="BV289" s="213">
        <v>11.100000000000001</v>
      </c>
      <c r="BW289" s="213">
        <v>2.78</v>
      </c>
      <c r="BX289" s="213">
        <v>2.5</v>
      </c>
      <c r="BY289" s="213">
        <v>2.6399999999999997</v>
      </c>
      <c r="BZ289" s="213">
        <v>9.9600000000000009</v>
      </c>
      <c r="CA289" s="213">
        <v>6.9600000000000009</v>
      </c>
      <c r="CB289" s="213">
        <v>8.4600000000000009</v>
      </c>
      <c r="CC289" s="213">
        <v>6.58</v>
      </c>
      <c r="CD289" s="213">
        <v>6.34</v>
      </c>
      <c r="CE289" s="213">
        <v>6.46</v>
      </c>
      <c r="CF289" s="213">
        <v>1.79</v>
      </c>
      <c r="CG289" s="213">
        <v>1.29</v>
      </c>
      <c r="CH289" s="213">
        <v>1.54</v>
      </c>
      <c r="CI289" s="213">
        <v>0.43</v>
      </c>
      <c r="CJ289" s="213">
        <v>0.39</v>
      </c>
      <c r="CK289" s="213">
        <v>0.41000000000000003</v>
      </c>
      <c r="CL289" s="213">
        <v>39.26</v>
      </c>
      <c r="CM289" s="213">
        <v>36.86</v>
      </c>
      <c r="CN289" s="213">
        <v>38.06</v>
      </c>
      <c r="CO289" s="213">
        <v>6.87</v>
      </c>
      <c r="CP289" s="213">
        <v>1.87</v>
      </c>
      <c r="CQ289" s="213">
        <v>4.37</v>
      </c>
      <c r="CR289" s="213"/>
      <c r="CS289" s="213"/>
    </row>
    <row r="290" spans="1:97">
      <c r="A290" s="424">
        <v>45576</v>
      </c>
      <c r="B290" s="211" t="s">
        <v>251</v>
      </c>
      <c r="C290" s="213">
        <v>149.62</v>
      </c>
      <c r="D290" s="213">
        <v>147.62</v>
      </c>
      <c r="E290" s="213">
        <v>148.62</v>
      </c>
      <c r="F290" s="213">
        <v>164.03</v>
      </c>
      <c r="G290" s="213">
        <v>161.03</v>
      </c>
      <c r="H290" s="213">
        <v>162.53</v>
      </c>
      <c r="I290" s="213">
        <v>109.7</v>
      </c>
      <c r="J290" s="213">
        <v>106.5</v>
      </c>
      <c r="K290" s="213">
        <v>108.1</v>
      </c>
      <c r="L290" s="213">
        <v>198.16</v>
      </c>
      <c r="M290" s="213">
        <v>190.16</v>
      </c>
      <c r="N290" s="213">
        <v>194.16</v>
      </c>
      <c r="O290" s="213">
        <v>174.36</v>
      </c>
      <c r="P290" s="213">
        <v>172.56</v>
      </c>
      <c r="Q290" s="213">
        <v>173.46</v>
      </c>
      <c r="R290" s="213">
        <v>22.08</v>
      </c>
      <c r="S290" s="213">
        <v>21.479999999999997</v>
      </c>
      <c r="T290" s="213">
        <v>21.779999999999998</v>
      </c>
      <c r="U290" s="213">
        <v>14.15</v>
      </c>
      <c r="V290" s="213">
        <v>13.55</v>
      </c>
      <c r="W290" s="213">
        <v>13.850000000000001</v>
      </c>
      <c r="X290" s="213">
        <v>14.71</v>
      </c>
      <c r="Y290" s="213">
        <v>13.91</v>
      </c>
      <c r="Z290" s="213">
        <v>14.31</v>
      </c>
      <c r="AA290" s="213">
        <v>102.2</v>
      </c>
      <c r="AB290" s="213">
        <v>98.2</v>
      </c>
      <c r="AC290" s="213">
        <v>100.2</v>
      </c>
      <c r="AD290" s="213">
        <v>92.61</v>
      </c>
      <c r="AE290" s="213">
        <v>88.61</v>
      </c>
      <c r="AF290" s="213">
        <v>90.61</v>
      </c>
      <c r="AG290" s="213">
        <v>19.559999999999999</v>
      </c>
      <c r="AH290" s="213">
        <v>18.7</v>
      </c>
      <c r="AI290" s="213">
        <v>19.13</v>
      </c>
      <c r="AJ290" s="213"/>
      <c r="AK290" s="213"/>
      <c r="AL290" s="213"/>
      <c r="AM290" s="213">
        <v>114.68</v>
      </c>
      <c r="AN290" s="213">
        <v>113.02000000000001</v>
      </c>
      <c r="AO290" s="213">
        <v>113.85000000000001</v>
      </c>
      <c r="AP290" s="213">
        <v>40.450000000000003</v>
      </c>
      <c r="AQ290" s="213">
        <v>38.85</v>
      </c>
      <c r="AR290" s="213">
        <v>39.650000000000006</v>
      </c>
      <c r="AS290" s="213">
        <v>41.21</v>
      </c>
      <c r="AT290" s="213">
        <v>39.85</v>
      </c>
      <c r="AU290" s="213">
        <v>40.53</v>
      </c>
      <c r="AV290" s="213">
        <v>21.29</v>
      </c>
      <c r="AW290" s="213">
        <v>20.689999999999998</v>
      </c>
      <c r="AX290" s="213">
        <v>20.99</v>
      </c>
      <c r="AY290" s="213">
        <v>4.53</v>
      </c>
      <c r="AZ290" s="213">
        <v>4.37</v>
      </c>
      <c r="BA290" s="213">
        <v>4.45</v>
      </c>
      <c r="BB290" s="213">
        <v>1.93</v>
      </c>
      <c r="BC290" s="213">
        <v>1.63</v>
      </c>
      <c r="BD290" s="213">
        <v>1.7799999999999998</v>
      </c>
      <c r="BE290" s="213">
        <v>0.69</v>
      </c>
      <c r="BF290" s="213">
        <v>0.38999999999999996</v>
      </c>
      <c r="BG290" s="213">
        <v>0.53999999999999992</v>
      </c>
      <c r="BH290" s="213">
        <v>494</v>
      </c>
      <c r="BI290" s="213">
        <v>478</v>
      </c>
      <c r="BJ290" s="213">
        <v>486</v>
      </c>
      <c r="BK290" s="213">
        <v>41.52</v>
      </c>
      <c r="BL290" s="213">
        <v>40.160000000000004</v>
      </c>
      <c r="BM290" s="213">
        <v>40.840000000000003</v>
      </c>
      <c r="BN290" s="213">
        <v>1.07</v>
      </c>
      <c r="BO290" s="213">
        <v>0.83000000000000007</v>
      </c>
      <c r="BP290" s="213">
        <v>0.95000000000000007</v>
      </c>
      <c r="BQ290" s="213">
        <v>8.64</v>
      </c>
      <c r="BR290" s="213">
        <v>6.6400000000000006</v>
      </c>
      <c r="BS290" s="213">
        <v>7.6400000000000006</v>
      </c>
      <c r="BT290" s="213">
        <v>11.24</v>
      </c>
      <c r="BU290" s="213">
        <v>10.84</v>
      </c>
      <c r="BV290" s="213">
        <v>11.04</v>
      </c>
      <c r="BW290" s="213">
        <v>2.75</v>
      </c>
      <c r="BX290" s="213">
        <v>2.4699999999999998</v>
      </c>
      <c r="BY290" s="213">
        <v>2.61</v>
      </c>
      <c r="BZ290" s="213">
        <v>9.98</v>
      </c>
      <c r="CA290" s="213">
        <v>6.98</v>
      </c>
      <c r="CB290" s="213">
        <v>8.48</v>
      </c>
      <c r="CC290" s="213">
        <v>6.54</v>
      </c>
      <c r="CD290" s="213">
        <v>6.3</v>
      </c>
      <c r="CE290" s="213">
        <v>6.42</v>
      </c>
      <c r="CF290" s="213">
        <v>1.79</v>
      </c>
      <c r="CG290" s="213">
        <v>1.29</v>
      </c>
      <c r="CH290" s="213">
        <v>1.54</v>
      </c>
      <c r="CI290" s="213">
        <v>0.43</v>
      </c>
      <c r="CJ290" s="213">
        <v>0.39</v>
      </c>
      <c r="CK290" s="213">
        <v>0.41000000000000003</v>
      </c>
      <c r="CL290" s="213">
        <v>39.01</v>
      </c>
      <c r="CM290" s="213">
        <v>36.61</v>
      </c>
      <c r="CN290" s="213">
        <v>37.81</v>
      </c>
      <c r="CO290" s="213">
        <v>6.86</v>
      </c>
      <c r="CP290" s="213">
        <v>1.8600000000000003</v>
      </c>
      <c r="CQ290" s="213">
        <v>4.3600000000000003</v>
      </c>
      <c r="CR290" s="213"/>
      <c r="CS290" s="213"/>
    </row>
    <row r="291" spans="1:97">
      <c r="A291" s="424">
        <v>45577</v>
      </c>
      <c r="B291" s="211" t="s">
        <v>252</v>
      </c>
      <c r="C291" s="213"/>
      <c r="D291" s="213"/>
      <c r="E291" s="213"/>
      <c r="F291" s="213"/>
      <c r="G291" s="213"/>
      <c r="H291" s="213"/>
      <c r="I291" s="213"/>
      <c r="J291" s="213"/>
      <c r="K291" s="213"/>
      <c r="L291" s="213"/>
      <c r="M291" s="213"/>
      <c r="N291" s="213"/>
      <c r="O291" s="213"/>
      <c r="P291" s="213"/>
      <c r="Q291" s="213"/>
      <c r="R291" s="213"/>
      <c r="S291" s="213"/>
      <c r="T291" s="213"/>
      <c r="U291" s="213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13"/>
      <c r="AF291" s="213"/>
      <c r="AG291" s="213"/>
      <c r="AH291" s="213"/>
      <c r="AI291" s="213"/>
      <c r="AJ291" s="213"/>
      <c r="AK291" s="213"/>
      <c r="AL291" s="213"/>
      <c r="AM291" s="213"/>
      <c r="AN291" s="213"/>
      <c r="AO291" s="213"/>
      <c r="AP291" s="213"/>
      <c r="AQ291" s="213"/>
      <c r="AR291" s="213"/>
      <c r="AS291" s="213"/>
      <c r="AT291" s="213"/>
      <c r="AU291" s="213"/>
      <c r="AV291" s="213"/>
      <c r="AW291" s="213"/>
      <c r="AX291" s="213"/>
      <c r="AY291" s="213"/>
      <c r="AZ291" s="213"/>
      <c r="BA291" s="213"/>
      <c r="BB291" s="213"/>
      <c r="BC291" s="213"/>
      <c r="BD291" s="213"/>
      <c r="BE291" s="213"/>
      <c r="BF291" s="213"/>
      <c r="BG291" s="213"/>
      <c r="BH291" s="213"/>
      <c r="BI291" s="213"/>
      <c r="BJ291" s="213"/>
      <c r="BK291" s="213"/>
      <c r="BL291" s="213"/>
      <c r="BM291" s="213"/>
      <c r="BN291" s="213"/>
      <c r="BO291" s="213"/>
      <c r="BP291" s="213"/>
      <c r="BQ291" s="213"/>
      <c r="BR291" s="213"/>
      <c r="BS291" s="213"/>
      <c r="BT291" s="213"/>
      <c r="BU291" s="213"/>
      <c r="BV291" s="213"/>
      <c r="BW291" s="213"/>
      <c r="BX291" s="213"/>
      <c r="BY291" s="213"/>
      <c r="BZ291" s="213"/>
      <c r="CA291" s="213"/>
      <c r="CB291" s="213"/>
      <c r="CC291" s="213"/>
      <c r="CD291" s="213"/>
      <c r="CE291" s="213"/>
      <c r="CF291" s="213"/>
      <c r="CG291" s="213"/>
      <c r="CH291" s="213"/>
      <c r="CI291" s="213"/>
      <c r="CJ291" s="213"/>
      <c r="CK291" s="213"/>
      <c r="CL291" s="213"/>
      <c r="CM291" s="213"/>
      <c r="CN291" s="213"/>
      <c r="CO291" s="213"/>
      <c r="CP291" s="213"/>
      <c r="CQ291" s="213"/>
      <c r="CR291" s="213"/>
      <c r="CS291" s="213"/>
    </row>
    <row r="292" spans="1:97">
      <c r="A292" s="424">
        <v>45578</v>
      </c>
      <c r="B292" s="211" t="s">
        <v>253</v>
      </c>
      <c r="C292" s="213"/>
      <c r="D292" s="213"/>
      <c r="E292" s="213"/>
      <c r="F292" s="213"/>
      <c r="G292" s="213"/>
      <c r="H292" s="213"/>
      <c r="I292" s="213"/>
      <c r="J292" s="213"/>
      <c r="K292" s="213"/>
      <c r="L292" s="213"/>
      <c r="M292" s="213"/>
      <c r="N292" s="213"/>
      <c r="O292" s="213"/>
      <c r="P292" s="213"/>
      <c r="Q292" s="213"/>
      <c r="R292" s="213"/>
      <c r="S292" s="213"/>
      <c r="T292" s="213"/>
      <c r="U292" s="213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13"/>
      <c r="AF292" s="213"/>
      <c r="AG292" s="213"/>
      <c r="AH292" s="213"/>
      <c r="AI292" s="213"/>
      <c r="AJ292" s="213"/>
      <c r="AK292" s="213"/>
      <c r="AL292" s="213"/>
      <c r="AM292" s="213"/>
      <c r="AN292" s="213"/>
      <c r="AO292" s="213"/>
      <c r="AP292" s="213"/>
      <c r="AQ292" s="213"/>
      <c r="AR292" s="213"/>
      <c r="AS292" s="213"/>
      <c r="AT292" s="213"/>
      <c r="AU292" s="213"/>
      <c r="AV292" s="213"/>
      <c r="AW292" s="213"/>
      <c r="AX292" s="213"/>
      <c r="AY292" s="213"/>
      <c r="AZ292" s="213"/>
      <c r="BA292" s="213"/>
      <c r="BB292" s="213"/>
      <c r="BC292" s="213"/>
      <c r="BD292" s="213"/>
      <c r="BE292" s="213"/>
      <c r="BF292" s="213"/>
      <c r="BG292" s="213"/>
      <c r="BH292" s="213"/>
      <c r="BI292" s="213"/>
      <c r="BJ292" s="213"/>
      <c r="BK292" s="213"/>
      <c r="BL292" s="213"/>
      <c r="BM292" s="213"/>
      <c r="BN292" s="213"/>
      <c r="BO292" s="213"/>
      <c r="BP292" s="213"/>
      <c r="BQ292" s="213"/>
      <c r="BR292" s="213"/>
      <c r="BS292" s="213"/>
      <c r="BT292" s="213"/>
      <c r="BU292" s="213"/>
      <c r="BV292" s="213"/>
      <c r="BW292" s="213"/>
      <c r="BX292" s="213"/>
      <c r="BY292" s="213"/>
      <c r="BZ292" s="213"/>
      <c r="CA292" s="213"/>
      <c r="CB292" s="213"/>
      <c r="CC292" s="213"/>
      <c r="CD292" s="213"/>
      <c r="CE292" s="213"/>
      <c r="CF292" s="213"/>
      <c r="CG292" s="213"/>
      <c r="CH292" s="213"/>
      <c r="CI292" s="213"/>
      <c r="CJ292" s="213"/>
      <c r="CK292" s="213"/>
      <c r="CL292" s="213"/>
      <c r="CM292" s="213"/>
      <c r="CN292" s="213"/>
      <c r="CO292" s="213"/>
      <c r="CP292" s="213"/>
      <c r="CQ292" s="213"/>
      <c r="CR292" s="213"/>
      <c r="CS292" s="213"/>
    </row>
    <row r="293" spans="1:97">
      <c r="A293" s="424">
        <v>45579</v>
      </c>
      <c r="B293" s="211" t="s">
        <v>247</v>
      </c>
      <c r="C293" s="213"/>
      <c r="D293" s="213"/>
      <c r="E293" s="213"/>
      <c r="F293" s="213"/>
      <c r="G293" s="213"/>
      <c r="H293" s="213"/>
      <c r="I293" s="213"/>
      <c r="J293" s="213"/>
      <c r="K293" s="213"/>
      <c r="L293" s="213"/>
      <c r="M293" s="213"/>
      <c r="N293" s="213"/>
      <c r="O293" s="213"/>
      <c r="P293" s="213"/>
      <c r="Q293" s="213"/>
      <c r="R293" s="213"/>
      <c r="S293" s="213"/>
      <c r="T293" s="213"/>
      <c r="U293" s="213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13"/>
      <c r="AF293" s="213"/>
      <c r="AG293" s="213"/>
      <c r="AH293" s="213"/>
      <c r="AI293" s="213"/>
      <c r="AJ293" s="213"/>
      <c r="AK293" s="213"/>
      <c r="AL293" s="213"/>
      <c r="AM293" s="213"/>
      <c r="AN293" s="213"/>
      <c r="AO293" s="213"/>
      <c r="AP293" s="213"/>
      <c r="AQ293" s="213"/>
      <c r="AR293" s="213"/>
      <c r="AS293" s="213"/>
      <c r="AT293" s="213"/>
      <c r="AU293" s="213"/>
      <c r="AV293" s="213"/>
      <c r="AW293" s="213"/>
      <c r="AX293" s="213"/>
      <c r="AY293" s="213"/>
      <c r="AZ293" s="213"/>
      <c r="BA293" s="213"/>
      <c r="BB293" s="213"/>
      <c r="BC293" s="213"/>
      <c r="BD293" s="213"/>
      <c r="BE293" s="213"/>
      <c r="BF293" s="213"/>
      <c r="BG293" s="213"/>
      <c r="BH293" s="213"/>
      <c r="BI293" s="213"/>
      <c r="BJ293" s="213"/>
      <c r="BK293" s="213"/>
      <c r="BL293" s="213"/>
      <c r="BM293" s="213"/>
      <c r="BN293" s="213"/>
      <c r="BO293" s="213"/>
      <c r="BP293" s="213"/>
      <c r="BQ293" s="213"/>
      <c r="BR293" s="213"/>
      <c r="BS293" s="213"/>
      <c r="BT293" s="213"/>
      <c r="BU293" s="213"/>
      <c r="BV293" s="213"/>
      <c r="BW293" s="213"/>
      <c r="BX293" s="213"/>
      <c r="BY293" s="213"/>
      <c r="BZ293" s="213"/>
      <c r="CA293" s="213"/>
      <c r="CB293" s="213"/>
      <c r="CC293" s="213"/>
      <c r="CD293" s="213"/>
      <c r="CE293" s="213"/>
      <c r="CF293" s="213"/>
      <c r="CG293" s="213"/>
      <c r="CH293" s="213"/>
      <c r="CI293" s="213"/>
      <c r="CJ293" s="213"/>
      <c r="CK293" s="213"/>
      <c r="CL293" s="213"/>
      <c r="CM293" s="213"/>
      <c r="CN293" s="213"/>
      <c r="CO293" s="213"/>
      <c r="CP293" s="213"/>
      <c r="CQ293" s="213"/>
      <c r="CR293" s="213"/>
      <c r="CS293" s="213"/>
    </row>
    <row r="294" spans="1:97">
      <c r="A294" s="424">
        <v>45580</v>
      </c>
      <c r="B294" s="211" t="s">
        <v>248</v>
      </c>
      <c r="C294" s="213">
        <v>150.66999999999999</v>
      </c>
      <c r="D294" s="213">
        <v>148.66999999999999</v>
      </c>
      <c r="E294" s="213">
        <v>149.66999999999999</v>
      </c>
      <c r="F294" s="213">
        <v>164.75</v>
      </c>
      <c r="G294" s="213">
        <v>161.75</v>
      </c>
      <c r="H294" s="213">
        <v>163.25</v>
      </c>
      <c r="I294" s="213">
        <v>110.09</v>
      </c>
      <c r="J294" s="213">
        <v>106.89</v>
      </c>
      <c r="K294" s="213">
        <v>108.49000000000001</v>
      </c>
      <c r="L294" s="213">
        <v>199.57</v>
      </c>
      <c r="M294" s="213">
        <v>191.57</v>
      </c>
      <c r="N294" s="213">
        <v>195.57</v>
      </c>
      <c r="O294" s="213">
        <v>174.53</v>
      </c>
      <c r="P294" s="213">
        <v>172.73</v>
      </c>
      <c r="Q294" s="213">
        <v>173.63</v>
      </c>
      <c r="R294" s="213">
        <v>22.18</v>
      </c>
      <c r="S294" s="213">
        <v>21.58</v>
      </c>
      <c r="T294" s="213">
        <v>21.88</v>
      </c>
      <c r="U294" s="213">
        <v>14.16</v>
      </c>
      <c r="V294" s="213">
        <v>13.56</v>
      </c>
      <c r="W294" s="213">
        <v>13.86</v>
      </c>
      <c r="X294" s="213">
        <v>14.76</v>
      </c>
      <c r="Y294" s="213">
        <v>13.959999999999999</v>
      </c>
      <c r="Z294" s="213">
        <v>14.36</v>
      </c>
      <c r="AA294" s="213">
        <v>102.67</v>
      </c>
      <c r="AB294" s="213">
        <v>98.67</v>
      </c>
      <c r="AC294" s="213">
        <v>100.67</v>
      </c>
      <c r="AD294" s="213">
        <v>93.16</v>
      </c>
      <c r="AE294" s="213">
        <v>89.16</v>
      </c>
      <c r="AF294" s="213">
        <v>91.16</v>
      </c>
      <c r="AG294" s="213">
        <v>19.71</v>
      </c>
      <c r="AH294" s="213">
        <v>18.850000000000001</v>
      </c>
      <c r="AI294" s="213">
        <v>19.28</v>
      </c>
      <c r="AJ294" s="213"/>
      <c r="AK294" s="213"/>
      <c r="AL294" s="213"/>
      <c r="AM294" s="213">
        <v>115.3</v>
      </c>
      <c r="AN294" s="213">
        <v>113.64</v>
      </c>
      <c r="AO294" s="213">
        <v>114.47</v>
      </c>
      <c r="AP294" s="213">
        <v>40.72</v>
      </c>
      <c r="AQ294" s="213">
        <v>39.119999999999997</v>
      </c>
      <c r="AR294" s="213">
        <v>39.92</v>
      </c>
      <c r="AS294" s="213">
        <v>41.5</v>
      </c>
      <c r="AT294" s="213">
        <v>40.14</v>
      </c>
      <c r="AU294" s="213">
        <v>40.82</v>
      </c>
      <c r="AV294" s="213">
        <v>21.4</v>
      </c>
      <c r="AW294" s="213">
        <v>20.799999999999997</v>
      </c>
      <c r="AX294" s="213">
        <v>21.099999999999998</v>
      </c>
      <c r="AY294" s="213">
        <v>4.59</v>
      </c>
      <c r="AZ294" s="213">
        <v>4.43</v>
      </c>
      <c r="BA294" s="213">
        <v>4.51</v>
      </c>
      <c r="BB294" s="213">
        <v>1.94</v>
      </c>
      <c r="BC294" s="213">
        <v>1.64</v>
      </c>
      <c r="BD294" s="213">
        <v>1.79</v>
      </c>
      <c r="BE294" s="213">
        <v>0.69</v>
      </c>
      <c r="BF294" s="213">
        <v>0.38999999999999996</v>
      </c>
      <c r="BG294" s="213">
        <v>0.53999999999999992</v>
      </c>
      <c r="BH294" s="213">
        <v>495.05</v>
      </c>
      <c r="BI294" s="213">
        <v>479.05</v>
      </c>
      <c r="BJ294" s="213">
        <v>487.05</v>
      </c>
      <c r="BK294" s="213">
        <v>41.81</v>
      </c>
      <c r="BL294" s="213">
        <v>40.450000000000003</v>
      </c>
      <c r="BM294" s="213">
        <v>41.13</v>
      </c>
      <c r="BN294" s="213">
        <v>1.0900000000000001</v>
      </c>
      <c r="BO294" s="213">
        <v>0.85000000000000009</v>
      </c>
      <c r="BP294" s="213">
        <v>0.97000000000000008</v>
      </c>
      <c r="BQ294" s="213">
        <v>8.6999999999999993</v>
      </c>
      <c r="BR294" s="213">
        <v>6.6999999999999993</v>
      </c>
      <c r="BS294" s="213">
        <v>7.6999999999999993</v>
      </c>
      <c r="BT294" s="213">
        <v>11.23</v>
      </c>
      <c r="BU294" s="213">
        <v>10.83</v>
      </c>
      <c r="BV294" s="213">
        <v>11.030000000000001</v>
      </c>
      <c r="BW294" s="213">
        <v>2.76</v>
      </c>
      <c r="BX294" s="213">
        <v>2.4799999999999995</v>
      </c>
      <c r="BY294" s="213">
        <v>2.6199999999999997</v>
      </c>
      <c r="BZ294" s="213">
        <v>10.02</v>
      </c>
      <c r="CA294" s="213">
        <v>7.02</v>
      </c>
      <c r="CB294" s="213">
        <v>8.52</v>
      </c>
      <c r="CC294" s="213">
        <v>6.59</v>
      </c>
      <c r="CD294" s="213">
        <v>6.35</v>
      </c>
      <c r="CE294" s="213">
        <v>6.47</v>
      </c>
      <c r="CF294" s="213">
        <v>1.83</v>
      </c>
      <c r="CG294" s="213">
        <v>1.33</v>
      </c>
      <c r="CH294" s="213">
        <v>1.58</v>
      </c>
      <c r="CI294" s="213">
        <v>0.43</v>
      </c>
      <c r="CJ294" s="213">
        <v>0.39</v>
      </c>
      <c r="CK294" s="213">
        <v>0.41000000000000003</v>
      </c>
      <c r="CL294" s="213">
        <v>39.25</v>
      </c>
      <c r="CM294" s="213">
        <v>36.85</v>
      </c>
      <c r="CN294" s="213">
        <v>38.049999999999997</v>
      </c>
      <c r="CO294" s="213">
        <v>6.87</v>
      </c>
      <c r="CP294" s="213">
        <v>1.87</v>
      </c>
      <c r="CQ294" s="213">
        <v>4.37</v>
      </c>
      <c r="CR294" s="213"/>
      <c r="CS294" s="213"/>
    </row>
    <row r="295" spans="1:97">
      <c r="A295" s="424">
        <v>45581</v>
      </c>
      <c r="B295" s="211" t="s">
        <v>249</v>
      </c>
      <c r="C295" s="213">
        <v>150.29</v>
      </c>
      <c r="D295" s="213">
        <v>148.29</v>
      </c>
      <c r="E295" s="213">
        <v>149.29</v>
      </c>
      <c r="F295" s="213">
        <v>163.99</v>
      </c>
      <c r="G295" s="213">
        <v>160.99</v>
      </c>
      <c r="H295" s="213">
        <v>162.49</v>
      </c>
      <c r="I295" s="213">
        <v>109.89</v>
      </c>
      <c r="J295" s="213">
        <v>106.69</v>
      </c>
      <c r="K295" s="213">
        <v>108.28999999999999</v>
      </c>
      <c r="L295" s="213">
        <v>199.05</v>
      </c>
      <c r="M295" s="213">
        <v>191.05</v>
      </c>
      <c r="N295" s="213">
        <v>195.05</v>
      </c>
      <c r="O295" s="213">
        <v>173.99</v>
      </c>
      <c r="P295" s="213">
        <v>172.19</v>
      </c>
      <c r="Q295" s="213">
        <v>173.09</v>
      </c>
      <c r="R295" s="213">
        <v>22.08</v>
      </c>
      <c r="S295" s="213">
        <v>21.479999999999997</v>
      </c>
      <c r="T295" s="213">
        <v>21.779999999999998</v>
      </c>
      <c r="U295" s="213">
        <v>14.06</v>
      </c>
      <c r="V295" s="213">
        <v>13.46</v>
      </c>
      <c r="W295" s="213">
        <v>13.760000000000002</v>
      </c>
      <c r="X295" s="213">
        <v>14.74</v>
      </c>
      <c r="Y295" s="213">
        <v>13.94</v>
      </c>
      <c r="Z295" s="213">
        <v>14.34</v>
      </c>
      <c r="AA295" s="213">
        <v>101.71</v>
      </c>
      <c r="AB295" s="213">
        <v>97.71</v>
      </c>
      <c r="AC295" s="213">
        <v>99.71</v>
      </c>
      <c r="AD295" s="213">
        <v>92.28</v>
      </c>
      <c r="AE295" s="213">
        <v>88.28</v>
      </c>
      <c r="AF295" s="213">
        <v>90.28</v>
      </c>
      <c r="AG295" s="213">
        <v>19.649999999999999</v>
      </c>
      <c r="AH295" s="213">
        <v>18.79</v>
      </c>
      <c r="AI295" s="213">
        <v>19.22</v>
      </c>
      <c r="AJ295" s="213"/>
      <c r="AK295" s="213"/>
      <c r="AL295" s="213"/>
      <c r="AM295" s="213">
        <v>114.82</v>
      </c>
      <c r="AN295" s="213">
        <v>113.16</v>
      </c>
      <c r="AO295" s="213">
        <v>113.99</v>
      </c>
      <c r="AP295" s="213">
        <v>40.630000000000003</v>
      </c>
      <c r="AQ295" s="213">
        <v>39.03</v>
      </c>
      <c r="AR295" s="213">
        <v>39.83</v>
      </c>
      <c r="AS295" s="213">
        <v>41.39</v>
      </c>
      <c r="AT295" s="213">
        <v>40.03</v>
      </c>
      <c r="AU295" s="213">
        <v>40.71</v>
      </c>
      <c r="AV295" s="213">
        <v>21.22</v>
      </c>
      <c r="AW295" s="213">
        <v>20.619999999999997</v>
      </c>
      <c r="AX295" s="213">
        <v>20.919999999999998</v>
      </c>
      <c r="AY295" s="213">
        <v>4.5599999999999996</v>
      </c>
      <c r="AZ295" s="213">
        <v>4.3999999999999995</v>
      </c>
      <c r="BA295" s="213">
        <v>4.4799999999999995</v>
      </c>
      <c r="BB295" s="213">
        <v>1.93</v>
      </c>
      <c r="BC295" s="213">
        <v>1.63</v>
      </c>
      <c r="BD295" s="213">
        <v>1.7799999999999998</v>
      </c>
      <c r="BE295" s="213">
        <v>0.69</v>
      </c>
      <c r="BF295" s="213">
        <v>0.38999999999999996</v>
      </c>
      <c r="BG295" s="213">
        <v>0.53999999999999992</v>
      </c>
      <c r="BH295" s="213">
        <v>495.88</v>
      </c>
      <c r="BI295" s="213">
        <v>479.88</v>
      </c>
      <c r="BJ295" s="213">
        <v>487.88</v>
      </c>
      <c r="BK295" s="213">
        <v>41.71</v>
      </c>
      <c r="BL295" s="213">
        <v>40.35</v>
      </c>
      <c r="BM295" s="213">
        <v>41.03</v>
      </c>
      <c r="BN295" s="213">
        <v>1.08</v>
      </c>
      <c r="BO295" s="213">
        <v>0.84000000000000008</v>
      </c>
      <c r="BP295" s="213">
        <v>0.96000000000000008</v>
      </c>
      <c r="BQ295" s="213">
        <v>8.57</v>
      </c>
      <c r="BR295" s="213">
        <v>6.57</v>
      </c>
      <c r="BS295" s="213">
        <v>7.57</v>
      </c>
      <c r="BT295" s="213">
        <v>11.14</v>
      </c>
      <c r="BU295" s="213">
        <v>10.74</v>
      </c>
      <c r="BV295" s="213">
        <v>10.940000000000001</v>
      </c>
      <c r="BW295" s="213">
        <v>2.74</v>
      </c>
      <c r="BX295" s="213">
        <v>2.46</v>
      </c>
      <c r="BY295" s="213">
        <v>2.6</v>
      </c>
      <c r="BZ295" s="213">
        <v>9.9600000000000009</v>
      </c>
      <c r="CA295" s="213">
        <v>6.9600000000000009</v>
      </c>
      <c r="CB295" s="213">
        <v>8.4600000000000009</v>
      </c>
      <c r="CC295" s="213">
        <v>6.57</v>
      </c>
      <c r="CD295" s="213">
        <v>6.33</v>
      </c>
      <c r="CE295" s="213">
        <v>6.45</v>
      </c>
      <c r="CF295" s="213">
        <v>1.79</v>
      </c>
      <c r="CG295" s="213">
        <v>1.29</v>
      </c>
      <c r="CH295" s="213">
        <v>1.54</v>
      </c>
      <c r="CI295" s="213">
        <v>0.43</v>
      </c>
      <c r="CJ295" s="213">
        <v>0.39</v>
      </c>
      <c r="CK295" s="213">
        <v>0.41000000000000003</v>
      </c>
      <c r="CL295" s="213">
        <v>39.07</v>
      </c>
      <c r="CM295" s="213">
        <v>36.67</v>
      </c>
      <c r="CN295" s="213">
        <v>37.870000000000005</v>
      </c>
      <c r="CO295" s="213">
        <v>6.87</v>
      </c>
      <c r="CP295" s="213">
        <v>1.87</v>
      </c>
      <c r="CQ295" s="213">
        <v>4.37</v>
      </c>
      <c r="CR295" s="213"/>
      <c r="CS295" s="213"/>
    </row>
    <row r="296" spans="1:97">
      <c r="A296" s="424">
        <v>45582</v>
      </c>
      <c r="B296" s="211" t="s">
        <v>250</v>
      </c>
      <c r="C296" s="213">
        <v>150.63999999999999</v>
      </c>
      <c r="D296" s="213">
        <v>148.63999999999999</v>
      </c>
      <c r="E296" s="213">
        <v>149.63999999999999</v>
      </c>
      <c r="F296" s="213">
        <v>163.99</v>
      </c>
      <c r="G296" s="213">
        <v>160.99</v>
      </c>
      <c r="H296" s="213">
        <v>162.49</v>
      </c>
      <c r="I296" s="213">
        <v>110.39</v>
      </c>
      <c r="J296" s="213">
        <v>107.19</v>
      </c>
      <c r="K296" s="213">
        <v>108.78999999999999</v>
      </c>
      <c r="L296" s="213">
        <v>198.37</v>
      </c>
      <c r="M296" s="213">
        <v>190.37</v>
      </c>
      <c r="N296" s="213">
        <v>194.37</v>
      </c>
      <c r="O296" s="213">
        <v>173.71</v>
      </c>
      <c r="P296" s="213">
        <v>171.91</v>
      </c>
      <c r="Q296" s="213">
        <v>172.81</v>
      </c>
      <c r="R296" s="213">
        <v>22.08</v>
      </c>
      <c r="S296" s="213">
        <v>21.479999999999997</v>
      </c>
      <c r="T296" s="213">
        <v>21.779999999999998</v>
      </c>
      <c r="U296" s="213">
        <v>14.02</v>
      </c>
      <c r="V296" s="213">
        <v>13.42</v>
      </c>
      <c r="W296" s="213">
        <v>13.719999999999999</v>
      </c>
      <c r="X296" s="213">
        <v>14.62</v>
      </c>
      <c r="Y296" s="213">
        <v>13.819999999999999</v>
      </c>
      <c r="Z296" s="213">
        <v>14.219999999999999</v>
      </c>
      <c r="AA296" s="213">
        <v>102.14</v>
      </c>
      <c r="AB296" s="213">
        <v>98.14</v>
      </c>
      <c r="AC296" s="213">
        <v>100.14</v>
      </c>
      <c r="AD296" s="213">
        <v>92.71</v>
      </c>
      <c r="AE296" s="213">
        <v>88.71</v>
      </c>
      <c r="AF296" s="213">
        <v>90.71</v>
      </c>
      <c r="AG296" s="213">
        <v>19.68</v>
      </c>
      <c r="AH296" s="213">
        <v>18.82</v>
      </c>
      <c r="AI296" s="213">
        <v>19.25</v>
      </c>
      <c r="AJ296" s="213"/>
      <c r="AK296" s="213"/>
      <c r="AL296" s="213"/>
      <c r="AM296" s="213">
        <v>114.88</v>
      </c>
      <c r="AN296" s="213">
        <v>113.22</v>
      </c>
      <c r="AO296" s="213">
        <v>114.05</v>
      </c>
      <c r="AP296" s="213">
        <v>40.71</v>
      </c>
      <c r="AQ296" s="213">
        <v>39.11</v>
      </c>
      <c r="AR296" s="213">
        <v>39.909999999999997</v>
      </c>
      <c r="AS296" s="213">
        <v>41.49</v>
      </c>
      <c r="AT296" s="213">
        <v>40.130000000000003</v>
      </c>
      <c r="AU296" s="213">
        <v>40.81</v>
      </c>
      <c r="AV296" s="213">
        <v>21.28</v>
      </c>
      <c r="AW296" s="213">
        <v>20.68</v>
      </c>
      <c r="AX296" s="213">
        <v>20.98</v>
      </c>
      <c r="AY296" s="213">
        <v>4.59</v>
      </c>
      <c r="AZ296" s="213">
        <v>4.43</v>
      </c>
      <c r="BA296" s="213">
        <v>4.51</v>
      </c>
      <c r="BB296" s="213">
        <v>1.94</v>
      </c>
      <c r="BC296" s="213">
        <v>1.64</v>
      </c>
      <c r="BD296" s="213">
        <v>1.79</v>
      </c>
      <c r="BE296" s="213">
        <v>0.69</v>
      </c>
      <c r="BF296" s="213">
        <v>0.38999999999999996</v>
      </c>
      <c r="BG296" s="213">
        <v>0.53999999999999992</v>
      </c>
      <c r="BH296" s="213">
        <v>495.43</v>
      </c>
      <c r="BI296" s="213">
        <v>479.43</v>
      </c>
      <c r="BJ296" s="213">
        <v>487.43</v>
      </c>
      <c r="BK296" s="213">
        <v>41.8</v>
      </c>
      <c r="BL296" s="213">
        <v>40.44</v>
      </c>
      <c r="BM296" s="213">
        <v>41.12</v>
      </c>
      <c r="BN296" s="213">
        <v>1.0900000000000001</v>
      </c>
      <c r="BO296" s="213">
        <v>0.85000000000000009</v>
      </c>
      <c r="BP296" s="213">
        <v>0.97000000000000008</v>
      </c>
      <c r="BQ296" s="213">
        <v>8.52</v>
      </c>
      <c r="BR296" s="213">
        <v>6.52</v>
      </c>
      <c r="BS296" s="213">
        <v>7.52</v>
      </c>
      <c r="BT296" s="213">
        <v>11.18</v>
      </c>
      <c r="BU296" s="213">
        <v>10.78</v>
      </c>
      <c r="BV296" s="213">
        <v>10.98</v>
      </c>
      <c r="BW296" s="213">
        <v>2.75</v>
      </c>
      <c r="BX296" s="213">
        <v>2.4699999999999998</v>
      </c>
      <c r="BY296" s="213">
        <v>2.61</v>
      </c>
      <c r="BZ296" s="213">
        <v>9.99</v>
      </c>
      <c r="CA296" s="213">
        <v>6.99</v>
      </c>
      <c r="CB296" s="213">
        <v>8.49</v>
      </c>
      <c r="CC296" s="213">
        <v>6.55</v>
      </c>
      <c r="CD296" s="213">
        <v>6.31</v>
      </c>
      <c r="CE296" s="213">
        <v>6.43</v>
      </c>
      <c r="CF296" s="213">
        <v>1.8</v>
      </c>
      <c r="CG296" s="213">
        <v>1.3</v>
      </c>
      <c r="CH296" s="213">
        <v>1.55</v>
      </c>
      <c r="CI296" s="213">
        <v>0.43</v>
      </c>
      <c r="CJ296" s="213">
        <v>0.39</v>
      </c>
      <c r="CK296" s="213">
        <v>0.41000000000000003</v>
      </c>
      <c r="CL296" s="213">
        <v>38.979999999999997</v>
      </c>
      <c r="CM296" s="213">
        <v>36.58</v>
      </c>
      <c r="CN296" s="213">
        <v>37.78</v>
      </c>
      <c r="CO296" s="213">
        <v>6.89</v>
      </c>
      <c r="CP296" s="213">
        <v>1.8899999999999997</v>
      </c>
      <c r="CQ296" s="213">
        <v>4.3899999999999997</v>
      </c>
      <c r="CR296" s="213"/>
      <c r="CS296" s="213"/>
    </row>
    <row r="297" spans="1:97">
      <c r="A297" s="424">
        <v>45583</v>
      </c>
      <c r="B297" s="211" t="s">
        <v>251</v>
      </c>
      <c r="C297" s="213">
        <v>151.13</v>
      </c>
      <c r="D297" s="213">
        <v>149.13</v>
      </c>
      <c r="E297" s="213">
        <v>150.13</v>
      </c>
      <c r="F297" s="213">
        <v>164.11</v>
      </c>
      <c r="G297" s="213">
        <v>161.11000000000001</v>
      </c>
      <c r="H297" s="213">
        <v>162.61000000000001</v>
      </c>
      <c r="I297" s="213">
        <v>110.4</v>
      </c>
      <c r="J297" s="213">
        <v>107.2</v>
      </c>
      <c r="K297" s="213">
        <v>108.80000000000001</v>
      </c>
      <c r="L297" s="213">
        <v>199.39</v>
      </c>
      <c r="M297" s="213">
        <v>191.39</v>
      </c>
      <c r="N297" s="213">
        <v>195.39</v>
      </c>
      <c r="O297" s="213">
        <v>174.18</v>
      </c>
      <c r="P297" s="213">
        <v>172.38</v>
      </c>
      <c r="Q297" s="213">
        <v>173.28</v>
      </c>
      <c r="R297" s="213">
        <v>22.1</v>
      </c>
      <c r="S297" s="213">
        <v>21.5</v>
      </c>
      <c r="T297" s="213">
        <v>21.8</v>
      </c>
      <c r="U297" s="213">
        <v>14.05</v>
      </c>
      <c r="V297" s="213">
        <v>13.450000000000001</v>
      </c>
      <c r="W297" s="213">
        <v>13.75</v>
      </c>
      <c r="X297" s="213">
        <v>14.64</v>
      </c>
      <c r="Y297" s="213">
        <v>13.84</v>
      </c>
      <c r="Z297" s="213">
        <v>14.24</v>
      </c>
      <c r="AA297" s="213">
        <v>102.56</v>
      </c>
      <c r="AB297" s="213">
        <v>98.56</v>
      </c>
      <c r="AC297" s="213">
        <v>100.56</v>
      </c>
      <c r="AD297" s="213">
        <v>92.98</v>
      </c>
      <c r="AE297" s="213">
        <v>88.98</v>
      </c>
      <c r="AF297" s="213">
        <v>90.98</v>
      </c>
      <c r="AG297" s="213">
        <v>19.739999999999998</v>
      </c>
      <c r="AH297" s="213">
        <v>18.88</v>
      </c>
      <c r="AI297" s="213">
        <v>19.309999999999999</v>
      </c>
      <c r="AJ297" s="213"/>
      <c r="AK297" s="213"/>
      <c r="AL297" s="213"/>
      <c r="AM297" s="213">
        <v>115.12</v>
      </c>
      <c r="AN297" s="213">
        <v>113.46000000000001</v>
      </c>
      <c r="AO297" s="213">
        <v>114.29</v>
      </c>
      <c r="AP297" s="213">
        <v>40.85</v>
      </c>
      <c r="AQ297" s="213">
        <v>39.25</v>
      </c>
      <c r="AR297" s="213">
        <v>40.049999999999997</v>
      </c>
      <c r="AS297" s="213">
        <v>41.62</v>
      </c>
      <c r="AT297" s="213">
        <v>40.26</v>
      </c>
      <c r="AU297" s="213">
        <v>40.94</v>
      </c>
      <c r="AV297" s="213">
        <v>21.34</v>
      </c>
      <c r="AW297" s="213">
        <v>20.74</v>
      </c>
      <c r="AX297" s="213">
        <v>21.04</v>
      </c>
      <c r="AY297" s="213">
        <v>4.6100000000000003</v>
      </c>
      <c r="AZ297" s="213">
        <v>4.45</v>
      </c>
      <c r="BA297" s="213">
        <v>4.53</v>
      </c>
      <c r="BB297" s="213">
        <v>1.95</v>
      </c>
      <c r="BC297" s="213">
        <v>1.65</v>
      </c>
      <c r="BD297" s="213">
        <v>1.7999999999999998</v>
      </c>
      <c r="BE297" s="213">
        <v>0.69</v>
      </c>
      <c r="BF297" s="213">
        <v>0.38999999999999996</v>
      </c>
      <c r="BG297" s="213">
        <v>0.53999999999999992</v>
      </c>
      <c r="BH297" s="213">
        <v>498.62</v>
      </c>
      <c r="BI297" s="213">
        <v>482.62</v>
      </c>
      <c r="BJ297" s="213">
        <v>490.62</v>
      </c>
      <c r="BK297" s="213">
        <v>41.94</v>
      </c>
      <c r="BL297" s="213">
        <v>40.58</v>
      </c>
      <c r="BM297" s="213">
        <v>41.26</v>
      </c>
      <c r="BN297" s="213">
        <v>1.0900000000000001</v>
      </c>
      <c r="BO297" s="213">
        <v>0.85000000000000009</v>
      </c>
      <c r="BP297" s="213">
        <v>0.97000000000000008</v>
      </c>
      <c r="BQ297" s="213">
        <v>8.58</v>
      </c>
      <c r="BR297" s="213">
        <v>6.58</v>
      </c>
      <c r="BS297" s="213">
        <v>7.58</v>
      </c>
      <c r="BT297" s="213">
        <v>11.16</v>
      </c>
      <c r="BU297" s="213">
        <v>10.76</v>
      </c>
      <c r="BV297" s="213">
        <v>10.96</v>
      </c>
      <c r="BW297" s="213">
        <v>2.76</v>
      </c>
      <c r="BX297" s="213">
        <v>2.4799999999999995</v>
      </c>
      <c r="BY297" s="213">
        <v>2.6199999999999997</v>
      </c>
      <c r="BZ297" s="213">
        <v>9.99</v>
      </c>
      <c r="CA297" s="213">
        <v>6.99</v>
      </c>
      <c r="CB297" s="213">
        <v>8.49</v>
      </c>
      <c r="CC297" s="213">
        <v>6.56</v>
      </c>
      <c r="CD297" s="213">
        <v>6.3199999999999994</v>
      </c>
      <c r="CE297" s="213">
        <v>6.4399999999999995</v>
      </c>
      <c r="CF297" s="213">
        <v>1.8</v>
      </c>
      <c r="CG297" s="213">
        <v>1.3</v>
      </c>
      <c r="CH297" s="213">
        <v>1.55</v>
      </c>
      <c r="CI297" s="213">
        <v>0.43</v>
      </c>
      <c r="CJ297" s="213">
        <v>0.39</v>
      </c>
      <c r="CK297" s="213">
        <v>0.41000000000000003</v>
      </c>
      <c r="CL297" s="213">
        <v>38.979999999999997</v>
      </c>
      <c r="CM297" s="213">
        <v>36.58</v>
      </c>
      <c r="CN297" s="213">
        <v>37.78</v>
      </c>
      <c r="CO297" s="213">
        <v>6.91</v>
      </c>
      <c r="CP297" s="213">
        <v>1.9100000000000001</v>
      </c>
      <c r="CQ297" s="213">
        <v>4.41</v>
      </c>
      <c r="CR297" s="213"/>
      <c r="CS297" s="213"/>
    </row>
    <row r="298" spans="1:97">
      <c r="A298" s="424">
        <v>45584</v>
      </c>
      <c r="B298" s="211" t="s">
        <v>252</v>
      </c>
      <c r="C298" s="213"/>
      <c r="D298" s="213"/>
      <c r="E298" s="213"/>
      <c r="F298" s="213"/>
      <c r="G298" s="213"/>
      <c r="H298" s="213"/>
      <c r="I298" s="213"/>
      <c r="J298" s="213"/>
      <c r="K298" s="213"/>
      <c r="L298" s="213"/>
      <c r="M298" s="213"/>
      <c r="N298" s="213"/>
      <c r="O298" s="213"/>
      <c r="P298" s="213"/>
      <c r="Q298" s="213"/>
      <c r="R298" s="213"/>
      <c r="S298" s="213"/>
      <c r="T298" s="213"/>
      <c r="U298" s="213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13"/>
      <c r="AF298" s="213"/>
      <c r="AG298" s="213"/>
      <c r="AH298" s="213"/>
      <c r="AI298" s="213"/>
      <c r="AJ298" s="213"/>
      <c r="AK298" s="213"/>
      <c r="AL298" s="213"/>
      <c r="AM298" s="213"/>
      <c r="AN298" s="213"/>
      <c r="AO298" s="213"/>
      <c r="AP298" s="213"/>
      <c r="AQ298" s="213"/>
      <c r="AR298" s="213"/>
      <c r="AS298" s="213"/>
      <c r="AT298" s="213"/>
      <c r="AU298" s="213"/>
      <c r="AV298" s="213"/>
      <c r="AW298" s="213"/>
      <c r="AX298" s="213"/>
      <c r="AY298" s="213"/>
      <c r="AZ298" s="213"/>
      <c r="BA298" s="213"/>
      <c r="BB298" s="213"/>
      <c r="BC298" s="213"/>
      <c r="BD298" s="213"/>
      <c r="BE298" s="213"/>
      <c r="BF298" s="213"/>
      <c r="BG298" s="213"/>
      <c r="BH298" s="213"/>
      <c r="BI298" s="213"/>
      <c r="BJ298" s="213"/>
      <c r="BK298" s="213"/>
      <c r="BL298" s="213"/>
      <c r="BM298" s="213"/>
      <c r="BN298" s="213"/>
      <c r="BO298" s="213"/>
      <c r="BP298" s="213"/>
      <c r="BQ298" s="213"/>
      <c r="BR298" s="213"/>
      <c r="BS298" s="213"/>
      <c r="BT298" s="213"/>
      <c r="BU298" s="213"/>
      <c r="BV298" s="213"/>
      <c r="BW298" s="213"/>
      <c r="BX298" s="213"/>
      <c r="BY298" s="213"/>
      <c r="BZ298" s="213"/>
      <c r="CA298" s="213"/>
      <c r="CB298" s="213"/>
      <c r="CC298" s="213"/>
      <c r="CD298" s="213"/>
      <c r="CE298" s="213"/>
      <c r="CF298" s="213"/>
      <c r="CG298" s="213"/>
      <c r="CH298" s="213"/>
      <c r="CI298" s="213"/>
      <c r="CJ298" s="213"/>
      <c r="CK298" s="213"/>
      <c r="CL298" s="213"/>
      <c r="CM298" s="213"/>
      <c r="CN298" s="213"/>
      <c r="CO298" s="213"/>
      <c r="CP298" s="213"/>
      <c r="CQ298" s="213"/>
      <c r="CR298" s="213"/>
      <c r="CS298" s="213"/>
    </row>
    <row r="299" spans="1:97">
      <c r="A299" s="424">
        <v>45585</v>
      </c>
      <c r="B299" s="211" t="s">
        <v>253</v>
      </c>
      <c r="C299" s="213"/>
      <c r="D299" s="213"/>
      <c r="E299" s="213"/>
      <c r="F299" s="213"/>
      <c r="G299" s="213"/>
      <c r="H299" s="213"/>
      <c r="I299" s="213"/>
      <c r="J299" s="213"/>
      <c r="K299" s="213"/>
      <c r="L299" s="213"/>
      <c r="M299" s="213"/>
      <c r="N299" s="213"/>
      <c r="O299" s="213"/>
      <c r="P299" s="213"/>
      <c r="Q299" s="213"/>
      <c r="R299" s="213"/>
      <c r="S299" s="213"/>
      <c r="T299" s="213"/>
      <c r="U299" s="213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13"/>
      <c r="AF299" s="213"/>
      <c r="AG299" s="213"/>
      <c r="AH299" s="213"/>
      <c r="AI299" s="213"/>
      <c r="AJ299" s="213"/>
      <c r="AK299" s="213"/>
      <c r="AL299" s="213"/>
      <c r="AM299" s="213"/>
      <c r="AN299" s="213"/>
      <c r="AO299" s="213"/>
      <c r="AP299" s="213"/>
      <c r="AQ299" s="213"/>
      <c r="AR299" s="213"/>
      <c r="AS299" s="213"/>
      <c r="AT299" s="213"/>
      <c r="AU299" s="213"/>
      <c r="AV299" s="213"/>
      <c r="AW299" s="213"/>
      <c r="AX299" s="213"/>
      <c r="AY299" s="213"/>
      <c r="AZ299" s="213"/>
      <c r="BA299" s="213"/>
      <c r="BB299" s="213"/>
      <c r="BC299" s="213"/>
      <c r="BD299" s="213"/>
      <c r="BE299" s="213"/>
      <c r="BF299" s="213"/>
      <c r="BG299" s="213"/>
      <c r="BH299" s="213"/>
      <c r="BI299" s="213"/>
      <c r="BJ299" s="213"/>
      <c r="BK299" s="213"/>
      <c r="BL299" s="213"/>
      <c r="BM299" s="213"/>
      <c r="BN299" s="213"/>
      <c r="BO299" s="213"/>
      <c r="BP299" s="213"/>
      <c r="BQ299" s="213"/>
      <c r="BR299" s="213"/>
      <c r="BS299" s="213"/>
      <c r="BT299" s="213"/>
      <c r="BU299" s="213"/>
      <c r="BV299" s="213"/>
      <c r="BW299" s="213"/>
      <c r="BX299" s="213"/>
      <c r="BY299" s="213"/>
      <c r="BZ299" s="213"/>
      <c r="CA299" s="213"/>
      <c r="CB299" s="213"/>
      <c r="CC299" s="213"/>
      <c r="CD299" s="213"/>
      <c r="CE299" s="213"/>
      <c r="CF299" s="213"/>
      <c r="CG299" s="213"/>
      <c r="CH299" s="213"/>
      <c r="CI299" s="213"/>
      <c r="CJ299" s="213"/>
      <c r="CK299" s="213"/>
      <c r="CL299" s="213"/>
      <c r="CM299" s="213"/>
      <c r="CN299" s="213"/>
      <c r="CO299" s="213"/>
      <c r="CP299" s="213"/>
      <c r="CQ299" s="213"/>
      <c r="CR299" s="213"/>
      <c r="CS299" s="213"/>
    </row>
    <row r="300" spans="1:97">
      <c r="A300" s="424">
        <v>45586</v>
      </c>
      <c r="B300" s="211" t="s">
        <v>247</v>
      </c>
      <c r="C300" s="213">
        <v>150.43</v>
      </c>
      <c r="D300" s="213">
        <v>148.43</v>
      </c>
      <c r="E300" s="213">
        <v>149.43</v>
      </c>
      <c r="F300" s="213">
        <v>163.86</v>
      </c>
      <c r="G300" s="213">
        <v>160.86000000000001</v>
      </c>
      <c r="H300" s="213">
        <v>162.36000000000001</v>
      </c>
      <c r="I300" s="213">
        <v>109.81</v>
      </c>
      <c r="J300" s="213">
        <v>106.61</v>
      </c>
      <c r="K300" s="213">
        <v>108.21000000000001</v>
      </c>
      <c r="L300" s="213">
        <v>198.96</v>
      </c>
      <c r="M300" s="213">
        <v>190.96</v>
      </c>
      <c r="N300" s="213">
        <v>194.96</v>
      </c>
      <c r="O300" s="213">
        <v>173.57</v>
      </c>
      <c r="P300" s="213">
        <v>171.76999999999998</v>
      </c>
      <c r="Q300" s="213">
        <v>172.67</v>
      </c>
      <c r="R300" s="213">
        <v>22.07</v>
      </c>
      <c r="S300" s="213">
        <v>21.47</v>
      </c>
      <c r="T300" s="213">
        <v>21.77</v>
      </c>
      <c r="U300" s="213">
        <v>13.98</v>
      </c>
      <c r="V300" s="213">
        <v>13.38</v>
      </c>
      <c r="W300" s="213">
        <v>13.68</v>
      </c>
      <c r="X300" s="213">
        <v>14.59</v>
      </c>
      <c r="Y300" s="213">
        <v>13.79</v>
      </c>
      <c r="Z300" s="213">
        <v>14.19</v>
      </c>
      <c r="AA300" s="213">
        <v>102.19</v>
      </c>
      <c r="AB300" s="213">
        <v>98.19</v>
      </c>
      <c r="AC300" s="213">
        <v>100.19</v>
      </c>
      <c r="AD300" s="213">
        <v>92.78</v>
      </c>
      <c r="AE300" s="213">
        <v>88.78</v>
      </c>
      <c r="AF300" s="213">
        <v>90.78</v>
      </c>
      <c r="AG300" s="213">
        <v>19.66</v>
      </c>
      <c r="AH300" s="213">
        <v>18.8</v>
      </c>
      <c r="AI300" s="213">
        <v>19.23</v>
      </c>
      <c r="AJ300" s="213"/>
      <c r="AK300" s="213"/>
      <c r="AL300" s="213"/>
      <c r="AM300" s="213">
        <v>114.86</v>
      </c>
      <c r="AN300" s="213">
        <v>113.2</v>
      </c>
      <c r="AO300" s="213">
        <v>114.03</v>
      </c>
      <c r="AP300" s="213">
        <v>40.65</v>
      </c>
      <c r="AQ300" s="213">
        <v>39.049999999999997</v>
      </c>
      <c r="AR300" s="213">
        <v>39.849999999999994</v>
      </c>
      <c r="AS300" s="213">
        <v>41.43</v>
      </c>
      <c r="AT300" s="213">
        <v>40.07</v>
      </c>
      <c r="AU300" s="213">
        <v>40.75</v>
      </c>
      <c r="AV300" s="213">
        <v>21.29</v>
      </c>
      <c r="AW300" s="213">
        <v>20.689999999999998</v>
      </c>
      <c r="AX300" s="213">
        <v>20.99</v>
      </c>
      <c r="AY300" s="213">
        <v>4.59</v>
      </c>
      <c r="AZ300" s="213">
        <v>4.43</v>
      </c>
      <c r="BA300" s="213">
        <v>4.51</v>
      </c>
      <c r="BB300" s="213">
        <v>1.94</v>
      </c>
      <c r="BC300" s="213">
        <v>1.64</v>
      </c>
      <c r="BD300" s="213">
        <v>1.79</v>
      </c>
      <c r="BE300" s="213">
        <v>0.69</v>
      </c>
      <c r="BF300" s="213">
        <v>0.38999999999999996</v>
      </c>
      <c r="BG300" s="213">
        <v>0.53999999999999992</v>
      </c>
      <c r="BH300" s="213">
        <v>496.49</v>
      </c>
      <c r="BI300" s="213">
        <v>480.49</v>
      </c>
      <c r="BJ300" s="213">
        <v>488.49</v>
      </c>
      <c r="BK300" s="213">
        <v>41.74</v>
      </c>
      <c r="BL300" s="213">
        <v>40.380000000000003</v>
      </c>
      <c r="BM300" s="213">
        <v>41.06</v>
      </c>
      <c r="BN300" s="213">
        <v>1.0900000000000001</v>
      </c>
      <c r="BO300" s="213">
        <v>0.85000000000000009</v>
      </c>
      <c r="BP300" s="213">
        <v>0.97000000000000008</v>
      </c>
      <c r="BQ300" s="213">
        <v>8.51</v>
      </c>
      <c r="BR300" s="213">
        <v>6.51</v>
      </c>
      <c r="BS300" s="213">
        <v>7.51</v>
      </c>
      <c r="BT300" s="213">
        <v>11.12</v>
      </c>
      <c r="BU300" s="213">
        <v>10.719999999999999</v>
      </c>
      <c r="BV300" s="213">
        <v>10.919999999999998</v>
      </c>
      <c r="BW300" s="213">
        <v>2.76</v>
      </c>
      <c r="BX300" s="213">
        <v>2.4799999999999995</v>
      </c>
      <c r="BY300" s="213">
        <v>2.6199999999999997</v>
      </c>
      <c r="BZ300" s="213">
        <v>9.98</v>
      </c>
      <c r="CA300" s="213">
        <v>6.98</v>
      </c>
      <c r="CB300" s="213">
        <v>8.48</v>
      </c>
      <c r="CC300" s="213">
        <v>6.56</v>
      </c>
      <c r="CD300" s="213">
        <v>6.3199999999999994</v>
      </c>
      <c r="CE300" s="213">
        <v>6.4399999999999995</v>
      </c>
      <c r="CF300" s="213">
        <v>1.79</v>
      </c>
      <c r="CG300" s="213">
        <v>1.29</v>
      </c>
      <c r="CH300" s="213">
        <v>1.54</v>
      </c>
      <c r="CI300" s="213">
        <v>0.43</v>
      </c>
      <c r="CJ300" s="213">
        <v>0.39</v>
      </c>
      <c r="CK300" s="213">
        <v>0.41000000000000003</v>
      </c>
      <c r="CL300" s="213">
        <v>38.92</v>
      </c>
      <c r="CM300" s="213">
        <v>36.520000000000003</v>
      </c>
      <c r="CN300" s="213">
        <v>37.72</v>
      </c>
      <c r="CO300" s="213">
        <v>6.86</v>
      </c>
      <c r="CP300" s="213">
        <v>1.8600000000000003</v>
      </c>
      <c r="CQ300" s="213">
        <v>4.3600000000000003</v>
      </c>
      <c r="CR300" s="213"/>
      <c r="CS300" s="213"/>
    </row>
    <row r="301" spans="1:97">
      <c r="A301" s="424">
        <v>45587</v>
      </c>
      <c r="B301" s="211" t="s">
        <v>248</v>
      </c>
      <c r="C301" s="213">
        <v>151.74</v>
      </c>
      <c r="D301" s="213">
        <v>149.74</v>
      </c>
      <c r="E301" s="213">
        <v>150.74</v>
      </c>
      <c r="F301" s="213">
        <v>164.56</v>
      </c>
      <c r="G301" s="213">
        <v>161.56</v>
      </c>
      <c r="H301" s="213">
        <v>163.06</v>
      </c>
      <c r="I301" s="213">
        <v>110.57</v>
      </c>
      <c r="J301" s="213">
        <v>107.36999999999999</v>
      </c>
      <c r="K301" s="213">
        <v>108.97</v>
      </c>
      <c r="L301" s="213">
        <v>199.74</v>
      </c>
      <c r="M301" s="213">
        <v>191.74</v>
      </c>
      <c r="N301" s="213">
        <v>195.74</v>
      </c>
      <c r="O301" s="213">
        <v>175.07</v>
      </c>
      <c r="P301" s="213">
        <v>173.26999999999998</v>
      </c>
      <c r="Q301" s="213">
        <v>174.17</v>
      </c>
      <c r="R301" s="213">
        <v>22.16</v>
      </c>
      <c r="S301" s="213">
        <v>21.56</v>
      </c>
      <c r="T301" s="213">
        <v>21.86</v>
      </c>
      <c r="U301" s="213">
        <v>14.06</v>
      </c>
      <c r="V301" s="213">
        <v>13.46</v>
      </c>
      <c r="W301" s="213">
        <v>13.760000000000002</v>
      </c>
      <c r="X301" s="213">
        <v>14.68</v>
      </c>
      <c r="Y301" s="213">
        <v>13.879999999999999</v>
      </c>
      <c r="Z301" s="213">
        <v>14.28</v>
      </c>
      <c r="AA301" s="213">
        <v>102.39</v>
      </c>
      <c r="AB301" s="213">
        <v>98.39</v>
      </c>
      <c r="AC301" s="213">
        <v>100.39</v>
      </c>
      <c r="AD301" s="213">
        <v>92.9</v>
      </c>
      <c r="AE301" s="213">
        <v>88.9</v>
      </c>
      <c r="AF301" s="213">
        <v>90.9</v>
      </c>
      <c r="AG301" s="213">
        <v>19.82</v>
      </c>
      <c r="AH301" s="213">
        <v>18.96</v>
      </c>
      <c r="AI301" s="213">
        <v>19.39</v>
      </c>
      <c r="AJ301" s="213"/>
      <c r="AK301" s="213"/>
      <c r="AL301" s="213"/>
      <c r="AM301" s="213">
        <v>115.37</v>
      </c>
      <c r="AN301" s="213">
        <v>113.71000000000001</v>
      </c>
      <c r="AO301" s="213">
        <v>114.54</v>
      </c>
      <c r="AP301" s="213">
        <v>41</v>
      </c>
      <c r="AQ301" s="213">
        <v>39.4</v>
      </c>
      <c r="AR301" s="213">
        <v>40.200000000000003</v>
      </c>
      <c r="AS301" s="213">
        <v>41.79</v>
      </c>
      <c r="AT301" s="213">
        <v>40.43</v>
      </c>
      <c r="AU301" s="213">
        <v>41.11</v>
      </c>
      <c r="AV301" s="213">
        <v>21.42</v>
      </c>
      <c r="AW301" s="213">
        <v>20.82</v>
      </c>
      <c r="AX301" s="213">
        <v>21.12</v>
      </c>
      <c r="AY301" s="213">
        <v>4.58</v>
      </c>
      <c r="AZ301" s="213">
        <v>4.42</v>
      </c>
      <c r="BA301" s="213">
        <v>4.5</v>
      </c>
      <c r="BB301" s="213">
        <v>1.95</v>
      </c>
      <c r="BC301" s="213">
        <v>1.65</v>
      </c>
      <c r="BD301" s="213">
        <v>1.7999999999999998</v>
      </c>
      <c r="BE301" s="213">
        <v>0.7</v>
      </c>
      <c r="BF301" s="213">
        <v>0.39999999999999997</v>
      </c>
      <c r="BG301" s="213">
        <v>0.54999999999999993</v>
      </c>
      <c r="BH301" s="213">
        <v>500.78</v>
      </c>
      <c r="BI301" s="213">
        <v>484.78</v>
      </c>
      <c r="BJ301" s="213">
        <v>492.78</v>
      </c>
      <c r="BK301" s="213">
        <v>42.09</v>
      </c>
      <c r="BL301" s="213">
        <v>40.730000000000004</v>
      </c>
      <c r="BM301" s="213">
        <v>41.410000000000004</v>
      </c>
      <c r="BN301" s="213">
        <v>1.1000000000000001</v>
      </c>
      <c r="BO301" s="213">
        <v>0.8600000000000001</v>
      </c>
      <c r="BP301" s="213">
        <v>0.98000000000000009</v>
      </c>
      <c r="BQ301" s="213">
        <v>8.5500000000000007</v>
      </c>
      <c r="BR301" s="213">
        <v>6.5500000000000007</v>
      </c>
      <c r="BS301" s="213">
        <v>7.5500000000000007</v>
      </c>
      <c r="BT301" s="213">
        <v>11.12</v>
      </c>
      <c r="BU301" s="213">
        <v>10.719999999999999</v>
      </c>
      <c r="BV301" s="213">
        <v>10.919999999999998</v>
      </c>
      <c r="BW301" s="213">
        <v>2.78</v>
      </c>
      <c r="BX301" s="213">
        <v>2.5</v>
      </c>
      <c r="BY301" s="213">
        <v>2.6399999999999997</v>
      </c>
      <c r="BZ301" s="213">
        <v>10.050000000000001</v>
      </c>
      <c r="CA301" s="213">
        <v>7.0500000000000007</v>
      </c>
      <c r="CB301" s="213">
        <v>8.5500000000000007</v>
      </c>
      <c r="CC301" s="213">
        <v>6.58</v>
      </c>
      <c r="CD301" s="213">
        <v>6.34</v>
      </c>
      <c r="CE301" s="213">
        <v>6.46</v>
      </c>
      <c r="CF301" s="213">
        <v>1.81</v>
      </c>
      <c r="CG301" s="213">
        <v>1.31</v>
      </c>
      <c r="CH301" s="213">
        <v>1.56</v>
      </c>
      <c r="CI301" s="213">
        <v>0.43</v>
      </c>
      <c r="CJ301" s="213">
        <v>0.39</v>
      </c>
      <c r="CK301" s="213">
        <v>0.41000000000000003</v>
      </c>
      <c r="CL301" s="213">
        <v>38.94</v>
      </c>
      <c r="CM301" s="213">
        <v>36.54</v>
      </c>
      <c r="CN301" s="213">
        <v>37.739999999999995</v>
      </c>
      <c r="CO301" s="213">
        <v>6.91</v>
      </c>
      <c r="CP301" s="213">
        <v>1.9100000000000001</v>
      </c>
      <c r="CQ301" s="213">
        <v>4.41</v>
      </c>
      <c r="CR301" s="213"/>
      <c r="CS301" s="213"/>
    </row>
    <row r="302" spans="1:97">
      <c r="A302" s="424">
        <v>45588</v>
      </c>
      <c r="B302" s="211" t="s">
        <v>249</v>
      </c>
      <c r="C302" s="213">
        <v>152.37</v>
      </c>
      <c r="D302" s="213">
        <v>150.37</v>
      </c>
      <c r="E302" s="213">
        <v>151.37</v>
      </c>
      <c r="F302" s="213">
        <v>165.01</v>
      </c>
      <c r="G302" s="213">
        <v>162.01</v>
      </c>
      <c r="H302" s="213">
        <v>163.51</v>
      </c>
      <c r="I302" s="213">
        <v>111.1</v>
      </c>
      <c r="J302" s="213">
        <v>107.89999999999999</v>
      </c>
      <c r="K302" s="213">
        <v>109.5</v>
      </c>
      <c r="L302" s="213">
        <v>200.48</v>
      </c>
      <c r="M302" s="213">
        <v>192.48</v>
      </c>
      <c r="N302" s="213">
        <v>196.48</v>
      </c>
      <c r="O302" s="213">
        <v>175.63</v>
      </c>
      <c r="P302" s="213">
        <v>173.82999999999998</v>
      </c>
      <c r="Q302" s="213">
        <v>174.73</v>
      </c>
      <c r="R302" s="213">
        <v>22.22</v>
      </c>
      <c r="S302" s="213">
        <v>21.619999999999997</v>
      </c>
      <c r="T302" s="213">
        <v>21.919999999999998</v>
      </c>
      <c r="U302" s="213">
        <v>14.16</v>
      </c>
      <c r="V302" s="213">
        <v>13.56</v>
      </c>
      <c r="W302" s="213">
        <v>13.86</v>
      </c>
      <c r="X302" s="213">
        <v>14.77</v>
      </c>
      <c r="Y302" s="213">
        <v>13.969999999999999</v>
      </c>
      <c r="Z302" s="213">
        <v>14.37</v>
      </c>
      <c r="AA302" s="213">
        <v>102.96</v>
      </c>
      <c r="AB302" s="213">
        <v>98.96</v>
      </c>
      <c r="AC302" s="213">
        <v>100.96</v>
      </c>
      <c r="AD302" s="213">
        <v>93.35</v>
      </c>
      <c r="AE302" s="213">
        <v>89.35</v>
      </c>
      <c r="AF302" s="213">
        <v>91.35</v>
      </c>
      <c r="AG302" s="213">
        <v>19.899999999999999</v>
      </c>
      <c r="AH302" s="213">
        <v>19.04</v>
      </c>
      <c r="AI302" s="213">
        <v>19.47</v>
      </c>
      <c r="AJ302" s="213"/>
      <c r="AK302" s="213"/>
      <c r="AL302" s="213"/>
      <c r="AM302" s="213">
        <v>115.73</v>
      </c>
      <c r="AN302" s="213">
        <v>114.07000000000001</v>
      </c>
      <c r="AO302" s="213">
        <v>114.9</v>
      </c>
      <c r="AP302" s="213">
        <v>41.18</v>
      </c>
      <c r="AQ302" s="213">
        <v>39.58</v>
      </c>
      <c r="AR302" s="213">
        <v>40.379999999999995</v>
      </c>
      <c r="AS302" s="213">
        <v>41.96</v>
      </c>
      <c r="AT302" s="213">
        <v>40.6</v>
      </c>
      <c r="AU302" s="213">
        <v>41.28</v>
      </c>
      <c r="AV302" s="213">
        <v>21.49</v>
      </c>
      <c r="AW302" s="213">
        <v>20.889999999999997</v>
      </c>
      <c r="AX302" s="213">
        <v>21.189999999999998</v>
      </c>
      <c r="AY302" s="213">
        <v>4.58</v>
      </c>
      <c r="AZ302" s="213">
        <v>4.42</v>
      </c>
      <c r="BA302" s="213">
        <v>4.5</v>
      </c>
      <c r="BB302" s="213">
        <v>1.96</v>
      </c>
      <c r="BC302" s="213">
        <v>1.66</v>
      </c>
      <c r="BD302" s="213">
        <v>1.81</v>
      </c>
      <c r="BE302" s="213">
        <v>0.7</v>
      </c>
      <c r="BF302" s="213">
        <v>0.39999999999999997</v>
      </c>
      <c r="BG302" s="213">
        <v>0.54999999999999993</v>
      </c>
      <c r="BH302" s="213">
        <v>502.67</v>
      </c>
      <c r="BI302" s="213">
        <v>486.67</v>
      </c>
      <c r="BJ302" s="213">
        <v>494.67</v>
      </c>
      <c r="BK302" s="213">
        <v>42.28</v>
      </c>
      <c r="BL302" s="213">
        <v>40.92</v>
      </c>
      <c r="BM302" s="213">
        <v>41.6</v>
      </c>
      <c r="BN302" s="213">
        <v>1.1000000000000001</v>
      </c>
      <c r="BO302" s="213">
        <v>0.8600000000000001</v>
      </c>
      <c r="BP302" s="213">
        <v>0.98000000000000009</v>
      </c>
      <c r="BQ302" s="213">
        <v>8.58</v>
      </c>
      <c r="BR302" s="213">
        <v>6.58</v>
      </c>
      <c r="BS302" s="213">
        <v>7.58</v>
      </c>
      <c r="BT302" s="213">
        <v>11.16</v>
      </c>
      <c r="BU302" s="213">
        <v>10.76</v>
      </c>
      <c r="BV302" s="213">
        <v>10.96</v>
      </c>
      <c r="BW302" s="213">
        <v>2.77</v>
      </c>
      <c r="BX302" s="213">
        <v>2.4900000000000002</v>
      </c>
      <c r="BY302" s="213">
        <v>2.63</v>
      </c>
      <c r="BZ302" s="213">
        <v>10.130000000000001</v>
      </c>
      <c r="CA302" s="213">
        <v>7.1300000000000008</v>
      </c>
      <c r="CB302" s="213">
        <v>8.6300000000000008</v>
      </c>
      <c r="CC302" s="213">
        <v>6.61</v>
      </c>
      <c r="CD302" s="213">
        <v>6.37</v>
      </c>
      <c r="CE302" s="213">
        <v>6.49</v>
      </c>
      <c r="CF302" s="213">
        <v>1.83</v>
      </c>
      <c r="CG302" s="213">
        <v>1.33</v>
      </c>
      <c r="CH302" s="213">
        <v>1.58</v>
      </c>
      <c r="CI302" s="213">
        <v>0.43</v>
      </c>
      <c r="CJ302" s="213">
        <v>0.39</v>
      </c>
      <c r="CK302" s="213">
        <v>0.41000000000000003</v>
      </c>
      <c r="CL302" s="213">
        <v>39.01</v>
      </c>
      <c r="CM302" s="213">
        <v>36.61</v>
      </c>
      <c r="CN302" s="213">
        <v>37.81</v>
      </c>
      <c r="CO302" s="213">
        <v>6.93</v>
      </c>
      <c r="CP302" s="213">
        <v>1.9299999999999997</v>
      </c>
      <c r="CQ302" s="213">
        <v>4.43</v>
      </c>
      <c r="CR302" s="213"/>
      <c r="CS302" s="213"/>
    </row>
    <row r="303" spans="1:97">
      <c r="A303" s="424">
        <v>45589</v>
      </c>
      <c r="B303" s="211" t="s">
        <v>250</v>
      </c>
      <c r="C303" s="213">
        <v>153.79</v>
      </c>
      <c r="D303" s="213">
        <v>151.79</v>
      </c>
      <c r="E303" s="213">
        <v>152.79</v>
      </c>
      <c r="F303" s="213">
        <v>166.33</v>
      </c>
      <c r="G303" s="213">
        <v>163.33000000000001</v>
      </c>
      <c r="H303" s="213">
        <v>164.83</v>
      </c>
      <c r="I303" s="213">
        <v>112.12</v>
      </c>
      <c r="J303" s="213">
        <v>108.92</v>
      </c>
      <c r="K303" s="213">
        <v>110.52000000000001</v>
      </c>
      <c r="L303" s="213">
        <v>201.51</v>
      </c>
      <c r="M303" s="213">
        <v>193.51</v>
      </c>
      <c r="N303" s="213">
        <v>197.51</v>
      </c>
      <c r="O303" s="213">
        <v>177.17</v>
      </c>
      <c r="P303" s="213">
        <v>175.36999999999998</v>
      </c>
      <c r="Q303" s="213">
        <v>176.26999999999998</v>
      </c>
      <c r="R303" s="213">
        <v>22.4</v>
      </c>
      <c r="S303" s="213">
        <v>21.799999999999997</v>
      </c>
      <c r="T303" s="213">
        <v>22.099999999999998</v>
      </c>
      <c r="U303" s="213">
        <v>14.21</v>
      </c>
      <c r="V303" s="213">
        <v>13.610000000000001</v>
      </c>
      <c r="W303" s="213">
        <v>13.91</v>
      </c>
      <c r="X303" s="213">
        <v>14.82</v>
      </c>
      <c r="Y303" s="213">
        <v>14.02</v>
      </c>
      <c r="Z303" s="213">
        <v>14.42</v>
      </c>
      <c r="AA303" s="213">
        <v>103.42</v>
      </c>
      <c r="AB303" s="213">
        <v>99.42</v>
      </c>
      <c r="AC303" s="213">
        <v>101.42</v>
      </c>
      <c r="AD303" s="213">
        <v>93.86</v>
      </c>
      <c r="AE303" s="213">
        <v>89.86</v>
      </c>
      <c r="AF303" s="213">
        <v>91.86</v>
      </c>
      <c r="AG303" s="213">
        <v>20.100000000000001</v>
      </c>
      <c r="AH303" s="213">
        <v>19.240000000000002</v>
      </c>
      <c r="AI303" s="213">
        <v>19.670000000000002</v>
      </c>
      <c r="AJ303" s="213"/>
      <c r="AK303" s="213"/>
      <c r="AL303" s="213"/>
      <c r="AM303" s="213">
        <v>116.46</v>
      </c>
      <c r="AN303" s="213">
        <v>114.8</v>
      </c>
      <c r="AO303" s="213">
        <v>115.63</v>
      </c>
      <c r="AP303" s="213">
        <v>41.55</v>
      </c>
      <c r="AQ303" s="213">
        <v>39.949999999999996</v>
      </c>
      <c r="AR303" s="213">
        <v>40.75</v>
      </c>
      <c r="AS303" s="213">
        <v>42.35</v>
      </c>
      <c r="AT303" s="213">
        <v>40.99</v>
      </c>
      <c r="AU303" s="213">
        <v>41.67</v>
      </c>
      <c r="AV303" s="213">
        <v>21.73</v>
      </c>
      <c r="AW303" s="213">
        <v>21.13</v>
      </c>
      <c r="AX303" s="213">
        <v>21.43</v>
      </c>
      <c r="AY303" s="213">
        <v>4.6100000000000003</v>
      </c>
      <c r="AZ303" s="213">
        <v>4.45</v>
      </c>
      <c r="BA303" s="213">
        <v>4.53</v>
      </c>
      <c r="BB303" s="213">
        <v>1.98</v>
      </c>
      <c r="BC303" s="213">
        <v>1.68</v>
      </c>
      <c r="BD303" s="213">
        <v>1.83</v>
      </c>
      <c r="BE303" s="213">
        <v>0.7</v>
      </c>
      <c r="BF303" s="213">
        <v>0.39999999999999997</v>
      </c>
      <c r="BG303" s="213">
        <v>0.54999999999999993</v>
      </c>
      <c r="BH303" s="213">
        <v>507.31</v>
      </c>
      <c r="BI303" s="213">
        <v>491.31</v>
      </c>
      <c r="BJ303" s="213">
        <v>499.31</v>
      </c>
      <c r="BK303" s="213">
        <v>42.67</v>
      </c>
      <c r="BL303" s="213">
        <v>41.31</v>
      </c>
      <c r="BM303" s="213">
        <v>41.99</v>
      </c>
      <c r="BN303" s="213">
        <v>1.1000000000000001</v>
      </c>
      <c r="BO303" s="213">
        <v>0.8600000000000001</v>
      </c>
      <c r="BP303" s="213">
        <v>0.98000000000000009</v>
      </c>
      <c r="BQ303" s="213">
        <v>8.7100000000000009</v>
      </c>
      <c r="BR303" s="213">
        <v>6.7100000000000009</v>
      </c>
      <c r="BS303" s="213">
        <v>7.7100000000000009</v>
      </c>
      <c r="BT303" s="213">
        <v>11.28</v>
      </c>
      <c r="BU303" s="213">
        <v>10.879999999999999</v>
      </c>
      <c r="BV303" s="213">
        <v>11.079999999999998</v>
      </c>
      <c r="BW303" s="213">
        <v>2.79</v>
      </c>
      <c r="BX303" s="213">
        <v>2.5099999999999998</v>
      </c>
      <c r="BY303" s="213">
        <v>2.65</v>
      </c>
      <c r="BZ303" s="213">
        <v>10.09</v>
      </c>
      <c r="CA303" s="213">
        <v>7.09</v>
      </c>
      <c r="CB303" s="213">
        <v>8.59</v>
      </c>
      <c r="CC303" s="213">
        <v>6.65</v>
      </c>
      <c r="CD303" s="213">
        <v>6.41</v>
      </c>
      <c r="CE303" s="213">
        <v>6.53</v>
      </c>
      <c r="CF303" s="213">
        <v>1.84</v>
      </c>
      <c r="CG303" s="213">
        <v>1.34</v>
      </c>
      <c r="CH303" s="213">
        <v>1.59</v>
      </c>
      <c r="CI303" s="213">
        <v>0.43</v>
      </c>
      <c r="CJ303" s="213">
        <v>0.39</v>
      </c>
      <c r="CK303" s="213">
        <v>0.41000000000000003</v>
      </c>
      <c r="CL303" s="213">
        <v>39.15</v>
      </c>
      <c r="CM303" s="213">
        <v>36.75</v>
      </c>
      <c r="CN303" s="213">
        <v>37.950000000000003</v>
      </c>
      <c r="CO303" s="213">
        <v>6.97</v>
      </c>
      <c r="CP303" s="213">
        <v>1.9699999999999998</v>
      </c>
      <c r="CQ303" s="213">
        <v>4.47</v>
      </c>
      <c r="CR303" s="213"/>
      <c r="CS303" s="213"/>
    </row>
    <row r="304" spans="1:97">
      <c r="A304" s="424">
        <v>45590</v>
      </c>
      <c r="B304" s="211" t="s">
        <v>251</v>
      </c>
      <c r="C304" s="213">
        <v>153.16</v>
      </c>
      <c r="D304" s="213">
        <v>151.16</v>
      </c>
      <c r="E304" s="213">
        <v>152.16</v>
      </c>
      <c r="F304" s="213">
        <v>166.17</v>
      </c>
      <c r="G304" s="213">
        <v>163.16999999999999</v>
      </c>
      <c r="H304" s="213">
        <v>164.67</v>
      </c>
      <c r="I304" s="213">
        <v>111.43</v>
      </c>
      <c r="J304" s="213">
        <v>108.23</v>
      </c>
      <c r="K304" s="213">
        <v>109.83000000000001</v>
      </c>
      <c r="L304" s="213">
        <v>201.34</v>
      </c>
      <c r="M304" s="213">
        <v>193.34</v>
      </c>
      <c r="N304" s="213">
        <v>197.34</v>
      </c>
      <c r="O304" s="213">
        <v>176.52</v>
      </c>
      <c r="P304" s="213">
        <v>174.72</v>
      </c>
      <c r="Q304" s="213">
        <v>175.62</v>
      </c>
      <c r="R304" s="213">
        <v>22.37</v>
      </c>
      <c r="S304" s="213">
        <v>21.77</v>
      </c>
      <c r="T304" s="213">
        <v>22.07</v>
      </c>
      <c r="U304" s="213">
        <v>14.21</v>
      </c>
      <c r="V304" s="213">
        <v>13.610000000000001</v>
      </c>
      <c r="W304" s="213">
        <v>13.91</v>
      </c>
      <c r="X304" s="213">
        <v>14.79</v>
      </c>
      <c r="Y304" s="213">
        <v>13.989999999999998</v>
      </c>
      <c r="Z304" s="213">
        <v>14.389999999999999</v>
      </c>
      <c r="AA304" s="213">
        <v>102.91</v>
      </c>
      <c r="AB304" s="213">
        <v>98.91</v>
      </c>
      <c r="AC304" s="213">
        <v>100.91</v>
      </c>
      <c r="AD304" s="213">
        <v>93.37</v>
      </c>
      <c r="AE304" s="213">
        <v>89.37</v>
      </c>
      <c r="AF304" s="213">
        <v>91.37</v>
      </c>
      <c r="AG304" s="213">
        <v>20.010000000000002</v>
      </c>
      <c r="AH304" s="213">
        <v>19.150000000000002</v>
      </c>
      <c r="AI304" s="213">
        <v>19.580000000000002</v>
      </c>
      <c r="AJ304" s="213"/>
      <c r="AK304" s="213"/>
      <c r="AL304" s="213"/>
      <c r="AM304" s="213">
        <v>116.18</v>
      </c>
      <c r="AN304" s="213">
        <v>114.52000000000001</v>
      </c>
      <c r="AO304" s="213">
        <v>115.35000000000001</v>
      </c>
      <c r="AP304" s="213">
        <v>41.38</v>
      </c>
      <c r="AQ304" s="213">
        <v>39.78</v>
      </c>
      <c r="AR304" s="213">
        <v>40.58</v>
      </c>
      <c r="AS304" s="213">
        <v>42.17</v>
      </c>
      <c r="AT304" s="213">
        <v>40.81</v>
      </c>
      <c r="AU304" s="213">
        <v>41.49</v>
      </c>
      <c r="AV304" s="213">
        <v>21.65</v>
      </c>
      <c r="AW304" s="213">
        <v>21.049999999999997</v>
      </c>
      <c r="AX304" s="213">
        <v>21.349999999999998</v>
      </c>
      <c r="AY304" s="213">
        <v>4.6100000000000003</v>
      </c>
      <c r="AZ304" s="213">
        <v>4.45</v>
      </c>
      <c r="BA304" s="213">
        <v>4.53</v>
      </c>
      <c r="BB304" s="213">
        <v>1.97</v>
      </c>
      <c r="BC304" s="213">
        <v>1.67</v>
      </c>
      <c r="BD304" s="213">
        <v>1.8199999999999998</v>
      </c>
      <c r="BE304" s="213">
        <v>0.7</v>
      </c>
      <c r="BF304" s="213">
        <v>0.39999999999999997</v>
      </c>
      <c r="BG304" s="213">
        <v>0.54999999999999993</v>
      </c>
      <c r="BH304" s="213">
        <v>505.74</v>
      </c>
      <c r="BI304" s="213">
        <v>489.74</v>
      </c>
      <c r="BJ304" s="213">
        <v>497.74</v>
      </c>
      <c r="BK304" s="213">
        <v>42.49</v>
      </c>
      <c r="BL304" s="213">
        <v>41.13</v>
      </c>
      <c r="BM304" s="213">
        <v>41.81</v>
      </c>
      <c r="BN304" s="213">
        <v>1.1000000000000001</v>
      </c>
      <c r="BO304" s="213">
        <v>0.8600000000000001</v>
      </c>
      <c r="BP304" s="213">
        <v>0.98000000000000009</v>
      </c>
      <c r="BQ304" s="213">
        <v>8.68</v>
      </c>
      <c r="BR304" s="213">
        <v>6.68</v>
      </c>
      <c r="BS304" s="213">
        <v>7.68</v>
      </c>
      <c r="BT304" s="213">
        <v>11.24</v>
      </c>
      <c r="BU304" s="213">
        <v>10.84</v>
      </c>
      <c r="BV304" s="213">
        <v>11.04</v>
      </c>
      <c r="BW304" s="213">
        <v>2.79</v>
      </c>
      <c r="BX304" s="213">
        <v>2.5099999999999998</v>
      </c>
      <c r="BY304" s="213">
        <v>2.65</v>
      </c>
      <c r="BZ304" s="213">
        <v>10.11</v>
      </c>
      <c r="CA304" s="213">
        <v>7.1099999999999994</v>
      </c>
      <c r="CB304" s="213">
        <v>8.61</v>
      </c>
      <c r="CC304" s="213">
        <v>6.66</v>
      </c>
      <c r="CD304" s="213">
        <v>6.42</v>
      </c>
      <c r="CE304" s="213">
        <v>6.54</v>
      </c>
      <c r="CF304" s="213">
        <v>1.83</v>
      </c>
      <c r="CG304" s="213">
        <v>1.33</v>
      </c>
      <c r="CH304" s="213">
        <v>1.58</v>
      </c>
      <c r="CI304" s="213">
        <v>0.43</v>
      </c>
      <c r="CJ304" s="213">
        <v>0.39</v>
      </c>
      <c r="CK304" s="213">
        <v>0.41000000000000003</v>
      </c>
      <c r="CL304" s="213">
        <v>39.130000000000003</v>
      </c>
      <c r="CM304" s="213">
        <v>36.730000000000004</v>
      </c>
      <c r="CN304" s="213">
        <v>37.930000000000007</v>
      </c>
      <c r="CO304" s="213">
        <v>6.95</v>
      </c>
      <c r="CP304" s="213">
        <v>1.9500000000000002</v>
      </c>
      <c r="CQ304" s="213">
        <v>4.45</v>
      </c>
      <c r="CR304" s="213"/>
      <c r="CS304" s="213"/>
    </row>
    <row r="305" spans="1:97">
      <c r="A305" s="424">
        <v>45591</v>
      </c>
      <c r="B305" s="211" t="s">
        <v>252</v>
      </c>
      <c r="C305" s="213"/>
      <c r="D305" s="213"/>
      <c r="E305" s="213"/>
      <c r="F305" s="213"/>
      <c r="G305" s="213"/>
      <c r="H305" s="213"/>
      <c r="I305" s="213"/>
      <c r="J305" s="213"/>
      <c r="K305" s="213"/>
      <c r="L305" s="213"/>
      <c r="M305" s="213"/>
      <c r="N305" s="213"/>
      <c r="O305" s="213"/>
      <c r="P305" s="213"/>
      <c r="Q305" s="213"/>
      <c r="R305" s="213"/>
      <c r="S305" s="213"/>
      <c r="T305" s="213"/>
      <c r="U305" s="213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13"/>
      <c r="AF305" s="213"/>
      <c r="AG305" s="213"/>
      <c r="AH305" s="213"/>
      <c r="AI305" s="213"/>
      <c r="AJ305" s="213"/>
      <c r="AK305" s="213"/>
      <c r="AL305" s="213"/>
      <c r="AM305" s="213"/>
      <c r="AN305" s="213"/>
      <c r="AO305" s="213"/>
      <c r="AP305" s="213"/>
      <c r="AQ305" s="213"/>
      <c r="AR305" s="213"/>
      <c r="AS305" s="213"/>
      <c r="AT305" s="213"/>
      <c r="AU305" s="213"/>
      <c r="AV305" s="213"/>
      <c r="AW305" s="213"/>
      <c r="AX305" s="213"/>
      <c r="AY305" s="213"/>
      <c r="AZ305" s="213"/>
      <c r="BA305" s="213"/>
      <c r="BB305" s="213"/>
      <c r="BC305" s="213"/>
      <c r="BD305" s="213"/>
      <c r="BE305" s="213"/>
      <c r="BF305" s="213"/>
      <c r="BG305" s="213"/>
      <c r="BH305" s="213"/>
      <c r="BI305" s="213"/>
      <c r="BJ305" s="213"/>
      <c r="BK305" s="213"/>
      <c r="BL305" s="213"/>
      <c r="BM305" s="213"/>
      <c r="BN305" s="213"/>
      <c r="BO305" s="213"/>
      <c r="BP305" s="213"/>
      <c r="BQ305" s="213"/>
      <c r="BR305" s="213"/>
      <c r="BS305" s="213"/>
      <c r="BT305" s="213"/>
      <c r="BU305" s="213"/>
      <c r="BV305" s="213"/>
      <c r="BW305" s="213"/>
      <c r="BX305" s="213"/>
      <c r="BY305" s="213"/>
      <c r="BZ305" s="213"/>
      <c r="CA305" s="213"/>
      <c r="CB305" s="213"/>
      <c r="CC305" s="213"/>
      <c r="CD305" s="213"/>
      <c r="CE305" s="213"/>
      <c r="CF305" s="213"/>
      <c r="CG305" s="213"/>
      <c r="CH305" s="213"/>
      <c r="CI305" s="213"/>
      <c r="CJ305" s="213"/>
      <c r="CK305" s="213"/>
      <c r="CL305" s="213"/>
      <c r="CM305" s="213"/>
      <c r="CN305" s="213"/>
      <c r="CO305" s="213"/>
      <c r="CP305" s="213"/>
      <c r="CQ305" s="213"/>
      <c r="CR305" s="213"/>
      <c r="CS305" s="213"/>
    </row>
    <row r="306" spans="1:97">
      <c r="A306" s="424">
        <v>45592</v>
      </c>
      <c r="B306" s="211" t="s">
        <v>253</v>
      </c>
      <c r="C306" s="213"/>
      <c r="D306" s="213"/>
      <c r="E306" s="213"/>
      <c r="F306" s="213"/>
      <c r="G306" s="213"/>
      <c r="H306" s="213"/>
      <c r="I306" s="213"/>
      <c r="J306" s="213"/>
      <c r="K306" s="213"/>
      <c r="L306" s="213"/>
      <c r="M306" s="213"/>
      <c r="N306" s="213"/>
      <c r="O306" s="213"/>
      <c r="P306" s="213"/>
      <c r="Q306" s="213"/>
      <c r="R306" s="213"/>
      <c r="S306" s="213"/>
      <c r="T306" s="213"/>
      <c r="U306" s="213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13"/>
      <c r="AF306" s="213"/>
      <c r="AG306" s="213"/>
      <c r="AH306" s="213"/>
      <c r="AI306" s="213"/>
      <c r="AJ306" s="213"/>
      <c r="AK306" s="213"/>
      <c r="AL306" s="213"/>
      <c r="AM306" s="213"/>
      <c r="AN306" s="213"/>
      <c r="AO306" s="213"/>
      <c r="AP306" s="213"/>
      <c r="AQ306" s="213"/>
      <c r="AR306" s="213"/>
      <c r="AS306" s="213"/>
      <c r="AT306" s="213"/>
      <c r="AU306" s="213"/>
      <c r="AV306" s="213"/>
      <c r="AW306" s="213"/>
      <c r="AX306" s="213"/>
      <c r="AY306" s="213"/>
      <c r="AZ306" s="213"/>
      <c r="BA306" s="213"/>
      <c r="BB306" s="213"/>
      <c r="BC306" s="213"/>
      <c r="BD306" s="213"/>
      <c r="BE306" s="213"/>
      <c r="BF306" s="213"/>
      <c r="BG306" s="213"/>
      <c r="BH306" s="213"/>
      <c r="BI306" s="213"/>
      <c r="BJ306" s="213"/>
      <c r="BK306" s="213"/>
      <c r="BL306" s="213"/>
      <c r="BM306" s="213"/>
      <c r="BN306" s="213"/>
      <c r="BO306" s="213"/>
      <c r="BP306" s="213"/>
      <c r="BQ306" s="213"/>
      <c r="BR306" s="213"/>
      <c r="BS306" s="213"/>
      <c r="BT306" s="213"/>
      <c r="BU306" s="213"/>
      <c r="BV306" s="213"/>
      <c r="BW306" s="213"/>
      <c r="BX306" s="213"/>
      <c r="BY306" s="213"/>
      <c r="BZ306" s="213"/>
      <c r="CA306" s="213"/>
      <c r="CB306" s="213"/>
      <c r="CC306" s="213"/>
      <c r="CD306" s="213"/>
      <c r="CE306" s="213"/>
      <c r="CF306" s="213"/>
      <c r="CG306" s="213"/>
      <c r="CH306" s="213"/>
      <c r="CI306" s="213"/>
      <c r="CJ306" s="213"/>
      <c r="CK306" s="213"/>
      <c r="CL306" s="213"/>
      <c r="CM306" s="213"/>
      <c r="CN306" s="213"/>
      <c r="CO306" s="213"/>
      <c r="CP306" s="213"/>
      <c r="CQ306" s="213"/>
      <c r="CR306" s="213"/>
      <c r="CS306" s="213"/>
    </row>
    <row r="307" spans="1:97">
      <c r="A307" s="424">
        <v>45593</v>
      </c>
      <c r="B307" s="211" t="s">
        <v>247</v>
      </c>
      <c r="C307" s="213">
        <v>154.44999999999999</v>
      </c>
      <c r="D307" s="213">
        <v>152.44999999999999</v>
      </c>
      <c r="E307" s="213">
        <v>153.44999999999999</v>
      </c>
      <c r="F307" s="213">
        <v>167.15</v>
      </c>
      <c r="G307" s="213">
        <v>164.15</v>
      </c>
      <c r="H307" s="213">
        <v>165.65</v>
      </c>
      <c r="I307" s="213">
        <v>112.08</v>
      </c>
      <c r="J307" s="213">
        <v>108.88</v>
      </c>
      <c r="K307" s="213">
        <v>110.47999999999999</v>
      </c>
      <c r="L307" s="213">
        <v>202.92</v>
      </c>
      <c r="M307" s="213">
        <v>194.92</v>
      </c>
      <c r="N307" s="213">
        <v>198.92</v>
      </c>
      <c r="O307" s="213">
        <v>177.38</v>
      </c>
      <c r="P307" s="213">
        <v>175.57999999999998</v>
      </c>
      <c r="Q307" s="213">
        <v>176.48</v>
      </c>
      <c r="R307" s="213">
        <v>22.5</v>
      </c>
      <c r="S307" s="213">
        <v>21.9</v>
      </c>
      <c r="T307" s="213">
        <v>22.2</v>
      </c>
      <c r="U307" s="213">
        <v>14.25</v>
      </c>
      <c r="V307" s="213">
        <v>13.65</v>
      </c>
      <c r="W307" s="213">
        <v>13.95</v>
      </c>
      <c r="X307" s="213">
        <v>14.84</v>
      </c>
      <c r="Y307" s="213">
        <v>14.04</v>
      </c>
      <c r="Z307" s="213">
        <v>14.44</v>
      </c>
      <c r="AA307" s="213">
        <v>103.35</v>
      </c>
      <c r="AB307" s="213">
        <v>99.35</v>
      </c>
      <c r="AC307" s="213">
        <v>101.35</v>
      </c>
      <c r="AD307" s="213">
        <v>93.69</v>
      </c>
      <c r="AE307" s="213">
        <v>89.69</v>
      </c>
      <c r="AF307" s="213">
        <v>91.69</v>
      </c>
      <c r="AG307" s="213">
        <v>20.170000000000002</v>
      </c>
      <c r="AH307" s="213">
        <v>19.310000000000002</v>
      </c>
      <c r="AI307" s="213">
        <v>19.740000000000002</v>
      </c>
      <c r="AJ307" s="213"/>
      <c r="AK307" s="213"/>
      <c r="AL307" s="213"/>
      <c r="AM307" s="213">
        <v>116.76</v>
      </c>
      <c r="AN307" s="213">
        <v>115.10000000000001</v>
      </c>
      <c r="AO307" s="213">
        <v>115.93</v>
      </c>
      <c r="AP307" s="213">
        <v>41.74</v>
      </c>
      <c r="AQ307" s="213">
        <v>40.14</v>
      </c>
      <c r="AR307" s="213">
        <v>40.94</v>
      </c>
      <c r="AS307" s="213">
        <v>42.53</v>
      </c>
      <c r="AT307" s="213">
        <v>41.17</v>
      </c>
      <c r="AU307" s="213">
        <v>41.85</v>
      </c>
      <c r="AV307" s="213">
        <v>21.77</v>
      </c>
      <c r="AW307" s="213">
        <v>21.169999999999998</v>
      </c>
      <c r="AX307" s="213">
        <v>21.47</v>
      </c>
      <c r="AY307" s="213">
        <v>4.62</v>
      </c>
      <c r="AZ307" s="213">
        <v>4.46</v>
      </c>
      <c r="BA307" s="213">
        <v>4.54</v>
      </c>
      <c r="BB307" s="213">
        <v>1.98</v>
      </c>
      <c r="BC307" s="213">
        <v>1.68</v>
      </c>
      <c r="BD307" s="213">
        <v>1.83</v>
      </c>
      <c r="BE307" s="213">
        <v>0.7</v>
      </c>
      <c r="BF307" s="213">
        <v>0.39999999999999997</v>
      </c>
      <c r="BG307" s="213">
        <v>0.54999999999999993</v>
      </c>
      <c r="BH307" s="213">
        <v>509.31</v>
      </c>
      <c r="BI307" s="213">
        <v>493.31</v>
      </c>
      <c r="BJ307" s="213">
        <v>501.31</v>
      </c>
      <c r="BK307" s="213">
        <v>42.84</v>
      </c>
      <c r="BL307" s="213">
        <v>41.480000000000004</v>
      </c>
      <c r="BM307" s="213">
        <v>42.160000000000004</v>
      </c>
      <c r="BN307" s="213">
        <v>1.1000000000000001</v>
      </c>
      <c r="BO307" s="213">
        <v>0.8600000000000001</v>
      </c>
      <c r="BP307" s="213">
        <v>0.98000000000000009</v>
      </c>
      <c r="BQ307" s="213">
        <v>8.69</v>
      </c>
      <c r="BR307" s="213">
        <v>6.6899999999999995</v>
      </c>
      <c r="BS307" s="213">
        <v>7.6899999999999995</v>
      </c>
      <c r="BT307" s="213">
        <v>11.27</v>
      </c>
      <c r="BU307" s="213">
        <v>10.87</v>
      </c>
      <c r="BV307" s="213">
        <v>11.07</v>
      </c>
      <c r="BW307" s="213">
        <v>2.79</v>
      </c>
      <c r="BX307" s="213">
        <v>2.5099999999999998</v>
      </c>
      <c r="BY307" s="213">
        <v>2.65</v>
      </c>
      <c r="BZ307" s="213">
        <v>10.18</v>
      </c>
      <c r="CA307" s="213">
        <v>7.18</v>
      </c>
      <c r="CB307" s="213">
        <v>8.68</v>
      </c>
      <c r="CC307" s="213">
        <v>6.68</v>
      </c>
      <c r="CD307" s="213">
        <v>6.4399999999999995</v>
      </c>
      <c r="CE307" s="213">
        <v>6.56</v>
      </c>
      <c r="CF307" s="213">
        <v>1.83</v>
      </c>
      <c r="CG307" s="213">
        <v>1.33</v>
      </c>
      <c r="CH307" s="213">
        <v>1.58</v>
      </c>
      <c r="CI307" s="213">
        <v>0.43</v>
      </c>
      <c r="CJ307" s="213">
        <v>0.39</v>
      </c>
      <c r="CK307" s="213">
        <v>0.41000000000000003</v>
      </c>
      <c r="CL307" s="213">
        <v>39.340000000000003</v>
      </c>
      <c r="CM307" s="213">
        <v>36.940000000000005</v>
      </c>
      <c r="CN307" s="213">
        <v>38.14</v>
      </c>
      <c r="CO307" s="213">
        <v>6.98</v>
      </c>
      <c r="CP307" s="213">
        <v>1.9800000000000004</v>
      </c>
      <c r="CQ307" s="213">
        <v>4.4800000000000004</v>
      </c>
      <c r="CR307" s="213"/>
      <c r="CS307" s="213"/>
    </row>
    <row r="308" spans="1:97">
      <c r="A308" s="424">
        <v>45594</v>
      </c>
      <c r="B308" s="211" t="s">
        <v>248</v>
      </c>
      <c r="C308" s="213">
        <v>153.93</v>
      </c>
      <c r="D308" s="213">
        <v>151.93</v>
      </c>
      <c r="E308" s="213">
        <v>152.93</v>
      </c>
      <c r="F308" s="213">
        <v>166.85</v>
      </c>
      <c r="G308" s="213">
        <v>163.85</v>
      </c>
      <c r="H308" s="213">
        <v>165.35</v>
      </c>
      <c r="I308" s="213">
        <v>111.68</v>
      </c>
      <c r="J308" s="213">
        <v>108.48</v>
      </c>
      <c r="K308" s="213">
        <v>110.08000000000001</v>
      </c>
      <c r="L308" s="213">
        <v>202.46</v>
      </c>
      <c r="M308" s="213">
        <v>194.46</v>
      </c>
      <c r="N308" s="213">
        <v>198.46</v>
      </c>
      <c r="O308" s="213">
        <v>177.7</v>
      </c>
      <c r="P308" s="213">
        <v>175.89999999999998</v>
      </c>
      <c r="Q308" s="213">
        <v>176.79999999999998</v>
      </c>
      <c r="R308" s="213">
        <v>22.47</v>
      </c>
      <c r="S308" s="213">
        <v>21.869999999999997</v>
      </c>
      <c r="T308" s="213">
        <v>22.169999999999998</v>
      </c>
      <c r="U308" s="213">
        <v>14.21</v>
      </c>
      <c r="V308" s="213">
        <v>13.610000000000001</v>
      </c>
      <c r="W308" s="213">
        <v>13.91</v>
      </c>
      <c r="X308" s="213">
        <v>14.77</v>
      </c>
      <c r="Y308" s="213">
        <v>13.969999999999999</v>
      </c>
      <c r="Z308" s="213">
        <v>14.37</v>
      </c>
      <c r="AA308" s="213">
        <v>102.52</v>
      </c>
      <c r="AB308" s="213">
        <v>98.52</v>
      </c>
      <c r="AC308" s="213">
        <v>100.52</v>
      </c>
      <c r="AD308" s="213">
        <v>93.38</v>
      </c>
      <c r="AE308" s="213">
        <v>89.38</v>
      </c>
      <c r="AF308" s="213">
        <v>91.38</v>
      </c>
      <c r="AG308" s="213">
        <v>20.11</v>
      </c>
      <c r="AH308" s="213">
        <v>19.25</v>
      </c>
      <c r="AI308" s="213">
        <v>19.68</v>
      </c>
      <c r="AJ308" s="213"/>
      <c r="AK308" s="213"/>
      <c r="AL308" s="213"/>
      <c r="AM308" s="213">
        <v>116.41</v>
      </c>
      <c r="AN308" s="213">
        <v>114.75</v>
      </c>
      <c r="AO308" s="213">
        <v>115.58</v>
      </c>
      <c r="AP308" s="213">
        <v>41.59</v>
      </c>
      <c r="AQ308" s="213">
        <v>39.99</v>
      </c>
      <c r="AR308" s="213">
        <v>40.790000000000006</v>
      </c>
      <c r="AS308" s="213">
        <v>42.38</v>
      </c>
      <c r="AT308" s="213">
        <v>41.02</v>
      </c>
      <c r="AU308" s="213">
        <v>41.7</v>
      </c>
      <c r="AV308" s="213">
        <v>21.7</v>
      </c>
      <c r="AW308" s="213">
        <v>21.099999999999998</v>
      </c>
      <c r="AX308" s="213">
        <v>21.4</v>
      </c>
      <c r="AY308" s="213">
        <v>4.6100000000000003</v>
      </c>
      <c r="AZ308" s="213">
        <v>4.45</v>
      </c>
      <c r="BA308" s="213">
        <v>4.53</v>
      </c>
      <c r="BB308" s="213">
        <v>1.98</v>
      </c>
      <c r="BC308" s="213">
        <v>1.68</v>
      </c>
      <c r="BD308" s="213">
        <v>1.83</v>
      </c>
      <c r="BE308" s="213">
        <v>0.7</v>
      </c>
      <c r="BF308" s="213">
        <v>0.39999999999999997</v>
      </c>
      <c r="BG308" s="213">
        <v>0.54999999999999993</v>
      </c>
      <c r="BH308" s="213">
        <v>507.77</v>
      </c>
      <c r="BI308" s="213">
        <v>491.77</v>
      </c>
      <c r="BJ308" s="213">
        <v>499.77</v>
      </c>
      <c r="BK308" s="213">
        <v>42.71</v>
      </c>
      <c r="BL308" s="213">
        <v>41.35</v>
      </c>
      <c r="BM308" s="213">
        <v>42.03</v>
      </c>
      <c r="BN308" s="213">
        <v>1.1000000000000001</v>
      </c>
      <c r="BO308" s="213">
        <v>0.8600000000000001</v>
      </c>
      <c r="BP308" s="213">
        <v>0.98000000000000009</v>
      </c>
      <c r="BQ308" s="213">
        <v>8.6300000000000008</v>
      </c>
      <c r="BR308" s="213">
        <v>6.6300000000000008</v>
      </c>
      <c r="BS308" s="213">
        <v>7.6300000000000008</v>
      </c>
      <c r="BT308" s="213">
        <v>11.26</v>
      </c>
      <c r="BU308" s="213">
        <v>10.86</v>
      </c>
      <c r="BV308" s="213">
        <v>11.059999999999999</v>
      </c>
      <c r="BW308" s="213">
        <v>2.78</v>
      </c>
      <c r="BX308" s="213">
        <v>2.5</v>
      </c>
      <c r="BY308" s="213">
        <v>2.6399999999999997</v>
      </c>
      <c r="BZ308" s="213">
        <v>10.130000000000001</v>
      </c>
      <c r="CA308" s="213">
        <v>7.1300000000000008</v>
      </c>
      <c r="CB308" s="213">
        <v>8.6300000000000008</v>
      </c>
      <c r="CC308" s="213">
        <v>6.65</v>
      </c>
      <c r="CD308" s="213">
        <v>6.41</v>
      </c>
      <c r="CE308" s="213">
        <v>6.53</v>
      </c>
      <c r="CF308" s="213">
        <v>1.82</v>
      </c>
      <c r="CG308" s="213">
        <v>1.32</v>
      </c>
      <c r="CH308" s="213">
        <v>1.57</v>
      </c>
      <c r="CI308" s="213">
        <v>0.43</v>
      </c>
      <c r="CJ308" s="213">
        <v>0.39</v>
      </c>
      <c r="CK308" s="213">
        <v>0.41000000000000003</v>
      </c>
      <c r="CL308" s="213">
        <v>39.229999999999997</v>
      </c>
      <c r="CM308" s="213">
        <v>36.83</v>
      </c>
      <c r="CN308" s="213">
        <v>38.03</v>
      </c>
      <c r="CO308" s="213">
        <v>6.97</v>
      </c>
      <c r="CP308" s="213">
        <v>1.9699999999999998</v>
      </c>
      <c r="CQ308" s="213">
        <v>4.47</v>
      </c>
      <c r="CR308" s="213"/>
      <c r="CS308" s="213"/>
    </row>
    <row r="309" spans="1:97">
      <c r="A309" s="424">
        <v>45595</v>
      </c>
      <c r="B309" s="211" t="s">
        <v>249</v>
      </c>
      <c r="C309" s="213">
        <v>154.31</v>
      </c>
      <c r="D309" s="213">
        <v>152.31</v>
      </c>
      <c r="E309" s="213">
        <v>153.31</v>
      </c>
      <c r="F309" s="213">
        <v>167.43</v>
      </c>
      <c r="G309" s="213">
        <v>164.43</v>
      </c>
      <c r="H309" s="213">
        <v>165.93</v>
      </c>
      <c r="I309" s="213">
        <v>111.78</v>
      </c>
      <c r="J309" s="213">
        <v>108.58</v>
      </c>
      <c r="K309" s="213">
        <v>110.18</v>
      </c>
      <c r="L309" s="213">
        <v>203.53</v>
      </c>
      <c r="M309" s="213">
        <v>195.53</v>
      </c>
      <c r="N309" s="213">
        <v>199.53</v>
      </c>
      <c r="O309" s="213">
        <v>177.65</v>
      </c>
      <c r="P309" s="213">
        <v>175.85</v>
      </c>
      <c r="Q309" s="213">
        <v>176.75</v>
      </c>
      <c r="R309" s="213">
        <v>22.54</v>
      </c>
      <c r="S309" s="213">
        <v>21.939999999999998</v>
      </c>
      <c r="T309" s="213">
        <v>22.24</v>
      </c>
      <c r="U309" s="213">
        <v>14.3</v>
      </c>
      <c r="V309" s="213">
        <v>13.700000000000001</v>
      </c>
      <c r="W309" s="213">
        <v>14</v>
      </c>
      <c r="X309" s="213">
        <v>14.82</v>
      </c>
      <c r="Y309" s="213">
        <v>14.02</v>
      </c>
      <c r="Z309" s="213">
        <v>14.42</v>
      </c>
      <c r="AA309" s="213">
        <v>102.56</v>
      </c>
      <c r="AB309" s="213">
        <v>98.56</v>
      </c>
      <c r="AC309" s="213">
        <v>100.56</v>
      </c>
      <c r="AD309" s="213">
        <v>93.51</v>
      </c>
      <c r="AE309" s="213">
        <v>89.51</v>
      </c>
      <c r="AF309" s="213">
        <v>91.51</v>
      </c>
      <c r="AG309" s="213">
        <v>20.16</v>
      </c>
      <c r="AH309" s="213">
        <v>19.3</v>
      </c>
      <c r="AI309" s="213">
        <v>19.73</v>
      </c>
      <c r="AJ309" s="213"/>
      <c r="AK309" s="213"/>
      <c r="AL309" s="213"/>
      <c r="AM309" s="213">
        <v>116.61</v>
      </c>
      <c r="AN309" s="213">
        <v>114.95</v>
      </c>
      <c r="AO309" s="213">
        <v>115.78</v>
      </c>
      <c r="AP309" s="213">
        <v>41.7</v>
      </c>
      <c r="AQ309" s="213">
        <v>40.1</v>
      </c>
      <c r="AR309" s="213">
        <v>40.900000000000006</v>
      </c>
      <c r="AS309" s="213">
        <v>42.49</v>
      </c>
      <c r="AT309" s="213">
        <v>41.13</v>
      </c>
      <c r="AU309" s="213">
        <v>41.81</v>
      </c>
      <c r="AV309" s="213">
        <v>21.76</v>
      </c>
      <c r="AW309" s="213">
        <v>21.16</v>
      </c>
      <c r="AX309" s="213">
        <v>21.46</v>
      </c>
      <c r="AY309" s="213">
        <v>4.6399999999999997</v>
      </c>
      <c r="AZ309" s="213">
        <v>4.4799999999999995</v>
      </c>
      <c r="BA309" s="213">
        <v>4.5599999999999996</v>
      </c>
      <c r="BB309" s="213">
        <v>1.98</v>
      </c>
      <c r="BC309" s="213">
        <v>1.68</v>
      </c>
      <c r="BD309" s="213">
        <v>1.83</v>
      </c>
      <c r="BE309" s="213">
        <v>0.7</v>
      </c>
      <c r="BF309" s="213">
        <v>0.39999999999999997</v>
      </c>
      <c r="BG309" s="213">
        <v>0.54999999999999993</v>
      </c>
      <c r="BH309" s="213">
        <v>509.01</v>
      </c>
      <c r="BI309" s="213">
        <v>493.01</v>
      </c>
      <c r="BJ309" s="213">
        <v>501.01</v>
      </c>
      <c r="BK309" s="213">
        <v>42.81</v>
      </c>
      <c r="BL309" s="213">
        <v>41.45</v>
      </c>
      <c r="BM309" s="213">
        <v>42.13</v>
      </c>
      <c r="BN309" s="213">
        <v>1.1000000000000001</v>
      </c>
      <c r="BO309" s="213">
        <v>0.8600000000000001</v>
      </c>
      <c r="BP309" s="213">
        <v>0.98000000000000009</v>
      </c>
      <c r="BQ309" s="213">
        <v>8.65</v>
      </c>
      <c r="BR309" s="213">
        <v>6.65</v>
      </c>
      <c r="BS309" s="213">
        <v>7.65</v>
      </c>
      <c r="BT309" s="213">
        <v>11.28</v>
      </c>
      <c r="BU309" s="213">
        <v>10.879999999999999</v>
      </c>
      <c r="BV309" s="213">
        <v>11.079999999999998</v>
      </c>
      <c r="BW309" s="213">
        <v>2.79</v>
      </c>
      <c r="BX309" s="213">
        <v>2.5099999999999998</v>
      </c>
      <c r="BY309" s="213">
        <v>2.65</v>
      </c>
      <c r="BZ309" s="213">
        <v>10.18</v>
      </c>
      <c r="CA309" s="213">
        <v>7.18</v>
      </c>
      <c r="CB309" s="213">
        <v>8.68</v>
      </c>
      <c r="CC309" s="213">
        <v>6.67</v>
      </c>
      <c r="CD309" s="213">
        <v>6.43</v>
      </c>
      <c r="CE309" s="213">
        <v>6.55</v>
      </c>
      <c r="CF309" s="213">
        <v>1.82</v>
      </c>
      <c r="CG309" s="213">
        <v>1.32</v>
      </c>
      <c r="CH309" s="213">
        <v>1.57</v>
      </c>
      <c r="CI309" s="213">
        <v>0.43</v>
      </c>
      <c r="CJ309" s="213">
        <v>0.39</v>
      </c>
      <c r="CK309" s="213">
        <v>0.41000000000000003</v>
      </c>
      <c r="CL309" s="213">
        <v>39.450000000000003</v>
      </c>
      <c r="CM309" s="213">
        <v>37.050000000000004</v>
      </c>
      <c r="CN309" s="213">
        <v>38.25</v>
      </c>
      <c r="CO309" s="213">
        <v>6.98</v>
      </c>
      <c r="CP309" s="213">
        <v>1.9800000000000004</v>
      </c>
      <c r="CQ309" s="213">
        <v>4.4800000000000004</v>
      </c>
      <c r="CR309" s="213"/>
      <c r="CS309" s="213"/>
    </row>
    <row r="310" spans="1:97">
      <c r="A310" s="424">
        <v>45596</v>
      </c>
      <c r="B310" s="211" t="s">
        <v>250</v>
      </c>
      <c r="C310" s="213">
        <v>154.63999999999999</v>
      </c>
      <c r="D310" s="213">
        <v>152.63999999999999</v>
      </c>
      <c r="E310" s="213">
        <v>153.63999999999999</v>
      </c>
      <c r="F310" s="213">
        <v>168.23</v>
      </c>
      <c r="G310" s="213">
        <v>165.23</v>
      </c>
      <c r="H310" s="213">
        <v>166.73</v>
      </c>
      <c r="I310" s="213">
        <v>111.97</v>
      </c>
      <c r="J310" s="213">
        <v>108.77</v>
      </c>
      <c r="K310" s="213">
        <v>110.37</v>
      </c>
      <c r="L310" s="213">
        <v>203.01</v>
      </c>
      <c r="M310" s="213">
        <v>195.01</v>
      </c>
      <c r="N310" s="213">
        <v>199.01</v>
      </c>
      <c r="O310" s="213">
        <v>178.19</v>
      </c>
      <c r="P310" s="213">
        <v>176.39</v>
      </c>
      <c r="Q310" s="213">
        <v>177.29</v>
      </c>
      <c r="R310" s="213">
        <v>22.65</v>
      </c>
      <c r="S310" s="213">
        <v>22.049999999999997</v>
      </c>
      <c r="T310" s="213">
        <v>22.349999999999998</v>
      </c>
      <c r="U310" s="213">
        <v>14.31</v>
      </c>
      <c r="V310" s="213">
        <v>13.71</v>
      </c>
      <c r="W310" s="213">
        <v>14.010000000000002</v>
      </c>
      <c r="X310" s="213">
        <v>14.77</v>
      </c>
      <c r="Y310" s="213">
        <v>13.969999999999999</v>
      </c>
      <c r="Z310" s="213">
        <v>14.37</v>
      </c>
      <c r="AA310" s="213">
        <v>102.85</v>
      </c>
      <c r="AB310" s="213">
        <v>98.85</v>
      </c>
      <c r="AC310" s="213">
        <v>100.85</v>
      </c>
      <c r="AD310" s="213">
        <v>93.62</v>
      </c>
      <c r="AE310" s="213">
        <v>89.62</v>
      </c>
      <c r="AF310" s="213">
        <v>91.62</v>
      </c>
      <c r="AG310" s="213">
        <v>20.2</v>
      </c>
      <c r="AH310" s="213">
        <v>19.34</v>
      </c>
      <c r="AI310" s="213">
        <v>19.77</v>
      </c>
      <c r="AJ310" s="213"/>
      <c r="AK310" s="213"/>
      <c r="AL310" s="213"/>
      <c r="AM310" s="213">
        <v>116.96</v>
      </c>
      <c r="AN310" s="213">
        <v>115.3</v>
      </c>
      <c r="AO310" s="213">
        <v>116.13</v>
      </c>
      <c r="AP310" s="213">
        <v>41.77</v>
      </c>
      <c r="AQ310" s="213">
        <v>40.17</v>
      </c>
      <c r="AR310" s="213">
        <v>40.97</v>
      </c>
      <c r="AS310" s="213">
        <v>42.58</v>
      </c>
      <c r="AT310" s="213">
        <v>41.22</v>
      </c>
      <c r="AU310" s="213">
        <v>41.9</v>
      </c>
      <c r="AV310" s="213">
        <v>21.84</v>
      </c>
      <c r="AW310" s="213">
        <v>21.24</v>
      </c>
      <c r="AX310" s="213">
        <v>21.54</v>
      </c>
      <c r="AY310" s="213">
        <v>4.63</v>
      </c>
      <c r="AZ310" s="213">
        <v>4.47</v>
      </c>
      <c r="BA310" s="213">
        <v>4.55</v>
      </c>
      <c r="BB310" s="213">
        <v>1.99</v>
      </c>
      <c r="BC310" s="213">
        <v>1.69</v>
      </c>
      <c r="BD310" s="213">
        <v>1.8399999999999999</v>
      </c>
      <c r="BE310" s="213">
        <v>0.71</v>
      </c>
      <c r="BF310" s="213">
        <v>0.41</v>
      </c>
      <c r="BG310" s="213">
        <v>0.55999999999999994</v>
      </c>
      <c r="BH310" s="213">
        <v>510.09</v>
      </c>
      <c r="BI310" s="213">
        <v>494.09</v>
      </c>
      <c r="BJ310" s="213">
        <v>502.09</v>
      </c>
      <c r="BK310" s="213">
        <v>42.91</v>
      </c>
      <c r="BL310" s="213">
        <v>41.55</v>
      </c>
      <c r="BM310" s="213">
        <v>42.23</v>
      </c>
      <c r="BN310" s="213">
        <v>1.1000000000000001</v>
      </c>
      <c r="BO310" s="213">
        <v>0.8600000000000001</v>
      </c>
      <c r="BP310" s="213">
        <v>0.98000000000000009</v>
      </c>
      <c r="BQ310" s="213">
        <v>8.61</v>
      </c>
      <c r="BR310" s="213">
        <v>6.6099999999999994</v>
      </c>
      <c r="BS310" s="213">
        <v>7.6099999999999994</v>
      </c>
      <c r="BT310" s="213">
        <v>11.36</v>
      </c>
      <c r="BU310" s="213">
        <v>10.959999999999999</v>
      </c>
      <c r="BV310" s="213">
        <v>11.16</v>
      </c>
      <c r="BW310" s="213">
        <v>2.8</v>
      </c>
      <c r="BX310" s="213">
        <v>2.5199999999999996</v>
      </c>
      <c r="BY310" s="213">
        <v>2.6599999999999997</v>
      </c>
      <c r="BZ310" s="213">
        <v>10.19</v>
      </c>
      <c r="CA310" s="213">
        <v>7.1899999999999995</v>
      </c>
      <c r="CB310" s="213">
        <v>8.69</v>
      </c>
      <c r="CC310" s="213">
        <v>6.7</v>
      </c>
      <c r="CD310" s="213">
        <v>6.46</v>
      </c>
      <c r="CE310" s="213">
        <v>6.58</v>
      </c>
      <c r="CF310" s="213">
        <v>1.84</v>
      </c>
      <c r="CG310" s="213">
        <v>1.34</v>
      </c>
      <c r="CH310" s="213">
        <v>1.59</v>
      </c>
      <c r="CI310" s="213">
        <v>0.43</v>
      </c>
      <c r="CJ310" s="213">
        <v>0.39</v>
      </c>
      <c r="CK310" s="213">
        <v>0.41000000000000003</v>
      </c>
      <c r="CL310" s="213">
        <v>39.520000000000003</v>
      </c>
      <c r="CM310" s="213">
        <v>37.120000000000005</v>
      </c>
      <c r="CN310" s="213">
        <v>38.320000000000007</v>
      </c>
      <c r="CO310" s="213">
        <v>6.99</v>
      </c>
      <c r="CP310" s="213">
        <v>1.9900000000000002</v>
      </c>
      <c r="CQ310" s="213">
        <v>4.49</v>
      </c>
      <c r="CR310" s="213"/>
      <c r="CS310" s="213"/>
    </row>
    <row r="311" spans="1:97">
      <c r="A311" s="424">
        <v>45597</v>
      </c>
      <c r="B311" s="211" t="s">
        <v>251</v>
      </c>
      <c r="C311" s="213">
        <v>153.05000000000001</v>
      </c>
      <c r="D311" s="213">
        <v>151.05000000000001</v>
      </c>
      <c r="E311" s="213">
        <v>152.05000000000001</v>
      </c>
      <c r="F311" s="213">
        <v>167.01</v>
      </c>
      <c r="G311" s="213">
        <v>164.01</v>
      </c>
      <c r="H311" s="213">
        <v>165.51</v>
      </c>
      <c r="I311" s="213">
        <v>110.73</v>
      </c>
      <c r="J311" s="213">
        <v>107.53</v>
      </c>
      <c r="K311" s="213">
        <v>109.13</v>
      </c>
      <c r="L311" s="213">
        <v>200.08</v>
      </c>
      <c r="M311" s="213">
        <v>192.08</v>
      </c>
      <c r="N311" s="213">
        <v>196.08</v>
      </c>
      <c r="O311" s="213">
        <v>176.97</v>
      </c>
      <c r="P311" s="213">
        <v>175.17</v>
      </c>
      <c r="Q311" s="213">
        <v>176.07</v>
      </c>
      <c r="R311" s="213">
        <v>22.49</v>
      </c>
      <c r="S311" s="213">
        <v>21.889999999999997</v>
      </c>
      <c r="T311" s="213">
        <v>22.189999999999998</v>
      </c>
      <c r="U311" s="213">
        <v>14.12</v>
      </c>
      <c r="V311" s="213">
        <v>13.52</v>
      </c>
      <c r="W311" s="213">
        <v>13.82</v>
      </c>
      <c r="X311" s="213">
        <v>14.69</v>
      </c>
      <c r="Y311" s="213">
        <v>13.889999999999999</v>
      </c>
      <c r="Z311" s="213">
        <v>14.29</v>
      </c>
      <c r="AA311" s="213">
        <v>101.91</v>
      </c>
      <c r="AB311" s="213">
        <v>97.91</v>
      </c>
      <c r="AC311" s="213">
        <v>99.91</v>
      </c>
      <c r="AD311" s="213">
        <v>92.77</v>
      </c>
      <c r="AE311" s="213">
        <v>88.77</v>
      </c>
      <c r="AF311" s="213">
        <v>90.77</v>
      </c>
      <c r="AG311" s="213">
        <v>19.989999999999998</v>
      </c>
      <c r="AH311" s="213">
        <v>19.13</v>
      </c>
      <c r="AI311" s="213">
        <v>19.559999999999999</v>
      </c>
      <c r="AJ311" s="213"/>
      <c r="AK311" s="213"/>
      <c r="AL311" s="213"/>
      <c r="AM311" s="213">
        <v>115.99</v>
      </c>
      <c r="AN311" s="213">
        <v>114.33</v>
      </c>
      <c r="AO311" s="213">
        <v>115.16</v>
      </c>
      <c r="AP311" s="213">
        <v>41.37</v>
      </c>
      <c r="AQ311" s="213">
        <v>39.769999999999996</v>
      </c>
      <c r="AR311" s="213">
        <v>40.569999999999993</v>
      </c>
      <c r="AS311" s="213">
        <v>42.14</v>
      </c>
      <c r="AT311" s="213">
        <v>40.78</v>
      </c>
      <c r="AU311" s="213">
        <v>41.46</v>
      </c>
      <c r="AV311" s="213">
        <v>21.64</v>
      </c>
      <c r="AW311" s="213">
        <v>21.04</v>
      </c>
      <c r="AX311" s="213">
        <v>21.34</v>
      </c>
      <c r="AY311" s="213">
        <v>4.58</v>
      </c>
      <c r="AZ311" s="213">
        <v>4.42</v>
      </c>
      <c r="BA311" s="213">
        <v>4.5</v>
      </c>
      <c r="BB311" s="213">
        <v>1.97</v>
      </c>
      <c r="BC311" s="213">
        <v>1.67</v>
      </c>
      <c r="BD311" s="213">
        <v>1.8199999999999998</v>
      </c>
      <c r="BE311" s="213">
        <v>0.7</v>
      </c>
      <c r="BF311" s="213">
        <v>0.39999999999999997</v>
      </c>
      <c r="BG311" s="213">
        <v>0.54999999999999993</v>
      </c>
      <c r="BH311" s="213">
        <v>505.06</v>
      </c>
      <c r="BI311" s="213">
        <v>489.06</v>
      </c>
      <c r="BJ311" s="213">
        <v>497.06</v>
      </c>
      <c r="BK311" s="213">
        <v>42.46</v>
      </c>
      <c r="BL311" s="213">
        <v>41.1</v>
      </c>
      <c r="BM311" s="213">
        <v>41.78</v>
      </c>
      <c r="BN311" s="213">
        <v>1.0900000000000001</v>
      </c>
      <c r="BO311" s="213">
        <v>0.85000000000000009</v>
      </c>
      <c r="BP311" s="213">
        <v>0.97000000000000008</v>
      </c>
      <c r="BQ311" s="213">
        <v>8.58</v>
      </c>
      <c r="BR311" s="213">
        <v>6.58</v>
      </c>
      <c r="BS311" s="213">
        <v>7.58</v>
      </c>
      <c r="BT311" s="213">
        <v>11.27</v>
      </c>
      <c r="BU311" s="213">
        <v>10.87</v>
      </c>
      <c r="BV311" s="213">
        <v>11.07</v>
      </c>
      <c r="BW311" s="213">
        <v>2.78</v>
      </c>
      <c r="BX311" s="213">
        <v>2.5</v>
      </c>
      <c r="BY311" s="213">
        <v>2.6399999999999997</v>
      </c>
      <c r="BZ311" s="213">
        <v>10.130000000000001</v>
      </c>
      <c r="CA311" s="213">
        <v>7.1300000000000008</v>
      </c>
      <c r="CB311" s="213">
        <v>8.6300000000000008</v>
      </c>
      <c r="CC311" s="213">
        <v>6.66</v>
      </c>
      <c r="CD311" s="213">
        <v>6.42</v>
      </c>
      <c r="CE311" s="213">
        <v>6.54</v>
      </c>
      <c r="CF311" s="213">
        <v>1.81</v>
      </c>
      <c r="CG311" s="213">
        <v>1.31</v>
      </c>
      <c r="CH311" s="213">
        <v>1.56</v>
      </c>
      <c r="CI311" s="213">
        <v>0.43</v>
      </c>
      <c r="CJ311" s="213">
        <v>0.39</v>
      </c>
      <c r="CK311" s="213">
        <v>0.41000000000000003</v>
      </c>
      <c r="CL311" s="213">
        <v>39.22</v>
      </c>
      <c r="CM311" s="213">
        <v>36.82</v>
      </c>
      <c r="CN311" s="213">
        <v>38.019999999999996</v>
      </c>
      <c r="CO311" s="213">
        <v>6.95</v>
      </c>
      <c r="CP311" s="213">
        <v>1.9500000000000002</v>
      </c>
      <c r="CQ311" s="213">
        <v>4.45</v>
      </c>
      <c r="CR311" s="213"/>
      <c r="CS311" s="213"/>
    </row>
    <row r="312" spans="1:97">
      <c r="A312" s="424">
        <v>45598</v>
      </c>
      <c r="B312" s="211" t="s">
        <v>252</v>
      </c>
      <c r="C312" s="213"/>
      <c r="D312" s="213"/>
      <c r="E312" s="213"/>
      <c r="F312" s="213"/>
      <c r="G312" s="213"/>
      <c r="H312" s="213"/>
      <c r="I312" s="213"/>
      <c r="J312" s="213"/>
      <c r="K312" s="213"/>
      <c r="L312" s="213"/>
      <c r="M312" s="213"/>
      <c r="N312" s="213"/>
      <c r="O312" s="213"/>
      <c r="P312" s="213"/>
      <c r="Q312" s="213"/>
      <c r="R312" s="213"/>
      <c r="S312" s="213"/>
      <c r="T312" s="213"/>
      <c r="U312" s="213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13"/>
      <c r="AF312" s="213"/>
      <c r="AG312" s="213"/>
      <c r="AH312" s="213"/>
      <c r="AI312" s="213"/>
      <c r="AJ312" s="213"/>
      <c r="AK312" s="213"/>
      <c r="AL312" s="213"/>
      <c r="AM312" s="213"/>
      <c r="AN312" s="213"/>
      <c r="AO312" s="213"/>
      <c r="AP312" s="213"/>
      <c r="AQ312" s="213"/>
      <c r="AR312" s="213"/>
      <c r="AS312" s="213"/>
      <c r="AT312" s="213"/>
      <c r="AU312" s="213"/>
      <c r="AV312" s="213"/>
      <c r="AW312" s="213"/>
      <c r="AX312" s="213"/>
      <c r="AY312" s="213"/>
      <c r="AZ312" s="213"/>
      <c r="BA312" s="213"/>
      <c r="BB312" s="213"/>
      <c r="BC312" s="213"/>
      <c r="BD312" s="213"/>
      <c r="BE312" s="213"/>
      <c r="BF312" s="213"/>
      <c r="BG312" s="213"/>
      <c r="BH312" s="213"/>
      <c r="BI312" s="213"/>
      <c r="BJ312" s="213"/>
      <c r="BK312" s="213"/>
      <c r="BL312" s="213"/>
      <c r="BM312" s="213"/>
      <c r="BN312" s="213"/>
      <c r="BO312" s="213"/>
      <c r="BP312" s="213"/>
      <c r="BQ312" s="213"/>
      <c r="BR312" s="213"/>
      <c r="BS312" s="213"/>
      <c r="BT312" s="213"/>
      <c r="BU312" s="213"/>
      <c r="BV312" s="213"/>
      <c r="BW312" s="213"/>
      <c r="BX312" s="213"/>
      <c r="BY312" s="213"/>
      <c r="BZ312" s="213"/>
      <c r="CA312" s="213"/>
      <c r="CB312" s="213"/>
      <c r="CC312" s="213"/>
      <c r="CD312" s="213"/>
      <c r="CE312" s="213"/>
      <c r="CF312" s="213"/>
      <c r="CG312" s="213"/>
      <c r="CH312" s="213"/>
      <c r="CI312" s="213"/>
      <c r="CJ312" s="213"/>
      <c r="CK312" s="213"/>
      <c r="CL312" s="213"/>
      <c r="CM312" s="213"/>
      <c r="CN312" s="213"/>
      <c r="CO312" s="213"/>
      <c r="CP312" s="213"/>
      <c r="CQ312" s="213"/>
      <c r="CR312" s="213"/>
      <c r="CS312" s="213"/>
    </row>
    <row r="313" spans="1:97">
      <c r="A313" s="424">
        <v>45599</v>
      </c>
      <c r="B313" s="211" t="s">
        <v>253</v>
      </c>
      <c r="C313" s="213"/>
      <c r="D313" s="213"/>
      <c r="E313" s="213"/>
      <c r="F313" s="213"/>
      <c r="G313" s="213"/>
      <c r="H313" s="213"/>
      <c r="I313" s="213"/>
      <c r="J313" s="213"/>
      <c r="K313" s="213"/>
      <c r="L313" s="213"/>
      <c r="M313" s="213"/>
      <c r="N313" s="213"/>
      <c r="O313" s="213"/>
      <c r="P313" s="213"/>
      <c r="Q313" s="213"/>
      <c r="R313" s="213"/>
      <c r="S313" s="213"/>
      <c r="T313" s="213"/>
      <c r="U313" s="213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13"/>
      <c r="AF313" s="213"/>
      <c r="AG313" s="213"/>
      <c r="AH313" s="213"/>
      <c r="AI313" s="213"/>
      <c r="AJ313" s="213"/>
      <c r="AK313" s="213"/>
      <c r="AL313" s="213"/>
      <c r="AM313" s="213"/>
      <c r="AN313" s="213"/>
      <c r="AO313" s="213"/>
      <c r="AP313" s="213"/>
      <c r="AQ313" s="213"/>
      <c r="AR313" s="213"/>
      <c r="AS313" s="213"/>
      <c r="AT313" s="213"/>
      <c r="AU313" s="213"/>
      <c r="AV313" s="213"/>
      <c r="AW313" s="213"/>
      <c r="AX313" s="213"/>
      <c r="AY313" s="213"/>
      <c r="AZ313" s="213"/>
      <c r="BA313" s="213"/>
      <c r="BB313" s="213"/>
      <c r="BC313" s="213"/>
      <c r="BD313" s="213"/>
      <c r="BE313" s="213"/>
      <c r="BF313" s="213"/>
      <c r="BG313" s="213"/>
      <c r="BH313" s="213"/>
      <c r="BI313" s="213"/>
      <c r="BJ313" s="213"/>
      <c r="BK313" s="213"/>
      <c r="BL313" s="213"/>
      <c r="BM313" s="213"/>
      <c r="BN313" s="213"/>
      <c r="BO313" s="213"/>
      <c r="BP313" s="213"/>
      <c r="BQ313" s="213"/>
      <c r="BR313" s="213"/>
      <c r="BS313" s="213"/>
      <c r="BT313" s="213"/>
      <c r="BU313" s="213"/>
      <c r="BV313" s="213"/>
      <c r="BW313" s="213"/>
      <c r="BX313" s="213"/>
      <c r="BY313" s="213"/>
      <c r="BZ313" s="213"/>
      <c r="CA313" s="213"/>
      <c r="CB313" s="213"/>
      <c r="CC313" s="213"/>
      <c r="CD313" s="213"/>
      <c r="CE313" s="213"/>
      <c r="CF313" s="213"/>
      <c r="CG313" s="213"/>
      <c r="CH313" s="213"/>
      <c r="CI313" s="213"/>
      <c r="CJ313" s="213"/>
      <c r="CK313" s="213"/>
      <c r="CL313" s="213"/>
      <c r="CM313" s="213"/>
      <c r="CN313" s="213"/>
      <c r="CO313" s="213"/>
      <c r="CP313" s="213"/>
      <c r="CQ313" s="213"/>
      <c r="CR313" s="213"/>
      <c r="CS313" s="213"/>
    </row>
    <row r="314" spans="1:97">
      <c r="A314" s="424">
        <v>45600</v>
      </c>
      <c r="B314" s="211" t="s">
        <v>247</v>
      </c>
      <c r="C314" s="213"/>
      <c r="D314" s="213"/>
      <c r="E314" s="213"/>
      <c r="F314" s="213"/>
      <c r="G314" s="213"/>
      <c r="H314" s="213"/>
      <c r="I314" s="213"/>
      <c r="J314" s="213"/>
      <c r="K314" s="213"/>
      <c r="L314" s="213"/>
      <c r="M314" s="213"/>
      <c r="N314" s="213"/>
      <c r="O314" s="213"/>
      <c r="P314" s="213"/>
      <c r="Q314" s="213"/>
      <c r="R314" s="213"/>
      <c r="S314" s="213"/>
      <c r="T314" s="213"/>
      <c r="U314" s="213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13"/>
      <c r="AF314" s="213"/>
      <c r="AG314" s="213"/>
      <c r="AH314" s="213"/>
      <c r="AI314" s="213"/>
      <c r="AJ314" s="213"/>
      <c r="AK314" s="213"/>
      <c r="AL314" s="213"/>
      <c r="AM314" s="213"/>
      <c r="AN314" s="213"/>
      <c r="AO314" s="213"/>
      <c r="AP314" s="213"/>
      <c r="AQ314" s="213"/>
      <c r="AR314" s="213"/>
      <c r="AS314" s="213"/>
      <c r="AT314" s="213"/>
      <c r="AU314" s="213"/>
      <c r="AV314" s="213"/>
      <c r="AW314" s="213"/>
      <c r="AX314" s="213"/>
      <c r="AY314" s="213"/>
      <c r="AZ314" s="213"/>
      <c r="BA314" s="213"/>
      <c r="BB314" s="213"/>
      <c r="BC314" s="213"/>
      <c r="BD314" s="213"/>
      <c r="BE314" s="213"/>
      <c r="BF314" s="213"/>
      <c r="BG314" s="213"/>
      <c r="BH314" s="213"/>
      <c r="BI314" s="213"/>
      <c r="BJ314" s="213"/>
      <c r="BK314" s="213"/>
      <c r="BL314" s="213"/>
      <c r="BM314" s="213"/>
      <c r="BN314" s="213"/>
      <c r="BO314" s="213"/>
      <c r="BP314" s="213"/>
      <c r="BQ314" s="213"/>
      <c r="BR314" s="213"/>
      <c r="BS314" s="213"/>
      <c r="BT314" s="213"/>
      <c r="BU314" s="213"/>
      <c r="BV314" s="213"/>
      <c r="BW314" s="213"/>
      <c r="BX314" s="213"/>
      <c r="BY314" s="213"/>
      <c r="BZ314" s="213"/>
      <c r="CA314" s="213"/>
      <c r="CB314" s="213"/>
      <c r="CC314" s="213"/>
      <c r="CD314" s="213"/>
      <c r="CE314" s="213"/>
      <c r="CF314" s="213"/>
      <c r="CG314" s="213"/>
      <c r="CH314" s="213"/>
      <c r="CI314" s="213"/>
      <c r="CJ314" s="213"/>
      <c r="CK314" s="213"/>
      <c r="CL314" s="213"/>
      <c r="CM314" s="213"/>
      <c r="CN314" s="213"/>
      <c r="CO314" s="213"/>
      <c r="CP314" s="213"/>
      <c r="CQ314" s="213"/>
      <c r="CR314" s="213"/>
      <c r="CS314" s="213"/>
    </row>
    <row r="315" spans="1:97">
      <c r="A315" s="424">
        <v>45601</v>
      </c>
      <c r="B315" s="211" t="s">
        <v>248</v>
      </c>
      <c r="C315" s="213">
        <v>153.43</v>
      </c>
      <c r="D315" s="213">
        <v>151.43</v>
      </c>
      <c r="E315" s="213">
        <v>152.43</v>
      </c>
      <c r="F315" s="213">
        <v>167.28</v>
      </c>
      <c r="G315" s="213">
        <v>164.28</v>
      </c>
      <c r="H315" s="213">
        <v>165.78</v>
      </c>
      <c r="I315" s="213">
        <v>111.28</v>
      </c>
      <c r="J315" s="213">
        <v>108.08</v>
      </c>
      <c r="K315" s="213">
        <v>109.68</v>
      </c>
      <c r="L315" s="213">
        <v>201.52</v>
      </c>
      <c r="M315" s="213">
        <v>193.52</v>
      </c>
      <c r="N315" s="213">
        <v>197.52</v>
      </c>
      <c r="O315" s="213">
        <v>177.32</v>
      </c>
      <c r="P315" s="213">
        <v>175.51999999999998</v>
      </c>
      <c r="Q315" s="213">
        <v>176.42</v>
      </c>
      <c r="R315" s="213">
        <v>22.53</v>
      </c>
      <c r="S315" s="213">
        <v>21.93</v>
      </c>
      <c r="T315" s="213">
        <v>22.23</v>
      </c>
      <c r="U315" s="213">
        <v>14.16</v>
      </c>
      <c r="V315" s="213">
        <v>13.56</v>
      </c>
      <c r="W315" s="213">
        <v>13.86</v>
      </c>
      <c r="X315" s="213">
        <v>14.61</v>
      </c>
      <c r="Y315" s="213">
        <v>13.809999999999999</v>
      </c>
      <c r="Z315" s="213">
        <v>14.209999999999999</v>
      </c>
      <c r="AA315" s="213">
        <v>102.36</v>
      </c>
      <c r="AB315" s="213">
        <v>98.36</v>
      </c>
      <c r="AC315" s="213">
        <v>100.36</v>
      </c>
      <c r="AD315" s="213">
        <v>93</v>
      </c>
      <c r="AE315" s="213">
        <v>89</v>
      </c>
      <c r="AF315" s="213">
        <v>91</v>
      </c>
      <c r="AG315" s="213">
        <v>20.04</v>
      </c>
      <c r="AH315" s="213">
        <v>19.18</v>
      </c>
      <c r="AI315" s="213">
        <v>19.61</v>
      </c>
      <c r="AJ315" s="213"/>
      <c r="AK315" s="213"/>
      <c r="AL315" s="213"/>
      <c r="AM315" s="213">
        <v>116.34</v>
      </c>
      <c r="AN315" s="213">
        <v>114.68</v>
      </c>
      <c r="AO315" s="213">
        <v>115.51</v>
      </c>
      <c r="AP315" s="213">
        <v>41.37</v>
      </c>
      <c r="AQ315" s="213">
        <v>39.769999999999996</v>
      </c>
      <c r="AR315" s="213">
        <v>40.569999999999993</v>
      </c>
      <c r="AS315" s="213">
        <v>42.25</v>
      </c>
      <c r="AT315" s="213">
        <v>40.89</v>
      </c>
      <c r="AU315" s="213">
        <v>41.57</v>
      </c>
      <c r="AV315" s="213">
        <v>21.72</v>
      </c>
      <c r="AW315" s="213">
        <v>21.119999999999997</v>
      </c>
      <c r="AX315" s="213">
        <v>21.419999999999998</v>
      </c>
      <c r="AY315" s="213">
        <v>4.59</v>
      </c>
      <c r="AZ315" s="213">
        <v>4.43</v>
      </c>
      <c r="BA315" s="213">
        <v>4.51</v>
      </c>
      <c r="BB315" s="213">
        <v>1.97</v>
      </c>
      <c r="BC315" s="213">
        <v>1.67</v>
      </c>
      <c r="BD315" s="213">
        <v>1.8199999999999998</v>
      </c>
      <c r="BE315" s="213">
        <v>0.7</v>
      </c>
      <c r="BF315" s="213">
        <v>0.39999999999999997</v>
      </c>
      <c r="BG315" s="213">
        <v>0.54999999999999993</v>
      </c>
      <c r="BH315" s="213">
        <v>506.14</v>
      </c>
      <c r="BI315" s="213">
        <v>490.14</v>
      </c>
      <c r="BJ315" s="213">
        <v>498.14</v>
      </c>
      <c r="BK315" s="213">
        <v>42.57</v>
      </c>
      <c r="BL315" s="213">
        <v>41.21</v>
      </c>
      <c r="BM315" s="213">
        <v>41.89</v>
      </c>
      <c r="BN315" s="213">
        <v>1.0900000000000001</v>
      </c>
      <c r="BO315" s="213">
        <v>0.85000000000000009</v>
      </c>
      <c r="BP315" s="213">
        <v>0.97000000000000008</v>
      </c>
      <c r="BQ315" s="213">
        <v>8.59</v>
      </c>
      <c r="BR315" s="213">
        <v>6.59</v>
      </c>
      <c r="BS315" s="213">
        <v>7.59</v>
      </c>
      <c r="BT315" s="213">
        <v>11.28</v>
      </c>
      <c r="BU315" s="213">
        <v>10.879999999999999</v>
      </c>
      <c r="BV315" s="213">
        <v>11.079999999999998</v>
      </c>
      <c r="BW315" s="213">
        <v>2.77</v>
      </c>
      <c r="BX315" s="213">
        <v>2.4900000000000002</v>
      </c>
      <c r="BY315" s="213">
        <v>2.63</v>
      </c>
      <c r="BZ315" s="213">
        <v>10.199999999999999</v>
      </c>
      <c r="CA315" s="213">
        <v>7.1999999999999993</v>
      </c>
      <c r="CB315" s="213">
        <v>8.6999999999999993</v>
      </c>
      <c r="CC315" s="213">
        <v>6.67</v>
      </c>
      <c r="CD315" s="213">
        <v>6.43</v>
      </c>
      <c r="CE315" s="213">
        <v>6.55</v>
      </c>
      <c r="CF315" s="213">
        <v>1.8</v>
      </c>
      <c r="CG315" s="213">
        <v>1.3</v>
      </c>
      <c r="CH315" s="213">
        <v>1.55</v>
      </c>
      <c r="CI315" s="213">
        <v>0.43</v>
      </c>
      <c r="CJ315" s="213">
        <v>0.39</v>
      </c>
      <c r="CK315" s="213">
        <v>0.41000000000000003</v>
      </c>
      <c r="CL315" s="213">
        <v>39.28</v>
      </c>
      <c r="CM315" s="213">
        <v>36.880000000000003</v>
      </c>
      <c r="CN315" s="213">
        <v>38.08</v>
      </c>
      <c r="CO315" s="213">
        <v>6.94</v>
      </c>
      <c r="CP315" s="213">
        <v>1.9400000000000004</v>
      </c>
      <c r="CQ315" s="213">
        <v>4.4400000000000004</v>
      </c>
      <c r="CR315" s="213"/>
      <c r="CS315" s="213"/>
    </row>
    <row r="316" spans="1:97">
      <c r="A316" s="424">
        <v>45602</v>
      </c>
      <c r="B316" s="211" t="s">
        <v>249</v>
      </c>
      <c r="C316" s="213">
        <v>153.85</v>
      </c>
      <c r="D316" s="213">
        <v>151.85</v>
      </c>
      <c r="E316" s="213">
        <v>152.85</v>
      </c>
      <c r="F316" s="213">
        <v>167.37</v>
      </c>
      <c r="G316" s="213">
        <v>164.37</v>
      </c>
      <c r="H316" s="213">
        <v>165.87</v>
      </c>
      <c r="I316" s="213">
        <v>111.72</v>
      </c>
      <c r="J316" s="213">
        <v>108.52</v>
      </c>
      <c r="K316" s="213">
        <v>110.12</v>
      </c>
      <c r="L316" s="213">
        <v>202.23</v>
      </c>
      <c r="M316" s="213">
        <v>194.23</v>
      </c>
      <c r="N316" s="213">
        <v>198.23</v>
      </c>
      <c r="O316" s="213">
        <v>177.04</v>
      </c>
      <c r="P316" s="213">
        <v>175.23999999999998</v>
      </c>
      <c r="Q316" s="213">
        <v>176.14</v>
      </c>
      <c r="R316" s="213">
        <v>22.54</v>
      </c>
      <c r="S316" s="213">
        <v>21.939999999999998</v>
      </c>
      <c r="T316" s="213">
        <v>22.24</v>
      </c>
      <c r="U316" s="213">
        <v>14.17</v>
      </c>
      <c r="V316" s="213">
        <v>13.57</v>
      </c>
      <c r="W316" s="213">
        <v>13.870000000000001</v>
      </c>
      <c r="X316" s="213">
        <v>14.59</v>
      </c>
      <c r="Y316" s="213">
        <v>13.79</v>
      </c>
      <c r="Z316" s="213">
        <v>14.19</v>
      </c>
      <c r="AA316" s="213">
        <v>102.87</v>
      </c>
      <c r="AB316" s="213">
        <v>98.87</v>
      </c>
      <c r="AC316" s="213">
        <v>100.87</v>
      </c>
      <c r="AD316" s="213">
        <v>93.28</v>
      </c>
      <c r="AE316" s="213">
        <v>89.28</v>
      </c>
      <c r="AF316" s="213">
        <v>91.28</v>
      </c>
      <c r="AG316" s="213">
        <v>20.09</v>
      </c>
      <c r="AH316" s="213">
        <v>19.23</v>
      </c>
      <c r="AI316" s="213">
        <v>19.66</v>
      </c>
      <c r="AJ316" s="213"/>
      <c r="AK316" s="213"/>
      <c r="AL316" s="213"/>
      <c r="AM316" s="213">
        <v>116.56</v>
      </c>
      <c r="AN316" s="213">
        <v>114.9</v>
      </c>
      <c r="AO316" s="213">
        <v>115.73</v>
      </c>
      <c r="AP316" s="213">
        <v>41.56</v>
      </c>
      <c r="AQ316" s="213">
        <v>39.96</v>
      </c>
      <c r="AR316" s="213">
        <v>40.760000000000005</v>
      </c>
      <c r="AS316" s="213">
        <v>42.23</v>
      </c>
      <c r="AT316" s="213">
        <v>40.869999999999997</v>
      </c>
      <c r="AU316" s="213">
        <v>41.55</v>
      </c>
      <c r="AV316" s="213">
        <v>21.72</v>
      </c>
      <c r="AW316" s="213">
        <v>21.119999999999997</v>
      </c>
      <c r="AX316" s="213">
        <v>21.419999999999998</v>
      </c>
      <c r="AY316" s="213">
        <v>4.6100000000000003</v>
      </c>
      <c r="AZ316" s="213">
        <v>4.45</v>
      </c>
      <c r="BA316" s="213">
        <v>4.53</v>
      </c>
      <c r="BB316" s="213">
        <v>1.98</v>
      </c>
      <c r="BC316" s="213">
        <v>1.68</v>
      </c>
      <c r="BD316" s="213">
        <v>1.83</v>
      </c>
      <c r="BE316" s="213">
        <v>0.7</v>
      </c>
      <c r="BF316" s="213">
        <v>0.39999999999999997</v>
      </c>
      <c r="BG316" s="213">
        <v>0.54999999999999993</v>
      </c>
      <c r="BH316" s="213">
        <v>507.51</v>
      </c>
      <c r="BI316" s="213">
        <v>491.51</v>
      </c>
      <c r="BJ316" s="213">
        <v>499.51</v>
      </c>
      <c r="BK316" s="213">
        <v>42.69</v>
      </c>
      <c r="BL316" s="213">
        <v>41.33</v>
      </c>
      <c r="BM316" s="213">
        <v>42.01</v>
      </c>
      <c r="BN316" s="213">
        <v>1.0900000000000001</v>
      </c>
      <c r="BO316" s="213">
        <v>0.85000000000000009</v>
      </c>
      <c r="BP316" s="213">
        <v>0.97000000000000008</v>
      </c>
      <c r="BQ316" s="213">
        <v>8.5299999999999994</v>
      </c>
      <c r="BR316" s="213">
        <v>6.5299999999999994</v>
      </c>
      <c r="BS316" s="213">
        <v>7.5299999999999994</v>
      </c>
      <c r="BT316" s="213">
        <v>11.24</v>
      </c>
      <c r="BU316" s="213">
        <v>10.84</v>
      </c>
      <c r="BV316" s="213">
        <v>11.04</v>
      </c>
      <c r="BW316" s="213">
        <v>2.78</v>
      </c>
      <c r="BX316" s="213">
        <v>2.5</v>
      </c>
      <c r="BY316" s="213">
        <v>2.6399999999999997</v>
      </c>
      <c r="BZ316" s="213">
        <v>10.210000000000001</v>
      </c>
      <c r="CA316" s="213">
        <v>7.2100000000000009</v>
      </c>
      <c r="CB316" s="213">
        <v>8.7100000000000009</v>
      </c>
      <c r="CC316" s="213">
        <v>6.68</v>
      </c>
      <c r="CD316" s="213">
        <v>6.4399999999999995</v>
      </c>
      <c r="CE316" s="213">
        <v>6.56</v>
      </c>
      <c r="CF316" s="213">
        <v>1.81</v>
      </c>
      <c r="CG316" s="213">
        <v>1.31</v>
      </c>
      <c r="CH316" s="213">
        <v>1.56</v>
      </c>
      <c r="CI316" s="213">
        <v>0.43</v>
      </c>
      <c r="CJ316" s="213">
        <v>0.39</v>
      </c>
      <c r="CK316" s="213">
        <v>0.41000000000000003</v>
      </c>
      <c r="CL316" s="213">
        <v>39.35</v>
      </c>
      <c r="CM316" s="213">
        <v>36.950000000000003</v>
      </c>
      <c r="CN316" s="213">
        <v>38.150000000000006</v>
      </c>
      <c r="CO316" s="213">
        <v>6.97</v>
      </c>
      <c r="CP316" s="213">
        <v>1.9699999999999998</v>
      </c>
      <c r="CQ316" s="213">
        <v>4.47</v>
      </c>
      <c r="CR316" s="213"/>
      <c r="CS316" s="213"/>
    </row>
    <row r="317" spans="1:97">
      <c r="A317" s="424">
        <v>45603</v>
      </c>
      <c r="B317" s="211" t="s">
        <v>250</v>
      </c>
      <c r="C317" s="213">
        <v>155.63</v>
      </c>
      <c r="D317" s="213">
        <v>153.63</v>
      </c>
      <c r="E317" s="213">
        <v>154.63</v>
      </c>
      <c r="F317" s="213">
        <v>167.26</v>
      </c>
      <c r="G317" s="213">
        <v>164.26</v>
      </c>
      <c r="H317" s="213">
        <v>165.76</v>
      </c>
      <c r="I317" s="213">
        <v>112.54</v>
      </c>
      <c r="J317" s="213">
        <v>109.34</v>
      </c>
      <c r="K317" s="213">
        <v>110.94</v>
      </c>
      <c r="L317" s="213">
        <v>203.27</v>
      </c>
      <c r="M317" s="213">
        <v>195.27</v>
      </c>
      <c r="N317" s="213">
        <v>199.27</v>
      </c>
      <c r="O317" s="213">
        <v>177.12</v>
      </c>
      <c r="P317" s="213">
        <v>175.32</v>
      </c>
      <c r="Q317" s="213">
        <v>176.22</v>
      </c>
      <c r="R317" s="213">
        <v>22.53</v>
      </c>
      <c r="S317" s="213">
        <v>21.93</v>
      </c>
      <c r="T317" s="213">
        <v>22.23</v>
      </c>
      <c r="U317" s="213">
        <v>14.24</v>
      </c>
      <c r="V317" s="213">
        <v>13.64</v>
      </c>
      <c r="W317" s="213">
        <v>13.940000000000001</v>
      </c>
      <c r="X317" s="213">
        <v>14.64</v>
      </c>
      <c r="Y317" s="213">
        <v>13.84</v>
      </c>
      <c r="Z317" s="213">
        <v>14.24</v>
      </c>
      <c r="AA317" s="213">
        <v>103.56</v>
      </c>
      <c r="AB317" s="213">
        <v>99.56</v>
      </c>
      <c r="AC317" s="213">
        <v>101.56</v>
      </c>
      <c r="AD317" s="213">
        <v>93.76</v>
      </c>
      <c r="AE317" s="213">
        <v>89.76</v>
      </c>
      <c r="AF317" s="213">
        <v>91.76</v>
      </c>
      <c r="AG317" s="213">
        <v>20.32</v>
      </c>
      <c r="AH317" s="213">
        <v>19.46</v>
      </c>
      <c r="AI317" s="213">
        <v>19.89</v>
      </c>
      <c r="AJ317" s="213"/>
      <c r="AK317" s="213"/>
      <c r="AL317" s="213"/>
      <c r="AM317" s="213">
        <v>116.76</v>
      </c>
      <c r="AN317" s="213">
        <v>115.10000000000001</v>
      </c>
      <c r="AO317" s="213">
        <v>115.93</v>
      </c>
      <c r="AP317" s="213">
        <v>41.9</v>
      </c>
      <c r="AQ317" s="213">
        <v>40.299999999999997</v>
      </c>
      <c r="AR317" s="213">
        <v>41.099999999999994</v>
      </c>
      <c r="AS317" s="213">
        <v>42.74</v>
      </c>
      <c r="AT317" s="213">
        <v>41.38</v>
      </c>
      <c r="AU317" s="213">
        <v>42.06</v>
      </c>
      <c r="AV317" s="213">
        <v>21.77</v>
      </c>
      <c r="AW317" s="213">
        <v>21.169999999999998</v>
      </c>
      <c r="AX317" s="213">
        <v>21.47</v>
      </c>
      <c r="AY317" s="213">
        <v>4.58</v>
      </c>
      <c r="AZ317" s="213">
        <v>4.42</v>
      </c>
      <c r="BA317" s="213">
        <v>4.5</v>
      </c>
      <c r="BB317" s="213">
        <v>2</v>
      </c>
      <c r="BC317" s="213">
        <v>1.7</v>
      </c>
      <c r="BD317" s="213">
        <v>1.85</v>
      </c>
      <c r="BE317" s="213">
        <v>0.71</v>
      </c>
      <c r="BF317" s="213">
        <v>0.41</v>
      </c>
      <c r="BG317" s="213">
        <v>0.55999999999999994</v>
      </c>
      <c r="BH317" s="213">
        <v>510.7</v>
      </c>
      <c r="BI317" s="213">
        <v>494.7</v>
      </c>
      <c r="BJ317" s="213">
        <v>502.7</v>
      </c>
      <c r="BK317" s="213">
        <v>43.17</v>
      </c>
      <c r="BL317" s="213">
        <v>41.81</v>
      </c>
      <c r="BM317" s="213">
        <v>42.49</v>
      </c>
      <c r="BN317" s="213">
        <v>1.1000000000000001</v>
      </c>
      <c r="BO317" s="213">
        <v>0.8600000000000001</v>
      </c>
      <c r="BP317" s="213">
        <v>0.98000000000000009</v>
      </c>
      <c r="BQ317" s="213">
        <v>8.67</v>
      </c>
      <c r="BR317" s="213">
        <v>6.67</v>
      </c>
      <c r="BS317" s="213">
        <v>7.67</v>
      </c>
      <c r="BT317" s="213">
        <v>11.24</v>
      </c>
      <c r="BU317" s="213">
        <v>10.84</v>
      </c>
      <c r="BV317" s="213">
        <v>11.04</v>
      </c>
      <c r="BW317" s="213">
        <v>2.79</v>
      </c>
      <c r="BX317" s="213">
        <v>2.5099999999999998</v>
      </c>
      <c r="BY317" s="213">
        <v>2.65</v>
      </c>
      <c r="BZ317" s="213">
        <v>10.26</v>
      </c>
      <c r="CA317" s="213">
        <v>7.26</v>
      </c>
      <c r="CB317" s="213">
        <v>8.76</v>
      </c>
      <c r="CC317" s="213">
        <v>6.67</v>
      </c>
      <c r="CD317" s="213">
        <v>6.43</v>
      </c>
      <c r="CE317" s="213">
        <v>6.55</v>
      </c>
      <c r="CF317" s="213">
        <v>1.84</v>
      </c>
      <c r="CG317" s="213">
        <v>1.34</v>
      </c>
      <c r="CH317" s="213">
        <v>1.59</v>
      </c>
      <c r="CI317" s="213">
        <v>0.42</v>
      </c>
      <c r="CJ317" s="213">
        <v>0.38</v>
      </c>
      <c r="CK317" s="213">
        <v>0.4</v>
      </c>
      <c r="CL317" s="213">
        <v>39.33</v>
      </c>
      <c r="CM317" s="213">
        <v>36.93</v>
      </c>
      <c r="CN317" s="213">
        <v>38.129999999999995</v>
      </c>
      <c r="CO317" s="213">
        <v>7.03</v>
      </c>
      <c r="CP317" s="213">
        <v>2.0300000000000002</v>
      </c>
      <c r="CQ317" s="213">
        <v>4.53</v>
      </c>
      <c r="CR317" s="213"/>
      <c r="CS317" s="213"/>
    </row>
    <row r="318" spans="1:97">
      <c r="A318" s="424">
        <v>45604</v>
      </c>
      <c r="B318" s="211" t="s">
        <v>251</v>
      </c>
      <c r="C318" s="213">
        <v>154.13</v>
      </c>
      <c r="D318" s="213">
        <v>152.13</v>
      </c>
      <c r="E318" s="213">
        <v>153.13</v>
      </c>
      <c r="F318" s="213">
        <v>166.76</v>
      </c>
      <c r="G318" s="213">
        <v>163.76</v>
      </c>
      <c r="H318" s="213">
        <v>165.26</v>
      </c>
      <c r="I318" s="213">
        <v>111.96</v>
      </c>
      <c r="J318" s="213">
        <v>108.75999999999999</v>
      </c>
      <c r="K318" s="213">
        <v>110.35999999999999</v>
      </c>
      <c r="L318" s="213">
        <v>202.76</v>
      </c>
      <c r="M318" s="213">
        <v>194.76</v>
      </c>
      <c r="N318" s="213">
        <v>198.76</v>
      </c>
      <c r="O318" s="213">
        <v>176.23</v>
      </c>
      <c r="P318" s="213">
        <v>174.42999999999998</v>
      </c>
      <c r="Q318" s="213">
        <v>175.32999999999998</v>
      </c>
      <c r="R318" s="213">
        <v>22.46</v>
      </c>
      <c r="S318" s="213">
        <v>21.86</v>
      </c>
      <c r="T318" s="213">
        <v>22.16</v>
      </c>
      <c r="U318" s="213">
        <v>14.39</v>
      </c>
      <c r="V318" s="213">
        <v>13.790000000000001</v>
      </c>
      <c r="W318" s="213">
        <v>14.09</v>
      </c>
      <c r="X318" s="213">
        <v>14.73</v>
      </c>
      <c r="Y318" s="213">
        <v>13.93</v>
      </c>
      <c r="Z318" s="213">
        <v>14.33</v>
      </c>
      <c r="AA318" s="213">
        <v>104.12</v>
      </c>
      <c r="AB318" s="213">
        <v>100.12</v>
      </c>
      <c r="AC318" s="213">
        <v>102.12</v>
      </c>
      <c r="AD318" s="213">
        <v>94.21</v>
      </c>
      <c r="AE318" s="213">
        <v>90.21</v>
      </c>
      <c r="AF318" s="213">
        <v>92.21</v>
      </c>
      <c r="AG318" s="213">
        <v>20.13</v>
      </c>
      <c r="AH318" s="213">
        <v>19.27</v>
      </c>
      <c r="AI318" s="213">
        <v>19.7</v>
      </c>
      <c r="AJ318" s="213"/>
      <c r="AK318" s="213"/>
      <c r="AL318" s="213"/>
      <c r="AM318" s="213">
        <v>116.75</v>
      </c>
      <c r="AN318" s="213">
        <v>115.09</v>
      </c>
      <c r="AO318" s="213">
        <v>115.92</v>
      </c>
      <c r="AP318" s="213">
        <v>41.66</v>
      </c>
      <c r="AQ318" s="213">
        <v>40.059999999999995</v>
      </c>
      <c r="AR318" s="213">
        <v>40.86</v>
      </c>
      <c r="AS318" s="213">
        <v>42.34</v>
      </c>
      <c r="AT318" s="213">
        <v>40.980000000000004</v>
      </c>
      <c r="AU318" s="213">
        <v>41.660000000000004</v>
      </c>
      <c r="AV318" s="213">
        <v>21.7</v>
      </c>
      <c r="AW318" s="213">
        <v>21.099999999999998</v>
      </c>
      <c r="AX318" s="213">
        <v>21.4</v>
      </c>
      <c r="AY318" s="213">
        <v>4.58</v>
      </c>
      <c r="AZ318" s="213">
        <v>4.42</v>
      </c>
      <c r="BA318" s="213">
        <v>4.5</v>
      </c>
      <c r="BB318" s="213">
        <v>1.98</v>
      </c>
      <c r="BC318" s="213">
        <v>1.68</v>
      </c>
      <c r="BD318" s="213">
        <v>1.83</v>
      </c>
      <c r="BE318" s="213">
        <v>0.7</v>
      </c>
      <c r="BF318" s="213">
        <v>0.39999999999999997</v>
      </c>
      <c r="BG318" s="213">
        <v>0.54999999999999993</v>
      </c>
      <c r="BH318" s="213">
        <v>508.26</v>
      </c>
      <c r="BI318" s="213">
        <v>492.26</v>
      </c>
      <c r="BJ318" s="213">
        <v>500.26</v>
      </c>
      <c r="BK318" s="213">
        <v>42.76</v>
      </c>
      <c r="BL318" s="213">
        <v>41.4</v>
      </c>
      <c r="BM318" s="213">
        <v>42.08</v>
      </c>
      <c r="BN318" s="213">
        <v>1.1000000000000001</v>
      </c>
      <c r="BO318" s="213">
        <v>0.8600000000000001</v>
      </c>
      <c r="BP318" s="213">
        <v>0.98000000000000009</v>
      </c>
      <c r="BQ318" s="213">
        <v>8.73</v>
      </c>
      <c r="BR318" s="213">
        <v>6.73</v>
      </c>
      <c r="BS318" s="213">
        <v>7.73</v>
      </c>
      <c r="BT318" s="213">
        <v>11.27</v>
      </c>
      <c r="BU318" s="213">
        <v>10.87</v>
      </c>
      <c r="BV318" s="213">
        <v>11.07</v>
      </c>
      <c r="BW318" s="213">
        <v>2.77</v>
      </c>
      <c r="BX318" s="213">
        <v>2.4900000000000002</v>
      </c>
      <c r="BY318" s="213">
        <v>2.63</v>
      </c>
      <c r="BZ318" s="213">
        <v>10.33</v>
      </c>
      <c r="CA318" s="213">
        <v>7.33</v>
      </c>
      <c r="CB318" s="213">
        <v>8.83</v>
      </c>
      <c r="CC318" s="213">
        <v>6.67</v>
      </c>
      <c r="CD318" s="213">
        <v>6.43</v>
      </c>
      <c r="CE318" s="213">
        <v>6.55</v>
      </c>
      <c r="CF318" s="213">
        <v>1.81</v>
      </c>
      <c r="CG318" s="213">
        <v>1.31</v>
      </c>
      <c r="CH318" s="213">
        <v>1.56</v>
      </c>
      <c r="CI318" s="213">
        <v>0.43</v>
      </c>
      <c r="CJ318" s="213">
        <v>0.39</v>
      </c>
      <c r="CK318" s="213">
        <v>0.41000000000000003</v>
      </c>
      <c r="CL318" s="213">
        <v>39.54</v>
      </c>
      <c r="CM318" s="213">
        <v>37.14</v>
      </c>
      <c r="CN318" s="213">
        <v>38.340000000000003</v>
      </c>
      <c r="CO318" s="213">
        <v>6.98</v>
      </c>
      <c r="CP318" s="213">
        <v>1.9800000000000004</v>
      </c>
      <c r="CQ318" s="213">
        <v>4.4800000000000004</v>
      </c>
      <c r="CR318" s="213"/>
      <c r="CS318" s="213"/>
    </row>
    <row r="319" spans="1:97">
      <c r="A319" s="424">
        <v>45605</v>
      </c>
      <c r="B319" s="211" t="s">
        <v>252</v>
      </c>
      <c r="C319" s="213"/>
      <c r="D319" s="213"/>
      <c r="E319" s="213"/>
      <c r="F319" s="213"/>
      <c r="G319" s="213"/>
      <c r="H319" s="213"/>
      <c r="I319" s="213"/>
      <c r="J319" s="213"/>
      <c r="K319" s="213"/>
      <c r="L319" s="213"/>
      <c r="M319" s="213"/>
      <c r="N319" s="213"/>
      <c r="O319" s="213"/>
      <c r="P319" s="213"/>
      <c r="Q319" s="213"/>
      <c r="R319" s="213"/>
      <c r="S319" s="213"/>
      <c r="T319" s="213"/>
      <c r="U319" s="213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13"/>
      <c r="AF319" s="213"/>
      <c r="AG319" s="213"/>
      <c r="AH319" s="213"/>
      <c r="AI319" s="213"/>
      <c r="AJ319" s="213"/>
      <c r="AK319" s="213"/>
      <c r="AL319" s="213"/>
      <c r="AM319" s="213"/>
      <c r="AN319" s="213"/>
      <c r="AO319" s="213"/>
      <c r="AP319" s="213"/>
      <c r="AQ319" s="213"/>
      <c r="AR319" s="213"/>
      <c r="AS319" s="213"/>
      <c r="AT319" s="213"/>
      <c r="AU319" s="213"/>
      <c r="AV319" s="213"/>
      <c r="AW319" s="213"/>
      <c r="AX319" s="213"/>
      <c r="AY319" s="213"/>
      <c r="AZ319" s="213"/>
      <c r="BA319" s="213"/>
      <c r="BB319" s="213"/>
      <c r="BC319" s="213"/>
      <c r="BD319" s="213"/>
      <c r="BE319" s="213"/>
      <c r="BF319" s="213"/>
      <c r="BG319" s="213"/>
      <c r="BH319" s="213"/>
      <c r="BI319" s="213"/>
      <c r="BJ319" s="213"/>
      <c r="BK319" s="213"/>
      <c r="BL319" s="213"/>
      <c r="BM319" s="213"/>
      <c r="BN319" s="213"/>
      <c r="BO319" s="213"/>
      <c r="BP319" s="213"/>
      <c r="BQ319" s="213"/>
      <c r="BR319" s="213"/>
      <c r="BS319" s="213"/>
      <c r="BT319" s="213"/>
      <c r="BU319" s="213"/>
      <c r="BV319" s="213"/>
      <c r="BW319" s="213"/>
      <c r="BX319" s="213"/>
      <c r="BY319" s="213"/>
      <c r="BZ319" s="213"/>
      <c r="CA319" s="213"/>
      <c r="CB319" s="213"/>
      <c r="CC319" s="213"/>
      <c r="CD319" s="213"/>
      <c r="CE319" s="213"/>
      <c r="CF319" s="213"/>
      <c r="CG319" s="213"/>
      <c r="CH319" s="213"/>
      <c r="CI319" s="213"/>
      <c r="CJ319" s="213"/>
      <c r="CK319" s="213"/>
      <c r="CL319" s="213"/>
      <c r="CM319" s="213"/>
      <c r="CN319" s="213"/>
      <c r="CO319" s="213"/>
      <c r="CP319" s="213"/>
      <c r="CQ319" s="213"/>
      <c r="CR319" s="213"/>
      <c r="CS319" s="213"/>
    </row>
    <row r="320" spans="1:97">
      <c r="A320" s="424">
        <v>45606</v>
      </c>
      <c r="B320" s="211" t="s">
        <v>253</v>
      </c>
      <c r="C320" s="213"/>
      <c r="D320" s="213"/>
      <c r="E320" s="213"/>
      <c r="F320" s="213"/>
      <c r="G320" s="213"/>
      <c r="H320" s="213"/>
      <c r="I320" s="213"/>
      <c r="J320" s="213"/>
      <c r="K320" s="213"/>
      <c r="L320" s="213"/>
      <c r="M320" s="213"/>
      <c r="N320" s="213"/>
      <c r="O320" s="213"/>
      <c r="P320" s="213"/>
      <c r="Q320" s="213"/>
      <c r="R320" s="213"/>
      <c r="S320" s="213"/>
      <c r="T320" s="213"/>
      <c r="U320" s="213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13"/>
      <c r="AF320" s="213"/>
      <c r="AG320" s="213"/>
      <c r="AH320" s="213"/>
      <c r="AI320" s="213"/>
      <c r="AJ320" s="213"/>
      <c r="AK320" s="213"/>
      <c r="AL320" s="213"/>
      <c r="AM320" s="213"/>
      <c r="AN320" s="213"/>
      <c r="AO320" s="213"/>
      <c r="AP320" s="213"/>
      <c r="AQ320" s="213"/>
      <c r="AR320" s="213"/>
      <c r="AS320" s="213"/>
      <c r="AT320" s="213"/>
      <c r="AU320" s="213"/>
      <c r="AV320" s="213"/>
      <c r="AW320" s="213"/>
      <c r="AX320" s="213"/>
      <c r="AY320" s="213"/>
      <c r="AZ320" s="213"/>
      <c r="BA320" s="213"/>
      <c r="BB320" s="213"/>
      <c r="BC320" s="213"/>
      <c r="BD320" s="213"/>
      <c r="BE320" s="213"/>
      <c r="BF320" s="213"/>
      <c r="BG320" s="213"/>
      <c r="BH320" s="213"/>
      <c r="BI320" s="213"/>
      <c r="BJ320" s="213"/>
      <c r="BK320" s="213"/>
      <c r="BL320" s="213"/>
      <c r="BM320" s="213"/>
      <c r="BN320" s="213"/>
      <c r="BO320" s="213"/>
      <c r="BP320" s="213"/>
      <c r="BQ320" s="213"/>
      <c r="BR320" s="213"/>
      <c r="BS320" s="213"/>
      <c r="BT320" s="213"/>
      <c r="BU320" s="213"/>
      <c r="BV320" s="213"/>
      <c r="BW320" s="213"/>
      <c r="BX320" s="213"/>
      <c r="BY320" s="213"/>
      <c r="BZ320" s="213"/>
      <c r="CA320" s="213"/>
      <c r="CB320" s="213"/>
      <c r="CC320" s="213"/>
      <c r="CD320" s="213"/>
      <c r="CE320" s="213"/>
      <c r="CF320" s="213"/>
      <c r="CG320" s="213"/>
      <c r="CH320" s="213"/>
      <c r="CI320" s="213"/>
      <c r="CJ320" s="213"/>
      <c r="CK320" s="213"/>
      <c r="CL320" s="213"/>
      <c r="CM320" s="213"/>
      <c r="CN320" s="213"/>
      <c r="CO320" s="213"/>
      <c r="CP320" s="213"/>
      <c r="CQ320" s="213"/>
      <c r="CR320" s="213"/>
      <c r="CS320" s="213"/>
    </row>
    <row r="321" spans="1:97">
      <c r="A321" s="424">
        <v>45607</v>
      </c>
      <c r="B321" s="211" t="s">
        <v>247</v>
      </c>
      <c r="C321" s="213">
        <v>154.13999999999999</v>
      </c>
      <c r="D321" s="213">
        <v>152.13999999999999</v>
      </c>
      <c r="E321" s="213">
        <v>153.13999999999999</v>
      </c>
      <c r="F321" s="213">
        <v>165.54</v>
      </c>
      <c r="G321" s="213">
        <v>162.54</v>
      </c>
      <c r="H321" s="213">
        <v>164.04</v>
      </c>
      <c r="I321" s="213">
        <v>111.67</v>
      </c>
      <c r="J321" s="213">
        <v>108.47</v>
      </c>
      <c r="K321" s="213">
        <v>110.07</v>
      </c>
      <c r="L321" s="213">
        <v>201.75</v>
      </c>
      <c r="M321" s="213">
        <v>193.75</v>
      </c>
      <c r="N321" s="213">
        <v>197.75</v>
      </c>
      <c r="O321" s="213">
        <v>175.66</v>
      </c>
      <c r="P321" s="213">
        <v>173.85999999999999</v>
      </c>
      <c r="Q321" s="213">
        <v>174.76</v>
      </c>
      <c r="R321" s="213">
        <v>22.3</v>
      </c>
      <c r="S321" s="213">
        <v>21.7</v>
      </c>
      <c r="T321" s="213">
        <v>22</v>
      </c>
      <c r="U321" s="213">
        <v>14.21</v>
      </c>
      <c r="V321" s="213">
        <v>13.610000000000001</v>
      </c>
      <c r="W321" s="213">
        <v>13.91</v>
      </c>
      <c r="X321" s="213">
        <v>14.55</v>
      </c>
      <c r="Y321" s="213">
        <v>13.75</v>
      </c>
      <c r="Z321" s="213">
        <v>14.15</v>
      </c>
      <c r="AA321" s="213">
        <v>102.9</v>
      </c>
      <c r="AB321" s="213">
        <v>98.9</v>
      </c>
      <c r="AC321" s="213">
        <v>100.9</v>
      </c>
      <c r="AD321" s="213">
        <v>93.36</v>
      </c>
      <c r="AE321" s="213">
        <v>89.36</v>
      </c>
      <c r="AF321" s="213">
        <v>91.36</v>
      </c>
      <c r="AG321" s="213">
        <v>20.13</v>
      </c>
      <c r="AH321" s="213">
        <v>19.27</v>
      </c>
      <c r="AI321" s="213">
        <v>19.7</v>
      </c>
      <c r="AJ321" s="213"/>
      <c r="AK321" s="213"/>
      <c r="AL321" s="213"/>
      <c r="AM321" s="213">
        <v>116.21</v>
      </c>
      <c r="AN321" s="213">
        <v>114.55</v>
      </c>
      <c r="AO321" s="213">
        <v>115.38</v>
      </c>
      <c r="AP321" s="213">
        <v>41.64</v>
      </c>
      <c r="AQ321" s="213">
        <v>40.04</v>
      </c>
      <c r="AR321" s="213">
        <v>40.840000000000003</v>
      </c>
      <c r="AS321" s="213">
        <v>42.44</v>
      </c>
      <c r="AT321" s="213">
        <v>41.08</v>
      </c>
      <c r="AU321" s="213">
        <v>41.76</v>
      </c>
      <c r="AV321" s="213">
        <v>21.58</v>
      </c>
      <c r="AW321" s="213">
        <v>20.979999999999997</v>
      </c>
      <c r="AX321" s="213">
        <v>21.279999999999998</v>
      </c>
      <c r="AY321" s="213">
        <v>4.55</v>
      </c>
      <c r="AZ321" s="213">
        <v>4.3899999999999997</v>
      </c>
      <c r="BA321" s="213">
        <v>4.47</v>
      </c>
      <c r="BB321" s="213">
        <v>1.97</v>
      </c>
      <c r="BC321" s="213">
        <v>1.67</v>
      </c>
      <c r="BD321" s="213">
        <v>1.8199999999999998</v>
      </c>
      <c r="BE321" s="213">
        <v>0.7</v>
      </c>
      <c r="BF321" s="213">
        <v>0.39999999999999997</v>
      </c>
      <c r="BG321" s="213">
        <v>0.54999999999999993</v>
      </c>
      <c r="BH321" s="213">
        <v>507.64</v>
      </c>
      <c r="BI321" s="213">
        <v>491.64</v>
      </c>
      <c r="BJ321" s="213">
        <v>499.64</v>
      </c>
      <c r="BK321" s="213">
        <v>42.77</v>
      </c>
      <c r="BL321" s="213">
        <v>41.410000000000004</v>
      </c>
      <c r="BM321" s="213">
        <v>42.09</v>
      </c>
      <c r="BN321" s="213">
        <v>1.1000000000000001</v>
      </c>
      <c r="BO321" s="213">
        <v>0.8600000000000001</v>
      </c>
      <c r="BP321" s="213">
        <v>0.98000000000000009</v>
      </c>
      <c r="BQ321" s="213">
        <v>8.6</v>
      </c>
      <c r="BR321" s="213">
        <v>6.6</v>
      </c>
      <c r="BS321" s="213">
        <v>7.6</v>
      </c>
      <c r="BT321" s="213">
        <v>11.17</v>
      </c>
      <c r="BU321" s="213">
        <v>10.77</v>
      </c>
      <c r="BV321" s="213">
        <v>10.969999999999999</v>
      </c>
      <c r="BW321" s="213">
        <v>2.79</v>
      </c>
      <c r="BX321" s="213">
        <v>2.5099999999999998</v>
      </c>
      <c r="BY321" s="213">
        <v>2.65</v>
      </c>
      <c r="BZ321" s="213">
        <v>10.19</v>
      </c>
      <c r="CA321" s="213">
        <v>7.1899999999999995</v>
      </c>
      <c r="CB321" s="213">
        <v>8.69</v>
      </c>
      <c r="CC321" s="213">
        <v>6.61</v>
      </c>
      <c r="CD321" s="213">
        <v>6.37</v>
      </c>
      <c r="CE321" s="213">
        <v>6.49</v>
      </c>
      <c r="CF321" s="213">
        <v>1.82</v>
      </c>
      <c r="CG321" s="213">
        <v>1.32</v>
      </c>
      <c r="CH321" s="213">
        <v>1.57</v>
      </c>
      <c r="CI321" s="213">
        <v>0.42</v>
      </c>
      <c r="CJ321" s="213">
        <v>0.38</v>
      </c>
      <c r="CK321" s="213">
        <v>0.4</v>
      </c>
      <c r="CL321" s="213">
        <v>39.08</v>
      </c>
      <c r="CM321" s="213">
        <v>36.68</v>
      </c>
      <c r="CN321" s="213">
        <v>37.879999999999995</v>
      </c>
      <c r="CO321" s="213">
        <v>6.96</v>
      </c>
      <c r="CP321" s="213">
        <v>1.96</v>
      </c>
      <c r="CQ321" s="213">
        <v>4.46</v>
      </c>
      <c r="CR321" s="213"/>
      <c r="CS321" s="213"/>
    </row>
    <row r="322" spans="1:97">
      <c r="A322" s="424">
        <v>45608</v>
      </c>
      <c r="B322" s="211" t="s">
        <v>248</v>
      </c>
      <c r="C322" s="213">
        <v>154.83000000000001</v>
      </c>
      <c r="D322" s="213">
        <v>152.83000000000001</v>
      </c>
      <c r="E322" s="213">
        <v>153.83000000000001</v>
      </c>
      <c r="F322" s="213">
        <v>165.45</v>
      </c>
      <c r="G322" s="213">
        <v>162.44999999999999</v>
      </c>
      <c r="H322" s="213">
        <v>163.95</v>
      </c>
      <c r="I322" s="213">
        <v>112.09</v>
      </c>
      <c r="J322" s="213">
        <v>108.89</v>
      </c>
      <c r="K322" s="213">
        <v>110.49000000000001</v>
      </c>
      <c r="L322" s="213">
        <v>201.96</v>
      </c>
      <c r="M322" s="213">
        <v>193.96</v>
      </c>
      <c r="N322" s="213">
        <v>197.96</v>
      </c>
      <c r="O322" s="213">
        <v>175.57</v>
      </c>
      <c r="P322" s="213">
        <v>173.76999999999998</v>
      </c>
      <c r="Q322" s="213">
        <v>174.67</v>
      </c>
      <c r="R322" s="213">
        <v>22.28</v>
      </c>
      <c r="S322" s="213">
        <v>21.68</v>
      </c>
      <c r="T322" s="213">
        <v>21.98</v>
      </c>
      <c r="U322" s="213">
        <v>14.26</v>
      </c>
      <c r="V322" s="213">
        <v>13.66</v>
      </c>
      <c r="W322" s="213">
        <v>13.96</v>
      </c>
      <c r="X322" s="213">
        <v>14.6</v>
      </c>
      <c r="Y322" s="213">
        <v>13.799999999999999</v>
      </c>
      <c r="Z322" s="213">
        <v>14.2</v>
      </c>
      <c r="AA322" s="213">
        <v>103.11</v>
      </c>
      <c r="AB322" s="213">
        <v>99.11</v>
      </c>
      <c r="AC322" s="213">
        <v>101.11</v>
      </c>
      <c r="AD322" s="213">
        <v>93.77</v>
      </c>
      <c r="AE322" s="213">
        <v>89.77</v>
      </c>
      <c r="AF322" s="213">
        <v>91.77</v>
      </c>
      <c r="AG322" s="213">
        <v>20.21</v>
      </c>
      <c r="AH322" s="213">
        <v>19.350000000000001</v>
      </c>
      <c r="AI322" s="213">
        <v>19.78</v>
      </c>
      <c r="AJ322" s="213"/>
      <c r="AK322" s="213"/>
      <c r="AL322" s="213"/>
      <c r="AM322" s="213">
        <v>116.18</v>
      </c>
      <c r="AN322" s="213">
        <v>114.52000000000001</v>
      </c>
      <c r="AO322" s="213">
        <v>115.35000000000001</v>
      </c>
      <c r="AP322" s="213">
        <v>41.82</v>
      </c>
      <c r="AQ322" s="213">
        <v>40.22</v>
      </c>
      <c r="AR322" s="213">
        <v>41.019999999999996</v>
      </c>
      <c r="AS322" s="213">
        <v>42.63</v>
      </c>
      <c r="AT322" s="213">
        <v>41.27</v>
      </c>
      <c r="AU322" s="213">
        <v>41.95</v>
      </c>
      <c r="AV322" s="213">
        <v>21.59</v>
      </c>
      <c r="AW322" s="213">
        <v>20.99</v>
      </c>
      <c r="AX322" s="213">
        <v>21.29</v>
      </c>
      <c r="AY322" s="213">
        <v>4.53</v>
      </c>
      <c r="AZ322" s="213">
        <v>4.37</v>
      </c>
      <c r="BA322" s="213">
        <v>4.45</v>
      </c>
      <c r="BB322" s="213">
        <v>1.98</v>
      </c>
      <c r="BC322" s="213">
        <v>1.68</v>
      </c>
      <c r="BD322" s="213">
        <v>1.83</v>
      </c>
      <c r="BE322" s="213">
        <v>0.71</v>
      </c>
      <c r="BF322" s="213">
        <v>0.41</v>
      </c>
      <c r="BG322" s="213">
        <v>0.55999999999999994</v>
      </c>
      <c r="BH322" s="213">
        <v>509.57</v>
      </c>
      <c r="BI322" s="213">
        <v>493.57</v>
      </c>
      <c r="BJ322" s="213">
        <v>501.57</v>
      </c>
      <c r="BK322" s="213">
        <v>42.95</v>
      </c>
      <c r="BL322" s="213">
        <v>41.59</v>
      </c>
      <c r="BM322" s="213">
        <v>42.27</v>
      </c>
      <c r="BN322" s="213">
        <v>1.1000000000000001</v>
      </c>
      <c r="BO322" s="213">
        <v>0.8600000000000001</v>
      </c>
      <c r="BP322" s="213">
        <v>0.98000000000000009</v>
      </c>
      <c r="BQ322" s="213">
        <v>8.5500000000000007</v>
      </c>
      <c r="BR322" s="213">
        <v>6.5500000000000007</v>
      </c>
      <c r="BS322" s="213">
        <v>7.5500000000000007</v>
      </c>
      <c r="BT322" s="213">
        <v>11.19</v>
      </c>
      <c r="BU322" s="213">
        <v>10.79</v>
      </c>
      <c r="BV322" s="213">
        <v>10.989999999999998</v>
      </c>
      <c r="BW322" s="213">
        <v>2.78</v>
      </c>
      <c r="BX322" s="213">
        <v>2.5</v>
      </c>
      <c r="BY322" s="213">
        <v>2.6399999999999997</v>
      </c>
      <c r="BZ322" s="213">
        <v>10.07</v>
      </c>
      <c r="CA322" s="213">
        <v>7.07</v>
      </c>
      <c r="CB322" s="213">
        <v>8.57</v>
      </c>
      <c r="CC322" s="213">
        <v>6.6</v>
      </c>
      <c r="CD322" s="213">
        <v>6.3599999999999994</v>
      </c>
      <c r="CE322" s="213">
        <v>6.4799999999999995</v>
      </c>
      <c r="CF322" s="213">
        <v>1.85</v>
      </c>
      <c r="CG322" s="213">
        <v>1.35</v>
      </c>
      <c r="CH322" s="213">
        <v>1.6</v>
      </c>
      <c r="CI322" s="213">
        <v>0.42</v>
      </c>
      <c r="CJ322" s="213">
        <v>0.38</v>
      </c>
      <c r="CK322" s="213">
        <v>0.4</v>
      </c>
      <c r="CL322" s="213">
        <v>38.82</v>
      </c>
      <c r="CM322" s="213">
        <v>36.42</v>
      </c>
      <c r="CN322" s="213">
        <v>37.620000000000005</v>
      </c>
      <c r="CO322" s="213">
        <v>6.98</v>
      </c>
      <c r="CP322" s="213">
        <v>1.9800000000000004</v>
      </c>
      <c r="CQ322" s="213">
        <v>4.4800000000000004</v>
      </c>
      <c r="CR322" s="213"/>
      <c r="CS322" s="213"/>
    </row>
    <row r="323" spans="1:97">
      <c r="A323" s="424">
        <v>45609</v>
      </c>
      <c r="B323" s="211" t="s">
        <v>249</v>
      </c>
      <c r="C323" s="213">
        <v>155.97</v>
      </c>
      <c r="D323" s="213">
        <v>153.97</v>
      </c>
      <c r="E323" s="213">
        <v>154.97</v>
      </c>
      <c r="F323" s="213">
        <v>166.03</v>
      </c>
      <c r="G323" s="213">
        <v>163.03</v>
      </c>
      <c r="H323" s="213">
        <v>164.53</v>
      </c>
      <c r="I323" s="213">
        <v>112.7</v>
      </c>
      <c r="J323" s="213">
        <v>109.5</v>
      </c>
      <c r="K323" s="213">
        <v>111.1</v>
      </c>
      <c r="L323" s="213">
        <v>201.39</v>
      </c>
      <c r="M323" s="213">
        <v>193.39</v>
      </c>
      <c r="N323" s="213">
        <v>197.39</v>
      </c>
      <c r="O323" s="213">
        <v>176.48</v>
      </c>
      <c r="P323" s="213">
        <v>174.67999999999998</v>
      </c>
      <c r="Q323" s="213">
        <v>175.57999999999998</v>
      </c>
      <c r="R323" s="213">
        <v>22.36</v>
      </c>
      <c r="S323" s="213">
        <v>21.759999999999998</v>
      </c>
      <c r="T323" s="213">
        <v>22.06</v>
      </c>
      <c r="U323" s="213">
        <v>14.28</v>
      </c>
      <c r="V323" s="213">
        <v>13.68</v>
      </c>
      <c r="W323" s="213">
        <v>13.98</v>
      </c>
      <c r="X323" s="213">
        <v>14.61</v>
      </c>
      <c r="Y323" s="213">
        <v>13.809999999999999</v>
      </c>
      <c r="Z323" s="213">
        <v>14.209999999999999</v>
      </c>
      <c r="AA323" s="213">
        <v>103.06</v>
      </c>
      <c r="AB323" s="213">
        <v>99.06</v>
      </c>
      <c r="AC323" s="213">
        <v>101.06</v>
      </c>
      <c r="AD323" s="213">
        <v>93.71</v>
      </c>
      <c r="AE323" s="213">
        <v>89.71</v>
      </c>
      <c r="AF323" s="213">
        <v>91.71</v>
      </c>
      <c r="AG323" s="213">
        <v>20.350000000000001</v>
      </c>
      <c r="AH323" s="213">
        <v>19.490000000000002</v>
      </c>
      <c r="AI323" s="213">
        <v>19.920000000000002</v>
      </c>
      <c r="AJ323" s="213"/>
      <c r="AK323" s="213"/>
      <c r="AL323" s="213"/>
      <c r="AM323" s="213">
        <v>116.52</v>
      </c>
      <c r="AN323" s="213">
        <v>114.86</v>
      </c>
      <c r="AO323" s="213">
        <v>115.69</v>
      </c>
      <c r="AP323" s="213">
        <v>42.11</v>
      </c>
      <c r="AQ323" s="213">
        <v>40.51</v>
      </c>
      <c r="AR323" s="213">
        <v>41.31</v>
      </c>
      <c r="AS323" s="213">
        <v>42.94</v>
      </c>
      <c r="AT323" s="213">
        <v>41.58</v>
      </c>
      <c r="AU323" s="213">
        <v>42.26</v>
      </c>
      <c r="AV323" s="213">
        <v>21.69</v>
      </c>
      <c r="AW323" s="213">
        <v>21.09</v>
      </c>
      <c r="AX323" s="213">
        <v>21.39</v>
      </c>
      <c r="AY323" s="213">
        <v>4.5199999999999996</v>
      </c>
      <c r="AZ323" s="213">
        <v>4.3599999999999994</v>
      </c>
      <c r="BA323" s="213">
        <v>4.4399999999999995</v>
      </c>
      <c r="BB323" s="213">
        <v>2</v>
      </c>
      <c r="BC323" s="213">
        <v>1.7</v>
      </c>
      <c r="BD323" s="213">
        <v>1.85</v>
      </c>
      <c r="BE323" s="213">
        <v>0.71</v>
      </c>
      <c r="BF323" s="213">
        <v>0.41</v>
      </c>
      <c r="BG323" s="213">
        <v>0.55999999999999994</v>
      </c>
      <c r="BH323" s="213">
        <v>512.79</v>
      </c>
      <c r="BI323" s="213">
        <v>496.78999999999996</v>
      </c>
      <c r="BJ323" s="213">
        <v>504.78999999999996</v>
      </c>
      <c r="BK323" s="213">
        <v>43.27</v>
      </c>
      <c r="BL323" s="213">
        <v>41.910000000000004</v>
      </c>
      <c r="BM323" s="213">
        <v>42.59</v>
      </c>
      <c r="BN323" s="213">
        <v>1.1100000000000001</v>
      </c>
      <c r="BO323" s="213">
        <v>0.87000000000000011</v>
      </c>
      <c r="BP323" s="213">
        <v>0.9900000000000001</v>
      </c>
      <c r="BQ323" s="213">
        <v>8.5299999999999994</v>
      </c>
      <c r="BR323" s="213">
        <v>6.5299999999999994</v>
      </c>
      <c r="BS323" s="213">
        <v>7.5299999999999994</v>
      </c>
      <c r="BT323" s="213">
        <v>11.21</v>
      </c>
      <c r="BU323" s="213">
        <v>10.81</v>
      </c>
      <c r="BV323" s="213">
        <v>11.010000000000002</v>
      </c>
      <c r="BW323" s="213">
        <v>2.79</v>
      </c>
      <c r="BX323" s="213">
        <v>2.5099999999999998</v>
      </c>
      <c r="BY323" s="213">
        <v>2.65</v>
      </c>
      <c r="BZ323" s="213">
        <v>10.050000000000001</v>
      </c>
      <c r="CA323" s="213">
        <v>7.0500000000000007</v>
      </c>
      <c r="CB323" s="213">
        <v>8.5500000000000007</v>
      </c>
      <c r="CC323" s="213">
        <v>6.61</v>
      </c>
      <c r="CD323" s="213">
        <v>6.37</v>
      </c>
      <c r="CE323" s="213">
        <v>6.49</v>
      </c>
      <c r="CF323" s="213">
        <v>1.84</v>
      </c>
      <c r="CG323" s="213">
        <v>1.34</v>
      </c>
      <c r="CH323" s="213">
        <v>1.59</v>
      </c>
      <c r="CI323" s="213">
        <v>0.42</v>
      </c>
      <c r="CJ323" s="213">
        <v>0.38</v>
      </c>
      <c r="CK323" s="213">
        <v>0.4</v>
      </c>
      <c r="CL323" s="213">
        <v>38.979999999999997</v>
      </c>
      <c r="CM323" s="213">
        <v>36.58</v>
      </c>
      <c r="CN323" s="213">
        <v>37.78</v>
      </c>
      <c r="CO323" s="213">
        <v>7.01</v>
      </c>
      <c r="CP323" s="213">
        <v>2.0099999999999998</v>
      </c>
      <c r="CQ323" s="213">
        <v>4.51</v>
      </c>
      <c r="CR323" s="213"/>
      <c r="CS323" s="213"/>
    </row>
    <row r="324" spans="1:97">
      <c r="A324" s="424">
        <v>45610</v>
      </c>
      <c r="B324" s="211" t="s">
        <v>250</v>
      </c>
      <c r="C324" s="213">
        <v>156.77000000000001</v>
      </c>
      <c r="D324" s="213">
        <v>154.77000000000001</v>
      </c>
      <c r="E324" s="213">
        <v>155.77000000000001</v>
      </c>
      <c r="F324" s="213">
        <v>166.04</v>
      </c>
      <c r="G324" s="213">
        <v>163.04</v>
      </c>
      <c r="H324" s="213">
        <v>164.54</v>
      </c>
      <c r="I324" s="213">
        <v>112.93</v>
      </c>
      <c r="J324" s="213">
        <v>109.73</v>
      </c>
      <c r="K324" s="213">
        <v>111.33000000000001</v>
      </c>
      <c r="L324" s="213">
        <v>201.95</v>
      </c>
      <c r="M324" s="213">
        <v>193.95</v>
      </c>
      <c r="N324" s="213">
        <v>197.95</v>
      </c>
      <c r="O324" s="213">
        <v>176.75</v>
      </c>
      <c r="P324" s="213">
        <v>174.95</v>
      </c>
      <c r="Q324" s="213">
        <v>175.85</v>
      </c>
      <c r="R324" s="213">
        <v>22.36</v>
      </c>
      <c r="S324" s="213">
        <v>21.759999999999998</v>
      </c>
      <c r="T324" s="213">
        <v>22.06</v>
      </c>
      <c r="U324" s="213">
        <v>14.3</v>
      </c>
      <c r="V324" s="213">
        <v>13.700000000000001</v>
      </c>
      <c r="W324" s="213">
        <v>14</v>
      </c>
      <c r="X324" s="213">
        <v>14.58</v>
      </c>
      <c r="Y324" s="213">
        <v>13.78</v>
      </c>
      <c r="Z324" s="213">
        <v>14.18</v>
      </c>
      <c r="AA324" s="213">
        <v>103.16</v>
      </c>
      <c r="AB324" s="213">
        <v>99.16</v>
      </c>
      <c r="AC324" s="213">
        <v>101.16</v>
      </c>
      <c r="AD324" s="213">
        <v>93.58</v>
      </c>
      <c r="AE324" s="213">
        <v>89.58</v>
      </c>
      <c r="AF324" s="213">
        <v>91.58</v>
      </c>
      <c r="AG324" s="213">
        <v>20.45</v>
      </c>
      <c r="AH324" s="213">
        <v>19.59</v>
      </c>
      <c r="AI324" s="213">
        <v>20.02</v>
      </c>
      <c r="AJ324" s="213"/>
      <c r="AK324" s="213"/>
      <c r="AL324" s="213"/>
      <c r="AM324" s="213">
        <v>116.82</v>
      </c>
      <c r="AN324" s="213">
        <v>115.16</v>
      </c>
      <c r="AO324" s="213">
        <v>115.99</v>
      </c>
      <c r="AP324" s="213">
        <v>42.33</v>
      </c>
      <c r="AQ324" s="213">
        <v>40.729999999999997</v>
      </c>
      <c r="AR324" s="213">
        <v>41.53</v>
      </c>
      <c r="AS324" s="213">
        <v>43.16</v>
      </c>
      <c r="AT324" s="213">
        <v>41.8</v>
      </c>
      <c r="AU324" s="213">
        <v>42.48</v>
      </c>
      <c r="AV324" s="213">
        <v>21.8</v>
      </c>
      <c r="AW324" s="213">
        <v>21.2</v>
      </c>
      <c r="AX324" s="213">
        <v>21.5</v>
      </c>
      <c r="AY324" s="213">
        <v>4.55</v>
      </c>
      <c r="AZ324" s="213">
        <v>4.3899999999999997</v>
      </c>
      <c r="BA324" s="213">
        <v>4.47</v>
      </c>
      <c r="BB324" s="213">
        <v>2.0099999999999998</v>
      </c>
      <c r="BC324" s="213">
        <v>1.7099999999999997</v>
      </c>
      <c r="BD324" s="213">
        <v>1.8599999999999999</v>
      </c>
      <c r="BE324" s="213">
        <v>0.71</v>
      </c>
      <c r="BF324" s="213">
        <v>0.41</v>
      </c>
      <c r="BG324" s="213">
        <v>0.55999999999999994</v>
      </c>
      <c r="BH324" s="213">
        <v>515.23</v>
      </c>
      <c r="BI324" s="213">
        <v>499.23</v>
      </c>
      <c r="BJ324" s="213">
        <v>507.23</v>
      </c>
      <c r="BK324" s="213">
        <v>43.49</v>
      </c>
      <c r="BL324" s="213">
        <v>42.13</v>
      </c>
      <c r="BM324" s="213">
        <v>42.81</v>
      </c>
      <c r="BN324" s="213">
        <v>1.1100000000000001</v>
      </c>
      <c r="BO324" s="213">
        <v>0.87000000000000011</v>
      </c>
      <c r="BP324" s="213">
        <v>0.9900000000000001</v>
      </c>
      <c r="BQ324" s="213">
        <v>8.59</v>
      </c>
      <c r="BR324" s="213">
        <v>6.59</v>
      </c>
      <c r="BS324" s="213">
        <v>7.59</v>
      </c>
      <c r="BT324" s="213">
        <v>11.32</v>
      </c>
      <c r="BU324" s="213">
        <v>10.92</v>
      </c>
      <c r="BV324" s="213">
        <v>11.120000000000001</v>
      </c>
      <c r="BW324" s="213">
        <v>2.81</v>
      </c>
      <c r="BX324" s="213">
        <v>2.5300000000000002</v>
      </c>
      <c r="BY324" s="213">
        <v>2.67</v>
      </c>
      <c r="BZ324" s="213">
        <v>10.029999999999999</v>
      </c>
      <c r="CA324" s="213">
        <v>7.0299999999999994</v>
      </c>
      <c r="CB324" s="213">
        <v>8.5299999999999994</v>
      </c>
      <c r="CC324" s="213">
        <v>6.63</v>
      </c>
      <c r="CD324" s="213">
        <v>6.39</v>
      </c>
      <c r="CE324" s="213">
        <v>6.51</v>
      </c>
      <c r="CF324" s="213">
        <v>1.83</v>
      </c>
      <c r="CG324" s="213">
        <v>1.33</v>
      </c>
      <c r="CH324" s="213">
        <v>1.58</v>
      </c>
      <c r="CI324" s="213">
        <v>0.42</v>
      </c>
      <c r="CJ324" s="213">
        <v>0.38</v>
      </c>
      <c r="CK324" s="213">
        <v>0.4</v>
      </c>
      <c r="CL324" s="213">
        <v>39.1</v>
      </c>
      <c r="CM324" s="213">
        <v>36.700000000000003</v>
      </c>
      <c r="CN324" s="213">
        <v>37.900000000000006</v>
      </c>
      <c r="CO324" s="213">
        <v>7.04</v>
      </c>
      <c r="CP324" s="213">
        <v>2.04</v>
      </c>
      <c r="CQ324" s="213">
        <v>4.54</v>
      </c>
      <c r="CR324" s="213"/>
      <c r="CS324" s="213"/>
    </row>
    <row r="325" spans="1:97">
      <c r="A325" s="424">
        <v>45611</v>
      </c>
      <c r="B325" s="211" t="s">
        <v>251</v>
      </c>
      <c r="C325" s="213">
        <v>157.84</v>
      </c>
      <c r="D325" s="213">
        <v>155.84</v>
      </c>
      <c r="E325" s="213">
        <v>156.84</v>
      </c>
      <c r="F325" s="213">
        <v>166.62</v>
      </c>
      <c r="G325" s="213">
        <v>163.62</v>
      </c>
      <c r="H325" s="213">
        <v>165.12</v>
      </c>
      <c r="I325" s="213">
        <v>113.09</v>
      </c>
      <c r="J325" s="213">
        <v>109.89</v>
      </c>
      <c r="K325" s="213">
        <v>111.49000000000001</v>
      </c>
      <c r="L325" s="213">
        <v>202.61</v>
      </c>
      <c r="M325" s="213">
        <v>194.61</v>
      </c>
      <c r="N325" s="213">
        <v>198.61</v>
      </c>
      <c r="O325" s="213">
        <v>176.99</v>
      </c>
      <c r="P325" s="213">
        <v>175.19</v>
      </c>
      <c r="Q325" s="213">
        <v>176.09</v>
      </c>
      <c r="R325" s="213">
        <v>22.43</v>
      </c>
      <c r="S325" s="213">
        <v>21.83</v>
      </c>
      <c r="T325" s="213">
        <v>22.13</v>
      </c>
      <c r="U325" s="213">
        <v>14.38</v>
      </c>
      <c r="V325" s="213">
        <v>13.780000000000001</v>
      </c>
      <c r="W325" s="213">
        <v>14.080000000000002</v>
      </c>
      <c r="X325" s="213">
        <v>14.67</v>
      </c>
      <c r="Y325" s="213">
        <v>13.87</v>
      </c>
      <c r="Z325" s="213">
        <v>14.27</v>
      </c>
      <c r="AA325" s="213">
        <v>103.13</v>
      </c>
      <c r="AB325" s="213">
        <v>99.13</v>
      </c>
      <c r="AC325" s="213">
        <v>101.13</v>
      </c>
      <c r="AD325" s="213">
        <v>93.63</v>
      </c>
      <c r="AE325" s="213">
        <v>89.63</v>
      </c>
      <c r="AF325" s="213">
        <v>91.63</v>
      </c>
      <c r="AG325" s="213">
        <v>20.58</v>
      </c>
      <c r="AH325" s="213">
        <v>19.72</v>
      </c>
      <c r="AI325" s="213">
        <v>20.149999999999999</v>
      </c>
      <c r="AJ325" s="213"/>
      <c r="AK325" s="213"/>
      <c r="AL325" s="213"/>
      <c r="AM325" s="213">
        <v>117.34</v>
      </c>
      <c r="AN325" s="213">
        <v>115.68</v>
      </c>
      <c r="AO325" s="213">
        <v>116.51</v>
      </c>
      <c r="AP325" s="213">
        <v>42.65</v>
      </c>
      <c r="AQ325" s="213">
        <v>41.05</v>
      </c>
      <c r="AR325" s="213">
        <v>41.849999999999994</v>
      </c>
      <c r="AS325" s="213">
        <v>43.45</v>
      </c>
      <c r="AT325" s="213">
        <v>42.09</v>
      </c>
      <c r="AU325" s="213">
        <v>42.77</v>
      </c>
      <c r="AV325" s="213">
        <v>21.93</v>
      </c>
      <c r="AW325" s="213">
        <v>21.33</v>
      </c>
      <c r="AX325" s="213">
        <v>21.63</v>
      </c>
      <c r="AY325" s="213">
        <v>4.57</v>
      </c>
      <c r="AZ325" s="213">
        <v>4.41</v>
      </c>
      <c r="BA325" s="213">
        <v>4.49</v>
      </c>
      <c r="BB325" s="213">
        <v>2.02</v>
      </c>
      <c r="BC325" s="213">
        <v>1.72</v>
      </c>
      <c r="BD325" s="213">
        <v>1.87</v>
      </c>
      <c r="BE325" s="213">
        <v>0.72</v>
      </c>
      <c r="BF325" s="213">
        <v>0.42</v>
      </c>
      <c r="BG325" s="213">
        <v>0.56999999999999995</v>
      </c>
      <c r="BH325" s="213">
        <v>518.71</v>
      </c>
      <c r="BI325" s="213">
        <v>502.71000000000004</v>
      </c>
      <c r="BJ325" s="213">
        <v>510.71000000000004</v>
      </c>
      <c r="BK325" s="213">
        <v>43.77</v>
      </c>
      <c r="BL325" s="213">
        <v>42.410000000000004</v>
      </c>
      <c r="BM325" s="213">
        <v>43.09</v>
      </c>
      <c r="BN325" s="213">
        <v>1.1100000000000001</v>
      </c>
      <c r="BO325" s="213">
        <v>0.87000000000000011</v>
      </c>
      <c r="BP325" s="213">
        <v>0.9900000000000001</v>
      </c>
      <c r="BQ325" s="213">
        <v>8.65</v>
      </c>
      <c r="BR325" s="213">
        <v>6.65</v>
      </c>
      <c r="BS325" s="213">
        <v>7.65</v>
      </c>
      <c r="BT325" s="213">
        <v>11.36</v>
      </c>
      <c r="BU325" s="213">
        <v>10.959999999999999</v>
      </c>
      <c r="BV325" s="213">
        <v>11.16</v>
      </c>
      <c r="BW325" s="213">
        <v>2.83</v>
      </c>
      <c r="BX325" s="213">
        <v>2.5499999999999998</v>
      </c>
      <c r="BY325" s="213">
        <v>2.69</v>
      </c>
      <c r="BZ325" s="213">
        <v>10.07</v>
      </c>
      <c r="CA325" s="213">
        <v>7.07</v>
      </c>
      <c r="CB325" s="213">
        <v>8.57</v>
      </c>
      <c r="CC325" s="213">
        <v>6.66</v>
      </c>
      <c r="CD325" s="213">
        <v>6.42</v>
      </c>
      <c r="CE325" s="213">
        <v>6.54</v>
      </c>
      <c r="CF325" s="213">
        <v>1.83</v>
      </c>
      <c r="CG325" s="213">
        <v>1.33</v>
      </c>
      <c r="CH325" s="213">
        <v>1.58</v>
      </c>
      <c r="CI325" s="213">
        <v>0.43</v>
      </c>
      <c r="CJ325" s="213">
        <v>0.39</v>
      </c>
      <c r="CK325" s="213">
        <v>0.41000000000000003</v>
      </c>
      <c r="CL325" s="213">
        <v>39.43</v>
      </c>
      <c r="CM325" s="213">
        <v>37.03</v>
      </c>
      <c r="CN325" s="213">
        <v>38.230000000000004</v>
      </c>
      <c r="CO325" s="213">
        <v>7.07</v>
      </c>
      <c r="CP325" s="213">
        <v>2.0700000000000003</v>
      </c>
      <c r="CQ325" s="213">
        <v>4.57</v>
      </c>
      <c r="CR325" s="213"/>
      <c r="CS325" s="213"/>
    </row>
    <row r="326" spans="1:97">
      <c r="A326" s="424">
        <v>45612</v>
      </c>
      <c r="B326" s="211" t="s">
        <v>252</v>
      </c>
      <c r="C326" s="213"/>
      <c r="D326" s="213"/>
      <c r="E326" s="213"/>
      <c r="F326" s="213"/>
      <c r="G326" s="213"/>
      <c r="H326" s="213"/>
      <c r="I326" s="213"/>
      <c r="J326" s="213"/>
      <c r="K326" s="213"/>
      <c r="L326" s="213"/>
      <c r="M326" s="213"/>
      <c r="N326" s="213"/>
      <c r="O326" s="213"/>
      <c r="P326" s="213"/>
      <c r="Q326" s="213"/>
      <c r="R326" s="213"/>
      <c r="S326" s="213"/>
      <c r="T326" s="213"/>
      <c r="U326" s="213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13"/>
      <c r="AF326" s="213"/>
      <c r="AG326" s="213"/>
      <c r="AH326" s="213"/>
      <c r="AI326" s="213"/>
      <c r="AJ326" s="213"/>
      <c r="AK326" s="213"/>
      <c r="AL326" s="213"/>
      <c r="AM326" s="213"/>
      <c r="AN326" s="213"/>
      <c r="AO326" s="213"/>
      <c r="AP326" s="213"/>
      <c r="AQ326" s="213"/>
      <c r="AR326" s="213"/>
      <c r="AS326" s="213"/>
      <c r="AT326" s="213"/>
      <c r="AU326" s="213"/>
      <c r="AV326" s="213"/>
      <c r="AW326" s="213"/>
      <c r="AX326" s="213"/>
      <c r="AY326" s="213"/>
      <c r="AZ326" s="213"/>
      <c r="BA326" s="213"/>
      <c r="BB326" s="213"/>
      <c r="BC326" s="213"/>
      <c r="BD326" s="213"/>
      <c r="BE326" s="213"/>
      <c r="BF326" s="213"/>
      <c r="BG326" s="213"/>
      <c r="BH326" s="213"/>
      <c r="BI326" s="213"/>
      <c r="BJ326" s="213"/>
      <c r="BK326" s="213"/>
      <c r="BL326" s="213"/>
      <c r="BM326" s="213"/>
      <c r="BN326" s="213"/>
      <c r="BO326" s="213"/>
      <c r="BP326" s="213"/>
      <c r="BQ326" s="213"/>
      <c r="BR326" s="213"/>
      <c r="BS326" s="213"/>
      <c r="BT326" s="213"/>
      <c r="BU326" s="213"/>
      <c r="BV326" s="213"/>
      <c r="BW326" s="213"/>
      <c r="BX326" s="213"/>
      <c r="BY326" s="213"/>
      <c r="BZ326" s="213"/>
      <c r="CA326" s="213"/>
      <c r="CB326" s="213"/>
      <c r="CC326" s="213"/>
      <c r="CD326" s="213"/>
      <c r="CE326" s="213"/>
      <c r="CF326" s="213"/>
      <c r="CG326" s="213"/>
      <c r="CH326" s="213"/>
      <c r="CI326" s="213"/>
      <c r="CJ326" s="213"/>
      <c r="CK326" s="213"/>
      <c r="CL326" s="213"/>
      <c r="CM326" s="213"/>
      <c r="CN326" s="213"/>
      <c r="CO326" s="213"/>
      <c r="CP326" s="213"/>
      <c r="CQ326" s="213"/>
      <c r="CR326" s="213"/>
      <c r="CS326" s="213"/>
    </row>
    <row r="327" spans="1:97">
      <c r="A327" s="424">
        <v>45613</v>
      </c>
      <c r="B327" s="211" t="s">
        <v>253</v>
      </c>
      <c r="C327" s="213"/>
      <c r="D327" s="213"/>
      <c r="E327" s="213"/>
      <c r="F327" s="213"/>
      <c r="G327" s="213"/>
      <c r="H327" s="213"/>
      <c r="I327" s="213"/>
      <c r="J327" s="213"/>
      <c r="K327" s="213"/>
      <c r="L327" s="213"/>
      <c r="M327" s="213"/>
      <c r="N327" s="213"/>
      <c r="O327" s="213"/>
      <c r="P327" s="213"/>
      <c r="Q327" s="213"/>
      <c r="R327" s="213"/>
      <c r="S327" s="213"/>
      <c r="T327" s="213"/>
      <c r="U327" s="213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13"/>
      <c r="AF327" s="213"/>
      <c r="AG327" s="213"/>
      <c r="AH327" s="213"/>
      <c r="AI327" s="213"/>
      <c r="AJ327" s="213"/>
      <c r="AK327" s="213"/>
      <c r="AL327" s="213"/>
      <c r="AM327" s="213"/>
      <c r="AN327" s="213"/>
      <c r="AO327" s="213"/>
      <c r="AP327" s="213"/>
      <c r="AQ327" s="213"/>
      <c r="AR327" s="213"/>
      <c r="AS327" s="213"/>
      <c r="AT327" s="213"/>
      <c r="AU327" s="213"/>
      <c r="AV327" s="213"/>
      <c r="AW327" s="213"/>
      <c r="AX327" s="213"/>
      <c r="AY327" s="213"/>
      <c r="AZ327" s="213"/>
      <c r="BA327" s="213"/>
      <c r="BB327" s="213"/>
      <c r="BC327" s="213"/>
      <c r="BD327" s="213"/>
      <c r="BE327" s="213"/>
      <c r="BF327" s="213"/>
      <c r="BG327" s="213"/>
      <c r="BH327" s="213"/>
      <c r="BI327" s="213"/>
      <c r="BJ327" s="213"/>
      <c r="BK327" s="213"/>
      <c r="BL327" s="213"/>
      <c r="BM327" s="213"/>
      <c r="BN327" s="213"/>
      <c r="BO327" s="213"/>
      <c r="BP327" s="213"/>
      <c r="BQ327" s="213"/>
      <c r="BR327" s="213"/>
      <c r="BS327" s="213"/>
      <c r="BT327" s="213"/>
      <c r="BU327" s="213"/>
      <c r="BV327" s="213"/>
      <c r="BW327" s="213"/>
      <c r="BX327" s="213"/>
      <c r="BY327" s="213"/>
      <c r="BZ327" s="213"/>
      <c r="CA327" s="213"/>
      <c r="CB327" s="213"/>
      <c r="CC327" s="213"/>
      <c r="CD327" s="213"/>
      <c r="CE327" s="213"/>
      <c r="CF327" s="213"/>
      <c r="CG327" s="213"/>
      <c r="CH327" s="213"/>
      <c r="CI327" s="213"/>
      <c r="CJ327" s="213"/>
      <c r="CK327" s="213"/>
      <c r="CL327" s="213"/>
      <c r="CM327" s="213"/>
      <c r="CN327" s="213"/>
      <c r="CO327" s="213"/>
      <c r="CP327" s="213"/>
      <c r="CQ327" s="213"/>
      <c r="CR327" s="213"/>
      <c r="CS327" s="213"/>
    </row>
    <row r="328" spans="1:97">
      <c r="A328" s="424">
        <v>45614</v>
      </c>
      <c r="B328" s="211" t="s">
        <v>247</v>
      </c>
      <c r="C328" s="213">
        <v>155.35</v>
      </c>
      <c r="D328" s="213">
        <v>153.35</v>
      </c>
      <c r="E328" s="213">
        <v>154.35</v>
      </c>
      <c r="F328" s="213">
        <v>164.28</v>
      </c>
      <c r="G328" s="213">
        <v>161.28</v>
      </c>
      <c r="H328" s="213">
        <v>162.78</v>
      </c>
      <c r="I328" s="213">
        <v>111.25</v>
      </c>
      <c r="J328" s="213">
        <v>108.05</v>
      </c>
      <c r="K328" s="213">
        <v>109.65</v>
      </c>
      <c r="L328" s="213">
        <v>199.02</v>
      </c>
      <c r="M328" s="213">
        <v>191.02</v>
      </c>
      <c r="N328" s="213">
        <v>195.02</v>
      </c>
      <c r="O328" s="213">
        <v>174.8</v>
      </c>
      <c r="P328" s="213">
        <v>173</v>
      </c>
      <c r="Q328" s="213">
        <v>173.9</v>
      </c>
      <c r="R328" s="213">
        <v>22.12</v>
      </c>
      <c r="S328" s="213">
        <v>21.52</v>
      </c>
      <c r="T328" s="213">
        <v>21.82</v>
      </c>
      <c r="U328" s="213">
        <v>14.25</v>
      </c>
      <c r="V328" s="213">
        <v>13.65</v>
      </c>
      <c r="W328" s="213">
        <v>13.95</v>
      </c>
      <c r="X328" s="213">
        <v>14.48</v>
      </c>
      <c r="Y328" s="213">
        <v>13.68</v>
      </c>
      <c r="Z328" s="213">
        <v>14.08</v>
      </c>
      <c r="AA328" s="213">
        <v>101.96</v>
      </c>
      <c r="AB328" s="213">
        <v>97.96</v>
      </c>
      <c r="AC328" s="213">
        <v>99.96</v>
      </c>
      <c r="AD328" s="213">
        <v>92.68</v>
      </c>
      <c r="AE328" s="213">
        <v>88.68</v>
      </c>
      <c r="AF328" s="213">
        <v>90.68</v>
      </c>
      <c r="AG328" s="213">
        <v>20.260000000000002</v>
      </c>
      <c r="AH328" s="213">
        <v>19.400000000000002</v>
      </c>
      <c r="AI328" s="213">
        <v>19.830000000000002</v>
      </c>
      <c r="AJ328" s="213"/>
      <c r="AK328" s="213"/>
      <c r="AL328" s="213"/>
      <c r="AM328" s="213">
        <v>115.98</v>
      </c>
      <c r="AN328" s="213">
        <v>114.32000000000001</v>
      </c>
      <c r="AO328" s="213">
        <v>115.15</v>
      </c>
      <c r="AP328" s="213">
        <v>41.99</v>
      </c>
      <c r="AQ328" s="213">
        <v>40.39</v>
      </c>
      <c r="AR328" s="213">
        <v>41.19</v>
      </c>
      <c r="AS328" s="213">
        <v>42.77</v>
      </c>
      <c r="AT328" s="213">
        <v>41.410000000000004</v>
      </c>
      <c r="AU328" s="213">
        <v>42.09</v>
      </c>
      <c r="AV328" s="213">
        <v>21.64</v>
      </c>
      <c r="AW328" s="213">
        <v>21.04</v>
      </c>
      <c r="AX328" s="213">
        <v>21.34</v>
      </c>
      <c r="AY328" s="213">
        <v>4.53</v>
      </c>
      <c r="AZ328" s="213">
        <v>4.37</v>
      </c>
      <c r="BA328" s="213">
        <v>4.45</v>
      </c>
      <c r="BB328" s="213">
        <v>1.99</v>
      </c>
      <c r="BC328" s="213">
        <v>1.69</v>
      </c>
      <c r="BD328" s="213">
        <v>1.8399999999999999</v>
      </c>
      <c r="BE328" s="213">
        <v>0.71</v>
      </c>
      <c r="BF328" s="213">
        <v>0.41</v>
      </c>
      <c r="BG328" s="213">
        <v>0.55999999999999994</v>
      </c>
      <c r="BH328" s="213">
        <v>510.77</v>
      </c>
      <c r="BI328" s="213">
        <v>494.77</v>
      </c>
      <c r="BJ328" s="213">
        <v>502.77</v>
      </c>
      <c r="BK328" s="213">
        <v>43.08</v>
      </c>
      <c r="BL328" s="213">
        <v>41.72</v>
      </c>
      <c r="BM328" s="213">
        <v>42.4</v>
      </c>
      <c r="BN328" s="213">
        <v>1.1000000000000001</v>
      </c>
      <c r="BO328" s="213">
        <v>0.8600000000000001</v>
      </c>
      <c r="BP328" s="213">
        <v>0.98000000000000009</v>
      </c>
      <c r="BQ328" s="213">
        <v>8.59</v>
      </c>
      <c r="BR328" s="213">
        <v>6.59</v>
      </c>
      <c r="BS328" s="213">
        <v>7.59</v>
      </c>
      <c r="BT328" s="213">
        <v>11.31</v>
      </c>
      <c r="BU328" s="213">
        <v>10.91</v>
      </c>
      <c r="BV328" s="213">
        <v>11.11</v>
      </c>
      <c r="BW328" s="213">
        <v>2.79</v>
      </c>
      <c r="BX328" s="213">
        <v>2.5099999999999998</v>
      </c>
      <c r="BY328" s="213">
        <v>2.65</v>
      </c>
      <c r="BZ328" s="213">
        <v>10.01</v>
      </c>
      <c r="CA328" s="213">
        <v>7.01</v>
      </c>
      <c r="CB328" s="213">
        <v>8.51</v>
      </c>
      <c r="CC328" s="213">
        <v>6.57</v>
      </c>
      <c r="CD328" s="213">
        <v>6.33</v>
      </c>
      <c r="CE328" s="213">
        <v>6.45</v>
      </c>
      <c r="CF328" s="213">
        <v>1.8</v>
      </c>
      <c r="CG328" s="213">
        <v>1.3</v>
      </c>
      <c r="CH328" s="213">
        <v>1.55</v>
      </c>
      <c r="CI328" s="213">
        <v>0.42</v>
      </c>
      <c r="CJ328" s="213">
        <v>0.38</v>
      </c>
      <c r="CK328" s="213">
        <v>0.4</v>
      </c>
      <c r="CL328" s="213">
        <v>38.86</v>
      </c>
      <c r="CM328" s="213">
        <v>36.46</v>
      </c>
      <c r="CN328" s="213">
        <v>37.659999999999997</v>
      </c>
      <c r="CO328" s="213">
        <v>6.99</v>
      </c>
      <c r="CP328" s="213">
        <v>1.9900000000000002</v>
      </c>
      <c r="CQ328" s="213">
        <v>4.49</v>
      </c>
      <c r="CR328" s="213"/>
      <c r="CS328" s="213"/>
    </row>
    <row r="329" spans="1:97">
      <c r="A329" s="424">
        <v>45615</v>
      </c>
      <c r="B329" s="211" t="s">
        <v>248</v>
      </c>
      <c r="C329" s="213">
        <v>155.47999999999999</v>
      </c>
      <c r="D329" s="213">
        <v>153.47999999999999</v>
      </c>
      <c r="E329" s="213">
        <v>154.47999999999999</v>
      </c>
      <c r="F329" s="213">
        <v>165.11</v>
      </c>
      <c r="G329" s="213">
        <v>162.11000000000001</v>
      </c>
      <c r="H329" s="213">
        <v>163.61000000000001</v>
      </c>
      <c r="I329" s="213">
        <v>111.72</v>
      </c>
      <c r="J329" s="213">
        <v>108.52</v>
      </c>
      <c r="K329" s="213">
        <v>110.12</v>
      </c>
      <c r="L329" s="213">
        <v>199.74</v>
      </c>
      <c r="M329" s="213">
        <v>191.74</v>
      </c>
      <c r="N329" s="213">
        <v>195.74</v>
      </c>
      <c r="O329" s="213">
        <v>175.73</v>
      </c>
      <c r="P329" s="213">
        <v>173.92999999999998</v>
      </c>
      <c r="Q329" s="213">
        <v>174.82999999999998</v>
      </c>
      <c r="R329" s="213">
        <v>22.23</v>
      </c>
      <c r="S329" s="213">
        <v>21.63</v>
      </c>
      <c r="T329" s="213">
        <v>21.93</v>
      </c>
      <c r="U329" s="213">
        <v>14.3</v>
      </c>
      <c r="V329" s="213">
        <v>13.700000000000001</v>
      </c>
      <c r="W329" s="213">
        <v>14</v>
      </c>
      <c r="X329" s="213">
        <v>14.53</v>
      </c>
      <c r="Y329" s="213">
        <v>13.729999999999999</v>
      </c>
      <c r="Z329" s="213">
        <v>14.129999999999999</v>
      </c>
      <c r="AA329" s="213">
        <v>102.37</v>
      </c>
      <c r="AB329" s="213">
        <v>98.37</v>
      </c>
      <c r="AC329" s="213">
        <v>100.37</v>
      </c>
      <c r="AD329" s="213">
        <v>92.83</v>
      </c>
      <c r="AE329" s="213">
        <v>88.83</v>
      </c>
      <c r="AF329" s="213">
        <v>90.83</v>
      </c>
      <c r="AG329" s="213">
        <v>20.28</v>
      </c>
      <c r="AH329" s="213">
        <v>19.420000000000002</v>
      </c>
      <c r="AI329" s="213">
        <v>19.850000000000001</v>
      </c>
      <c r="AJ329" s="213"/>
      <c r="AK329" s="213"/>
      <c r="AL329" s="213"/>
      <c r="AM329" s="213">
        <v>116.15</v>
      </c>
      <c r="AN329" s="213">
        <v>114.49000000000001</v>
      </c>
      <c r="AO329" s="213">
        <v>115.32000000000001</v>
      </c>
      <c r="AP329" s="213">
        <v>42.02</v>
      </c>
      <c r="AQ329" s="213">
        <v>40.42</v>
      </c>
      <c r="AR329" s="213">
        <v>41.22</v>
      </c>
      <c r="AS329" s="213">
        <v>42.81</v>
      </c>
      <c r="AT329" s="213">
        <v>41.45</v>
      </c>
      <c r="AU329" s="213">
        <v>42.13</v>
      </c>
      <c r="AV329" s="213">
        <v>21.67</v>
      </c>
      <c r="AW329" s="213">
        <v>21.07</v>
      </c>
      <c r="AX329" s="213">
        <v>21.37</v>
      </c>
      <c r="AY329" s="213">
        <v>4.55</v>
      </c>
      <c r="AZ329" s="213">
        <v>4.3899999999999997</v>
      </c>
      <c r="BA329" s="213">
        <v>4.47</v>
      </c>
      <c r="BB329" s="213">
        <v>1.99</v>
      </c>
      <c r="BC329" s="213">
        <v>1.69</v>
      </c>
      <c r="BD329" s="213">
        <v>1.8399999999999999</v>
      </c>
      <c r="BE329" s="213">
        <v>0.71</v>
      </c>
      <c r="BF329" s="213">
        <v>0.41</v>
      </c>
      <c r="BG329" s="213">
        <v>0.55999999999999994</v>
      </c>
      <c r="BH329" s="213">
        <v>511.52</v>
      </c>
      <c r="BI329" s="213">
        <v>495.52</v>
      </c>
      <c r="BJ329" s="213">
        <v>503.52</v>
      </c>
      <c r="BK329" s="213">
        <v>43.12</v>
      </c>
      <c r="BL329" s="213">
        <v>41.76</v>
      </c>
      <c r="BM329" s="213">
        <v>42.44</v>
      </c>
      <c r="BN329" s="213">
        <v>1.1000000000000001</v>
      </c>
      <c r="BO329" s="213">
        <v>0.8600000000000001</v>
      </c>
      <c r="BP329" s="213">
        <v>0.98000000000000009</v>
      </c>
      <c r="BQ329" s="213">
        <v>8.64</v>
      </c>
      <c r="BR329" s="213">
        <v>6.6400000000000006</v>
      </c>
      <c r="BS329" s="213">
        <v>7.6400000000000006</v>
      </c>
      <c r="BT329" s="213">
        <v>11.3</v>
      </c>
      <c r="BU329" s="213">
        <v>10.9</v>
      </c>
      <c r="BV329" s="213">
        <v>11.100000000000001</v>
      </c>
      <c r="BW329" s="213">
        <v>2.79</v>
      </c>
      <c r="BX329" s="213">
        <v>2.5099999999999998</v>
      </c>
      <c r="BY329" s="213">
        <v>2.65</v>
      </c>
      <c r="BZ329" s="213">
        <v>10.1</v>
      </c>
      <c r="CA329" s="213">
        <v>7.1</v>
      </c>
      <c r="CB329" s="213">
        <v>8.6</v>
      </c>
      <c r="CC329" s="213">
        <v>6.59</v>
      </c>
      <c r="CD329" s="213">
        <v>6.35</v>
      </c>
      <c r="CE329" s="213">
        <v>6.47</v>
      </c>
      <c r="CF329" s="213">
        <v>1.8</v>
      </c>
      <c r="CG329" s="213">
        <v>1.3</v>
      </c>
      <c r="CH329" s="213">
        <v>1.55</v>
      </c>
      <c r="CI329" s="213">
        <v>0.42</v>
      </c>
      <c r="CJ329" s="213">
        <v>0.38</v>
      </c>
      <c r="CK329" s="213">
        <v>0.4</v>
      </c>
      <c r="CL329" s="213">
        <v>38.96</v>
      </c>
      <c r="CM329" s="213">
        <v>36.56</v>
      </c>
      <c r="CN329" s="213">
        <v>37.760000000000005</v>
      </c>
      <c r="CO329" s="213">
        <v>6.98</v>
      </c>
      <c r="CP329" s="213">
        <v>1.9800000000000004</v>
      </c>
      <c r="CQ329" s="213">
        <v>4.4800000000000004</v>
      </c>
      <c r="CR329" s="213"/>
      <c r="CS329" s="213"/>
    </row>
    <row r="330" spans="1:97">
      <c r="A330" s="424">
        <v>45616</v>
      </c>
      <c r="B330" s="211" t="s">
        <v>249</v>
      </c>
      <c r="C330" s="213">
        <v>155.91</v>
      </c>
      <c r="D330" s="213">
        <v>153.91</v>
      </c>
      <c r="E330" s="213">
        <v>154.91</v>
      </c>
      <c r="F330" s="213">
        <v>165.77</v>
      </c>
      <c r="G330" s="213">
        <v>162.77000000000001</v>
      </c>
      <c r="H330" s="213">
        <v>164.27</v>
      </c>
      <c r="I330" s="213">
        <v>112.58</v>
      </c>
      <c r="J330" s="213">
        <v>109.38</v>
      </c>
      <c r="K330" s="213">
        <v>110.97999999999999</v>
      </c>
      <c r="L330" s="213">
        <v>200.6</v>
      </c>
      <c r="M330" s="213">
        <v>192.6</v>
      </c>
      <c r="N330" s="213">
        <v>196.6</v>
      </c>
      <c r="O330" s="213">
        <v>176.42</v>
      </c>
      <c r="P330" s="213">
        <v>174.61999999999998</v>
      </c>
      <c r="Q330" s="213">
        <v>175.51999999999998</v>
      </c>
      <c r="R330" s="213">
        <v>22.32</v>
      </c>
      <c r="S330" s="213">
        <v>21.72</v>
      </c>
      <c r="T330" s="213">
        <v>22.02</v>
      </c>
      <c r="U330" s="213">
        <v>14.43</v>
      </c>
      <c r="V330" s="213">
        <v>13.83</v>
      </c>
      <c r="W330" s="213">
        <v>14.129999999999999</v>
      </c>
      <c r="X330" s="213">
        <v>14.61</v>
      </c>
      <c r="Y330" s="213">
        <v>13.809999999999999</v>
      </c>
      <c r="Z330" s="213">
        <v>14.209999999999999</v>
      </c>
      <c r="AA330" s="213">
        <v>103.3</v>
      </c>
      <c r="AB330" s="213">
        <v>99.3</v>
      </c>
      <c r="AC330" s="213">
        <v>101.3</v>
      </c>
      <c r="AD330" s="213">
        <v>93.69</v>
      </c>
      <c r="AE330" s="213">
        <v>89.69</v>
      </c>
      <c r="AF330" s="213">
        <v>91.69</v>
      </c>
      <c r="AG330" s="213">
        <v>20.329999999999998</v>
      </c>
      <c r="AH330" s="213">
        <v>19.47</v>
      </c>
      <c r="AI330" s="213">
        <v>19.899999999999999</v>
      </c>
      <c r="AJ330" s="213"/>
      <c r="AK330" s="213"/>
      <c r="AL330" s="213"/>
      <c r="AM330" s="213">
        <v>116.69</v>
      </c>
      <c r="AN330" s="213">
        <v>115.03</v>
      </c>
      <c r="AO330" s="213">
        <v>115.86</v>
      </c>
      <c r="AP330" s="213">
        <v>42.13</v>
      </c>
      <c r="AQ330" s="213">
        <v>40.53</v>
      </c>
      <c r="AR330" s="213">
        <v>41.33</v>
      </c>
      <c r="AS330" s="213">
        <v>42.82</v>
      </c>
      <c r="AT330" s="213">
        <v>41.46</v>
      </c>
      <c r="AU330" s="213">
        <v>42.14</v>
      </c>
      <c r="AV330" s="213">
        <v>21.72</v>
      </c>
      <c r="AW330" s="213">
        <v>21.119999999999997</v>
      </c>
      <c r="AX330" s="213">
        <v>21.419999999999998</v>
      </c>
      <c r="AY330" s="213">
        <v>4.58</v>
      </c>
      <c r="AZ330" s="213">
        <v>4.42</v>
      </c>
      <c r="BA330" s="213">
        <v>4.5</v>
      </c>
      <c r="BB330" s="213">
        <v>1.99</v>
      </c>
      <c r="BC330" s="213">
        <v>1.69</v>
      </c>
      <c r="BD330" s="213">
        <v>1.8399999999999999</v>
      </c>
      <c r="BE330" s="213">
        <v>0.71</v>
      </c>
      <c r="BF330" s="213">
        <v>0.41</v>
      </c>
      <c r="BG330" s="213">
        <v>0.55999999999999994</v>
      </c>
      <c r="BH330" s="213">
        <v>512.91999999999996</v>
      </c>
      <c r="BI330" s="213">
        <v>496.91999999999996</v>
      </c>
      <c r="BJ330" s="213">
        <v>504.91999999999996</v>
      </c>
      <c r="BK330" s="213">
        <v>43.24</v>
      </c>
      <c r="BL330" s="213">
        <v>41.88</v>
      </c>
      <c r="BM330" s="213">
        <v>42.56</v>
      </c>
      <c r="BN330" s="213">
        <v>1.1000000000000001</v>
      </c>
      <c r="BO330" s="213">
        <v>0.8600000000000001</v>
      </c>
      <c r="BP330" s="213">
        <v>0.98000000000000009</v>
      </c>
      <c r="BQ330" s="213">
        <v>8.6999999999999993</v>
      </c>
      <c r="BR330" s="213">
        <v>6.6999999999999993</v>
      </c>
      <c r="BS330" s="213">
        <v>7.6999999999999993</v>
      </c>
      <c r="BT330" s="213">
        <v>11.34</v>
      </c>
      <c r="BU330" s="213">
        <v>10.94</v>
      </c>
      <c r="BV330" s="213">
        <v>11.14</v>
      </c>
      <c r="BW330" s="213">
        <v>2.79</v>
      </c>
      <c r="BX330" s="213">
        <v>2.5099999999999998</v>
      </c>
      <c r="BY330" s="213">
        <v>2.65</v>
      </c>
      <c r="BZ330" s="213">
        <v>10.08</v>
      </c>
      <c r="CA330" s="213">
        <v>7.08</v>
      </c>
      <c r="CB330" s="213">
        <v>8.58</v>
      </c>
      <c r="CC330" s="213">
        <v>6.62</v>
      </c>
      <c r="CD330" s="213">
        <v>6.38</v>
      </c>
      <c r="CE330" s="213">
        <v>6.5</v>
      </c>
      <c r="CF330" s="213">
        <v>1.79</v>
      </c>
      <c r="CG330" s="213">
        <v>1.29</v>
      </c>
      <c r="CH330" s="213">
        <v>1.54</v>
      </c>
      <c r="CI330" s="213">
        <v>0.42</v>
      </c>
      <c r="CJ330" s="213">
        <v>0.38</v>
      </c>
      <c r="CK330" s="213">
        <v>0.4</v>
      </c>
      <c r="CL330" s="213">
        <v>39.14</v>
      </c>
      <c r="CM330" s="213">
        <v>36.74</v>
      </c>
      <c r="CN330" s="213">
        <v>37.94</v>
      </c>
      <c r="CO330" s="213">
        <v>7</v>
      </c>
      <c r="CP330" s="213">
        <v>2</v>
      </c>
      <c r="CQ330" s="213">
        <v>4.5</v>
      </c>
      <c r="CR330" s="213"/>
      <c r="CS330" s="213"/>
    </row>
    <row r="331" spans="1:97">
      <c r="A331" s="424">
        <v>45617</v>
      </c>
      <c r="B331" s="211" t="s">
        <v>250</v>
      </c>
      <c r="C331" s="213">
        <v>156.13</v>
      </c>
      <c r="D331" s="213">
        <v>154.13</v>
      </c>
      <c r="E331" s="213">
        <v>155.13</v>
      </c>
      <c r="F331" s="213">
        <v>165.08</v>
      </c>
      <c r="G331" s="213">
        <v>162.08000000000001</v>
      </c>
      <c r="H331" s="213">
        <v>163.58000000000001</v>
      </c>
      <c r="I331" s="213">
        <v>112.64</v>
      </c>
      <c r="J331" s="213">
        <v>109.44</v>
      </c>
      <c r="K331" s="213">
        <v>111.03999999999999</v>
      </c>
      <c r="L331" s="213">
        <v>200.38</v>
      </c>
      <c r="M331" s="213">
        <v>192.38</v>
      </c>
      <c r="N331" s="213">
        <v>196.38</v>
      </c>
      <c r="O331" s="213">
        <v>176.49</v>
      </c>
      <c r="P331" s="213">
        <v>174.69</v>
      </c>
      <c r="Q331" s="213">
        <v>175.59</v>
      </c>
      <c r="R331" s="213">
        <v>22.23</v>
      </c>
      <c r="S331" s="213">
        <v>21.63</v>
      </c>
      <c r="T331" s="213">
        <v>21.93</v>
      </c>
      <c r="U331" s="213">
        <v>14.33</v>
      </c>
      <c r="V331" s="213">
        <v>13.73</v>
      </c>
      <c r="W331" s="213">
        <v>14.030000000000001</v>
      </c>
      <c r="X331" s="213">
        <v>14.48</v>
      </c>
      <c r="Y331" s="213">
        <v>13.68</v>
      </c>
      <c r="Z331" s="213">
        <v>14.08</v>
      </c>
      <c r="AA331" s="213">
        <v>103.05</v>
      </c>
      <c r="AB331" s="213">
        <v>99.05</v>
      </c>
      <c r="AC331" s="213">
        <v>101.05</v>
      </c>
      <c r="AD331" s="213">
        <v>93.23</v>
      </c>
      <c r="AE331" s="213">
        <v>89.23</v>
      </c>
      <c r="AF331" s="213">
        <v>91.23</v>
      </c>
      <c r="AG331" s="213">
        <v>20.36</v>
      </c>
      <c r="AH331" s="213">
        <v>19.5</v>
      </c>
      <c r="AI331" s="213">
        <v>19.93</v>
      </c>
      <c r="AJ331" s="213"/>
      <c r="AK331" s="213"/>
      <c r="AL331" s="213"/>
      <c r="AM331" s="213">
        <v>116.34</v>
      </c>
      <c r="AN331" s="213">
        <v>114.68</v>
      </c>
      <c r="AO331" s="213">
        <v>115.51</v>
      </c>
      <c r="AP331" s="213">
        <v>42.19</v>
      </c>
      <c r="AQ331" s="213">
        <v>40.589999999999996</v>
      </c>
      <c r="AR331" s="213">
        <v>41.39</v>
      </c>
      <c r="AS331" s="213">
        <v>42.98</v>
      </c>
      <c r="AT331" s="213">
        <v>41.62</v>
      </c>
      <c r="AU331" s="213">
        <v>42.3</v>
      </c>
      <c r="AV331" s="213">
        <v>21.7</v>
      </c>
      <c r="AW331" s="213">
        <v>21.099999999999998</v>
      </c>
      <c r="AX331" s="213">
        <v>21.4</v>
      </c>
      <c r="AY331" s="213">
        <v>4.5599999999999996</v>
      </c>
      <c r="AZ331" s="213">
        <v>4.3999999999999995</v>
      </c>
      <c r="BA331" s="213">
        <v>4.4799999999999995</v>
      </c>
      <c r="BB331" s="213">
        <v>2</v>
      </c>
      <c r="BC331" s="213">
        <v>1.7</v>
      </c>
      <c r="BD331" s="213">
        <v>1.85</v>
      </c>
      <c r="BE331" s="213">
        <v>0.71</v>
      </c>
      <c r="BF331" s="213">
        <v>0.41</v>
      </c>
      <c r="BG331" s="213">
        <v>0.55999999999999994</v>
      </c>
      <c r="BH331" s="213">
        <v>513.47</v>
      </c>
      <c r="BI331" s="213">
        <v>497.47</v>
      </c>
      <c r="BJ331" s="213">
        <v>505.47</v>
      </c>
      <c r="BK331" s="213">
        <v>43.3</v>
      </c>
      <c r="BL331" s="213">
        <v>41.94</v>
      </c>
      <c r="BM331" s="213">
        <v>42.62</v>
      </c>
      <c r="BN331" s="213">
        <v>1.1000000000000001</v>
      </c>
      <c r="BO331" s="213">
        <v>0.8600000000000001</v>
      </c>
      <c r="BP331" s="213">
        <v>0.98000000000000009</v>
      </c>
      <c r="BQ331" s="213">
        <v>8.64</v>
      </c>
      <c r="BR331" s="213">
        <v>6.6400000000000006</v>
      </c>
      <c r="BS331" s="213">
        <v>7.6400000000000006</v>
      </c>
      <c r="BT331" s="213">
        <v>11.32</v>
      </c>
      <c r="BU331" s="213">
        <v>10.92</v>
      </c>
      <c r="BV331" s="213">
        <v>11.120000000000001</v>
      </c>
      <c r="BW331" s="213">
        <v>2.79</v>
      </c>
      <c r="BX331" s="213">
        <v>2.5099999999999998</v>
      </c>
      <c r="BY331" s="213">
        <v>2.65</v>
      </c>
      <c r="BZ331" s="213">
        <v>10.06</v>
      </c>
      <c r="CA331" s="213">
        <v>7.0600000000000005</v>
      </c>
      <c r="CB331" s="213">
        <v>8.56</v>
      </c>
      <c r="CC331" s="213">
        <v>6.58</v>
      </c>
      <c r="CD331" s="213">
        <v>6.34</v>
      </c>
      <c r="CE331" s="213">
        <v>6.46</v>
      </c>
      <c r="CF331" s="213">
        <v>1.8</v>
      </c>
      <c r="CG331" s="213">
        <v>1.3</v>
      </c>
      <c r="CH331" s="213">
        <v>1.55</v>
      </c>
      <c r="CI331" s="213">
        <v>0.42</v>
      </c>
      <c r="CJ331" s="213">
        <v>0.38</v>
      </c>
      <c r="CK331" s="213">
        <v>0.4</v>
      </c>
      <c r="CL331" s="213">
        <v>38.96</v>
      </c>
      <c r="CM331" s="213">
        <v>36.56</v>
      </c>
      <c r="CN331" s="213">
        <v>37.760000000000005</v>
      </c>
      <c r="CO331" s="213">
        <v>7.01</v>
      </c>
      <c r="CP331" s="213">
        <v>2.0099999999999998</v>
      </c>
      <c r="CQ331" s="213">
        <v>4.51</v>
      </c>
      <c r="CR331" s="213"/>
      <c r="CS331" s="213"/>
    </row>
    <row r="332" spans="1:97">
      <c r="A332" s="424">
        <v>45618</v>
      </c>
      <c r="B332" s="211" t="s">
        <v>251</v>
      </c>
      <c r="C332" s="213">
        <v>155.52000000000001</v>
      </c>
      <c r="D332" s="213">
        <v>153.52000000000001</v>
      </c>
      <c r="E332" s="213">
        <v>154.52000000000001</v>
      </c>
      <c r="F332" s="213">
        <v>163.34</v>
      </c>
      <c r="G332" s="213">
        <v>160.34</v>
      </c>
      <c r="H332" s="213">
        <v>161.84</v>
      </c>
      <c r="I332" s="213">
        <v>112.19</v>
      </c>
      <c r="J332" s="213">
        <v>108.99</v>
      </c>
      <c r="K332" s="213">
        <v>110.59</v>
      </c>
      <c r="L332" s="213">
        <v>198.56</v>
      </c>
      <c r="M332" s="213">
        <v>190.56</v>
      </c>
      <c r="N332" s="213">
        <v>194.56</v>
      </c>
      <c r="O332" s="213">
        <v>175.14</v>
      </c>
      <c r="P332" s="213">
        <v>173.33999999999997</v>
      </c>
      <c r="Q332" s="213">
        <v>174.23999999999998</v>
      </c>
      <c r="R332" s="213">
        <v>22</v>
      </c>
      <c r="S332" s="213">
        <v>21.4</v>
      </c>
      <c r="T332" s="213">
        <v>21.7</v>
      </c>
      <c r="U332" s="213">
        <v>14.25</v>
      </c>
      <c r="V332" s="213">
        <v>13.65</v>
      </c>
      <c r="W332" s="213">
        <v>13.95</v>
      </c>
      <c r="X332" s="213">
        <v>14.36</v>
      </c>
      <c r="Y332" s="213">
        <v>13.559999999999999</v>
      </c>
      <c r="Z332" s="213">
        <v>13.959999999999999</v>
      </c>
      <c r="AA332" s="213">
        <v>102.69</v>
      </c>
      <c r="AB332" s="213">
        <v>98.69</v>
      </c>
      <c r="AC332" s="213">
        <v>100.69</v>
      </c>
      <c r="AD332" s="213">
        <v>92.47</v>
      </c>
      <c r="AE332" s="213">
        <v>88.47</v>
      </c>
      <c r="AF332" s="213">
        <v>90.47</v>
      </c>
      <c r="AG332" s="213">
        <v>20.28</v>
      </c>
      <c r="AH332" s="213">
        <v>19.420000000000002</v>
      </c>
      <c r="AI332" s="213">
        <v>19.850000000000001</v>
      </c>
      <c r="AJ332" s="213"/>
      <c r="AK332" s="213"/>
      <c r="AL332" s="213"/>
      <c r="AM332" s="213">
        <v>115.56</v>
      </c>
      <c r="AN332" s="213">
        <v>113.9</v>
      </c>
      <c r="AO332" s="213">
        <v>114.73</v>
      </c>
      <c r="AP332" s="213">
        <v>42.03</v>
      </c>
      <c r="AQ332" s="213">
        <v>40.43</v>
      </c>
      <c r="AR332" s="213">
        <v>41.230000000000004</v>
      </c>
      <c r="AS332" s="213">
        <v>42.82</v>
      </c>
      <c r="AT332" s="213">
        <v>41.46</v>
      </c>
      <c r="AU332" s="213">
        <v>42.14</v>
      </c>
      <c r="AV332" s="213">
        <v>21.6</v>
      </c>
      <c r="AW332" s="213">
        <v>21</v>
      </c>
      <c r="AX332" s="213">
        <v>21.3</v>
      </c>
      <c r="AY332" s="213">
        <v>4.53</v>
      </c>
      <c r="AZ332" s="213">
        <v>4.37</v>
      </c>
      <c r="BA332" s="213">
        <v>4.45</v>
      </c>
      <c r="BB332" s="213">
        <v>1.99</v>
      </c>
      <c r="BC332" s="213">
        <v>1.69</v>
      </c>
      <c r="BD332" s="213">
        <v>1.8399999999999999</v>
      </c>
      <c r="BE332" s="213">
        <v>0.71</v>
      </c>
      <c r="BF332" s="213">
        <v>0.41</v>
      </c>
      <c r="BG332" s="213">
        <v>0.55999999999999994</v>
      </c>
      <c r="BH332" s="213">
        <v>510.83</v>
      </c>
      <c r="BI332" s="213">
        <v>494.83</v>
      </c>
      <c r="BJ332" s="213">
        <v>502.83</v>
      </c>
      <c r="BK332" s="213">
        <v>43.13</v>
      </c>
      <c r="BL332" s="213">
        <v>41.77</v>
      </c>
      <c r="BM332" s="213">
        <v>42.45</v>
      </c>
      <c r="BN332" s="213">
        <v>1.0900000000000001</v>
      </c>
      <c r="BO332" s="213">
        <v>0.85000000000000009</v>
      </c>
      <c r="BP332" s="213">
        <v>0.97000000000000008</v>
      </c>
      <c r="BQ332" s="213">
        <v>8.56</v>
      </c>
      <c r="BR332" s="213">
        <v>6.5600000000000005</v>
      </c>
      <c r="BS332" s="213">
        <v>7.5600000000000005</v>
      </c>
      <c r="BT332" s="213">
        <v>11.24</v>
      </c>
      <c r="BU332" s="213">
        <v>10.84</v>
      </c>
      <c r="BV332" s="213">
        <v>11.04</v>
      </c>
      <c r="BW332" s="213">
        <v>2.78</v>
      </c>
      <c r="BX332" s="213">
        <v>2.5</v>
      </c>
      <c r="BY332" s="213">
        <v>2.6399999999999997</v>
      </c>
      <c r="BZ332" s="213">
        <v>10.039999999999999</v>
      </c>
      <c r="CA332" s="213">
        <v>7.0399999999999991</v>
      </c>
      <c r="CB332" s="213">
        <v>8.5399999999999991</v>
      </c>
      <c r="CC332" s="213">
        <v>6.51</v>
      </c>
      <c r="CD332" s="213">
        <v>6.27</v>
      </c>
      <c r="CE332" s="213">
        <v>6.39</v>
      </c>
      <c r="CF332" s="213">
        <v>1.78</v>
      </c>
      <c r="CG332" s="213">
        <v>1.28</v>
      </c>
      <c r="CH332" s="213">
        <v>1.53</v>
      </c>
      <c r="CI332" s="213">
        <v>0.41</v>
      </c>
      <c r="CJ332" s="213">
        <v>0.37</v>
      </c>
      <c r="CK332" s="213">
        <v>0.39</v>
      </c>
      <c r="CL332" s="213">
        <v>38.49</v>
      </c>
      <c r="CM332" s="213">
        <v>36.090000000000003</v>
      </c>
      <c r="CN332" s="213">
        <v>37.290000000000006</v>
      </c>
      <c r="CO332" s="213">
        <v>6.99</v>
      </c>
      <c r="CP332" s="213">
        <v>1.9900000000000002</v>
      </c>
      <c r="CQ332" s="213">
        <v>4.49</v>
      </c>
      <c r="CR332" s="213"/>
      <c r="CS332" s="213"/>
    </row>
    <row r="333" spans="1:97">
      <c r="A333" s="424">
        <v>45619</v>
      </c>
      <c r="B333" s="211" t="s">
        <v>252</v>
      </c>
      <c r="C333" s="213"/>
      <c r="D333" s="213"/>
      <c r="E333" s="213"/>
      <c r="F333" s="213"/>
      <c r="G333" s="213"/>
      <c r="H333" s="213"/>
      <c r="I333" s="213"/>
      <c r="J333" s="213"/>
      <c r="K333" s="213"/>
      <c r="L333" s="213"/>
      <c r="M333" s="213"/>
      <c r="N333" s="213"/>
      <c r="O333" s="213"/>
      <c r="P333" s="213"/>
      <c r="Q333" s="213"/>
      <c r="R333" s="213"/>
      <c r="S333" s="213"/>
      <c r="T333" s="213"/>
      <c r="U333" s="213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13"/>
      <c r="AF333" s="213"/>
      <c r="AG333" s="213"/>
      <c r="AH333" s="213"/>
      <c r="AI333" s="213"/>
      <c r="AJ333" s="213"/>
      <c r="AK333" s="213"/>
      <c r="AL333" s="213"/>
      <c r="AM333" s="213"/>
      <c r="AN333" s="213"/>
      <c r="AO333" s="213"/>
      <c r="AP333" s="213"/>
      <c r="AQ333" s="213"/>
      <c r="AR333" s="213"/>
      <c r="AS333" s="213"/>
      <c r="AT333" s="213"/>
      <c r="AU333" s="213"/>
      <c r="AV333" s="213"/>
      <c r="AW333" s="213"/>
      <c r="AX333" s="213"/>
      <c r="AY333" s="213"/>
      <c r="AZ333" s="213"/>
      <c r="BA333" s="213"/>
      <c r="BB333" s="213"/>
      <c r="BC333" s="213"/>
      <c r="BD333" s="213"/>
      <c r="BE333" s="213"/>
      <c r="BF333" s="213"/>
      <c r="BG333" s="213"/>
      <c r="BH333" s="213"/>
      <c r="BI333" s="213"/>
      <c r="BJ333" s="213"/>
      <c r="BK333" s="213"/>
      <c r="BL333" s="213"/>
      <c r="BM333" s="213"/>
      <c r="BN333" s="213"/>
      <c r="BO333" s="213"/>
      <c r="BP333" s="213"/>
      <c r="BQ333" s="213"/>
      <c r="BR333" s="213"/>
      <c r="BS333" s="213"/>
      <c r="BT333" s="213"/>
      <c r="BU333" s="213"/>
      <c r="BV333" s="213"/>
      <c r="BW333" s="213"/>
      <c r="BX333" s="213"/>
      <c r="BY333" s="213"/>
      <c r="BZ333" s="213"/>
      <c r="CA333" s="213"/>
      <c r="CB333" s="213"/>
      <c r="CC333" s="213"/>
      <c r="CD333" s="213"/>
      <c r="CE333" s="213"/>
      <c r="CF333" s="213"/>
      <c r="CG333" s="213"/>
      <c r="CH333" s="213"/>
      <c r="CI333" s="213"/>
      <c r="CJ333" s="213"/>
      <c r="CK333" s="213"/>
      <c r="CL333" s="213"/>
      <c r="CM333" s="213"/>
      <c r="CN333" s="213"/>
      <c r="CO333" s="213"/>
      <c r="CP333" s="213"/>
      <c r="CQ333" s="213"/>
      <c r="CR333" s="213"/>
      <c r="CS333" s="213"/>
    </row>
    <row r="334" spans="1:97">
      <c r="A334" s="424">
        <v>45620</v>
      </c>
      <c r="B334" s="211" t="s">
        <v>253</v>
      </c>
      <c r="C334" s="213"/>
      <c r="D334" s="213"/>
      <c r="E334" s="213"/>
      <c r="F334" s="213"/>
      <c r="G334" s="213"/>
      <c r="H334" s="213"/>
      <c r="I334" s="213"/>
      <c r="J334" s="213"/>
      <c r="K334" s="213"/>
      <c r="L334" s="213"/>
      <c r="M334" s="213"/>
      <c r="N334" s="213"/>
      <c r="O334" s="213"/>
      <c r="P334" s="213"/>
      <c r="Q334" s="213"/>
      <c r="R334" s="213"/>
      <c r="S334" s="213"/>
      <c r="T334" s="213"/>
      <c r="U334" s="213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13"/>
      <c r="AF334" s="213"/>
      <c r="AG334" s="213"/>
      <c r="AH334" s="213"/>
      <c r="AI334" s="213"/>
      <c r="AJ334" s="213"/>
      <c r="AK334" s="213"/>
      <c r="AL334" s="213"/>
      <c r="AM334" s="213"/>
      <c r="AN334" s="213"/>
      <c r="AO334" s="213"/>
      <c r="AP334" s="213"/>
      <c r="AQ334" s="213"/>
      <c r="AR334" s="213"/>
      <c r="AS334" s="213"/>
      <c r="AT334" s="213"/>
      <c r="AU334" s="213"/>
      <c r="AV334" s="213"/>
      <c r="AW334" s="213"/>
      <c r="AX334" s="213"/>
      <c r="AY334" s="213"/>
      <c r="AZ334" s="213"/>
      <c r="BA334" s="213"/>
      <c r="BB334" s="213"/>
      <c r="BC334" s="213"/>
      <c r="BD334" s="213"/>
      <c r="BE334" s="213"/>
      <c r="BF334" s="213"/>
      <c r="BG334" s="213"/>
      <c r="BH334" s="213"/>
      <c r="BI334" s="213"/>
      <c r="BJ334" s="213"/>
      <c r="BK334" s="213"/>
      <c r="BL334" s="213"/>
      <c r="BM334" s="213"/>
      <c r="BN334" s="213"/>
      <c r="BO334" s="213"/>
      <c r="BP334" s="213"/>
      <c r="BQ334" s="213"/>
      <c r="BR334" s="213"/>
      <c r="BS334" s="213"/>
      <c r="BT334" s="213"/>
      <c r="BU334" s="213"/>
      <c r="BV334" s="213"/>
      <c r="BW334" s="213"/>
      <c r="BX334" s="213"/>
      <c r="BY334" s="213"/>
      <c r="BZ334" s="213"/>
      <c r="CA334" s="213"/>
      <c r="CB334" s="213"/>
      <c r="CC334" s="213"/>
      <c r="CD334" s="213"/>
      <c r="CE334" s="213"/>
      <c r="CF334" s="213"/>
      <c r="CG334" s="213"/>
      <c r="CH334" s="213"/>
      <c r="CI334" s="213"/>
      <c r="CJ334" s="213"/>
      <c r="CK334" s="213"/>
      <c r="CL334" s="213"/>
      <c r="CM334" s="213"/>
      <c r="CN334" s="213"/>
      <c r="CO334" s="213"/>
      <c r="CP334" s="213"/>
      <c r="CQ334" s="213"/>
      <c r="CR334" s="213"/>
      <c r="CS334" s="213"/>
    </row>
    <row r="335" spans="1:97">
      <c r="A335" s="424">
        <v>45621</v>
      </c>
      <c r="B335" s="211" t="s">
        <v>247</v>
      </c>
      <c r="C335" s="213">
        <v>155.25</v>
      </c>
      <c r="D335" s="213">
        <v>153.25</v>
      </c>
      <c r="E335" s="213">
        <v>154.25</v>
      </c>
      <c r="F335" s="213">
        <v>163.22999999999999</v>
      </c>
      <c r="G335" s="213">
        <v>160.22999999999999</v>
      </c>
      <c r="H335" s="213">
        <v>161.72999999999999</v>
      </c>
      <c r="I335" s="213">
        <v>112.33</v>
      </c>
      <c r="J335" s="213">
        <v>109.13</v>
      </c>
      <c r="K335" s="213">
        <v>110.72999999999999</v>
      </c>
      <c r="L335" s="213">
        <v>198.36</v>
      </c>
      <c r="M335" s="213">
        <v>190.36</v>
      </c>
      <c r="N335" s="213">
        <v>194.36</v>
      </c>
      <c r="O335" s="213">
        <v>174.1</v>
      </c>
      <c r="P335" s="213">
        <v>172.29999999999998</v>
      </c>
      <c r="Q335" s="213">
        <v>173.2</v>
      </c>
      <c r="R335" s="213">
        <v>21.98</v>
      </c>
      <c r="S335" s="213">
        <v>21.38</v>
      </c>
      <c r="T335" s="213">
        <v>21.68</v>
      </c>
      <c r="U335" s="213">
        <v>14.35</v>
      </c>
      <c r="V335" s="213">
        <v>13.75</v>
      </c>
      <c r="W335" s="213">
        <v>14.05</v>
      </c>
      <c r="X335" s="213">
        <v>14.47</v>
      </c>
      <c r="Y335" s="213">
        <v>13.67</v>
      </c>
      <c r="Z335" s="213">
        <v>14.07</v>
      </c>
      <c r="AA335" s="213">
        <v>102.99</v>
      </c>
      <c r="AB335" s="213">
        <v>98.99</v>
      </c>
      <c r="AC335" s="213">
        <v>100.99</v>
      </c>
      <c r="AD335" s="213">
        <v>92.44</v>
      </c>
      <c r="AE335" s="213">
        <v>88.44</v>
      </c>
      <c r="AF335" s="213">
        <v>90.44</v>
      </c>
      <c r="AG335" s="213">
        <v>20.25</v>
      </c>
      <c r="AH335" s="213">
        <v>19.39</v>
      </c>
      <c r="AI335" s="213">
        <v>19.82</v>
      </c>
      <c r="AJ335" s="213"/>
      <c r="AK335" s="213"/>
      <c r="AL335" s="213"/>
      <c r="AM335" s="213">
        <v>115.73</v>
      </c>
      <c r="AN335" s="213">
        <v>114.07000000000001</v>
      </c>
      <c r="AO335" s="213">
        <v>114.9</v>
      </c>
      <c r="AP335" s="213">
        <v>41.97</v>
      </c>
      <c r="AQ335" s="213">
        <v>40.369999999999997</v>
      </c>
      <c r="AR335" s="213">
        <v>41.17</v>
      </c>
      <c r="AS335" s="213">
        <v>42.74</v>
      </c>
      <c r="AT335" s="213">
        <v>41.38</v>
      </c>
      <c r="AU335" s="213">
        <v>42.06</v>
      </c>
      <c r="AV335" s="213">
        <v>21.6</v>
      </c>
      <c r="AW335" s="213">
        <v>21</v>
      </c>
      <c r="AX335" s="213">
        <v>21.3</v>
      </c>
      <c r="AY335" s="213">
        <v>4.57</v>
      </c>
      <c r="AZ335" s="213">
        <v>4.41</v>
      </c>
      <c r="BA335" s="213">
        <v>4.49</v>
      </c>
      <c r="BB335" s="213">
        <v>1.99</v>
      </c>
      <c r="BC335" s="213">
        <v>1.69</v>
      </c>
      <c r="BD335" s="213">
        <v>1.8399999999999999</v>
      </c>
      <c r="BE335" s="213">
        <v>0.71</v>
      </c>
      <c r="BF335" s="213">
        <v>0.41</v>
      </c>
      <c r="BG335" s="213">
        <v>0.55999999999999994</v>
      </c>
      <c r="BH335" s="213">
        <v>509.79</v>
      </c>
      <c r="BI335" s="213">
        <v>493.79</v>
      </c>
      <c r="BJ335" s="213">
        <v>501.79</v>
      </c>
      <c r="BK335" s="213">
        <v>43.06</v>
      </c>
      <c r="BL335" s="213">
        <v>41.7</v>
      </c>
      <c r="BM335" s="213">
        <v>42.38</v>
      </c>
      <c r="BN335" s="213">
        <v>1.1000000000000001</v>
      </c>
      <c r="BO335" s="213">
        <v>0.8600000000000001</v>
      </c>
      <c r="BP335" s="213">
        <v>0.98000000000000009</v>
      </c>
      <c r="BQ335" s="213">
        <v>8.59</v>
      </c>
      <c r="BR335" s="213">
        <v>6.59</v>
      </c>
      <c r="BS335" s="213">
        <v>7.59</v>
      </c>
      <c r="BT335" s="213">
        <v>11.2</v>
      </c>
      <c r="BU335" s="213">
        <v>10.799999999999999</v>
      </c>
      <c r="BV335" s="213">
        <v>11</v>
      </c>
      <c r="BW335" s="213">
        <v>2.78</v>
      </c>
      <c r="BX335" s="213">
        <v>2.5</v>
      </c>
      <c r="BY335" s="213">
        <v>2.6399999999999997</v>
      </c>
      <c r="BZ335" s="213">
        <v>10.06</v>
      </c>
      <c r="CA335" s="213">
        <v>7.0600000000000005</v>
      </c>
      <c r="CB335" s="213">
        <v>8.56</v>
      </c>
      <c r="CC335" s="213">
        <v>6.51</v>
      </c>
      <c r="CD335" s="213">
        <v>6.27</v>
      </c>
      <c r="CE335" s="213">
        <v>6.39</v>
      </c>
      <c r="CF335" s="213">
        <v>1.73</v>
      </c>
      <c r="CG335" s="213">
        <v>1.23</v>
      </c>
      <c r="CH335" s="213">
        <v>1.48</v>
      </c>
      <c r="CI335" s="213">
        <v>0.41</v>
      </c>
      <c r="CJ335" s="213">
        <v>0.37</v>
      </c>
      <c r="CK335" s="213">
        <v>0.39</v>
      </c>
      <c r="CL335" s="213">
        <v>38.53</v>
      </c>
      <c r="CM335" s="213">
        <v>36.130000000000003</v>
      </c>
      <c r="CN335" s="213">
        <v>37.33</v>
      </c>
      <c r="CO335" s="213">
        <v>6.96</v>
      </c>
      <c r="CP335" s="213">
        <v>1.96</v>
      </c>
      <c r="CQ335" s="213">
        <v>4.46</v>
      </c>
      <c r="CR335" s="213"/>
      <c r="CS335" s="213"/>
    </row>
    <row r="336" spans="1:97">
      <c r="A336" s="424">
        <v>45622</v>
      </c>
      <c r="B336" s="211" t="s">
        <v>248</v>
      </c>
      <c r="C336" s="213">
        <v>155.24</v>
      </c>
      <c r="D336" s="213">
        <v>153.24</v>
      </c>
      <c r="E336" s="213">
        <v>154.24</v>
      </c>
      <c r="F336" s="213">
        <v>162.59</v>
      </c>
      <c r="G336" s="213">
        <v>159.59</v>
      </c>
      <c r="H336" s="213">
        <v>161.09</v>
      </c>
      <c r="I336" s="213">
        <v>110.64</v>
      </c>
      <c r="J336" s="213">
        <v>107.44</v>
      </c>
      <c r="K336" s="213">
        <v>109.03999999999999</v>
      </c>
      <c r="L336" s="213">
        <v>197.14</v>
      </c>
      <c r="M336" s="213">
        <v>189.14</v>
      </c>
      <c r="N336" s="213">
        <v>193.14</v>
      </c>
      <c r="O336" s="213">
        <v>174.52</v>
      </c>
      <c r="P336" s="213">
        <v>172.72</v>
      </c>
      <c r="Q336" s="213">
        <v>173.62</v>
      </c>
      <c r="R336" s="213">
        <v>21.89</v>
      </c>
      <c r="S336" s="213">
        <v>21.29</v>
      </c>
      <c r="T336" s="213">
        <v>21.59</v>
      </c>
      <c r="U336" s="213">
        <v>14.11</v>
      </c>
      <c r="V336" s="213">
        <v>13.51</v>
      </c>
      <c r="W336" s="213">
        <v>13.809999999999999</v>
      </c>
      <c r="X336" s="213">
        <v>14.33</v>
      </c>
      <c r="Y336" s="213">
        <v>13.53</v>
      </c>
      <c r="Z336" s="213">
        <v>13.93</v>
      </c>
      <c r="AA336" s="213">
        <v>101.48</v>
      </c>
      <c r="AB336" s="213">
        <v>97.48</v>
      </c>
      <c r="AC336" s="213">
        <v>99.48</v>
      </c>
      <c r="AD336" s="213">
        <v>91.71</v>
      </c>
      <c r="AE336" s="213">
        <v>87.71</v>
      </c>
      <c r="AF336" s="213">
        <v>89.71</v>
      </c>
      <c r="AG336" s="213">
        <v>20.25</v>
      </c>
      <c r="AH336" s="213">
        <v>19.39</v>
      </c>
      <c r="AI336" s="213">
        <v>19.82</v>
      </c>
      <c r="AJ336" s="213"/>
      <c r="AK336" s="213"/>
      <c r="AL336" s="213"/>
      <c r="AM336" s="213">
        <v>115.09</v>
      </c>
      <c r="AN336" s="213">
        <v>113.43</v>
      </c>
      <c r="AO336" s="213">
        <v>114.26</v>
      </c>
      <c r="AP336" s="213">
        <v>41.94</v>
      </c>
      <c r="AQ336" s="213">
        <v>40.339999999999996</v>
      </c>
      <c r="AR336" s="213">
        <v>41.14</v>
      </c>
      <c r="AS336" s="213">
        <v>42.75</v>
      </c>
      <c r="AT336" s="213">
        <v>41.39</v>
      </c>
      <c r="AU336" s="213">
        <v>42.07</v>
      </c>
      <c r="AV336" s="213">
        <v>21.52</v>
      </c>
      <c r="AW336" s="213">
        <v>20.919999999999998</v>
      </c>
      <c r="AX336" s="213">
        <v>21.22</v>
      </c>
      <c r="AY336" s="213">
        <v>4.5199999999999996</v>
      </c>
      <c r="AZ336" s="213">
        <v>4.3599999999999994</v>
      </c>
      <c r="BA336" s="213">
        <v>4.4399999999999995</v>
      </c>
      <c r="BB336" s="213">
        <v>1.99</v>
      </c>
      <c r="BC336" s="213">
        <v>1.69</v>
      </c>
      <c r="BD336" s="213">
        <v>1.8399999999999999</v>
      </c>
      <c r="BE336" s="213">
        <v>0.71</v>
      </c>
      <c r="BF336" s="213">
        <v>0.41</v>
      </c>
      <c r="BG336" s="213">
        <v>0.55999999999999994</v>
      </c>
      <c r="BH336" s="213">
        <v>510.41</v>
      </c>
      <c r="BI336" s="213">
        <v>494.41</v>
      </c>
      <c r="BJ336" s="213">
        <v>502.41</v>
      </c>
      <c r="BK336" s="213">
        <v>43.05</v>
      </c>
      <c r="BL336" s="213">
        <v>41.69</v>
      </c>
      <c r="BM336" s="213">
        <v>42.37</v>
      </c>
      <c r="BN336" s="213">
        <v>1.1000000000000001</v>
      </c>
      <c r="BO336" s="213">
        <v>0.8600000000000001</v>
      </c>
      <c r="BP336" s="213">
        <v>0.98000000000000009</v>
      </c>
      <c r="BQ336" s="213">
        <v>8.48</v>
      </c>
      <c r="BR336" s="213">
        <v>6.48</v>
      </c>
      <c r="BS336" s="213">
        <v>7.48</v>
      </c>
      <c r="BT336" s="213">
        <v>11.18</v>
      </c>
      <c r="BU336" s="213">
        <v>10.78</v>
      </c>
      <c r="BV336" s="213">
        <v>10.98</v>
      </c>
      <c r="BW336" s="213">
        <v>2.77</v>
      </c>
      <c r="BX336" s="213">
        <v>2.4900000000000002</v>
      </c>
      <c r="BY336" s="213">
        <v>2.63</v>
      </c>
      <c r="BZ336" s="213">
        <v>9.98</v>
      </c>
      <c r="CA336" s="213">
        <v>6.98</v>
      </c>
      <c r="CB336" s="213">
        <v>8.48</v>
      </c>
      <c r="CC336" s="213">
        <v>6.48</v>
      </c>
      <c r="CD336" s="213">
        <v>6.24</v>
      </c>
      <c r="CE336" s="213">
        <v>6.36</v>
      </c>
      <c r="CF336" s="213">
        <v>1.73</v>
      </c>
      <c r="CG336" s="213">
        <v>1.23</v>
      </c>
      <c r="CH336" s="213">
        <v>1.48</v>
      </c>
      <c r="CI336" s="213">
        <v>0.41</v>
      </c>
      <c r="CJ336" s="213">
        <v>0.37</v>
      </c>
      <c r="CK336" s="213">
        <v>0.39</v>
      </c>
      <c r="CL336" s="213">
        <v>38.58</v>
      </c>
      <c r="CM336" s="213">
        <v>36.18</v>
      </c>
      <c r="CN336" s="213">
        <v>37.379999999999995</v>
      </c>
      <c r="CO336" s="213">
        <v>6.96</v>
      </c>
      <c r="CP336" s="213">
        <v>1.96</v>
      </c>
      <c r="CQ336" s="213">
        <v>4.46</v>
      </c>
      <c r="CR336" s="213"/>
      <c r="CS336" s="213"/>
    </row>
    <row r="337" spans="1:97">
      <c r="A337" s="424">
        <v>45623</v>
      </c>
      <c r="B337" s="211" t="s">
        <v>249</v>
      </c>
      <c r="C337" s="213">
        <v>153.88</v>
      </c>
      <c r="D337" s="213">
        <v>151.88</v>
      </c>
      <c r="E337" s="213">
        <v>152.88</v>
      </c>
      <c r="F337" s="213">
        <v>161.83000000000001</v>
      </c>
      <c r="G337" s="213">
        <v>158.83000000000001</v>
      </c>
      <c r="H337" s="213">
        <v>160.33000000000001</v>
      </c>
      <c r="I337" s="213">
        <v>110.4</v>
      </c>
      <c r="J337" s="213">
        <v>107.2</v>
      </c>
      <c r="K337" s="213">
        <v>108.80000000000001</v>
      </c>
      <c r="L337" s="213">
        <v>196.22</v>
      </c>
      <c r="M337" s="213">
        <v>188.22</v>
      </c>
      <c r="N337" s="213">
        <v>192.22</v>
      </c>
      <c r="O337" s="213">
        <v>173.49</v>
      </c>
      <c r="P337" s="213">
        <v>171.69</v>
      </c>
      <c r="Q337" s="213">
        <v>172.59</v>
      </c>
      <c r="R337" s="213">
        <v>21.79</v>
      </c>
      <c r="S337" s="213">
        <v>21.189999999999998</v>
      </c>
      <c r="T337" s="213">
        <v>21.49</v>
      </c>
      <c r="U337" s="213">
        <v>13.99</v>
      </c>
      <c r="V337" s="213">
        <v>13.39</v>
      </c>
      <c r="W337" s="213">
        <v>13.690000000000001</v>
      </c>
      <c r="X337" s="213">
        <v>14.3</v>
      </c>
      <c r="Y337" s="213">
        <v>13.5</v>
      </c>
      <c r="Z337" s="213">
        <v>13.9</v>
      </c>
      <c r="AA337" s="213">
        <v>100.99</v>
      </c>
      <c r="AB337" s="213">
        <v>96.99</v>
      </c>
      <c r="AC337" s="213">
        <v>98.99</v>
      </c>
      <c r="AD337" s="213">
        <v>91.13</v>
      </c>
      <c r="AE337" s="213">
        <v>87.13</v>
      </c>
      <c r="AF337" s="213">
        <v>89.13</v>
      </c>
      <c r="AG337" s="213">
        <v>20.079999999999998</v>
      </c>
      <c r="AH337" s="213">
        <v>19.22</v>
      </c>
      <c r="AI337" s="213">
        <v>19.649999999999999</v>
      </c>
      <c r="AJ337" s="213"/>
      <c r="AK337" s="213"/>
      <c r="AL337" s="213"/>
      <c r="AM337" s="213">
        <v>114.39</v>
      </c>
      <c r="AN337" s="213">
        <v>112.73</v>
      </c>
      <c r="AO337" s="213">
        <v>113.56</v>
      </c>
      <c r="AP337" s="213">
        <v>41.42</v>
      </c>
      <c r="AQ337" s="213">
        <v>39.82</v>
      </c>
      <c r="AR337" s="213">
        <v>40.620000000000005</v>
      </c>
      <c r="AS337" s="213">
        <v>42.37</v>
      </c>
      <c r="AT337" s="213">
        <v>41.01</v>
      </c>
      <c r="AU337" s="213">
        <v>41.69</v>
      </c>
      <c r="AV337" s="213">
        <v>21.36</v>
      </c>
      <c r="AW337" s="213">
        <v>20.759999999999998</v>
      </c>
      <c r="AX337" s="213">
        <v>21.06</v>
      </c>
      <c r="AY337" s="213">
        <v>4.49</v>
      </c>
      <c r="AZ337" s="213">
        <v>4.33</v>
      </c>
      <c r="BA337" s="213">
        <v>4.41</v>
      </c>
      <c r="BB337" s="213">
        <v>1.97</v>
      </c>
      <c r="BC337" s="213">
        <v>1.67</v>
      </c>
      <c r="BD337" s="213">
        <v>1.8199999999999998</v>
      </c>
      <c r="BE337" s="213">
        <v>0.7</v>
      </c>
      <c r="BF337" s="213">
        <v>0.39999999999999997</v>
      </c>
      <c r="BG337" s="213">
        <v>0.54999999999999993</v>
      </c>
      <c r="BH337" s="213">
        <v>505.82</v>
      </c>
      <c r="BI337" s="213">
        <v>489.82</v>
      </c>
      <c r="BJ337" s="213">
        <v>497.82</v>
      </c>
      <c r="BK337" s="213">
        <v>42.68</v>
      </c>
      <c r="BL337" s="213">
        <v>41.32</v>
      </c>
      <c r="BM337" s="213">
        <v>42</v>
      </c>
      <c r="BN337" s="213">
        <v>1.08</v>
      </c>
      <c r="BO337" s="213">
        <v>0.84000000000000008</v>
      </c>
      <c r="BP337" s="213">
        <v>0.96000000000000008</v>
      </c>
      <c r="BQ337" s="213">
        <v>8.41</v>
      </c>
      <c r="BR337" s="213">
        <v>6.41</v>
      </c>
      <c r="BS337" s="213">
        <v>7.41</v>
      </c>
      <c r="BT337" s="213">
        <v>11.16</v>
      </c>
      <c r="BU337" s="213">
        <v>10.76</v>
      </c>
      <c r="BV337" s="213">
        <v>10.96</v>
      </c>
      <c r="BW337" s="213">
        <v>2.75</v>
      </c>
      <c r="BX337" s="213">
        <v>2.4699999999999998</v>
      </c>
      <c r="BY337" s="213">
        <v>2.61</v>
      </c>
      <c r="BZ337" s="213">
        <v>9.91</v>
      </c>
      <c r="CA337" s="213">
        <v>6.91</v>
      </c>
      <c r="CB337" s="213">
        <v>8.41</v>
      </c>
      <c r="CC337" s="213">
        <v>6.47</v>
      </c>
      <c r="CD337" s="213">
        <v>6.2299999999999995</v>
      </c>
      <c r="CE337" s="213">
        <v>6.35</v>
      </c>
      <c r="CF337" s="213">
        <v>1.7</v>
      </c>
      <c r="CG337" s="213">
        <v>1.2</v>
      </c>
      <c r="CH337" s="213">
        <v>1.45</v>
      </c>
      <c r="CI337" s="213">
        <v>0.41</v>
      </c>
      <c r="CJ337" s="213">
        <v>0.37</v>
      </c>
      <c r="CK337" s="213">
        <v>0.39</v>
      </c>
      <c r="CL337" s="213">
        <v>38.47</v>
      </c>
      <c r="CM337" s="213">
        <v>36.07</v>
      </c>
      <c r="CN337" s="213">
        <v>37.269999999999996</v>
      </c>
      <c r="CO337" s="213">
        <v>6.92</v>
      </c>
      <c r="CP337" s="213">
        <v>1.92</v>
      </c>
      <c r="CQ337" s="213">
        <v>4.42</v>
      </c>
      <c r="CR337" s="213"/>
      <c r="CS337" s="213"/>
    </row>
    <row r="338" spans="1:97">
      <c r="A338" s="424">
        <v>45624</v>
      </c>
      <c r="B338" s="211" t="s">
        <v>250</v>
      </c>
      <c r="C338" s="213">
        <v>152.77000000000001</v>
      </c>
      <c r="D338" s="213">
        <v>150.77000000000001</v>
      </c>
      <c r="E338" s="213">
        <v>151.77000000000001</v>
      </c>
      <c r="F338" s="213">
        <v>161.65</v>
      </c>
      <c r="G338" s="213">
        <v>158.65</v>
      </c>
      <c r="H338" s="213">
        <v>160.15</v>
      </c>
      <c r="I338" s="213">
        <v>109.88</v>
      </c>
      <c r="J338" s="213">
        <v>106.67999999999999</v>
      </c>
      <c r="K338" s="213">
        <v>108.28</v>
      </c>
      <c r="L338" s="213">
        <v>196.35</v>
      </c>
      <c r="M338" s="213">
        <v>188.35</v>
      </c>
      <c r="N338" s="213">
        <v>192.35</v>
      </c>
      <c r="O338" s="213">
        <v>172.72</v>
      </c>
      <c r="P338" s="213">
        <v>170.92</v>
      </c>
      <c r="Q338" s="213">
        <v>171.82</v>
      </c>
      <c r="R338" s="213">
        <v>21.77</v>
      </c>
      <c r="S338" s="213">
        <v>21.169999999999998</v>
      </c>
      <c r="T338" s="213">
        <v>21.47</v>
      </c>
      <c r="U338" s="213">
        <v>14.01</v>
      </c>
      <c r="V338" s="213">
        <v>13.41</v>
      </c>
      <c r="W338" s="213">
        <v>13.71</v>
      </c>
      <c r="X338" s="213">
        <v>14.3</v>
      </c>
      <c r="Y338" s="213">
        <v>13.5</v>
      </c>
      <c r="Z338" s="213">
        <v>13.9</v>
      </c>
      <c r="AA338" s="213">
        <v>100.65</v>
      </c>
      <c r="AB338" s="213">
        <v>96.65</v>
      </c>
      <c r="AC338" s="213">
        <v>98.65</v>
      </c>
      <c r="AD338" s="213">
        <v>91.5</v>
      </c>
      <c r="AE338" s="213">
        <v>87.5</v>
      </c>
      <c r="AF338" s="213">
        <v>89.5</v>
      </c>
      <c r="AG338" s="213">
        <v>19.93</v>
      </c>
      <c r="AH338" s="213">
        <v>19.07</v>
      </c>
      <c r="AI338" s="213">
        <v>19.5</v>
      </c>
      <c r="AJ338" s="213"/>
      <c r="AK338" s="213"/>
      <c r="AL338" s="213"/>
      <c r="AM338" s="213">
        <v>113.9</v>
      </c>
      <c r="AN338" s="213">
        <v>112.24000000000001</v>
      </c>
      <c r="AO338" s="213">
        <v>113.07000000000001</v>
      </c>
      <c r="AP338" s="213">
        <v>41.28</v>
      </c>
      <c r="AQ338" s="213">
        <v>39.68</v>
      </c>
      <c r="AR338" s="213">
        <v>40.480000000000004</v>
      </c>
      <c r="AS338" s="213">
        <v>42.07</v>
      </c>
      <c r="AT338" s="213">
        <v>40.71</v>
      </c>
      <c r="AU338" s="213">
        <v>41.39</v>
      </c>
      <c r="AV338" s="213">
        <v>21.23</v>
      </c>
      <c r="AW338" s="213">
        <v>20.63</v>
      </c>
      <c r="AX338" s="213">
        <v>20.93</v>
      </c>
      <c r="AY338" s="213">
        <v>4.47</v>
      </c>
      <c r="AZ338" s="213">
        <v>4.3099999999999996</v>
      </c>
      <c r="BA338" s="213">
        <v>4.3899999999999997</v>
      </c>
      <c r="BB338" s="213">
        <v>1.96</v>
      </c>
      <c r="BC338" s="213">
        <v>1.66</v>
      </c>
      <c r="BD338" s="213">
        <v>1.81</v>
      </c>
      <c r="BE338" s="213">
        <v>0.7</v>
      </c>
      <c r="BF338" s="213">
        <v>0.39999999999999997</v>
      </c>
      <c r="BG338" s="213">
        <v>0.54999999999999993</v>
      </c>
      <c r="BH338" s="213">
        <v>503.49</v>
      </c>
      <c r="BI338" s="213">
        <v>487.49</v>
      </c>
      <c r="BJ338" s="213">
        <v>495.49</v>
      </c>
      <c r="BK338" s="213">
        <v>42.39</v>
      </c>
      <c r="BL338" s="213">
        <v>41.03</v>
      </c>
      <c r="BM338" s="213">
        <v>41.71</v>
      </c>
      <c r="BN338" s="213">
        <v>1.08</v>
      </c>
      <c r="BO338" s="213">
        <v>0.84000000000000008</v>
      </c>
      <c r="BP338" s="213">
        <v>0.96000000000000008</v>
      </c>
      <c r="BQ338" s="213">
        <v>8.44</v>
      </c>
      <c r="BR338" s="213">
        <v>6.4399999999999995</v>
      </c>
      <c r="BS338" s="213">
        <v>7.4399999999999995</v>
      </c>
      <c r="BT338" s="213">
        <v>11.1</v>
      </c>
      <c r="BU338" s="213">
        <v>10.7</v>
      </c>
      <c r="BV338" s="213">
        <v>10.899999999999999</v>
      </c>
      <c r="BW338" s="213">
        <v>2.74</v>
      </c>
      <c r="BX338" s="213">
        <v>2.46</v>
      </c>
      <c r="BY338" s="213">
        <v>2.6</v>
      </c>
      <c r="BZ338" s="213">
        <v>9.84</v>
      </c>
      <c r="CA338" s="213">
        <v>6.84</v>
      </c>
      <c r="CB338" s="213">
        <v>8.34</v>
      </c>
      <c r="CC338" s="213">
        <v>6.47</v>
      </c>
      <c r="CD338" s="213">
        <v>6.2299999999999995</v>
      </c>
      <c r="CE338" s="213">
        <v>6.35</v>
      </c>
      <c r="CF338" s="213">
        <v>1.59</v>
      </c>
      <c r="CG338" s="213">
        <v>1.0900000000000001</v>
      </c>
      <c r="CH338" s="213">
        <v>1.34</v>
      </c>
      <c r="CI338" s="213">
        <v>0.41</v>
      </c>
      <c r="CJ338" s="213">
        <v>0.37</v>
      </c>
      <c r="CK338" s="213">
        <v>0.39</v>
      </c>
      <c r="CL338" s="213">
        <v>38.46</v>
      </c>
      <c r="CM338" s="213">
        <v>36.06</v>
      </c>
      <c r="CN338" s="213">
        <v>37.260000000000005</v>
      </c>
      <c r="CO338" s="213">
        <v>6.89</v>
      </c>
      <c r="CP338" s="213">
        <v>1.8899999999999997</v>
      </c>
      <c r="CQ338" s="213">
        <v>4.3899999999999997</v>
      </c>
      <c r="CR338" s="213"/>
      <c r="CS338" s="213"/>
    </row>
    <row r="339" spans="1:97">
      <c r="A339" s="424">
        <v>45625</v>
      </c>
      <c r="B339" s="211" t="s">
        <v>251</v>
      </c>
      <c r="C339" s="213">
        <v>151.74</v>
      </c>
      <c r="D339" s="213">
        <v>149.74</v>
      </c>
      <c r="E339" s="213">
        <v>150.74</v>
      </c>
      <c r="F339" s="213">
        <v>160.69999999999999</v>
      </c>
      <c r="G339" s="213">
        <v>157.69999999999999</v>
      </c>
      <c r="H339" s="213">
        <v>159.19999999999999</v>
      </c>
      <c r="I339" s="213">
        <v>109.15</v>
      </c>
      <c r="J339" s="213">
        <v>105.95</v>
      </c>
      <c r="K339" s="213">
        <v>107.55000000000001</v>
      </c>
      <c r="L339" s="213">
        <v>195.49</v>
      </c>
      <c r="M339" s="213">
        <v>187.49</v>
      </c>
      <c r="N339" s="213">
        <v>191.49</v>
      </c>
      <c r="O339" s="213">
        <v>171.88</v>
      </c>
      <c r="P339" s="213">
        <v>170.07999999999998</v>
      </c>
      <c r="Q339" s="213">
        <v>170.98</v>
      </c>
      <c r="R339" s="213">
        <v>21.64</v>
      </c>
      <c r="S339" s="213">
        <v>21.04</v>
      </c>
      <c r="T339" s="213">
        <v>21.34</v>
      </c>
      <c r="U339" s="213">
        <v>13.95</v>
      </c>
      <c r="V339" s="213">
        <v>13.35</v>
      </c>
      <c r="W339" s="213">
        <v>13.649999999999999</v>
      </c>
      <c r="X339" s="213">
        <v>14.21</v>
      </c>
      <c r="Y339" s="213">
        <v>13.41</v>
      </c>
      <c r="Z339" s="213">
        <v>13.81</v>
      </c>
      <c r="AA339" s="213">
        <v>100.04</v>
      </c>
      <c r="AB339" s="213">
        <v>96.04</v>
      </c>
      <c r="AC339" s="213">
        <v>98.04</v>
      </c>
      <c r="AD339" s="213">
        <v>90.86</v>
      </c>
      <c r="AE339" s="213">
        <v>86.86</v>
      </c>
      <c r="AF339" s="213">
        <v>88.86</v>
      </c>
      <c r="AG339" s="213">
        <v>19.8</v>
      </c>
      <c r="AH339" s="213">
        <v>18.940000000000001</v>
      </c>
      <c r="AI339" s="213">
        <v>19.37</v>
      </c>
      <c r="AJ339" s="213"/>
      <c r="AK339" s="213"/>
      <c r="AL339" s="213"/>
      <c r="AM339" s="213">
        <v>113.2</v>
      </c>
      <c r="AN339" s="213">
        <v>111.54</v>
      </c>
      <c r="AO339" s="213">
        <v>112.37</v>
      </c>
      <c r="AP339" s="213">
        <v>41</v>
      </c>
      <c r="AQ339" s="213">
        <v>39.4</v>
      </c>
      <c r="AR339" s="213">
        <v>40.200000000000003</v>
      </c>
      <c r="AS339" s="213">
        <v>41.79</v>
      </c>
      <c r="AT339" s="213">
        <v>40.43</v>
      </c>
      <c r="AU339" s="213">
        <v>41.11</v>
      </c>
      <c r="AV339" s="213">
        <v>21.1</v>
      </c>
      <c r="AW339" s="213">
        <v>20.5</v>
      </c>
      <c r="AX339" s="213">
        <v>20.8</v>
      </c>
      <c r="AY339" s="213">
        <v>4.46</v>
      </c>
      <c r="AZ339" s="213">
        <v>4.3</v>
      </c>
      <c r="BA339" s="213">
        <v>4.38</v>
      </c>
      <c r="BB339" s="213">
        <v>1.94</v>
      </c>
      <c r="BC339" s="213">
        <v>1.64</v>
      </c>
      <c r="BD339" s="213">
        <v>1.79</v>
      </c>
      <c r="BE339" s="213">
        <v>0.7</v>
      </c>
      <c r="BF339" s="213">
        <v>0.39999999999999997</v>
      </c>
      <c r="BG339" s="213">
        <v>0.54999999999999993</v>
      </c>
      <c r="BH339" s="213">
        <v>499.33</v>
      </c>
      <c r="BI339" s="213">
        <v>483.33</v>
      </c>
      <c r="BJ339" s="213">
        <v>491.33</v>
      </c>
      <c r="BK339" s="213">
        <v>42.1</v>
      </c>
      <c r="BL339" s="213">
        <v>40.74</v>
      </c>
      <c r="BM339" s="213">
        <v>41.42</v>
      </c>
      <c r="BN339" s="213">
        <v>1.07</v>
      </c>
      <c r="BO339" s="213">
        <v>0.83000000000000007</v>
      </c>
      <c r="BP339" s="213">
        <v>0.95000000000000007</v>
      </c>
      <c r="BQ339" s="213">
        <v>8.3699999999999992</v>
      </c>
      <c r="BR339" s="213">
        <v>6.3699999999999992</v>
      </c>
      <c r="BS339" s="213">
        <v>7.3699999999999992</v>
      </c>
      <c r="BT339" s="213">
        <v>11.02</v>
      </c>
      <c r="BU339" s="213">
        <v>10.62</v>
      </c>
      <c r="BV339" s="213">
        <v>10.82</v>
      </c>
      <c r="BW339" s="213">
        <v>2.73</v>
      </c>
      <c r="BX339" s="213">
        <v>2.4500000000000002</v>
      </c>
      <c r="BY339" s="213">
        <v>2.59</v>
      </c>
      <c r="BZ339" s="213">
        <v>9.83</v>
      </c>
      <c r="CA339" s="213">
        <v>6.83</v>
      </c>
      <c r="CB339" s="213">
        <v>8.33</v>
      </c>
      <c r="CC339" s="213">
        <v>6.41</v>
      </c>
      <c r="CD339" s="213">
        <v>6.17</v>
      </c>
      <c r="CE339" s="213">
        <v>6.29</v>
      </c>
      <c r="CF339" s="213">
        <v>1.65</v>
      </c>
      <c r="CG339" s="213">
        <v>1.1499999999999999</v>
      </c>
      <c r="CH339" s="213">
        <v>1.4</v>
      </c>
      <c r="CI339" s="213">
        <v>0.41</v>
      </c>
      <c r="CJ339" s="213">
        <v>0.37</v>
      </c>
      <c r="CK339" s="213">
        <v>0.39</v>
      </c>
      <c r="CL339" s="213">
        <v>38.21</v>
      </c>
      <c r="CM339" s="213">
        <v>35.81</v>
      </c>
      <c r="CN339" s="213">
        <v>37.010000000000005</v>
      </c>
      <c r="CO339" s="213">
        <v>6.86</v>
      </c>
      <c r="CP339" s="213">
        <v>1.8600000000000003</v>
      </c>
      <c r="CQ339" s="213">
        <v>4.3600000000000003</v>
      </c>
      <c r="CR339" s="213"/>
      <c r="CS339" s="213"/>
    </row>
    <row r="340" spans="1:97">
      <c r="A340" s="424">
        <v>45626</v>
      </c>
      <c r="B340" s="211" t="s">
        <v>252</v>
      </c>
      <c r="C340" s="213"/>
      <c r="D340" s="213"/>
      <c r="E340" s="213"/>
      <c r="F340" s="213"/>
      <c r="G340" s="213"/>
      <c r="H340" s="213"/>
      <c r="I340" s="213"/>
      <c r="J340" s="213"/>
      <c r="K340" s="213"/>
      <c r="L340" s="213"/>
      <c r="M340" s="213"/>
      <c r="N340" s="213"/>
      <c r="O340" s="213"/>
      <c r="P340" s="213"/>
      <c r="Q340" s="213"/>
      <c r="R340" s="213"/>
      <c r="S340" s="213"/>
      <c r="T340" s="213"/>
      <c r="U340" s="213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13"/>
      <c r="AF340" s="213"/>
      <c r="AG340" s="213"/>
      <c r="AH340" s="213"/>
      <c r="AI340" s="213"/>
      <c r="AJ340" s="213"/>
      <c r="AK340" s="213"/>
      <c r="AL340" s="213"/>
      <c r="AM340" s="213"/>
      <c r="AN340" s="213"/>
      <c r="AO340" s="213"/>
      <c r="AP340" s="213"/>
      <c r="AQ340" s="213"/>
      <c r="AR340" s="213"/>
      <c r="AS340" s="213"/>
      <c r="AT340" s="213"/>
      <c r="AU340" s="213"/>
      <c r="AV340" s="213"/>
      <c r="AW340" s="213"/>
      <c r="AX340" s="213"/>
      <c r="AY340" s="213"/>
      <c r="AZ340" s="213"/>
      <c r="BA340" s="213"/>
      <c r="BB340" s="213"/>
      <c r="BC340" s="213"/>
      <c r="BD340" s="213"/>
      <c r="BE340" s="213"/>
      <c r="BF340" s="213"/>
      <c r="BG340" s="213"/>
      <c r="BH340" s="213"/>
      <c r="BI340" s="213"/>
      <c r="BJ340" s="213"/>
      <c r="BK340" s="213"/>
      <c r="BL340" s="213"/>
      <c r="BM340" s="213"/>
      <c r="BN340" s="213"/>
      <c r="BO340" s="213"/>
      <c r="BP340" s="213"/>
      <c r="BQ340" s="213"/>
      <c r="BR340" s="213"/>
      <c r="BS340" s="213"/>
      <c r="BT340" s="213"/>
      <c r="BU340" s="213"/>
      <c r="BV340" s="213"/>
      <c r="BW340" s="213"/>
      <c r="BX340" s="213"/>
      <c r="BY340" s="213"/>
      <c r="BZ340" s="213"/>
      <c r="CA340" s="213"/>
      <c r="CB340" s="213"/>
      <c r="CC340" s="213"/>
      <c r="CD340" s="213"/>
      <c r="CE340" s="213"/>
      <c r="CF340" s="213"/>
      <c r="CG340" s="213"/>
      <c r="CH340" s="213"/>
      <c r="CI340" s="213"/>
      <c r="CJ340" s="213"/>
      <c r="CK340" s="213"/>
      <c r="CL340" s="213"/>
      <c r="CM340" s="213"/>
      <c r="CN340" s="213"/>
      <c r="CO340" s="213"/>
      <c r="CP340" s="213"/>
      <c r="CQ340" s="213"/>
      <c r="CR340" s="213"/>
      <c r="CS340" s="213"/>
    </row>
    <row r="341" spans="1:97">
      <c r="A341" s="424">
        <v>45627</v>
      </c>
      <c r="B341" s="211" t="s">
        <v>253</v>
      </c>
      <c r="C341" s="213"/>
      <c r="D341" s="213"/>
      <c r="E341" s="213"/>
      <c r="F341" s="213"/>
      <c r="G341" s="213"/>
      <c r="H341" s="213"/>
      <c r="I341" s="213"/>
      <c r="J341" s="213"/>
      <c r="K341" s="213"/>
      <c r="L341" s="213"/>
      <c r="M341" s="213"/>
      <c r="N341" s="213"/>
      <c r="O341" s="213"/>
      <c r="P341" s="213"/>
      <c r="Q341" s="213"/>
      <c r="R341" s="213"/>
      <c r="S341" s="213"/>
      <c r="T341" s="213"/>
      <c r="U341" s="213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13"/>
      <c r="AF341" s="213"/>
      <c r="AG341" s="213"/>
      <c r="AH341" s="213"/>
      <c r="AI341" s="213"/>
      <c r="AJ341" s="213"/>
      <c r="AK341" s="213"/>
      <c r="AL341" s="213"/>
      <c r="AM341" s="213"/>
      <c r="AN341" s="213"/>
      <c r="AO341" s="213"/>
      <c r="AP341" s="213"/>
      <c r="AQ341" s="213"/>
      <c r="AR341" s="213"/>
      <c r="AS341" s="213"/>
      <c r="AT341" s="213"/>
      <c r="AU341" s="213"/>
      <c r="AV341" s="213"/>
      <c r="AW341" s="213"/>
      <c r="AX341" s="213"/>
      <c r="AY341" s="213"/>
      <c r="AZ341" s="213"/>
      <c r="BA341" s="213"/>
      <c r="BB341" s="213"/>
      <c r="BC341" s="213"/>
      <c r="BD341" s="213"/>
      <c r="BE341" s="213"/>
      <c r="BF341" s="213"/>
      <c r="BG341" s="213"/>
      <c r="BH341" s="213"/>
      <c r="BI341" s="213"/>
      <c r="BJ341" s="213"/>
      <c r="BK341" s="213"/>
      <c r="BL341" s="213"/>
      <c r="BM341" s="213"/>
      <c r="BN341" s="213"/>
      <c r="BO341" s="213"/>
      <c r="BP341" s="213"/>
      <c r="BQ341" s="213"/>
      <c r="BR341" s="213"/>
      <c r="BS341" s="213"/>
      <c r="BT341" s="213"/>
      <c r="BU341" s="213"/>
      <c r="BV341" s="213"/>
      <c r="BW341" s="213"/>
      <c r="BX341" s="213"/>
      <c r="BY341" s="213"/>
      <c r="BZ341" s="213"/>
      <c r="CA341" s="213"/>
      <c r="CB341" s="213"/>
      <c r="CC341" s="213"/>
      <c r="CD341" s="213"/>
      <c r="CE341" s="213"/>
      <c r="CF341" s="213"/>
      <c r="CG341" s="213"/>
      <c r="CH341" s="213"/>
      <c r="CI341" s="213"/>
      <c r="CJ341" s="213"/>
      <c r="CK341" s="213"/>
      <c r="CL341" s="213"/>
      <c r="CM341" s="213"/>
      <c r="CN341" s="213"/>
      <c r="CO341" s="213"/>
      <c r="CP341" s="213"/>
      <c r="CQ341" s="213"/>
      <c r="CR341" s="213"/>
      <c r="CS341" s="213"/>
    </row>
    <row r="342" spans="1:97">
      <c r="A342" s="424">
        <v>45628</v>
      </c>
      <c r="B342" s="211" t="s">
        <v>247</v>
      </c>
      <c r="C342" s="213">
        <v>151.22</v>
      </c>
      <c r="D342" s="213">
        <v>149.22</v>
      </c>
      <c r="E342" s="213">
        <v>150.22</v>
      </c>
      <c r="F342" s="213">
        <v>159.76</v>
      </c>
      <c r="G342" s="213">
        <v>156.76</v>
      </c>
      <c r="H342" s="213">
        <v>158.26</v>
      </c>
      <c r="I342" s="213">
        <v>108.65</v>
      </c>
      <c r="J342" s="213">
        <v>105.45</v>
      </c>
      <c r="K342" s="213">
        <v>107.05000000000001</v>
      </c>
      <c r="L342" s="213">
        <v>194.7</v>
      </c>
      <c r="M342" s="213">
        <v>186.7</v>
      </c>
      <c r="N342" s="213">
        <v>190.7</v>
      </c>
      <c r="O342" s="213">
        <v>170.99</v>
      </c>
      <c r="P342" s="213">
        <v>169.19</v>
      </c>
      <c r="Q342" s="213">
        <v>170.09</v>
      </c>
      <c r="R342" s="213">
        <v>21.51</v>
      </c>
      <c r="S342" s="213">
        <v>20.91</v>
      </c>
      <c r="T342" s="213">
        <v>21.21</v>
      </c>
      <c r="U342" s="213">
        <v>13.86</v>
      </c>
      <c r="V342" s="213">
        <v>13.26</v>
      </c>
      <c r="W342" s="213">
        <v>13.559999999999999</v>
      </c>
      <c r="X342" s="213">
        <v>14.14</v>
      </c>
      <c r="Y342" s="213">
        <v>13.34</v>
      </c>
      <c r="Z342" s="213">
        <v>13.74</v>
      </c>
      <c r="AA342" s="213">
        <v>99.57</v>
      </c>
      <c r="AB342" s="213">
        <v>95.57</v>
      </c>
      <c r="AC342" s="213">
        <v>97.57</v>
      </c>
      <c r="AD342" s="213">
        <v>90.61</v>
      </c>
      <c r="AE342" s="213">
        <v>86.61</v>
      </c>
      <c r="AF342" s="213">
        <v>88.61</v>
      </c>
      <c r="AG342" s="213">
        <v>19.73</v>
      </c>
      <c r="AH342" s="213">
        <v>18.87</v>
      </c>
      <c r="AI342" s="213">
        <v>19.3</v>
      </c>
      <c r="AJ342" s="213"/>
      <c r="AK342" s="213"/>
      <c r="AL342" s="213"/>
      <c r="AM342" s="213">
        <v>112.72</v>
      </c>
      <c r="AN342" s="213">
        <v>111.06</v>
      </c>
      <c r="AO342" s="213">
        <v>111.89</v>
      </c>
      <c r="AP342" s="213">
        <v>40.85</v>
      </c>
      <c r="AQ342" s="213">
        <v>39.25</v>
      </c>
      <c r="AR342" s="213">
        <v>40.049999999999997</v>
      </c>
      <c r="AS342" s="213">
        <v>41.65</v>
      </c>
      <c r="AT342" s="213">
        <v>40.29</v>
      </c>
      <c r="AU342" s="213">
        <v>40.97</v>
      </c>
      <c r="AV342" s="213">
        <v>20.99</v>
      </c>
      <c r="AW342" s="213">
        <v>20.389999999999997</v>
      </c>
      <c r="AX342" s="213">
        <v>20.689999999999998</v>
      </c>
      <c r="AY342" s="213">
        <v>4.4400000000000004</v>
      </c>
      <c r="AZ342" s="213">
        <v>4.28</v>
      </c>
      <c r="BA342" s="213">
        <v>4.3600000000000003</v>
      </c>
      <c r="BB342" s="213">
        <v>1.93</v>
      </c>
      <c r="BC342" s="213">
        <v>1.63</v>
      </c>
      <c r="BD342" s="213">
        <v>1.7799999999999998</v>
      </c>
      <c r="BE342" s="213">
        <v>0.69</v>
      </c>
      <c r="BF342" s="213">
        <v>0.38999999999999996</v>
      </c>
      <c r="BG342" s="213">
        <v>0.53999999999999992</v>
      </c>
      <c r="BH342" s="213">
        <v>497.79</v>
      </c>
      <c r="BI342" s="213">
        <v>481.79</v>
      </c>
      <c r="BJ342" s="213">
        <v>489.79</v>
      </c>
      <c r="BK342" s="213">
        <v>41.96</v>
      </c>
      <c r="BL342" s="213">
        <v>40.6</v>
      </c>
      <c r="BM342" s="213">
        <v>41.28</v>
      </c>
      <c r="BN342" s="213">
        <v>1.07</v>
      </c>
      <c r="BO342" s="213">
        <v>0.83000000000000007</v>
      </c>
      <c r="BP342" s="213">
        <v>0.95000000000000007</v>
      </c>
      <c r="BQ342" s="213">
        <v>8.36</v>
      </c>
      <c r="BR342" s="213">
        <v>6.3599999999999994</v>
      </c>
      <c r="BS342" s="213">
        <v>7.3599999999999994</v>
      </c>
      <c r="BT342" s="213">
        <v>10.94</v>
      </c>
      <c r="BU342" s="213">
        <v>10.54</v>
      </c>
      <c r="BV342" s="213">
        <v>10.739999999999998</v>
      </c>
      <c r="BW342" s="213">
        <v>2.72</v>
      </c>
      <c r="BX342" s="213">
        <v>2.4400000000000004</v>
      </c>
      <c r="BY342" s="213">
        <v>2.58</v>
      </c>
      <c r="BZ342" s="213">
        <v>9.7799999999999994</v>
      </c>
      <c r="CA342" s="213">
        <v>6.7799999999999994</v>
      </c>
      <c r="CB342" s="213">
        <v>8.2799999999999994</v>
      </c>
      <c r="CC342" s="213">
        <v>6.39</v>
      </c>
      <c r="CD342" s="213">
        <v>6.1499999999999995</v>
      </c>
      <c r="CE342" s="213">
        <v>6.27</v>
      </c>
      <c r="CF342" s="213">
        <v>1.66</v>
      </c>
      <c r="CG342" s="213">
        <v>1.1599999999999999</v>
      </c>
      <c r="CH342" s="213">
        <v>1.41</v>
      </c>
      <c r="CI342" s="213">
        <v>0.4</v>
      </c>
      <c r="CJ342" s="213">
        <v>0.36000000000000004</v>
      </c>
      <c r="CK342" s="213">
        <v>0.38</v>
      </c>
      <c r="CL342" s="213">
        <v>38.04</v>
      </c>
      <c r="CM342" s="213">
        <v>35.64</v>
      </c>
      <c r="CN342" s="213">
        <v>36.840000000000003</v>
      </c>
      <c r="CO342" s="213">
        <v>6.83</v>
      </c>
      <c r="CP342" s="213">
        <v>1.83</v>
      </c>
      <c r="CQ342" s="213">
        <v>4.33</v>
      </c>
      <c r="CR342" s="213"/>
      <c r="CS342" s="213"/>
    </row>
    <row r="343" spans="1:97">
      <c r="A343" s="424">
        <v>45629</v>
      </c>
      <c r="B343" s="211" t="s">
        <v>248</v>
      </c>
      <c r="C343" s="213">
        <v>150.96</v>
      </c>
      <c r="D343" s="213">
        <v>148.96</v>
      </c>
      <c r="E343" s="213">
        <v>149.96</v>
      </c>
      <c r="F343" s="213">
        <v>158.85</v>
      </c>
      <c r="G343" s="213">
        <v>155.85</v>
      </c>
      <c r="H343" s="213">
        <v>157.35</v>
      </c>
      <c r="I343" s="213">
        <v>108.36</v>
      </c>
      <c r="J343" s="213">
        <v>105.16</v>
      </c>
      <c r="K343" s="213">
        <v>106.75999999999999</v>
      </c>
      <c r="L343" s="213">
        <v>193.76</v>
      </c>
      <c r="M343" s="213">
        <v>185.76</v>
      </c>
      <c r="N343" s="213">
        <v>189.76</v>
      </c>
      <c r="O343" s="213">
        <v>169.91</v>
      </c>
      <c r="P343" s="213">
        <v>168.10999999999999</v>
      </c>
      <c r="Q343" s="213">
        <v>169.01</v>
      </c>
      <c r="R343" s="213">
        <v>21.39</v>
      </c>
      <c r="S343" s="213">
        <v>20.79</v>
      </c>
      <c r="T343" s="213">
        <v>21.09</v>
      </c>
      <c r="U343" s="213">
        <v>13.79</v>
      </c>
      <c r="V343" s="213">
        <v>13.19</v>
      </c>
      <c r="W343" s="213">
        <v>13.489999999999998</v>
      </c>
      <c r="X343" s="213">
        <v>14.04</v>
      </c>
      <c r="Y343" s="213">
        <v>13.239999999999998</v>
      </c>
      <c r="Z343" s="213">
        <v>13.639999999999999</v>
      </c>
      <c r="AA343" s="213">
        <v>99.11</v>
      </c>
      <c r="AB343" s="213">
        <v>95.11</v>
      </c>
      <c r="AC343" s="213">
        <v>97.11</v>
      </c>
      <c r="AD343" s="213">
        <v>90.21</v>
      </c>
      <c r="AE343" s="213">
        <v>86.21</v>
      </c>
      <c r="AF343" s="213">
        <v>88.21</v>
      </c>
      <c r="AG343" s="213">
        <v>19.7</v>
      </c>
      <c r="AH343" s="213">
        <v>18.84</v>
      </c>
      <c r="AI343" s="213">
        <v>19.27</v>
      </c>
      <c r="AJ343" s="213"/>
      <c r="AK343" s="213"/>
      <c r="AL343" s="213"/>
      <c r="AM343" s="213">
        <v>112.25</v>
      </c>
      <c r="AN343" s="213">
        <v>110.59</v>
      </c>
      <c r="AO343" s="213">
        <v>111.42</v>
      </c>
      <c r="AP343" s="213">
        <v>40.78</v>
      </c>
      <c r="AQ343" s="213">
        <v>39.18</v>
      </c>
      <c r="AR343" s="213">
        <v>39.980000000000004</v>
      </c>
      <c r="AS343" s="213">
        <v>41.57</v>
      </c>
      <c r="AT343" s="213">
        <v>40.21</v>
      </c>
      <c r="AU343" s="213">
        <v>40.89</v>
      </c>
      <c r="AV343" s="213">
        <v>20.87</v>
      </c>
      <c r="AW343" s="213">
        <v>20.27</v>
      </c>
      <c r="AX343" s="213">
        <v>20.57</v>
      </c>
      <c r="AY343" s="213">
        <v>4.43</v>
      </c>
      <c r="AZ343" s="213">
        <v>4.2699999999999996</v>
      </c>
      <c r="BA343" s="213">
        <v>4.3499999999999996</v>
      </c>
      <c r="BB343" s="213">
        <v>1.93</v>
      </c>
      <c r="BC343" s="213">
        <v>1.63</v>
      </c>
      <c r="BD343" s="213">
        <v>1.7799999999999998</v>
      </c>
      <c r="BE343" s="213">
        <v>0.69</v>
      </c>
      <c r="BF343" s="213">
        <v>0.38999999999999996</v>
      </c>
      <c r="BG343" s="213">
        <v>0.53999999999999992</v>
      </c>
      <c r="BH343" s="213">
        <v>496.63</v>
      </c>
      <c r="BI343" s="213">
        <v>480.63</v>
      </c>
      <c r="BJ343" s="213">
        <v>488.63</v>
      </c>
      <c r="BK343" s="213">
        <v>41.89</v>
      </c>
      <c r="BL343" s="213">
        <v>40.53</v>
      </c>
      <c r="BM343" s="213">
        <v>41.21</v>
      </c>
      <c r="BN343" s="213">
        <v>1.07</v>
      </c>
      <c r="BO343" s="213">
        <v>0.83000000000000007</v>
      </c>
      <c r="BP343" s="213">
        <v>0.95000000000000007</v>
      </c>
      <c r="BQ343" s="213">
        <v>8.35</v>
      </c>
      <c r="BR343" s="213">
        <v>6.35</v>
      </c>
      <c r="BS343" s="213">
        <v>7.35</v>
      </c>
      <c r="BT343" s="213">
        <v>10.91</v>
      </c>
      <c r="BU343" s="213">
        <v>10.51</v>
      </c>
      <c r="BV343" s="213">
        <v>10.71</v>
      </c>
      <c r="BW343" s="213">
        <v>2.72</v>
      </c>
      <c r="BX343" s="213">
        <v>2.4400000000000004</v>
      </c>
      <c r="BY343" s="213">
        <v>2.58</v>
      </c>
      <c r="BZ343" s="213">
        <v>9.76</v>
      </c>
      <c r="CA343" s="213">
        <v>6.76</v>
      </c>
      <c r="CB343" s="213">
        <v>8.26</v>
      </c>
      <c r="CC343" s="213">
        <v>6.36</v>
      </c>
      <c r="CD343" s="213">
        <v>6.12</v>
      </c>
      <c r="CE343" s="213">
        <v>6.24</v>
      </c>
      <c r="CF343" s="213">
        <v>1.66</v>
      </c>
      <c r="CG343" s="213">
        <v>1.1599999999999999</v>
      </c>
      <c r="CH343" s="213">
        <v>1.41</v>
      </c>
      <c r="CI343" s="213">
        <v>0.4</v>
      </c>
      <c r="CJ343" s="213">
        <v>0.36000000000000004</v>
      </c>
      <c r="CK343" s="213">
        <v>0.38</v>
      </c>
      <c r="CL343" s="213">
        <v>37.96</v>
      </c>
      <c r="CM343" s="213">
        <v>35.56</v>
      </c>
      <c r="CN343" s="213">
        <v>36.760000000000005</v>
      </c>
      <c r="CO343" s="213">
        <v>6.82</v>
      </c>
      <c r="CP343" s="213">
        <v>1.8200000000000003</v>
      </c>
      <c r="CQ343" s="213">
        <v>4.32</v>
      </c>
      <c r="CR343" s="213"/>
      <c r="CS343" s="213"/>
    </row>
    <row r="344" spans="1:97">
      <c r="A344" s="424">
        <v>45630</v>
      </c>
      <c r="B344" s="211" t="s">
        <v>249</v>
      </c>
      <c r="C344" s="213">
        <v>150.82</v>
      </c>
      <c r="D344" s="213">
        <v>148.82</v>
      </c>
      <c r="E344" s="213">
        <v>149.82</v>
      </c>
      <c r="F344" s="213">
        <v>158.84</v>
      </c>
      <c r="G344" s="213">
        <v>155.84</v>
      </c>
      <c r="H344" s="213">
        <v>157.34</v>
      </c>
      <c r="I344" s="213">
        <v>108.06</v>
      </c>
      <c r="J344" s="213">
        <v>104.86</v>
      </c>
      <c r="K344" s="213">
        <v>106.46000000000001</v>
      </c>
      <c r="L344" s="213">
        <v>193.81</v>
      </c>
      <c r="M344" s="213">
        <v>185.81</v>
      </c>
      <c r="N344" s="213">
        <v>189.81</v>
      </c>
      <c r="O344" s="213">
        <v>169.77</v>
      </c>
      <c r="P344" s="213">
        <v>167.97</v>
      </c>
      <c r="Q344" s="213">
        <v>168.87</v>
      </c>
      <c r="R344" s="213">
        <v>21.4</v>
      </c>
      <c r="S344" s="213">
        <v>20.799999999999997</v>
      </c>
      <c r="T344" s="213">
        <v>21.099999999999998</v>
      </c>
      <c r="U344" s="213">
        <v>13.85</v>
      </c>
      <c r="V344" s="213">
        <v>13.25</v>
      </c>
      <c r="W344" s="213">
        <v>13.55</v>
      </c>
      <c r="X344" s="213">
        <v>14.01</v>
      </c>
      <c r="Y344" s="213">
        <v>13.209999999999999</v>
      </c>
      <c r="Z344" s="213">
        <v>13.61</v>
      </c>
      <c r="AA344" s="213">
        <v>98.89</v>
      </c>
      <c r="AB344" s="213">
        <v>94.89</v>
      </c>
      <c r="AC344" s="213">
        <v>96.89</v>
      </c>
      <c r="AD344" s="213">
        <v>89.99</v>
      </c>
      <c r="AE344" s="213">
        <v>85.99</v>
      </c>
      <c r="AF344" s="213">
        <v>87.99</v>
      </c>
      <c r="AG344" s="213">
        <v>19.68</v>
      </c>
      <c r="AH344" s="213">
        <v>18.82</v>
      </c>
      <c r="AI344" s="213">
        <v>19.25</v>
      </c>
      <c r="AJ344" s="213"/>
      <c r="AK344" s="213"/>
      <c r="AL344" s="213"/>
      <c r="AM344" s="213">
        <v>112.12</v>
      </c>
      <c r="AN344" s="213">
        <v>110.46000000000001</v>
      </c>
      <c r="AO344" s="213">
        <v>111.29</v>
      </c>
      <c r="AP344" s="213">
        <v>40.74</v>
      </c>
      <c r="AQ344" s="213">
        <v>39.14</v>
      </c>
      <c r="AR344" s="213">
        <v>39.94</v>
      </c>
      <c r="AS344" s="213">
        <v>41.54</v>
      </c>
      <c r="AT344" s="213">
        <v>40.18</v>
      </c>
      <c r="AU344" s="213">
        <v>40.86</v>
      </c>
      <c r="AV344" s="213">
        <v>20.81</v>
      </c>
      <c r="AW344" s="213">
        <v>20.209999999999997</v>
      </c>
      <c r="AX344" s="213">
        <v>20.509999999999998</v>
      </c>
      <c r="AY344" s="213">
        <v>4.4400000000000004</v>
      </c>
      <c r="AZ344" s="213">
        <v>4.28</v>
      </c>
      <c r="BA344" s="213">
        <v>4.3600000000000003</v>
      </c>
      <c r="BB344" s="213">
        <v>1.93</v>
      </c>
      <c r="BC344" s="213">
        <v>1.63</v>
      </c>
      <c r="BD344" s="213">
        <v>1.7799999999999998</v>
      </c>
      <c r="BE344" s="213">
        <v>0.69</v>
      </c>
      <c r="BF344" s="213">
        <v>0.38999999999999996</v>
      </c>
      <c r="BG344" s="213">
        <v>0.53999999999999992</v>
      </c>
      <c r="BH344" s="213">
        <v>496.49</v>
      </c>
      <c r="BI344" s="213">
        <v>480.49</v>
      </c>
      <c r="BJ344" s="213">
        <v>488.49</v>
      </c>
      <c r="BK344" s="213">
        <v>41.85</v>
      </c>
      <c r="BL344" s="213">
        <v>40.49</v>
      </c>
      <c r="BM344" s="213">
        <v>41.17</v>
      </c>
      <c r="BN344" s="213">
        <v>1.06</v>
      </c>
      <c r="BO344" s="213">
        <v>0.82000000000000006</v>
      </c>
      <c r="BP344" s="213">
        <v>0.94000000000000006</v>
      </c>
      <c r="BQ344" s="213">
        <v>8.3699999999999992</v>
      </c>
      <c r="BR344" s="213">
        <v>6.3699999999999992</v>
      </c>
      <c r="BS344" s="213">
        <v>7.3699999999999992</v>
      </c>
      <c r="BT344" s="213">
        <v>10.79</v>
      </c>
      <c r="BU344" s="213">
        <v>10.389999999999999</v>
      </c>
      <c r="BV344" s="213">
        <v>10.59</v>
      </c>
      <c r="BW344" s="213">
        <v>2.72</v>
      </c>
      <c r="BX344" s="213">
        <v>2.4400000000000004</v>
      </c>
      <c r="BY344" s="213">
        <v>2.58</v>
      </c>
      <c r="BZ344" s="213">
        <v>9.76</v>
      </c>
      <c r="CA344" s="213">
        <v>6.76</v>
      </c>
      <c r="CB344" s="213">
        <v>8.26</v>
      </c>
      <c r="CC344" s="213">
        <v>6.38</v>
      </c>
      <c r="CD344" s="213">
        <v>6.14</v>
      </c>
      <c r="CE344" s="213">
        <v>6.26</v>
      </c>
      <c r="CF344" s="213">
        <v>1.68</v>
      </c>
      <c r="CG344" s="213">
        <v>1.18</v>
      </c>
      <c r="CH344" s="213">
        <v>1.43</v>
      </c>
      <c r="CI344" s="213">
        <v>0.4</v>
      </c>
      <c r="CJ344" s="213">
        <v>0.36000000000000004</v>
      </c>
      <c r="CK344" s="213">
        <v>0.38</v>
      </c>
      <c r="CL344" s="213">
        <v>37.880000000000003</v>
      </c>
      <c r="CM344" s="213">
        <v>35.480000000000004</v>
      </c>
      <c r="CN344" s="213">
        <v>36.680000000000007</v>
      </c>
      <c r="CO344" s="213">
        <v>6.82</v>
      </c>
      <c r="CP344" s="213">
        <v>1.8200000000000003</v>
      </c>
      <c r="CQ344" s="213">
        <v>4.32</v>
      </c>
      <c r="CR344" s="213"/>
      <c r="CS344" s="213"/>
    </row>
    <row r="345" spans="1:97">
      <c r="A345" s="424">
        <v>45631</v>
      </c>
      <c r="B345" s="211" t="s">
        <v>250</v>
      </c>
      <c r="C345" s="213">
        <v>151.38</v>
      </c>
      <c r="D345" s="213">
        <v>149.38</v>
      </c>
      <c r="E345" s="213">
        <v>150.38</v>
      </c>
      <c r="F345" s="213">
        <v>159.59</v>
      </c>
      <c r="G345" s="213">
        <v>156.59</v>
      </c>
      <c r="H345" s="213">
        <v>158.09</v>
      </c>
      <c r="I345" s="213">
        <v>108.41</v>
      </c>
      <c r="J345" s="213">
        <v>105.21</v>
      </c>
      <c r="K345" s="213">
        <v>106.81</v>
      </c>
      <c r="L345" s="213">
        <v>194.97</v>
      </c>
      <c r="M345" s="213">
        <v>186.97</v>
      </c>
      <c r="N345" s="213">
        <v>190.97</v>
      </c>
      <c r="O345" s="213">
        <v>170.96</v>
      </c>
      <c r="P345" s="213">
        <v>169.16</v>
      </c>
      <c r="Q345" s="213">
        <v>170.06</v>
      </c>
      <c r="R345" s="213">
        <v>21.5</v>
      </c>
      <c r="S345" s="213">
        <v>20.9</v>
      </c>
      <c r="T345" s="213">
        <v>21.2</v>
      </c>
      <c r="U345" s="213">
        <v>13.92</v>
      </c>
      <c r="V345" s="213">
        <v>13.32</v>
      </c>
      <c r="W345" s="213">
        <v>13.620000000000001</v>
      </c>
      <c r="X345" s="213">
        <v>14.17</v>
      </c>
      <c r="Y345" s="213">
        <v>13.37</v>
      </c>
      <c r="Z345" s="213">
        <v>13.77</v>
      </c>
      <c r="AA345" s="213">
        <v>98.6</v>
      </c>
      <c r="AB345" s="213">
        <v>94.6</v>
      </c>
      <c r="AC345" s="213">
        <v>96.6</v>
      </c>
      <c r="AD345" s="213">
        <v>90.08</v>
      </c>
      <c r="AE345" s="213">
        <v>86.08</v>
      </c>
      <c r="AF345" s="213">
        <v>88.08</v>
      </c>
      <c r="AG345" s="213">
        <v>19.75</v>
      </c>
      <c r="AH345" s="213">
        <v>18.89</v>
      </c>
      <c r="AI345" s="213">
        <v>19.32</v>
      </c>
      <c r="AJ345" s="213"/>
      <c r="AK345" s="213"/>
      <c r="AL345" s="213"/>
      <c r="AM345" s="213">
        <v>112.76</v>
      </c>
      <c r="AN345" s="213">
        <v>111.10000000000001</v>
      </c>
      <c r="AO345" s="213">
        <v>111.93</v>
      </c>
      <c r="AP345" s="213">
        <v>40.880000000000003</v>
      </c>
      <c r="AQ345" s="213">
        <v>39.28</v>
      </c>
      <c r="AR345" s="213">
        <v>40.08</v>
      </c>
      <c r="AS345" s="213">
        <v>41.69</v>
      </c>
      <c r="AT345" s="213">
        <v>40.33</v>
      </c>
      <c r="AU345" s="213">
        <v>41.01</v>
      </c>
      <c r="AV345" s="213">
        <v>20.96</v>
      </c>
      <c r="AW345" s="213">
        <v>20.36</v>
      </c>
      <c r="AX345" s="213">
        <v>20.66</v>
      </c>
      <c r="AY345" s="213">
        <v>4.46</v>
      </c>
      <c r="AZ345" s="213">
        <v>4.3</v>
      </c>
      <c r="BA345" s="213">
        <v>4.38</v>
      </c>
      <c r="BB345" s="213">
        <v>1.93</v>
      </c>
      <c r="BC345" s="213">
        <v>1.63</v>
      </c>
      <c r="BD345" s="213">
        <v>1.7799999999999998</v>
      </c>
      <c r="BE345" s="213">
        <v>0.69</v>
      </c>
      <c r="BF345" s="213">
        <v>0.38999999999999996</v>
      </c>
      <c r="BG345" s="213">
        <v>0.53999999999999992</v>
      </c>
      <c r="BH345" s="213">
        <v>498</v>
      </c>
      <c r="BI345" s="213">
        <v>482</v>
      </c>
      <c r="BJ345" s="213">
        <v>490</v>
      </c>
      <c r="BK345" s="213">
        <v>42</v>
      </c>
      <c r="BL345" s="213">
        <v>40.64</v>
      </c>
      <c r="BM345" s="213">
        <v>41.32</v>
      </c>
      <c r="BN345" s="213">
        <v>1.06</v>
      </c>
      <c r="BO345" s="213">
        <v>0.82000000000000006</v>
      </c>
      <c r="BP345" s="213">
        <v>0.94000000000000006</v>
      </c>
      <c r="BQ345" s="213">
        <v>8.41</v>
      </c>
      <c r="BR345" s="213">
        <v>6.41</v>
      </c>
      <c r="BS345" s="213">
        <v>7.41</v>
      </c>
      <c r="BT345" s="213">
        <v>10.85</v>
      </c>
      <c r="BU345" s="213">
        <v>10.45</v>
      </c>
      <c r="BV345" s="213">
        <v>10.649999999999999</v>
      </c>
      <c r="BW345" s="213">
        <v>2.74</v>
      </c>
      <c r="BX345" s="213">
        <v>2.46</v>
      </c>
      <c r="BY345" s="213">
        <v>2.6</v>
      </c>
      <c r="BZ345" s="213">
        <v>9.77</v>
      </c>
      <c r="CA345" s="213">
        <v>6.77</v>
      </c>
      <c r="CB345" s="213">
        <v>8.27</v>
      </c>
      <c r="CC345" s="213">
        <v>6.41</v>
      </c>
      <c r="CD345" s="213">
        <v>6.17</v>
      </c>
      <c r="CE345" s="213">
        <v>6.29</v>
      </c>
      <c r="CF345" s="213">
        <v>1.68</v>
      </c>
      <c r="CG345" s="213">
        <v>1.18</v>
      </c>
      <c r="CH345" s="213">
        <v>1.43</v>
      </c>
      <c r="CI345" s="213">
        <v>0.4</v>
      </c>
      <c r="CJ345" s="213">
        <v>0.36000000000000004</v>
      </c>
      <c r="CK345" s="213">
        <v>0.38</v>
      </c>
      <c r="CL345" s="213">
        <v>38.17</v>
      </c>
      <c r="CM345" s="213">
        <v>35.770000000000003</v>
      </c>
      <c r="CN345" s="213">
        <v>36.97</v>
      </c>
      <c r="CO345" s="213">
        <v>6.84</v>
      </c>
      <c r="CP345" s="213">
        <v>1.8399999999999999</v>
      </c>
      <c r="CQ345" s="213">
        <v>4.34</v>
      </c>
      <c r="CR345" s="213"/>
      <c r="CS345" s="213"/>
    </row>
    <row r="346" spans="1:97">
      <c r="A346" s="424">
        <v>45632</v>
      </c>
      <c r="B346" s="211" t="s">
        <v>251</v>
      </c>
      <c r="C346" s="213">
        <v>151.06</v>
      </c>
      <c r="D346" s="213">
        <v>149.06</v>
      </c>
      <c r="E346" s="213">
        <v>150.06</v>
      </c>
      <c r="F346" s="213">
        <v>160.22999999999999</v>
      </c>
      <c r="G346" s="213">
        <v>157.22999999999999</v>
      </c>
      <c r="H346" s="213">
        <v>158.72999999999999</v>
      </c>
      <c r="I346" s="213">
        <v>108.55</v>
      </c>
      <c r="J346" s="213">
        <v>105.35</v>
      </c>
      <c r="K346" s="213">
        <v>106.94999999999999</v>
      </c>
      <c r="L346" s="213">
        <v>195.43</v>
      </c>
      <c r="M346" s="213">
        <v>187.43</v>
      </c>
      <c r="N346" s="213">
        <v>191.43</v>
      </c>
      <c r="O346" s="213">
        <v>171.66</v>
      </c>
      <c r="P346" s="213">
        <v>169.85999999999999</v>
      </c>
      <c r="Q346" s="213">
        <v>170.76</v>
      </c>
      <c r="R346" s="213">
        <v>21.58</v>
      </c>
      <c r="S346" s="213">
        <v>20.979999999999997</v>
      </c>
      <c r="T346" s="213">
        <v>21.279999999999998</v>
      </c>
      <c r="U346" s="213">
        <v>13.88</v>
      </c>
      <c r="V346" s="213">
        <v>13.280000000000001</v>
      </c>
      <c r="W346" s="213">
        <v>13.580000000000002</v>
      </c>
      <c r="X346" s="213">
        <v>14.23</v>
      </c>
      <c r="Y346" s="213">
        <v>13.43</v>
      </c>
      <c r="Z346" s="213">
        <v>13.83</v>
      </c>
      <c r="AA346" s="213">
        <v>98.65</v>
      </c>
      <c r="AB346" s="213">
        <v>94.65</v>
      </c>
      <c r="AC346" s="213">
        <v>96.65</v>
      </c>
      <c r="AD346" s="213">
        <v>90.22</v>
      </c>
      <c r="AE346" s="213">
        <v>86.22</v>
      </c>
      <c r="AF346" s="213">
        <v>88.22</v>
      </c>
      <c r="AG346" s="213">
        <v>19.71</v>
      </c>
      <c r="AH346" s="213">
        <v>18.850000000000001</v>
      </c>
      <c r="AI346" s="213">
        <v>19.28</v>
      </c>
      <c r="AJ346" s="213"/>
      <c r="AK346" s="213"/>
      <c r="AL346" s="213"/>
      <c r="AM346" s="213">
        <v>112.92</v>
      </c>
      <c r="AN346" s="213">
        <v>111.26</v>
      </c>
      <c r="AO346" s="213">
        <v>112.09</v>
      </c>
      <c r="AP346" s="213">
        <v>40.82</v>
      </c>
      <c r="AQ346" s="213">
        <v>39.22</v>
      </c>
      <c r="AR346" s="213">
        <v>40.019999999999996</v>
      </c>
      <c r="AS346" s="213">
        <v>41.6</v>
      </c>
      <c r="AT346" s="213">
        <v>40.24</v>
      </c>
      <c r="AU346" s="213">
        <v>40.92</v>
      </c>
      <c r="AV346" s="213">
        <v>20.94</v>
      </c>
      <c r="AW346" s="213">
        <v>20.34</v>
      </c>
      <c r="AX346" s="213">
        <v>20.64</v>
      </c>
      <c r="AY346" s="213">
        <v>4.4800000000000004</v>
      </c>
      <c r="AZ346" s="213">
        <v>4.32</v>
      </c>
      <c r="BA346" s="213">
        <v>4.4000000000000004</v>
      </c>
      <c r="BB346" s="213">
        <v>1.93</v>
      </c>
      <c r="BC346" s="213">
        <v>1.63</v>
      </c>
      <c r="BD346" s="213">
        <v>1.7799999999999998</v>
      </c>
      <c r="BE346" s="213">
        <v>0.69</v>
      </c>
      <c r="BF346" s="213">
        <v>0.38999999999999996</v>
      </c>
      <c r="BG346" s="213">
        <v>0.53999999999999992</v>
      </c>
      <c r="BH346" s="213">
        <v>497.27</v>
      </c>
      <c r="BI346" s="213">
        <v>481.27</v>
      </c>
      <c r="BJ346" s="213">
        <v>489.27</v>
      </c>
      <c r="BK346" s="213">
        <v>41.91</v>
      </c>
      <c r="BL346" s="213">
        <v>40.549999999999997</v>
      </c>
      <c r="BM346" s="213">
        <v>41.23</v>
      </c>
      <c r="BN346" s="213">
        <v>1.07</v>
      </c>
      <c r="BO346" s="213">
        <v>0.83000000000000007</v>
      </c>
      <c r="BP346" s="213">
        <v>0.95000000000000007</v>
      </c>
      <c r="BQ346" s="213">
        <v>8.43</v>
      </c>
      <c r="BR346" s="213">
        <v>6.43</v>
      </c>
      <c r="BS346" s="213">
        <v>7.43</v>
      </c>
      <c r="BT346" s="213">
        <v>10.82</v>
      </c>
      <c r="BU346" s="213">
        <v>10.42</v>
      </c>
      <c r="BV346" s="213">
        <v>10.620000000000001</v>
      </c>
      <c r="BW346" s="213">
        <v>2.75</v>
      </c>
      <c r="BX346" s="213">
        <v>2.4699999999999998</v>
      </c>
      <c r="BY346" s="213">
        <v>2.61</v>
      </c>
      <c r="BZ346" s="213">
        <v>9.82</v>
      </c>
      <c r="CA346" s="213">
        <v>6.82</v>
      </c>
      <c r="CB346" s="213">
        <v>8.32</v>
      </c>
      <c r="CC346" s="213">
        <v>6.46</v>
      </c>
      <c r="CD346" s="213">
        <v>6.22</v>
      </c>
      <c r="CE346" s="213">
        <v>6.34</v>
      </c>
      <c r="CF346" s="213">
        <v>1.74</v>
      </c>
      <c r="CG346" s="213">
        <v>1.24</v>
      </c>
      <c r="CH346" s="213">
        <v>1.49</v>
      </c>
      <c r="CI346" s="213">
        <v>0.41</v>
      </c>
      <c r="CJ346" s="213">
        <v>0.37</v>
      </c>
      <c r="CK346" s="213">
        <v>0.39</v>
      </c>
      <c r="CL346" s="213">
        <v>38.4</v>
      </c>
      <c r="CM346" s="213">
        <v>36</v>
      </c>
      <c r="CN346" s="213">
        <v>37.200000000000003</v>
      </c>
      <c r="CO346" s="213">
        <v>6.83</v>
      </c>
      <c r="CP346" s="213">
        <v>1.83</v>
      </c>
      <c r="CQ346" s="213">
        <v>4.33</v>
      </c>
      <c r="CR346" s="213"/>
      <c r="CS346" s="213"/>
    </row>
    <row r="347" spans="1:97">
      <c r="A347" s="424">
        <v>45633</v>
      </c>
      <c r="B347" s="211" t="s">
        <v>252</v>
      </c>
      <c r="C347" s="213"/>
      <c r="D347" s="213"/>
      <c r="E347" s="213"/>
      <c r="F347" s="213"/>
      <c r="G347" s="213"/>
      <c r="H347" s="213"/>
      <c r="I347" s="213"/>
      <c r="J347" s="213"/>
      <c r="K347" s="213"/>
      <c r="L347" s="213"/>
      <c r="M347" s="213"/>
      <c r="N347" s="213"/>
      <c r="O347" s="213"/>
      <c r="P347" s="213"/>
      <c r="Q347" s="213"/>
      <c r="R347" s="213"/>
      <c r="S347" s="213"/>
      <c r="T347" s="213"/>
      <c r="U347" s="213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13"/>
      <c r="AF347" s="213"/>
      <c r="AG347" s="213"/>
      <c r="AH347" s="213"/>
      <c r="AI347" s="213"/>
      <c r="AJ347" s="213"/>
      <c r="AK347" s="213"/>
      <c r="AL347" s="213"/>
      <c r="AM347" s="213"/>
      <c r="AN347" s="213"/>
      <c r="AO347" s="213"/>
      <c r="AP347" s="213"/>
      <c r="AQ347" s="213"/>
      <c r="AR347" s="213"/>
      <c r="AS347" s="213"/>
      <c r="AT347" s="213"/>
      <c r="AU347" s="213"/>
      <c r="AV347" s="213"/>
      <c r="AW347" s="213"/>
      <c r="AX347" s="213"/>
      <c r="AY347" s="213"/>
      <c r="AZ347" s="213"/>
      <c r="BA347" s="213"/>
      <c r="BB347" s="213"/>
      <c r="BC347" s="213"/>
      <c r="BD347" s="213"/>
      <c r="BE347" s="213"/>
      <c r="BF347" s="213"/>
      <c r="BG347" s="213"/>
      <c r="BH347" s="213"/>
      <c r="BI347" s="213"/>
      <c r="BJ347" s="213"/>
      <c r="BK347" s="213"/>
      <c r="BL347" s="213"/>
      <c r="BM347" s="213"/>
      <c r="BN347" s="213"/>
      <c r="BO347" s="213"/>
      <c r="BP347" s="213"/>
      <c r="BQ347" s="213"/>
      <c r="BR347" s="213"/>
      <c r="BS347" s="213"/>
      <c r="BT347" s="213"/>
      <c r="BU347" s="213"/>
      <c r="BV347" s="213"/>
      <c r="BW347" s="213"/>
      <c r="BX347" s="213"/>
      <c r="BY347" s="213"/>
      <c r="BZ347" s="213"/>
      <c r="CA347" s="213"/>
      <c r="CB347" s="213"/>
      <c r="CC347" s="213"/>
      <c r="CD347" s="213"/>
      <c r="CE347" s="213"/>
      <c r="CF347" s="213"/>
      <c r="CG347" s="213"/>
      <c r="CH347" s="213"/>
      <c r="CI347" s="213"/>
      <c r="CJ347" s="213"/>
      <c r="CK347" s="213"/>
      <c r="CL347" s="213"/>
      <c r="CM347" s="213"/>
      <c r="CN347" s="213"/>
      <c r="CO347" s="213"/>
      <c r="CP347" s="213"/>
      <c r="CQ347" s="213"/>
      <c r="CR347" s="213"/>
      <c r="CS347" s="213"/>
    </row>
    <row r="348" spans="1:97">
      <c r="A348" s="424">
        <v>45634</v>
      </c>
      <c r="B348" s="211" t="s">
        <v>253</v>
      </c>
      <c r="C348" s="213"/>
      <c r="D348" s="213"/>
      <c r="E348" s="213"/>
      <c r="F348" s="213"/>
      <c r="G348" s="213"/>
      <c r="H348" s="213"/>
      <c r="I348" s="213"/>
      <c r="J348" s="213"/>
      <c r="K348" s="213"/>
      <c r="L348" s="213"/>
      <c r="M348" s="213"/>
      <c r="N348" s="213"/>
      <c r="O348" s="213"/>
      <c r="P348" s="213"/>
      <c r="Q348" s="213"/>
      <c r="R348" s="213"/>
      <c r="S348" s="213"/>
      <c r="T348" s="213"/>
      <c r="U348" s="213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13"/>
      <c r="AF348" s="213"/>
      <c r="AG348" s="213"/>
      <c r="AH348" s="213"/>
      <c r="AI348" s="213"/>
      <c r="AJ348" s="213"/>
      <c r="AK348" s="213"/>
      <c r="AL348" s="213"/>
      <c r="AM348" s="213"/>
      <c r="AN348" s="213"/>
      <c r="AO348" s="213"/>
      <c r="AP348" s="213"/>
      <c r="AQ348" s="213"/>
      <c r="AR348" s="213"/>
      <c r="AS348" s="213"/>
      <c r="AT348" s="213"/>
      <c r="AU348" s="213"/>
      <c r="AV348" s="213"/>
      <c r="AW348" s="213"/>
      <c r="AX348" s="213"/>
      <c r="AY348" s="213"/>
      <c r="AZ348" s="213"/>
      <c r="BA348" s="213"/>
      <c r="BB348" s="213"/>
      <c r="BC348" s="213"/>
      <c r="BD348" s="213"/>
      <c r="BE348" s="213"/>
      <c r="BF348" s="213"/>
      <c r="BG348" s="213"/>
      <c r="BH348" s="213"/>
      <c r="BI348" s="213"/>
      <c r="BJ348" s="213"/>
      <c r="BK348" s="213"/>
      <c r="BL348" s="213"/>
      <c r="BM348" s="213"/>
      <c r="BN348" s="213"/>
      <c r="BO348" s="213"/>
      <c r="BP348" s="213"/>
      <c r="BQ348" s="213"/>
      <c r="BR348" s="213"/>
      <c r="BS348" s="213"/>
      <c r="BT348" s="213"/>
      <c r="BU348" s="213"/>
      <c r="BV348" s="213"/>
      <c r="BW348" s="213"/>
      <c r="BX348" s="213"/>
      <c r="BY348" s="213"/>
      <c r="BZ348" s="213"/>
      <c r="CA348" s="213"/>
      <c r="CB348" s="213"/>
      <c r="CC348" s="213"/>
      <c r="CD348" s="213"/>
      <c r="CE348" s="213"/>
      <c r="CF348" s="213"/>
      <c r="CG348" s="213"/>
      <c r="CH348" s="213"/>
      <c r="CI348" s="213"/>
      <c r="CJ348" s="213"/>
      <c r="CK348" s="213"/>
      <c r="CL348" s="213"/>
      <c r="CM348" s="213"/>
      <c r="CN348" s="213"/>
      <c r="CO348" s="213"/>
      <c r="CP348" s="213"/>
      <c r="CQ348" s="213"/>
      <c r="CR348" s="213"/>
      <c r="CS348" s="213"/>
    </row>
    <row r="349" spans="1:97">
      <c r="A349" s="424">
        <v>45635</v>
      </c>
      <c r="B349" s="211" t="s">
        <v>247</v>
      </c>
      <c r="C349" s="213">
        <v>150.85</v>
      </c>
      <c r="D349" s="213">
        <v>148.85</v>
      </c>
      <c r="E349" s="213">
        <v>149.85</v>
      </c>
      <c r="F349" s="213">
        <v>159.69999999999999</v>
      </c>
      <c r="G349" s="213">
        <v>156.69999999999999</v>
      </c>
      <c r="H349" s="213">
        <v>158.19999999999999</v>
      </c>
      <c r="I349" s="213">
        <v>107.46</v>
      </c>
      <c r="J349" s="213">
        <v>104.25999999999999</v>
      </c>
      <c r="K349" s="213">
        <v>105.85999999999999</v>
      </c>
      <c r="L349" s="213">
        <v>194.98</v>
      </c>
      <c r="M349" s="213">
        <v>186.98</v>
      </c>
      <c r="N349" s="213">
        <v>190.98</v>
      </c>
      <c r="O349" s="213">
        <v>171.44</v>
      </c>
      <c r="P349" s="213">
        <v>169.64</v>
      </c>
      <c r="Q349" s="213">
        <v>170.54</v>
      </c>
      <c r="R349" s="213">
        <v>21.51</v>
      </c>
      <c r="S349" s="213">
        <v>20.91</v>
      </c>
      <c r="T349" s="213">
        <v>21.21</v>
      </c>
      <c r="U349" s="213">
        <v>13.73</v>
      </c>
      <c r="V349" s="213">
        <v>13.13</v>
      </c>
      <c r="W349" s="213">
        <v>13.43</v>
      </c>
      <c r="X349" s="213">
        <v>14.11</v>
      </c>
      <c r="Y349" s="213">
        <v>13.309999999999999</v>
      </c>
      <c r="Z349" s="213">
        <v>13.709999999999999</v>
      </c>
      <c r="AA349" s="213">
        <v>97.81</v>
      </c>
      <c r="AB349" s="213">
        <v>93.81</v>
      </c>
      <c r="AC349" s="213">
        <v>95.81</v>
      </c>
      <c r="AD349" s="213">
        <v>89.41</v>
      </c>
      <c r="AE349" s="213">
        <v>85.41</v>
      </c>
      <c r="AF349" s="213">
        <v>87.41</v>
      </c>
      <c r="AG349" s="213">
        <v>19.690000000000001</v>
      </c>
      <c r="AH349" s="213">
        <v>18.830000000000002</v>
      </c>
      <c r="AI349" s="213">
        <v>19.260000000000002</v>
      </c>
      <c r="AJ349" s="213"/>
      <c r="AK349" s="213"/>
      <c r="AL349" s="213"/>
      <c r="AM349" s="213">
        <v>112.53</v>
      </c>
      <c r="AN349" s="213">
        <v>110.87</v>
      </c>
      <c r="AO349" s="213">
        <v>111.7</v>
      </c>
      <c r="AP349" s="213">
        <v>40.75</v>
      </c>
      <c r="AQ349" s="213">
        <v>39.15</v>
      </c>
      <c r="AR349" s="213">
        <v>39.950000000000003</v>
      </c>
      <c r="AS349" s="213">
        <v>41.54</v>
      </c>
      <c r="AT349" s="213">
        <v>40.18</v>
      </c>
      <c r="AU349" s="213">
        <v>40.86</v>
      </c>
      <c r="AV349" s="213">
        <v>20.88</v>
      </c>
      <c r="AW349" s="213">
        <v>20.279999999999998</v>
      </c>
      <c r="AX349" s="213">
        <v>20.58</v>
      </c>
      <c r="AY349" s="213">
        <v>4.4800000000000004</v>
      </c>
      <c r="AZ349" s="213">
        <v>4.32</v>
      </c>
      <c r="BA349" s="213">
        <v>4.4000000000000004</v>
      </c>
      <c r="BB349" s="213">
        <v>1.93</v>
      </c>
      <c r="BC349" s="213">
        <v>1.63</v>
      </c>
      <c r="BD349" s="213">
        <v>1.7799999999999998</v>
      </c>
      <c r="BE349" s="213">
        <v>0.69</v>
      </c>
      <c r="BF349" s="213">
        <v>0.38999999999999996</v>
      </c>
      <c r="BG349" s="213">
        <v>0.53999999999999992</v>
      </c>
      <c r="BH349" s="213">
        <v>495.16</v>
      </c>
      <c r="BI349" s="213">
        <v>479.16</v>
      </c>
      <c r="BJ349" s="213">
        <v>487.16</v>
      </c>
      <c r="BK349" s="213">
        <v>41.85</v>
      </c>
      <c r="BL349" s="213">
        <v>40.49</v>
      </c>
      <c r="BM349" s="213">
        <v>41.17</v>
      </c>
      <c r="BN349" s="213">
        <v>1.07</v>
      </c>
      <c r="BO349" s="213">
        <v>0.83000000000000007</v>
      </c>
      <c r="BP349" s="213">
        <v>0.95000000000000007</v>
      </c>
      <c r="BQ349" s="213">
        <v>8.42</v>
      </c>
      <c r="BR349" s="213">
        <v>6.42</v>
      </c>
      <c r="BS349" s="213">
        <v>7.42</v>
      </c>
      <c r="BT349" s="213">
        <v>10.73</v>
      </c>
      <c r="BU349" s="213">
        <v>10.33</v>
      </c>
      <c r="BV349" s="213">
        <v>10.530000000000001</v>
      </c>
      <c r="BW349" s="213">
        <v>2.75</v>
      </c>
      <c r="BX349" s="213">
        <v>2.4699999999999998</v>
      </c>
      <c r="BY349" s="213">
        <v>2.61</v>
      </c>
      <c r="BZ349" s="213">
        <v>9.81</v>
      </c>
      <c r="CA349" s="213">
        <v>6.8100000000000005</v>
      </c>
      <c r="CB349" s="213">
        <v>8.31</v>
      </c>
      <c r="CC349" s="213">
        <v>6.42</v>
      </c>
      <c r="CD349" s="213">
        <v>6.18</v>
      </c>
      <c r="CE349" s="213">
        <v>6.3</v>
      </c>
      <c r="CF349" s="213">
        <v>1.74</v>
      </c>
      <c r="CG349" s="213">
        <v>1.24</v>
      </c>
      <c r="CH349" s="213">
        <v>1.49</v>
      </c>
      <c r="CI349" s="213">
        <v>0.4</v>
      </c>
      <c r="CJ349" s="213">
        <v>0.36000000000000004</v>
      </c>
      <c r="CK349" s="213">
        <v>0.38</v>
      </c>
      <c r="CL349" s="213">
        <v>38.299999999999997</v>
      </c>
      <c r="CM349" s="213">
        <v>35.9</v>
      </c>
      <c r="CN349" s="213">
        <v>37.099999999999994</v>
      </c>
      <c r="CO349" s="213">
        <v>6.8</v>
      </c>
      <c r="CP349" s="213">
        <v>1.7999999999999998</v>
      </c>
      <c r="CQ349" s="213">
        <v>4.3</v>
      </c>
      <c r="CR349" s="213"/>
      <c r="CS349" s="213"/>
    </row>
    <row r="350" spans="1:97">
      <c r="A350" s="424">
        <v>45636</v>
      </c>
      <c r="B350" s="211" t="s">
        <v>248</v>
      </c>
      <c r="C350" s="213">
        <v>152.54</v>
      </c>
      <c r="D350" s="213">
        <v>150.54</v>
      </c>
      <c r="E350" s="213">
        <v>151.54</v>
      </c>
      <c r="F350" s="213">
        <v>161.41</v>
      </c>
      <c r="G350" s="213">
        <v>158.41</v>
      </c>
      <c r="H350" s="213">
        <v>159.91</v>
      </c>
      <c r="I350" s="213">
        <v>108.51</v>
      </c>
      <c r="J350" s="213">
        <v>105.31</v>
      </c>
      <c r="K350" s="213">
        <v>106.91</v>
      </c>
      <c r="L350" s="213">
        <v>197.21</v>
      </c>
      <c r="M350" s="213">
        <v>189.21</v>
      </c>
      <c r="N350" s="213">
        <v>193.21</v>
      </c>
      <c r="O350" s="213">
        <v>173.3</v>
      </c>
      <c r="P350" s="213">
        <v>171.5</v>
      </c>
      <c r="Q350" s="213">
        <v>172.4</v>
      </c>
      <c r="R350" s="213">
        <v>21.74</v>
      </c>
      <c r="S350" s="213">
        <v>21.139999999999997</v>
      </c>
      <c r="T350" s="213">
        <v>21.439999999999998</v>
      </c>
      <c r="U350" s="213">
        <v>13.93</v>
      </c>
      <c r="V350" s="213">
        <v>13.33</v>
      </c>
      <c r="W350" s="213">
        <v>13.629999999999999</v>
      </c>
      <c r="X350" s="213">
        <v>14.29</v>
      </c>
      <c r="Y350" s="213">
        <v>13.489999999999998</v>
      </c>
      <c r="Z350" s="213">
        <v>13.889999999999999</v>
      </c>
      <c r="AA350" s="213">
        <v>99.43</v>
      </c>
      <c r="AB350" s="213">
        <v>95.43</v>
      </c>
      <c r="AC350" s="213">
        <v>97.43</v>
      </c>
      <c r="AD350" s="213">
        <v>90.64</v>
      </c>
      <c r="AE350" s="213">
        <v>86.64</v>
      </c>
      <c r="AF350" s="213">
        <v>88.64</v>
      </c>
      <c r="AG350" s="213">
        <v>19.93</v>
      </c>
      <c r="AH350" s="213">
        <v>19.07</v>
      </c>
      <c r="AI350" s="213">
        <v>19.5</v>
      </c>
      <c r="AJ350" s="213"/>
      <c r="AK350" s="213"/>
      <c r="AL350" s="213"/>
      <c r="AM350" s="213">
        <v>113.84</v>
      </c>
      <c r="AN350" s="213">
        <v>112.18</v>
      </c>
      <c r="AO350" s="213">
        <v>113.01</v>
      </c>
      <c r="AP350" s="213">
        <v>41.2</v>
      </c>
      <c r="AQ350" s="213">
        <v>39.6</v>
      </c>
      <c r="AR350" s="213">
        <v>40.400000000000006</v>
      </c>
      <c r="AS350" s="213">
        <v>42.01</v>
      </c>
      <c r="AT350" s="213">
        <v>40.65</v>
      </c>
      <c r="AU350" s="213">
        <v>41.33</v>
      </c>
      <c r="AV350" s="213">
        <v>21.15</v>
      </c>
      <c r="AW350" s="213">
        <v>20.549999999999997</v>
      </c>
      <c r="AX350" s="213">
        <v>20.849999999999998</v>
      </c>
      <c r="AY350" s="213">
        <v>4.55</v>
      </c>
      <c r="AZ350" s="213">
        <v>4.3899999999999997</v>
      </c>
      <c r="BA350" s="213">
        <v>4.47</v>
      </c>
      <c r="BB350" s="213">
        <v>1.94</v>
      </c>
      <c r="BC350" s="213">
        <v>1.64</v>
      </c>
      <c r="BD350" s="213">
        <v>1.79</v>
      </c>
      <c r="BE350" s="213">
        <v>0.7</v>
      </c>
      <c r="BF350" s="213">
        <v>0.39999999999999997</v>
      </c>
      <c r="BG350" s="213">
        <v>0.54999999999999993</v>
      </c>
      <c r="BH350" s="213">
        <v>501.94</v>
      </c>
      <c r="BI350" s="213">
        <v>485.94</v>
      </c>
      <c r="BJ350" s="213">
        <v>493.94</v>
      </c>
      <c r="BK350" s="213">
        <v>42.32</v>
      </c>
      <c r="BL350" s="213">
        <v>40.96</v>
      </c>
      <c r="BM350" s="213">
        <v>41.64</v>
      </c>
      <c r="BN350" s="213">
        <v>1.08</v>
      </c>
      <c r="BO350" s="213">
        <v>0.84000000000000008</v>
      </c>
      <c r="BP350" s="213">
        <v>0.96000000000000008</v>
      </c>
      <c r="BQ350" s="213">
        <v>8.49</v>
      </c>
      <c r="BR350" s="213">
        <v>6.49</v>
      </c>
      <c r="BS350" s="213">
        <v>7.49</v>
      </c>
      <c r="BT350" s="213">
        <v>10.82</v>
      </c>
      <c r="BU350" s="213">
        <v>10.42</v>
      </c>
      <c r="BV350" s="213">
        <v>10.620000000000001</v>
      </c>
      <c r="BW350" s="213">
        <v>2.77</v>
      </c>
      <c r="BX350" s="213">
        <v>2.4900000000000002</v>
      </c>
      <c r="BY350" s="213">
        <v>2.63</v>
      </c>
      <c r="BZ350" s="213">
        <v>10.01</v>
      </c>
      <c r="CA350" s="213">
        <v>7.01</v>
      </c>
      <c r="CB350" s="213">
        <v>8.51</v>
      </c>
      <c r="CC350" s="213">
        <v>6.5</v>
      </c>
      <c r="CD350" s="213">
        <v>6.26</v>
      </c>
      <c r="CE350" s="213">
        <v>6.38</v>
      </c>
      <c r="CF350" s="213">
        <v>1.77</v>
      </c>
      <c r="CG350" s="213">
        <v>1.27</v>
      </c>
      <c r="CH350" s="213">
        <v>1.52</v>
      </c>
      <c r="CI350" s="213">
        <v>0.41</v>
      </c>
      <c r="CJ350" s="213">
        <v>0.37</v>
      </c>
      <c r="CK350" s="213">
        <v>0.39</v>
      </c>
      <c r="CL350" s="213">
        <v>38.79</v>
      </c>
      <c r="CM350" s="213">
        <v>36.39</v>
      </c>
      <c r="CN350" s="213">
        <v>37.590000000000003</v>
      </c>
      <c r="CO350" s="213">
        <v>6.86</v>
      </c>
      <c r="CP350" s="213">
        <v>1.8600000000000003</v>
      </c>
      <c r="CQ350" s="213">
        <v>4.3600000000000003</v>
      </c>
      <c r="CR350" s="213"/>
      <c r="CS350" s="213"/>
    </row>
    <row r="351" spans="1:97">
      <c r="A351" s="424">
        <v>45637</v>
      </c>
      <c r="B351" s="211" t="s">
        <v>249</v>
      </c>
      <c r="C351" s="213">
        <v>152.86000000000001</v>
      </c>
      <c r="D351" s="213">
        <v>150.86000000000001</v>
      </c>
      <c r="E351" s="213">
        <v>151.86000000000001</v>
      </c>
      <c r="F351" s="213">
        <v>161.44</v>
      </c>
      <c r="G351" s="213">
        <v>158.44</v>
      </c>
      <c r="H351" s="213">
        <v>159.94</v>
      </c>
      <c r="I351" s="213">
        <v>108.77</v>
      </c>
      <c r="J351" s="213">
        <v>105.57</v>
      </c>
      <c r="K351" s="213">
        <v>107.16999999999999</v>
      </c>
      <c r="L351" s="213">
        <v>198.05</v>
      </c>
      <c r="M351" s="213">
        <v>190.05</v>
      </c>
      <c r="N351" s="213">
        <v>194.05</v>
      </c>
      <c r="O351" s="213">
        <v>172.94</v>
      </c>
      <c r="P351" s="213">
        <v>171.14</v>
      </c>
      <c r="Q351" s="213">
        <v>172.04</v>
      </c>
      <c r="R351" s="213">
        <v>21.75</v>
      </c>
      <c r="S351" s="213">
        <v>21.15</v>
      </c>
      <c r="T351" s="213">
        <v>21.45</v>
      </c>
      <c r="U351" s="213">
        <v>13.94</v>
      </c>
      <c r="V351" s="213">
        <v>13.34</v>
      </c>
      <c r="W351" s="213">
        <v>13.64</v>
      </c>
      <c r="X351" s="213">
        <v>14.26</v>
      </c>
      <c r="Y351" s="213">
        <v>13.459999999999999</v>
      </c>
      <c r="Z351" s="213">
        <v>13.86</v>
      </c>
      <c r="AA351" s="213">
        <v>98.9</v>
      </c>
      <c r="AB351" s="213">
        <v>94.9</v>
      </c>
      <c r="AC351" s="213">
        <v>96.9</v>
      </c>
      <c r="AD351" s="213">
        <v>90.11</v>
      </c>
      <c r="AE351" s="213">
        <v>86.11</v>
      </c>
      <c r="AF351" s="213">
        <v>88.11</v>
      </c>
      <c r="AG351" s="213">
        <v>19.96</v>
      </c>
      <c r="AH351" s="213">
        <v>19.100000000000001</v>
      </c>
      <c r="AI351" s="213">
        <v>19.53</v>
      </c>
      <c r="AJ351" s="213"/>
      <c r="AK351" s="213"/>
      <c r="AL351" s="213"/>
      <c r="AM351" s="213">
        <v>114.03</v>
      </c>
      <c r="AN351" s="213">
        <v>112.37</v>
      </c>
      <c r="AO351" s="213">
        <v>113.2</v>
      </c>
      <c r="AP351" s="213">
        <v>41.31</v>
      </c>
      <c r="AQ351" s="213">
        <v>39.71</v>
      </c>
      <c r="AR351" s="213">
        <v>40.510000000000005</v>
      </c>
      <c r="AS351" s="213">
        <v>42.09</v>
      </c>
      <c r="AT351" s="213">
        <v>40.730000000000004</v>
      </c>
      <c r="AU351" s="213">
        <v>41.410000000000004</v>
      </c>
      <c r="AV351" s="213">
        <v>21.22</v>
      </c>
      <c r="AW351" s="213">
        <v>20.619999999999997</v>
      </c>
      <c r="AX351" s="213">
        <v>20.919999999999998</v>
      </c>
      <c r="AY351" s="213">
        <v>4.59</v>
      </c>
      <c r="AZ351" s="213">
        <v>4.43</v>
      </c>
      <c r="BA351" s="213">
        <v>4.51</v>
      </c>
      <c r="BB351" s="213">
        <v>1.95</v>
      </c>
      <c r="BC351" s="213">
        <v>1.65</v>
      </c>
      <c r="BD351" s="213">
        <v>1.7999999999999998</v>
      </c>
      <c r="BE351" s="213">
        <v>0.7</v>
      </c>
      <c r="BF351" s="213">
        <v>0.39999999999999997</v>
      </c>
      <c r="BG351" s="213">
        <v>0.54999999999999993</v>
      </c>
      <c r="BH351" s="213">
        <v>501.21</v>
      </c>
      <c r="BI351" s="213">
        <v>485.21</v>
      </c>
      <c r="BJ351" s="213">
        <v>493.21</v>
      </c>
      <c r="BK351" s="213">
        <v>42.41</v>
      </c>
      <c r="BL351" s="213">
        <v>41.05</v>
      </c>
      <c r="BM351" s="213">
        <v>41.73</v>
      </c>
      <c r="BN351" s="213">
        <v>1.08</v>
      </c>
      <c r="BO351" s="213">
        <v>0.84000000000000008</v>
      </c>
      <c r="BP351" s="213">
        <v>0.96000000000000008</v>
      </c>
      <c r="BQ351" s="213">
        <v>8.5399999999999991</v>
      </c>
      <c r="BR351" s="213">
        <v>6.5399999999999991</v>
      </c>
      <c r="BS351" s="213">
        <v>7.5399999999999991</v>
      </c>
      <c r="BT351" s="213">
        <v>10.82</v>
      </c>
      <c r="BU351" s="213">
        <v>10.42</v>
      </c>
      <c r="BV351" s="213">
        <v>10.620000000000001</v>
      </c>
      <c r="BW351" s="213">
        <v>2.78</v>
      </c>
      <c r="BX351" s="213">
        <v>2.5</v>
      </c>
      <c r="BY351" s="213">
        <v>2.6399999999999997</v>
      </c>
      <c r="BZ351" s="213">
        <v>10.029999999999999</v>
      </c>
      <c r="CA351" s="213">
        <v>7.0299999999999994</v>
      </c>
      <c r="CB351" s="213">
        <v>8.5299999999999994</v>
      </c>
      <c r="CC351" s="213">
        <v>6.5</v>
      </c>
      <c r="CD351" s="213">
        <v>6.26</v>
      </c>
      <c r="CE351" s="213">
        <v>6.38</v>
      </c>
      <c r="CF351" s="213">
        <v>1.72</v>
      </c>
      <c r="CG351" s="213">
        <v>1.22</v>
      </c>
      <c r="CH351" s="213">
        <v>1.47</v>
      </c>
      <c r="CI351" s="213">
        <v>0.41</v>
      </c>
      <c r="CJ351" s="213">
        <v>0.37</v>
      </c>
      <c r="CK351" s="213">
        <v>0.39</v>
      </c>
      <c r="CL351" s="213">
        <v>38.78</v>
      </c>
      <c r="CM351" s="213">
        <v>36.380000000000003</v>
      </c>
      <c r="CN351" s="213">
        <v>37.58</v>
      </c>
      <c r="CO351" s="213">
        <v>6.86</v>
      </c>
      <c r="CP351" s="213">
        <v>1.8600000000000003</v>
      </c>
      <c r="CQ351" s="213">
        <v>4.3600000000000003</v>
      </c>
      <c r="CR351" s="213"/>
      <c r="CS351" s="213"/>
    </row>
    <row r="352" spans="1:97">
      <c r="A352" s="424">
        <v>45638</v>
      </c>
      <c r="B352" s="211" t="s">
        <v>250</v>
      </c>
      <c r="C352" s="213">
        <v>153.4</v>
      </c>
      <c r="D352" s="213">
        <v>151.4</v>
      </c>
      <c r="E352" s="213">
        <v>152.4</v>
      </c>
      <c r="F352" s="213">
        <v>161.58000000000001</v>
      </c>
      <c r="G352" s="213">
        <v>158.58000000000001</v>
      </c>
      <c r="H352" s="213">
        <v>160.08000000000001</v>
      </c>
      <c r="I352" s="213">
        <v>109.35</v>
      </c>
      <c r="J352" s="213">
        <v>106.14999999999999</v>
      </c>
      <c r="K352" s="213">
        <v>107.75</v>
      </c>
      <c r="L352" s="213">
        <v>198.54</v>
      </c>
      <c r="M352" s="213">
        <v>190.54</v>
      </c>
      <c r="N352" s="213">
        <v>194.54</v>
      </c>
      <c r="O352" s="213">
        <v>173.3</v>
      </c>
      <c r="P352" s="213">
        <v>171.5</v>
      </c>
      <c r="Q352" s="213">
        <v>172.4</v>
      </c>
      <c r="R352" s="213">
        <v>21.76</v>
      </c>
      <c r="S352" s="213">
        <v>21.16</v>
      </c>
      <c r="T352" s="213">
        <v>21.46</v>
      </c>
      <c r="U352" s="213">
        <v>13.99</v>
      </c>
      <c r="V352" s="213">
        <v>13.39</v>
      </c>
      <c r="W352" s="213">
        <v>13.690000000000001</v>
      </c>
      <c r="X352" s="213">
        <v>14.31</v>
      </c>
      <c r="Y352" s="213">
        <v>13.51</v>
      </c>
      <c r="Z352" s="213">
        <v>13.91</v>
      </c>
      <c r="AA352" s="213">
        <v>99.58</v>
      </c>
      <c r="AB352" s="213">
        <v>95.58</v>
      </c>
      <c r="AC352" s="213">
        <v>97.58</v>
      </c>
      <c r="AD352" s="213">
        <v>90.38</v>
      </c>
      <c r="AE352" s="213">
        <v>86.38</v>
      </c>
      <c r="AF352" s="213">
        <v>88.38</v>
      </c>
      <c r="AG352" s="213">
        <v>20.03</v>
      </c>
      <c r="AH352" s="213">
        <v>19.170000000000002</v>
      </c>
      <c r="AI352" s="213">
        <v>19.600000000000001</v>
      </c>
      <c r="AJ352" s="213"/>
      <c r="AK352" s="213"/>
      <c r="AL352" s="213"/>
      <c r="AM352" s="213">
        <v>114.28</v>
      </c>
      <c r="AN352" s="213">
        <v>112.62</v>
      </c>
      <c r="AO352" s="213">
        <v>113.45</v>
      </c>
      <c r="AP352" s="213">
        <v>41.42</v>
      </c>
      <c r="AQ352" s="213">
        <v>39.82</v>
      </c>
      <c r="AR352" s="213">
        <v>40.620000000000005</v>
      </c>
      <c r="AS352" s="213">
        <v>42.24</v>
      </c>
      <c r="AT352" s="213">
        <v>40.880000000000003</v>
      </c>
      <c r="AU352" s="213">
        <v>41.56</v>
      </c>
      <c r="AV352" s="213">
        <v>21.25</v>
      </c>
      <c r="AW352" s="213">
        <v>20.65</v>
      </c>
      <c r="AX352" s="213">
        <v>20.95</v>
      </c>
      <c r="AY352" s="213">
        <v>4.58</v>
      </c>
      <c r="AZ352" s="213">
        <v>4.42</v>
      </c>
      <c r="BA352" s="213">
        <v>4.5</v>
      </c>
      <c r="BB352" s="213">
        <v>1.96</v>
      </c>
      <c r="BC352" s="213">
        <v>1.66</v>
      </c>
      <c r="BD352" s="213">
        <v>1.81</v>
      </c>
      <c r="BE352" s="213">
        <v>0.7</v>
      </c>
      <c r="BF352" s="213">
        <v>0.39999999999999997</v>
      </c>
      <c r="BG352" s="213">
        <v>0.54999999999999993</v>
      </c>
      <c r="BH352" s="213">
        <v>502.97</v>
      </c>
      <c r="BI352" s="213">
        <v>486.97</v>
      </c>
      <c r="BJ352" s="213">
        <v>494.97</v>
      </c>
      <c r="BK352" s="213">
        <v>42.44</v>
      </c>
      <c r="BL352" s="213">
        <v>41.08</v>
      </c>
      <c r="BM352" s="213">
        <v>41.76</v>
      </c>
      <c r="BN352" s="213">
        <v>1.08</v>
      </c>
      <c r="BO352" s="213">
        <v>0.84000000000000008</v>
      </c>
      <c r="BP352" s="213">
        <v>0.96000000000000008</v>
      </c>
      <c r="BQ352" s="213">
        <v>8.58</v>
      </c>
      <c r="BR352" s="213">
        <v>6.58</v>
      </c>
      <c r="BS352" s="213">
        <v>7.58</v>
      </c>
      <c r="BT352" s="213">
        <v>10.86</v>
      </c>
      <c r="BU352" s="213">
        <v>10.459999999999999</v>
      </c>
      <c r="BV352" s="213">
        <v>10.66</v>
      </c>
      <c r="BW352" s="213">
        <v>2.77</v>
      </c>
      <c r="BX352" s="213">
        <v>2.4900000000000002</v>
      </c>
      <c r="BY352" s="213">
        <v>2.63</v>
      </c>
      <c r="BZ352" s="213">
        <v>10.119999999999999</v>
      </c>
      <c r="CA352" s="213">
        <v>7.1199999999999992</v>
      </c>
      <c r="CB352" s="213">
        <v>8.6199999999999992</v>
      </c>
      <c r="CC352" s="213">
        <v>6.51</v>
      </c>
      <c r="CD352" s="213">
        <v>6.27</v>
      </c>
      <c r="CE352" s="213">
        <v>6.39</v>
      </c>
      <c r="CF352" s="213">
        <v>1.7</v>
      </c>
      <c r="CG352" s="213">
        <v>1.2</v>
      </c>
      <c r="CH352" s="213">
        <v>1.45</v>
      </c>
      <c r="CI352" s="213">
        <v>0.41</v>
      </c>
      <c r="CJ352" s="213">
        <v>0.37</v>
      </c>
      <c r="CK352" s="213">
        <v>0.39</v>
      </c>
      <c r="CL352" s="213">
        <v>38.74</v>
      </c>
      <c r="CM352" s="213">
        <v>36.340000000000003</v>
      </c>
      <c r="CN352" s="213">
        <v>37.540000000000006</v>
      </c>
      <c r="CO352" s="213">
        <v>6.88</v>
      </c>
      <c r="CP352" s="213">
        <v>1.88</v>
      </c>
      <c r="CQ352" s="213">
        <v>4.38</v>
      </c>
      <c r="CR352" s="213"/>
      <c r="CS352" s="213"/>
    </row>
    <row r="353" spans="1:97">
      <c r="A353" s="424">
        <v>45639</v>
      </c>
      <c r="B353" s="211" t="s">
        <v>251</v>
      </c>
      <c r="C353" s="213">
        <v>154.02000000000001</v>
      </c>
      <c r="D353" s="213">
        <v>152.02000000000001</v>
      </c>
      <c r="E353" s="213">
        <v>153.02000000000001</v>
      </c>
      <c r="F353" s="213">
        <v>161.85</v>
      </c>
      <c r="G353" s="213">
        <v>158.85</v>
      </c>
      <c r="H353" s="213">
        <v>160.35</v>
      </c>
      <c r="I353" s="213">
        <v>109.17</v>
      </c>
      <c r="J353" s="213">
        <v>105.97</v>
      </c>
      <c r="K353" s="213">
        <v>107.57</v>
      </c>
      <c r="L353" s="213">
        <v>197.97</v>
      </c>
      <c r="M353" s="213">
        <v>189.97</v>
      </c>
      <c r="N353" s="213">
        <v>193.97</v>
      </c>
      <c r="O353" s="213">
        <v>172.43</v>
      </c>
      <c r="P353" s="213">
        <v>170.63</v>
      </c>
      <c r="Q353" s="213">
        <v>171.53</v>
      </c>
      <c r="R353" s="213">
        <v>21.8</v>
      </c>
      <c r="S353" s="213">
        <v>21.2</v>
      </c>
      <c r="T353" s="213">
        <v>21.5</v>
      </c>
      <c r="U353" s="213">
        <v>14.01</v>
      </c>
      <c r="V353" s="213">
        <v>13.41</v>
      </c>
      <c r="W353" s="213">
        <v>13.71</v>
      </c>
      <c r="X353" s="213">
        <v>14.3</v>
      </c>
      <c r="Y353" s="213">
        <v>13.5</v>
      </c>
      <c r="Z353" s="213">
        <v>13.9</v>
      </c>
      <c r="AA353" s="213">
        <v>99.41</v>
      </c>
      <c r="AB353" s="213">
        <v>95.41</v>
      </c>
      <c r="AC353" s="213">
        <v>97.41</v>
      </c>
      <c r="AD353" s="213">
        <v>90.2</v>
      </c>
      <c r="AE353" s="213">
        <v>86.2</v>
      </c>
      <c r="AF353" s="213">
        <v>88.2</v>
      </c>
      <c r="AG353" s="213">
        <v>20.11</v>
      </c>
      <c r="AH353" s="213">
        <v>19.25</v>
      </c>
      <c r="AI353" s="213">
        <v>19.68</v>
      </c>
      <c r="AJ353" s="213"/>
      <c r="AK353" s="213"/>
      <c r="AL353" s="213"/>
      <c r="AM353" s="213">
        <v>114.43</v>
      </c>
      <c r="AN353" s="213">
        <v>112.77000000000001</v>
      </c>
      <c r="AO353" s="213">
        <v>113.60000000000001</v>
      </c>
      <c r="AP353" s="213">
        <v>41.59</v>
      </c>
      <c r="AQ353" s="213">
        <v>39.99</v>
      </c>
      <c r="AR353" s="213">
        <v>40.790000000000006</v>
      </c>
      <c r="AS353" s="213">
        <v>42.41</v>
      </c>
      <c r="AT353" s="213">
        <v>41.05</v>
      </c>
      <c r="AU353" s="213">
        <v>41.73</v>
      </c>
      <c r="AV353" s="213">
        <v>21.34</v>
      </c>
      <c r="AW353" s="213">
        <v>20.74</v>
      </c>
      <c r="AX353" s="213">
        <v>21.04</v>
      </c>
      <c r="AY353" s="213">
        <v>4.59</v>
      </c>
      <c r="AZ353" s="213">
        <v>4.43</v>
      </c>
      <c r="BA353" s="213">
        <v>4.51</v>
      </c>
      <c r="BB353" s="213">
        <v>1.96</v>
      </c>
      <c r="BC353" s="213">
        <v>1.66</v>
      </c>
      <c r="BD353" s="213">
        <v>1.81</v>
      </c>
      <c r="BE353" s="213">
        <v>0.7</v>
      </c>
      <c r="BF353" s="213">
        <v>0.39999999999999997</v>
      </c>
      <c r="BG353" s="213">
        <v>0.54999999999999993</v>
      </c>
      <c r="BH353" s="213">
        <v>506.44</v>
      </c>
      <c r="BI353" s="213">
        <v>490.44</v>
      </c>
      <c r="BJ353" s="213">
        <v>498.44</v>
      </c>
      <c r="BK353" s="213">
        <v>42.73</v>
      </c>
      <c r="BL353" s="213">
        <v>41.37</v>
      </c>
      <c r="BM353" s="213">
        <v>42.05</v>
      </c>
      <c r="BN353" s="213">
        <v>1.08</v>
      </c>
      <c r="BO353" s="213">
        <v>0.84000000000000008</v>
      </c>
      <c r="BP353" s="213">
        <v>0.96000000000000008</v>
      </c>
      <c r="BQ353" s="213">
        <v>8.57</v>
      </c>
      <c r="BR353" s="213">
        <v>6.57</v>
      </c>
      <c r="BS353" s="213">
        <v>7.57</v>
      </c>
      <c r="BT353" s="213">
        <v>10.91</v>
      </c>
      <c r="BU353" s="213">
        <v>10.51</v>
      </c>
      <c r="BV353" s="213">
        <v>10.71</v>
      </c>
      <c r="BW353" s="213">
        <v>2.79</v>
      </c>
      <c r="BX353" s="213">
        <v>2.5099999999999998</v>
      </c>
      <c r="BY353" s="213">
        <v>2.65</v>
      </c>
      <c r="BZ353" s="213">
        <v>10.1</v>
      </c>
      <c r="CA353" s="213">
        <v>7.1</v>
      </c>
      <c r="CB353" s="213">
        <v>8.6</v>
      </c>
      <c r="CC353" s="213">
        <v>6.53</v>
      </c>
      <c r="CD353" s="213">
        <v>6.29</v>
      </c>
      <c r="CE353" s="213">
        <v>6.41</v>
      </c>
      <c r="CF353" s="213">
        <v>1.71</v>
      </c>
      <c r="CG353" s="213">
        <v>1.21</v>
      </c>
      <c r="CH353" s="213">
        <v>1.46</v>
      </c>
      <c r="CI353" s="213">
        <v>0.41</v>
      </c>
      <c r="CJ353" s="213">
        <v>0.37</v>
      </c>
      <c r="CK353" s="213">
        <v>0.39</v>
      </c>
      <c r="CL353" s="213">
        <v>38.74</v>
      </c>
      <c r="CM353" s="213">
        <v>36.340000000000003</v>
      </c>
      <c r="CN353" s="213">
        <v>37.540000000000006</v>
      </c>
      <c r="CO353" s="213">
        <v>6.89</v>
      </c>
      <c r="CP353" s="213">
        <v>1.8899999999999997</v>
      </c>
      <c r="CQ353" s="213">
        <v>4.3899999999999997</v>
      </c>
      <c r="CR353" s="213"/>
      <c r="CS353" s="213"/>
    </row>
    <row r="354" spans="1:97">
      <c r="A354" s="424">
        <v>45640</v>
      </c>
      <c r="B354" s="211" t="s">
        <v>252</v>
      </c>
      <c r="C354" s="213"/>
      <c r="D354" s="213"/>
      <c r="E354" s="213"/>
      <c r="F354" s="213"/>
      <c r="G354" s="213"/>
      <c r="H354" s="213"/>
      <c r="I354" s="213"/>
      <c r="J354" s="213"/>
      <c r="K354" s="213"/>
      <c r="L354" s="213"/>
      <c r="M354" s="213"/>
      <c r="N354" s="213"/>
      <c r="O354" s="213"/>
      <c r="P354" s="213"/>
      <c r="Q354" s="213"/>
      <c r="R354" s="213"/>
      <c r="S354" s="213"/>
      <c r="T354" s="213"/>
      <c r="U354" s="213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13"/>
      <c r="AF354" s="213"/>
      <c r="AG354" s="213"/>
      <c r="AH354" s="213"/>
      <c r="AI354" s="213"/>
      <c r="AJ354" s="213"/>
      <c r="AK354" s="213"/>
      <c r="AL354" s="213"/>
      <c r="AM354" s="213"/>
      <c r="AN354" s="213"/>
      <c r="AO354" s="213"/>
      <c r="AP354" s="213"/>
      <c r="AQ354" s="213"/>
      <c r="AR354" s="213"/>
      <c r="AS354" s="213"/>
      <c r="AT354" s="213"/>
      <c r="AU354" s="213"/>
      <c r="AV354" s="213"/>
      <c r="AW354" s="213"/>
      <c r="AX354" s="213"/>
      <c r="AY354" s="213"/>
      <c r="AZ354" s="213"/>
      <c r="BA354" s="213"/>
      <c r="BB354" s="213"/>
      <c r="BC354" s="213"/>
      <c r="BD354" s="213"/>
      <c r="BE354" s="213"/>
      <c r="BF354" s="213"/>
      <c r="BG354" s="213"/>
      <c r="BH354" s="213"/>
      <c r="BI354" s="213"/>
      <c r="BJ354" s="213"/>
      <c r="BK354" s="213"/>
      <c r="BL354" s="213"/>
      <c r="BM354" s="213"/>
      <c r="BN354" s="213"/>
      <c r="BO354" s="213"/>
      <c r="BP354" s="213"/>
      <c r="BQ354" s="213"/>
      <c r="BR354" s="213"/>
      <c r="BS354" s="213"/>
      <c r="BT354" s="213"/>
      <c r="BU354" s="213"/>
      <c r="BV354" s="213"/>
      <c r="BW354" s="213"/>
      <c r="BX354" s="213"/>
      <c r="BY354" s="213"/>
      <c r="BZ354" s="213"/>
      <c r="CA354" s="213"/>
      <c r="CB354" s="213"/>
      <c r="CC354" s="213"/>
      <c r="CD354" s="213"/>
      <c r="CE354" s="213"/>
      <c r="CF354" s="213"/>
      <c r="CG354" s="213"/>
      <c r="CH354" s="213"/>
      <c r="CI354" s="213"/>
      <c r="CJ354" s="213"/>
      <c r="CK354" s="213"/>
      <c r="CL354" s="213"/>
      <c r="CM354" s="213"/>
      <c r="CN354" s="213"/>
      <c r="CO354" s="213"/>
      <c r="CP354" s="213"/>
      <c r="CQ354" s="213"/>
      <c r="CR354" s="213"/>
      <c r="CS354" s="213"/>
    </row>
    <row r="355" spans="1:97">
      <c r="A355" s="424">
        <v>45641</v>
      </c>
      <c r="B355" s="211" t="s">
        <v>253</v>
      </c>
      <c r="C355" s="213"/>
      <c r="D355" s="213"/>
      <c r="E355" s="213"/>
      <c r="F355" s="213"/>
      <c r="G355" s="213"/>
      <c r="H355" s="213"/>
      <c r="I355" s="213"/>
      <c r="J355" s="213"/>
      <c r="K355" s="213"/>
      <c r="L355" s="213"/>
      <c r="M355" s="213"/>
      <c r="N355" s="213"/>
      <c r="O355" s="213"/>
      <c r="P355" s="213"/>
      <c r="Q355" s="213"/>
      <c r="R355" s="213"/>
      <c r="S355" s="213"/>
      <c r="T355" s="213"/>
      <c r="U355" s="213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13"/>
      <c r="AF355" s="213"/>
      <c r="AG355" s="213"/>
      <c r="AH355" s="213"/>
      <c r="AI355" s="213"/>
      <c r="AJ355" s="213"/>
      <c r="AK355" s="213"/>
      <c r="AL355" s="213"/>
      <c r="AM355" s="213"/>
      <c r="AN355" s="213"/>
      <c r="AO355" s="213"/>
      <c r="AP355" s="213"/>
      <c r="AQ355" s="213"/>
      <c r="AR355" s="213"/>
      <c r="AS355" s="213"/>
      <c r="AT355" s="213"/>
      <c r="AU355" s="213"/>
      <c r="AV355" s="213"/>
      <c r="AW355" s="213"/>
      <c r="AX355" s="213"/>
      <c r="AY355" s="213"/>
      <c r="AZ355" s="213"/>
      <c r="BA355" s="213"/>
      <c r="BB355" s="213"/>
      <c r="BC355" s="213"/>
      <c r="BD355" s="213"/>
      <c r="BE355" s="213"/>
      <c r="BF355" s="213"/>
      <c r="BG355" s="213"/>
      <c r="BH355" s="213"/>
      <c r="BI355" s="213"/>
      <c r="BJ355" s="213"/>
      <c r="BK355" s="213"/>
      <c r="BL355" s="213"/>
      <c r="BM355" s="213"/>
      <c r="BN355" s="213"/>
      <c r="BO355" s="213"/>
      <c r="BP355" s="213"/>
      <c r="BQ355" s="213"/>
      <c r="BR355" s="213"/>
      <c r="BS355" s="213"/>
      <c r="BT355" s="213"/>
      <c r="BU355" s="213"/>
      <c r="BV355" s="213"/>
      <c r="BW355" s="213"/>
      <c r="BX355" s="213"/>
      <c r="BY355" s="213"/>
      <c r="BZ355" s="213"/>
      <c r="CA355" s="213"/>
      <c r="CB355" s="213"/>
      <c r="CC355" s="213"/>
      <c r="CD355" s="213"/>
      <c r="CE355" s="213"/>
      <c r="CF355" s="213"/>
      <c r="CG355" s="213"/>
      <c r="CH355" s="213"/>
      <c r="CI355" s="213"/>
      <c r="CJ355" s="213"/>
      <c r="CK355" s="213"/>
      <c r="CL355" s="213"/>
      <c r="CM355" s="213"/>
      <c r="CN355" s="213"/>
      <c r="CO355" s="213"/>
      <c r="CP355" s="213"/>
      <c r="CQ355" s="213"/>
      <c r="CR355" s="213"/>
      <c r="CS355" s="213"/>
    </row>
    <row r="356" spans="1:97">
      <c r="A356" s="424">
        <v>45642</v>
      </c>
      <c r="B356" s="211" t="s">
        <v>247</v>
      </c>
      <c r="C356" s="213">
        <v>154.91999999999999</v>
      </c>
      <c r="D356" s="213">
        <v>152.91999999999999</v>
      </c>
      <c r="E356" s="213">
        <v>153.91999999999999</v>
      </c>
      <c r="F356" s="213">
        <v>163.41</v>
      </c>
      <c r="G356" s="213">
        <v>160.41</v>
      </c>
      <c r="H356" s="213">
        <v>161.91</v>
      </c>
      <c r="I356" s="213">
        <v>109.83</v>
      </c>
      <c r="J356" s="213">
        <v>106.63</v>
      </c>
      <c r="K356" s="213">
        <v>108.22999999999999</v>
      </c>
      <c r="L356" s="213">
        <v>198.45</v>
      </c>
      <c r="M356" s="213">
        <v>190.45</v>
      </c>
      <c r="N356" s="213">
        <v>194.45</v>
      </c>
      <c r="O356" s="213">
        <v>173.53</v>
      </c>
      <c r="P356" s="213">
        <v>171.73</v>
      </c>
      <c r="Q356" s="213">
        <v>172.63</v>
      </c>
      <c r="R356" s="213">
        <v>22.01</v>
      </c>
      <c r="S356" s="213">
        <v>21.41</v>
      </c>
      <c r="T356" s="213">
        <v>21.71</v>
      </c>
      <c r="U356" s="213">
        <v>14.12</v>
      </c>
      <c r="V356" s="213">
        <v>13.52</v>
      </c>
      <c r="W356" s="213">
        <v>13.82</v>
      </c>
      <c r="X356" s="213">
        <v>14.45</v>
      </c>
      <c r="Y356" s="213">
        <v>13.649999999999999</v>
      </c>
      <c r="Z356" s="213">
        <v>14.049999999999999</v>
      </c>
      <c r="AA356" s="213">
        <v>100.03</v>
      </c>
      <c r="AB356" s="213">
        <v>96.03</v>
      </c>
      <c r="AC356" s="213">
        <v>98.03</v>
      </c>
      <c r="AD356" s="213">
        <v>90.81</v>
      </c>
      <c r="AE356" s="213">
        <v>86.81</v>
      </c>
      <c r="AF356" s="213">
        <v>88.81</v>
      </c>
      <c r="AG356" s="213">
        <v>20.22</v>
      </c>
      <c r="AH356" s="213">
        <v>19.36</v>
      </c>
      <c r="AI356" s="213">
        <v>19.79</v>
      </c>
      <c r="AJ356" s="213"/>
      <c r="AK356" s="213"/>
      <c r="AL356" s="213"/>
      <c r="AM356" s="213">
        <v>115.01</v>
      </c>
      <c r="AN356" s="213">
        <v>113.35000000000001</v>
      </c>
      <c r="AO356" s="213">
        <v>114.18</v>
      </c>
      <c r="AP356" s="213">
        <v>41.83</v>
      </c>
      <c r="AQ356" s="213">
        <v>40.229999999999997</v>
      </c>
      <c r="AR356" s="213">
        <v>41.03</v>
      </c>
      <c r="AS356" s="213">
        <v>42.65</v>
      </c>
      <c r="AT356" s="213">
        <v>41.29</v>
      </c>
      <c r="AU356" s="213">
        <v>41.97</v>
      </c>
      <c r="AV356" s="213">
        <v>21.45</v>
      </c>
      <c r="AW356" s="213">
        <v>20.849999999999998</v>
      </c>
      <c r="AX356" s="213">
        <v>21.15</v>
      </c>
      <c r="AY356" s="213">
        <v>4.59</v>
      </c>
      <c r="AZ356" s="213">
        <v>4.43</v>
      </c>
      <c r="BA356" s="213">
        <v>4.51</v>
      </c>
      <c r="BB356" s="213">
        <v>1.97</v>
      </c>
      <c r="BC356" s="213">
        <v>1.67</v>
      </c>
      <c r="BD356" s="213">
        <v>1.8199999999999998</v>
      </c>
      <c r="BE356" s="213">
        <v>0.71</v>
      </c>
      <c r="BF356" s="213">
        <v>0.41</v>
      </c>
      <c r="BG356" s="213">
        <v>0.55999999999999994</v>
      </c>
      <c r="BH356" s="213">
        <v>507.42</v>
      </c>
      <c r="BI356" s="213">
        <v>491.42</v>
      </c>
      <c r="BJ356" s="213">
        <v>499.42</v>
      </c>
      <c r="BK356" s="213">
        <v>42.98</v>
      </c>
      <c r="BL356" s="213">
        <v>41.62</v>
      </c>
      <c r="BM356" s="213">
        <v>42.3</v>
      </c>
      <c r="BN356" s="213">
        <v>1.0900000000000001</v>
      </c>
      <c r="BO356" s="213">
        <v>0.85000000000000009</v>
      </c>
      <c r="BP356" s="213">
        <v>0.97000000000000008</v>
      </c>
      <c r="BQ356" s="213">
        <v>8.65</v>
      </c>
      <c r="BR356" s="213">
        <v>6.65</v>
      </c>
      <c r="BS356" s="213">
        <v>7.65</v>
      </c>
      <c r="BT356" s="213">
        <v>10.94</v>
      </c>
      <c r="BU356" s="213">
        <v>10.54</v>
      </c>
      <c r="BV356" s="213">
        <v>10.739999999999998</v>
      </c>
      <c r="BW356" s="213">
        <v>2.79</v>
      </c>
      <c r="BX356" s="213">
        <v>2.5099999999999998</v>
      </c>
      <c r="BY356" s="213">
        <v>2.65</v>
      </c>
      <c r="BZ356" s="213">
        <v>10.119999999999999</v>
      </c>
      <c r="CA356" s="213">
        <v>7.1199999999999992</v>
      </c>
      <c r="CB356" s="213">
        <v>8.6199999999999992</v>
      </c>
      <c r="CC356" s="213">
        <v>6.6</v>
      </c>
      <c r="CD356" s="213">
        <v>6.3599999999999994</v>
      </c>
      <c r="CE356" s="213">
        <v>6.4799999999999995</v>
      </c>
      <c r="CF356" s="213">
        <v>1.72</v>
      </c>
      <c r="CG356" s="213">
        <v>1.22</v>
      </c>
      <c r="CH356" s="213">
        <v>1.47</v>
      </c>
      <c r="CI356" s="213">
        <v>0.42</v>
      </c>
      <c r="CJ356" s="213">
        <v>0.38</v>
      </c>
      <c r="CK356" s="213">
        <v>0.4</v>
      </c>
      <c r="CL356" s="213">
        <v>39.21</v>
      </c>
      <c r="CM356" s="213">
        <v>36.81</v>
      </c>
      <c r="CN356" s="213">
        <v>38.010000000000005</v>
      </c>
      <c r="CO356" s="213">
        <v>6.91</v>
      </c>
      <c r="CP356" s="213">
        <v>1.9100000000000001</v>
      </c>
      <c r="CQ356" s="213">
        <v>4.41</v>
      </c>
      <c r="CR356" s="213"/>
      <c r="CS356" s="213"/>
    </row>
    <row r="357" spans="1:97">
      <c r="A357" s="424">
        <v>45643</v>
      </c>
      <c r="B357" s="211" t="s">
        <v>248</v>
      </c>
      <c r="C357" s="213">
        <v>155.27000000000001</v>
      </c>
      <c r="D357" s="213">
        <v>153.27000000000001</v>
      </c>
      <c r="E357" s="213">
        <v>154.27000000000001</v>
      </c>
      <c r="F357" s="213">
        <v>163.96</v>
      </c>
      <c r="G357" s="213">
        <v>160.96</v>
      </c>
      <c r="H357" s="213">
        <v>162.46</v>
      </c>
      <c r="I357" s="213">
        <v>109.99</v>
      </c>
      <c r="J357" s="213">
        <v>106.78999999999999</v>
      </c>
      <c r="K357" s="213">
        <v>108.38999999999999</v>
      </c>
      <c r="L357" s="213">
        <v>199.92</v>
      </c>
      <c r="M357" s="213">
        <v>191.92</v>
      </c>
      <c r="N357" s="213">
        <v>195.92</v>
      </c>
      <c r="O357" s="213">
        <v>173.56</v>
      </c>
      <c r="P357" s="213">
        <v>171.76</v>
      </c>
      <c r="Q357" s="213">
        <v>172.66</v>
      </c>
      <c r="R357" s="213">
        <v>22.08</v>
      </c>
      <c r="S357" s="213">
        <v>21.479999999999997</v>
      </c>
      <c r="T357" s="213">
        <v>21.779999999999998</v>
      </c>
      <c r="U357" s="213">
        <v>14.15</v>
      </c>
      <c r="V357" s="213">
        <v>13.55</v>
      </c>
      <c r="W357" s="213">
        <v>13.850000000000001</v>
      </c>
      <c r="X357" s="213">
        <v>14.59</v>
      </c>
      <c r="Y357" s="213">
        <v>13.79</v>
      </c>
      <c r="Z357" s="213">
        <v>14.19</v>
      </c>
      <c r="AA357" s="213">
        <v>100.3</v>
      </c>
      <c r="AB357" s="213">
        <v>96.3</v>
      </c>
      <c r="AC357" s="213">
        <v>98.3</v>
      </c>
      <c r="AD357" s="213">
        <v>91.28</v>
      </c>
      <c r="AE357" s="213">
        <v>87.28</v>
      </c>
      <c r="AF357" s="213">
        <v>89.28</v>
      </c>
      <c r="AG357" s="213">
        <v>20.28</v>
      </c>
      <c r="AH357" s="213">
        <v>19.420000000000002</v>
      </c>
      <c r="AI357" s="213">
        <v>19.850000000000001</v>
      </c>
      <c r="AJ357" s="213"/>
      <c r="AK357" s="213"/>
      <c r="AL357" s="213"/>
      <c r="AM357" s="213">
        <v>115.2</v>
      </c>
      <c r="AN357" s="213">
        <v>113.54</v>
      </c>
      <c r="AO357" s="213">
        <v>114.37</v>
      </c>
      <c r="AP357" s="213">
        <v>41.93</v>
      </c>
      <c r="AQ357" s="213">
        <v>40.33</v>
      </c>
      <c r="AR357" s="213">
        <v>41.129999999999995</v>
      </c>
      <c r="AS357" s="213">
        <v>42.75</v>
      </c>
      <c r="AT357" s="213">
        <v>41.39</v>
      </c>
      <c r="AU357" s="213">
        <v>42.07</v>
      </c>
      <c r="AV357" s="213">
        <v>21.46</v>
      </c>
      <c r="AW357" s="213">
        <v>20.86</v>
      </c>
      <c r="AX357" s="213">
        <v>21.16</v>
      </c>
      <c r="AY357" s="213">
        <v>4.62</v>
      </c>
      <c r="AZ357" s="213">
        <v>4.46</v>
      </c>
      <c r="BA357" s="213">
        <v>4.54</v>
      </c>
      <c r="BB357" s="213">
        <v>1.98</v>
      </c>
      <c r="BC357" s="213">
        <v>1.68</v>
      </c>
      <c r="BD357" s="213">
        <v>1.83</v>
      </c>
      <c r="BE357" s="213">
        <v>0.71</v>
      </c>
      <c r="BF357" s="213">
        <v>0.41</v>
      </c>
      <c r="BG357" s="213">
        <v>0.55999999999999994</v>
      </c>
      <c r="BH357" s="213">
        <v>508.39</v>
      </c>
      <c r="BI357" s="213">
        <v>492.39</v>
      </c>
      <c r="BJ357" s="213">
        <v>500.39</v>
      </c>
      <c r="BK357" s="213">
        <v>43.09</v>
      </c>
      <c r="BL357" s="213">
        <v>41.730000000000004</v>
      </c>
      <c r="BM357" s="213">
        <v>42.410000000000004</v>
      </c>
      <c r="BN357" s="213">
        <v>1.0900000000000001</v>
      </c>
      <c r="BO357" s="213">
        <v>0.85000000000000009</v>
      </c>
      <c r="BP357" s="213">
        <v>0.97000000000000008</v>
      </c>
      <c r="BQ357" s="213">
        <v>8.66</v>
      </c>
      <c r="BR357" s="213">
        <v>6.66</v>
      </c>
      <c r="BS357" s="213">
        <v>7.66</v>
      </c>
      <c r="BT357" s="213">
        <v>10.95</v>
      </c>
      <c r="BU357" s="213">
        <v>10.549999999999999</v>
      </c>
      <c r="BV357" s="213">
        <v>10.75</v>
      </c>
      <c r="BW357" s="213">
        <v>2.79</v>
      </c>
      <c r="BX357" s="213">
        <v>2.5099999999999998</v>
      </c>
      <c r="BY357" s="213">
        <v>2.65</v>
      </c>
      <c r="BZ357" s="213">
        <v>10.15</v>
      </c>
      <c r="CA357" s="213">
        <v>7.15</v>
      </c>
      <c r="CB357" s="213">
        <v>8.65</v>
      </c>
      <c r="CC357" s="213">
        <v>6.61</v>
      </c>
      <c r="CD357" s="213">
        <v>6.37</v>
      </c>
      <c r="CE357" s="213">
        <v>6.49</v>
      </c>
      <c r="CF357" s="213">
        <v>1.74</v>
      </c>
      <c r="CG357" s="213">
        <v>1.24</v>
      </c>
      <c r="CH357" s="213">
        <v>1.49</v>
      </c>
      <c r="CI357" s="213">
        <v>0.42</v>
      </c>
      <c r="CJ357" s="213">
        <v>0.38</v>
      </c>
      <c r="CK357" s="213">
        <v>0.4</v>
      </c>
      <c r="CL357" s="213">
        <v>39.4</v>
      </c>
      <c r="CM357" s="213">
        <v>37</v>
      </c>
      <c r="CN357" s="213">
        <v>38.200000000000003</v>
      </c>
      <c r="CO357" s="213">
        <v>6.92</v>
      </c>
      <c r="CP357" s="213">
        <v>1.92</v>
      </c>
      <c r="CQ357" s="213">
        <v>4.42</v>
      </c>
      <c r="CR357" s="213"/>
      <c r="CS357" s="213"/>
    </row>
    <row r="358" spans="1:97">
      <c r="A358" s="424">
        <v>45644</v>
      </c>
      <c r="B358" s="211" t="s">
        <v>249</v>
      </c>
      <c r="C358" s="213">
        <v>154.74</v>
      </c>
      <c r="D358" s="213">
        <v>152.74</v>
      </c>
      <c r="E358" s="213">
        <v>153.74</v>
      </c>
      <c r="F358" s="213">
        <v>162.88</v>
      </c>
      <c r="G358" s="213">
        <v>159.88</v>
      </c>
      <c r="H358" s="213">
        <v>161.38</v>
      </c>
      <c r="I358" s="213">
        <v>109.01</v>
      </c>
      <c r="J358" s="213">
        <v>105.81</v>
      </c>
      <c r="K358" s="213">
        <v>107.41</v>
      </c>
      <c r="L358" s="213">
        <v>199.42</v>
      </c>
      <c r="M358" s="213">
        <v>191.42</v>
      </c>
      <c r="N358" s="213">
        <v>195.42</v>
      </c>
      <c r="O358" s="213">
        <v>173.22</v>
      </c>
      <c r="P358" s="213">
        <v>171.42</v>
      </c>
      <c r="Q358" s="213">
        <v>172.32</v>
      </c>
      <c r="R358" s="213">
        <v>21.94</v>
      </c>
      <c r="S358" s="213">
        <v>21.34</v>
      </c>
      <c r="T358" s="213">
        <v>21.64</v>
      </c>
      <c r="U358" s="213">
        <v>14.03</v>
      </c>
      <c r="V358" s="213">
        <v>13.43</v>
      </c>
      <c r="W358" s="213">
        <v>13.73</v>
      </c>
      <c r="X358" s="213">
        <v>14.44</v>
      </c>
      <c r="Y358" s="213">
        <v>13.639999999999999</v>
      </c>
      <c r="Z358" s="213">
        <v>14.04</v>
      </c>
      <c r="AA358" s="213">
        <v>99.33</v>
      </c>
      <c r="AB358" s="213">
        <v>95.33</v>
      </c>
      <c r="AC358" s="213">
        <v>97.33</v>
      </c>
      <c r="AD358" s="213">
        <v>90.46</v>
      </c>
      <c r="AE358" s="213">
        <v>86.46</v>
      </c>
      <c r="AF358" s="213">
        <v>88.46</v>
      </c>
      <c r="AG358" s="213">
        <v>20.22</v>
      </c>
      <c r="AH358" s="213">
        <v>19.36</v>
      </c>
      <c r="AI358" s="213">
        <v>19.79</v>
      </c>
      <c r="AJ358" s="213"/>
      <c r="AK358" s="213"/>
      <c r="AL358" s="213"/>
      <c r="AM358" s="213">
        <v>114.76</v>
      </c>
      <c r="AN358" s="213">
        <v>113.10000000000001</v>
      </c>
      <c r="AO358" s="213">
        <v>113.93</v>
      </c>
      <c r="AP358" s="213">
        <v>41.79</v>
      </c>
      <c r="AQ358" s="213">
        <v>40.19</v>
      </c>
      <c r="AR358" s="213">
        <v>40.989999999999995</v>
      </c>
      <c r="AS358" s="213">
        <v>42.61</v>
      </c>
      <c r="AT358" s="213">
        <v>41.25</v>
      </c>
      <c r="AU358" s="213">
        <v>41.93</v>
      </c>
      <c r="AV358" s="213">
        <v>21.4</v>
      </c>
      <c r="AW358" s="213">
        <v>20.799999999999997</v>
      </c>
      <c r="AX358" s="213">
        <v>21.099999999999998</v>
      </c>
      <c r="AY358" s="213">
        <v>4.58</v>
      </c>
      <c r="AZ358" s="213">
        <v>4.42</v>
      </c>
      <c r="BA358" s="213">
        <v>4.5</v>
      </c>
      <c r="BB358" s="213">
        <v>1.97</v>
      </c>
      <c r="BC358" s="213">
        <v>1.67</v>
      </c>
      <c r="BD358" s="213">
        <v>1.8199999999999998</v>
      </c>
      <c r="BE358" s="213">
        <v>0.71</v>
      </c>
      <c r="BF358" s="213">
        <v>0.41</v>
      </c>
      <c r="BG358" s="213">
        <v>0.55999999999999994</v>
      </c>
      <c r="BH358" s="213">
        <v>508.78</v>
      </c>
      <c r="BI358" s="213">
        <v>492.78</v>
      </c>
      <c r="BJ358" s="213">
        <v>500.78</v>
      </c>
      <c r="BK358" s="213">
        <v>42.93</v>
      </c>
      <c r="BL358" s="213">
        <v>41.57</v>
      </c>
      <c r="BM358" s="213">
        <v>42.25</v>
      </c>
      <c r="BN358" s="213">
        <v>1.08</v>
      </c>
      <c r="BO358" s="213">
        <v>0.84000000000000008</v>
      </c>
      <c r="BP358" s="213">
        <v>0.96000000000000008</v>
      </c>
      <c r="BQ358" s="213">
        <v>8.6199999999999992</v>
      </c>
      <c r="BR358" s="213">
        <v>6.6199999999999992</v>
      </c>
      <c r="BS358" s="213">
        <v>7.6199999999999992</v>
      </c>
      <c r="BT358" s="213">
        <v>10.9</v>
      </c>
      <c r="BU358" s="213">
        <v>10.5</v>
      </c>
      <c r="BV358" s="213">
        <v>10.7</v>
      </c>
      <c r="BW358" s="213">
        <v>2.77</v>
      </c>
      <c r="BX358" s="213">
        <v>2.4900000000000002</v>
      </c>
      <c r="BY358" s="213">
        <v>2.63</v>
      </c>
      <c r="BZ358" s="213">
        <v>10</v>
      </c>
      <c r="CA358" s="213">
        <v>7</v>
      </c>
      <c r="CB358" s="213">
        <v>8.5</v>
      </c>
      <c r="CC358" s="213">
        <v>6.56</v>
      </c>
      <c r="CD358" s="213">
        <v>6.3199999999999994</v>
      </c>
      <c r="CE358" s="213">
        <v>6.4399999999999995</v>
      </c>
      <c r="CF358" s="213">
        <v>1.72</v>
      </c>
      <c r="CG358" s="213">
        <v>1.22</v>
      </c>
      <c r="CH358" s="213">
        <v>1.47</v>
      </c>
      <c r="CI358" s="213">
        <v>0.41</v>
      </c>
      <c r="CJ358" s="213">
        <v>0.37</v>
      </c>
      <c r="CK358" s="213">
        <v>0.39</v>
      </c>
      <c r="CL358" s="213">
        <v>39.04</v>
      </c>
      <c r="CM358" s="213">
        <v>36.64</v>
      </c>
      <c r="CN358" s="213">
        <v>37.840000000000003</v>
      </c>
      <c r="CO358" s="213">
        <v>6.9</v>
      </c>
      <c r="CP358" s="213">
        <v>1.9000000000000004</v>
      </c>
      <c r="CQ358" s="213">
        <v>4.4000000000000004</v>
      </c>
      <c r="CR358" s="213"/>
      <c r="CS358" s="213"/>
    </row>
    <row r="359" spans="1:97">
      <c r="A359" s="424">
        <v>45645</v>
      </c>
      <c r="B359" s="211" t="s">
        <v>250</v>
      </c>
      <c r="C359" s="213">
        <v>155.94</v>
      </c>
      <c r="D359" s="213">
        <v>153.94</v>
      </c>
      <c r="E359" s="213">
        <v>154.94</v>
      </c>
      <c r="F359" s="213">
        <v>162.31</v>
      </c>
      <c r="G359" s="213">
        <v>159.31</v>
      </c>
      <c r="H359" s="213">
        <v>160.81</v>
      </c>
      <c r="I359" s="213">
        <v>108.81</v>
      </c>
      <c r="J359" s="213">
        <v>105.61</v>
      </c>
      <c r="K359" s="213">
        <v>107.21000000000001</v>
      </c>
      <c r="L359" s="213">
        <v>199.02</v>
      </c>
      <c r="M359" s="213">
        <v>191.02</v>
      </c>
      <c r="N359" s="213">
        <v>195.02</v>
      </c>
      <c r="O359" s="213">
        <v>172.9</v>
      </c>
      <c r="P359" s="213">
        <v>171.1</v>
      </c>
      <c r="Q359" s="213">
        <v>172</v>
      </c>
      <c r="R359" s="213">
        <v>21.85</v>
      </c>
      <c r="S359" s="213">
        <v>21.25</v>
      </c>
      <c r="T359" s="213">
        <v>21.55</v>
      </c>
      <c r="U359" s="213">
        <v>13.93</v>
      </c>
      <c r="V359" s="213">
        <v>13.33</v>
      </c>
      <c r="W359" s="213">
        <v>13.629999999999999</v>
      </c>
      <c r="X359" s="213">
        <v>14.35</v>
      </c>
      <c r="Y359" s="213">
        <v>13.549999999999999</v>
      </c>
      <c r="Z359" s="213">
        <v>13.95</v>
      </c>
      <c r="AA359" s="213">
        <v>98.36</v>
      </c>
      <c r="AB359" s="213">
        <v>94.36</v>
      </c>
      <c r="AC359" s="213">
        <v>96.36</v>
      </c>
      <c r="AD359" s="213">
        <v>89.17</v>
      </c>
      <c r="AE359" s="213">
        <v>85.17</v>
      </c>
      <c r="AF359" s="213">
        <v>87.17</v>
      </c>
      <c r="AG359" s="213">
        <v>20.36</v>
      </c>
      <c r="AH359" s="213">
        <v>19.5</v>
      </c>
      <c r="AI359" s="213">
        <v>19.93</v>
      </c>
      <c r="AJ359" s="213"/>
      <c r="AK359" s="213"/>
      <c r="AL359" s="213"/>
      <c r="AM359" s="213">
        <v>114.66</v>
      </c>
      <c r="AN359" s="213">
        <v>113</v>
      </c>
      <c r="AO359" s="213">
        <v>113.83</v>
      </c>
      <c r="AP359" s="213">
        <v>42.12</v>
      </c>
      <c r="AQ359" s="213">
        <v>40.519999999999996</v>
      </c>
      <c r="AR359" s="213">
        <v>41.319999999999993</v>
      </c>
      <c r="AS359" s="213">
        <v>42.93</v>
      </c>
      <c r="AT359" s="213">
        <v>41.57</v>
      </c>
      <c r="AU359" s="213">
        <v>42.25</v>
      </c>
      <c r="AV359" s="213">
        <v>21.47</v>
      </c>
      <c r="AW359" s="213">
        <v>20.869999999999997</v>
      </c>
      <c r="AX359" s="213">
        <v>21.169999999999998</v>
      </c>
      <c r="AY359" s="213">
        <v>4.57</v>
      </c>
      <c r="AZ359" s="213">
        <v>4.41</v>
      </c>
      <c r="BA359" s="213">
        <v>4.49</v>
      </c>
      <c r="BB359" s="213">
        <v>1.98</v>
      </c>
      <c r="BC359" s="213">
        <v>1.68</v>
      </c>
      <c r="BD359" s="213">
        <v>1.83</v>
      </c>
      <c r="BE359" s="213">
        <v>0.71</v>
      </c>
      <c r="BF359" s="213">
        <v>0.41</v>
      </c>
      <c r="BG359" s="213">
        <v>0.55999999999999994</v>
      </c>
      <c r="BH359" s="213">
        <v>511.87</v>
      </c>
      <c r="BI359" s="213">
        <v>495.87</v>
      </c>
      <c r="BJ359" s="213">
        <v>503.87</v>
      </c>
      <c r="BK359" s="213">
        <v>43.26</v>
      </c>
      <c r="BL359" s="213">
        <v>41.9</v>
      </c>
      <c r="BM359" s="213">
        <v>42.58</v>
      </c>
      <c r="BN359" s="213">
        <v>1.0900000000000001</v>
      </c>
      <c r="BO359" s="213">
        <v>0.85000000000000009</v>
      </c>
      <c r="BP359" s="213">
        <v>0.97000000000000008</v>
      </c>
      <c r="BQ359" s="213">
        <v>8.61</v>
      </c>
      <c r="BR359" s="213">
        <v>6.6099999999999994</v>
      </c>
      <c r="BS359" s="213">
        <v>7.6099999999999994</v>
      </c>
      <c r="BT359" s="213">
        <v>10.91</v>
      </c>
      <c r="BU359" s="213">
        <v>10.51</v>
      </c>
      <c r="BV359" s="213">
        <v>10.71</v>
      </c>
      <c r="BW359" s="213">
        <v>2.79</v>
      </c>
      <c r="BX359" s="213">
        <v>2.5099999999999998</v>
      </c>
      <c r="BY359" s="213">
        <v>2.65</v>
      </c>
      <c r="BZ359" s="213">
        <v>9.9700000000000006</v>
      </c>
      <c r="CA359" s="213">
        <v>6.9700000000000006</v>
      </c>
      <c r="CB359" s="213">
        <v>8.4700000000000006</v>
      </c>
      <c r="CC359" s="213">
        <v>6.52</v>
      </c>
      <c r="CD359" s="213">
        <v>6.2799999999999994</v>
      </c>
      <c r="CE359" s="213">
        <v>6.3999999999999995</v>
      </c>
      <c r="CF359" s="213">
        <v>1.73</v>
      </c>
      <c r="CG359" s="213">
        <v>1.23</v>
      </c>
      <c r="CH359" s="213">
        <v>1.48</v>
      </c>
      <c r="CI359" s="213">
        <v>0.41</v>
      </c>
      <c r="CJ359" s="213">
        <v>0.37</v>
      </c>
      <c r="CK359" s="213">
        <v>0.39</v>
      </c>
      <c r="CL359" s="213">
        <v>38.92</v>
      </c>
      <c r="CM359" s="213">
        <v>36.520000000000003</v>
      </c>
      <c r="CN359" s="213">
        <v>37.72</v>
      </c>
      <c r="CO359" s="213">
        <v>6.93</v>
      </c>
      <c r="CP359" s="213">
        <v>1.9299999999999997</v>
      </c>
      <c r="CQ359" s="213">
        <v>4.43</v>
      </c>
      <c r="CR359" s="213"/>
      <c r="CS359" s="213"/>
    </row>
    <row r="360" spans="1:97">
      <c r="A360" s="424">
        <v>45646</v>
      </c>
      <c r="B360" s="211" t="s">
        <v>251</v>
      </c>
      <c r="C360" s="213">
        <v>158.94999999999999</v>
      </c>
      <c r="D360" s="213">
        <v>156.94999999999999</v>
      </c>
      <c r="E360" s="213">
        <v>157.94999999999999</v>
      </c>
      <c r="F360" s="213">
        <v>165.2</v>
      </c>
      <c r="G360" s="213">
        <v>162.19999999999999</v>
      </c>
      <c r="H360" s="213">
        <v>163.69999999999999</v>
      </c>
      <c r="I360" s="213">
        <v>111.12</v>
      </c>
      <c r="J360" s="213">
        <v>107.92</v>
      </c>
      <c r="K360" s="213">
        <v>109.52000000000001</v>
      </c>
      <c r="L360" s="213">
        <v>201.28</v>
      </c>
      <c r="M360" s="213">
        <v>193.28</v>
      </c>
      <c r="N360" s="213">
        <v>197.28</v>
      </c>
      <c r="O360" s="213">
        <v>176.67</v>
      </c>
      <c r="P360" s="213">
        <v>174.86999999999998</v>
      </c>
      <c r="Q360" s="213">
        <v>175.76999999999998</v>
      </c>
      <c r="R360" s="213">
        <v>22.24</v>
      </c>
      <c r="S360" s="213">
        <v>21.639999999999997</v>
      </c>
      <c r="T360" s="213">
        <v>21.939999999999998</v>
      </c>
      <c r="U360" s="213">
        <v>14.09</v>
      </c>
      <c r="V360" s="213">
        <v>13.49</v>
      </c>
      <c r="W360" s="213">
        <v>13.79</v>
      </c>
      <c r="X360" s="213">
        <v>14.72</v>
      </c>
      <c r="Y360" s="213">
        <v>13.92</v>
      </c>
      <c r="Z360" s="213">
        <v>14.32</v>
      </c>
      <c r="AA360" s="213">
        <v>100.36</v>
      </c>
      <c r="AB360" s="213">
        <v>96.36</v>
      </c>
      <c r="AC360" s="213">
        <v>98.36</v>
      </c>
      <c r="AD360" s="213">
        <v>90.77</v>
      </c>
      <c r="AE360" s="213">
        <v>86.77</v>
      </c>
      <c r="AF360" s="213">
        <v>88.77</v>
      </c>
      <c r="AG360" s="213">
        <v>20.76</v>
      </c>
      <c r="AH360" s="213">
        <v>19.900000000000002</v>
      </c>
      <c r="AI360" s="213">
        <v>20.330000000000002</v>
      </c>
      <c r="AJ360" s="213"/>
      <c r="AK360" s="213"/>
      <c r="AL360" s="213"/>
      <c r="AM360" s="213">
        <v>116.85</v>
      </c>
      <c r="AN360" s="213">
        <v>115.19</v>
      </c>
      <c r="AO360" s="213">
        <v>116.02</v>
      </c>
      <c r="AP360" s="213">
        <v>42.92</v>
      </c>
      <c r="AQ360" s="213">
        <v>41.32</v>
      </c>
      <c r="AR360" s="213">
        <v>42.120000000000005</v>
      </c>
      <c r="AS360" s="213">
        <v>43.75</v>
      </c>
      <c r="AT360" s="213">
        <v>42.39</v>
      </c>
      <c r="AU360" s="213">
        <v>43.07</v>
      </c>
      <c r="AV360" s="213">
        <v>21.9</v>
      </c>
      <c r="AW360" s="213">
        <v>21.299999999999997</v>
      </c>
      <c r="AX360" s="213">
        <v>21.599999999999998</v>
      </c>
      <c r="AY360" s="213">
        <v>4.6500000000000004</v>
      </c>
      <c r="AZ360" s="213">
        <v>4.49</v>
      </c>
      <c r="BA360" s="213">
        <v>4.57</v>
      </c>
      <c r="BB360" s="213">
        <v>2.02</v>
      </c>
      <c r="BC360" s="213">
        <v>1.72</v>
      </c>
      <c r="BD360" s="213">
        <v>1.87</v>
      </c>
      <c r="BE360" s="213">
        <v>0.72</v>
      </c>
      <c r="BF360" s="213">
        <v>0.42</v>
      </c>
      <c r="BG360" s="213">
        <v>0.56999999999999995</v>
      </c>
      <c r="BH360" s="213">
        <v>521.16</v>
      </c>
      <c r="BI360" s="213">
        <v>505.15999999999997</v>
      </c>
      <c r="BJ360" s="213">
        <v>513.16</v>
      </c>
      <c r="BK360" s="213">
        <v>44.08</v>
      </c>
      <c r="BL360" s="213">
        <v>42.72</v>
      </c>
      <c r="BM360" s="213">
        <v>43.4</v>
      </c>
      <c r="BN360" s="213">
        <v>1.0900000000000001</v>
      </c>
      <c r="BO360" s="213">
        <v>0.85000000000000009</v>
      </c>
      <c r="BP360" s="213">
        <v>0.97000000000000008</v>
      </c>
      <c r="BQ360" s="213">
        <v>8.77</v>
      </c>
      <c r="BR360" s="213">
        <v>6.77</v>
      </c>
      <c r="BS360" s="213">
        <v>7.77</v>
      </c>
      <c r="BT360" s="213">
        <v>11.11</v>
      </c>
      <c r="BU360" s="213">
        <v>10.709999999999999</v>
      </c>
      <c r="BV360" s="213">
        <v>10.91</v>
      </c>
      <c r="BW360" s="213">
        <v>2.84</v>
      </c>
      <c r="BX360" s="213">
        <v>2.5599999999999996</v>
      </c>
      <c r="BY360" s="213">
        <v>2.6999999999999997</v>
      </c>
      <c r="BZ360" s="213">
        <v>10.06</v>
      </c>
      <c r="CA360" s="213">
        <v>7.0600000000000005</v>
      </c>
      <c r="CB360" s="213">
        <v>8.56</v>
      </c>
      <c r="CC360" s="213">
        <v>6.64</v>
      </c>
      <c r="CD360" s="213">
        <v>6.3999999999999995</v>
      </c>
      <c r="CE360" s="213">
        <v>6.52</v>
      </c>
      <c r="CF360" s="213">
        <v>1.78</v>
      </c>
      <c r="CG360" s="213">
        <v>1.28</v>
      </c>
      <c r="CH360" s="213">
        <v>1.53</v>
      </c>
      <c r="CI360" s="213">
        <v>0.42</v>
      </c>
      <c r="CJ360" s="213">
        <v>0.38</v>
      </c>
      <c r="CK360" s="213">
        <v>0.4</v>
      </c>
      <c r="CL360" s="213">
        <v>39.69</v>
      </c>
      <c r="CM360" s="213">
        <v>37.29</v>
      </c>
      <c r="CN360" s="213">
        <v>38.489999999999995</v>
      </c>
      <c r="CO360" s="213">
        <v>7.01</v>
      </c>
      <c r="CP360" s="213">
        <v>2.0099999999999998</v>
      </c>
      <c r="CQ360" s="213">
        <v>4.51</v>
      </c>
      <c r="CR360" s="213"/>
      <c r="CS360" s="213"/>
    </row>
    <row r="361" spans="1:97">
      <c r="A361" s="424">
        <v>45647</v>
      </c>
      <c r="B361" s="211" t="s">
        <v>252</v>
      </c>
      <c r="C361" s="213"/>
      <c r="D361" s="213"/>
      <c r="E361" s="213"/>
      <c r="F361" s="213"/>
      <c r="G361" s="213"/>
      <c r="H361" s="213"/>
      <c r="I361" s="213"/>
      <c r="J361" s="213"/>
      <c r="K361" s="213"/>
      <c r="L361" s="213"/>
      <c r="M361" s="213"/>
      <c r="N361" s="213"/>
      <c r="O361" s="213"/>
      <c r="P361" s="213"/>
      <c r="Q361" s="213"/>
      <c r="R361" s="213"/>
      <c r="S361" s="213"/>
      <c r="T361" s="213"/>
      <c r="U361" s="213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13"/>
      <c r="AF361" s="213"/>
      <c r="AG361" s="213"/>
      <c r="AH361" s="213"/>
      <c r="AI361" s="213"/>
      <c r="AJ361" s="213"/>
      <c r="AK361" s="213"/>
      <c r="AL361" s="213"/>
      <c r="AM361" s="213"/>
      <c r="AN361" s="213"/>
      <c r="AO361" s="213"/>
      <c r="AP361" s="213"/>
      <c r="AQ361" s="213"/>
      <c r="AR361" s="213"/>
      <c r="AS361" s="213"/>
      <c r="AT361" s="213"/>
      <c r="AU361" s="213"/>
      <c r="AV361" s="213"/>
      <c r="AW361" s="213"/>
      <c r="AX361" s="213"/>
      <c r="AY361" s="213"/>
      <c r="AZ361" s="213"/>
      <c r="BA361" s="213"/>
      <c r="BB361" s="213"/>
      <c r="BC361" s="213"/>
      <c r="BD361" s="213"/>
      <c r="BE361" s="213"/>
      <c r="BF361" s="213"/>
      <c r="BG361" s="213"/>
      <c r="BH361" s="213"/>
      <c r="BI361" s="213"/>
      <c r="BJ361" s="213"/>
      <c r="BK361" s="213"/>
      <c r="BL361" s="213"/>
      <c r="BM361" s="213"/>
      <c r="BN361" s="213"/>
      <c r="BO361" s="213"/>
      <c r="BP361" s="213"/>
      <c r="BQ361" s="213"/>
      <c r="BR361" s="213"/>
      <c r="BS361" s="213"/>
      <c r="BT361" s="213"/>
      <c r="BU361" s="213"/>
      <c r="BV361" s="213"/>
      <c r="BW361" s="213"/>
      <c r="BX361" s="213"/>
      <c r="BY361" s="213"/>
      <c r="BZ361" s="213"/>
      <c r="CA361" s="213"/>
      <c r="CB361" s="213"/>
      <c r="CC361" s="213"/>
      <c r="CD361" s="213"/>
      <c r="CE361" s="213"/>
      <c r="CF361" s="213"/>
      <c r="CG361" s="213"/>
      <c r="CH361" s="213"/>
      <c r="CI361" s="213"/>
      <c r="CJ361" s="213"/>
      <c r="CK361" s="213"/>
      <c r="CL361" s="213"/>
      <c r="CM361" s="213"/>
      <c r="CN361" s="213"/>
      <c r="CO361" s="213"/>
      <c r="CP361" s="213"/>
      <c r="CQ361" s="213"/>
      <c r="CR361" s="213"/>
      <c r="CS361" s="213"/>
    </row>
    <row r="362" spans="1:97">
      <c r="A362" s="424">
        <v>45648</v>
      </c>
      <c r="B362" s="211" t="s">
        <v>253</v>
      </c>
      <c r="C362" s="213"/>
      <c r="D362" s="213"/>
      <c r="E362" s="213"/>
      <c r="F362" s="213"/>
      <c r="G362" s="213"/>
      <c r="H362" s="213"/>
      <c r="I362" s="213"/>
      <c r="J362" s="213"/>
      <c r="K362" s="213"/>
      <c r="L362" s="213"/>
      <c r="M362" s="213"/>
      <c r="N362" s="213"/>
      <c r="O362" s="213"/>
      <c r="P362" s="213"/>
      <c r="Q362" s="213"/>
      <c r="R362" s="213"/>
      <c r="S362" s="213"/>
      <c r="T362" s="213"/>
      <c r="U362" s="213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13"/>
      <c r="AF362" s="213"/>
      <c r="AG362" s="213"/>
      <c r="AH362" s="213"/>
      <c r="AI362" s="213"/>
      <c r="AJ362" s="213"/>
      <c r="AK362" s="213"/>
      <c r="AL362" s="213"/>
      <c r="AM362" s="213"/>
      <c r="AN362" s="213"/>
      <c r="AO362" s="213"/>
      <c r="AP362" s="213"/>
      <c r="AQ362" s="213"/>
      <c r="AR362" s="213"/>
      <c r="AS362" s="213"/>
      <c r="AT362" s="213"/>
      <c r="AU362" s="213"/>
      <c r="AV362" s="213"/>
      <c r="AW362" s="213"/>
      <c r="AX362" s="213"/>
      <c r="AY362" s="213"/>
      <c r="AZ362" s="213"/>
      <c r="BA362" s="213"/>
      <c r="BB362" s="213"/>
      <c r="BC362" s="213"/>
      <c r="BD362" s="213"/>
      <c r="BE362" s="213"/>
      <c r="BF362" s="213"/>
      <c r="BG362" s="213"/>
      <c r="BH362" s="213"/>
      <c r="BI362" s="213"/>
      <c r="BJ362" s="213"/>
      <c r="BK362" s="213"/>
      <c r="BL362" s="213"/>
      <c r="BM362" s="213"/>
      <c r="BN362" s="213"/>
      <c r="BO362" s="213"/>
      <c r="BP362" s="213"/>
      <c r="BQ362" s="213"/>
      <c r="BR362" s="213"/>
      <c r="BS362" s="213"/>
      <c r="BT362" s="213"/>
      <c r="BU362" s="213"/>
      <c r="BV362" s="213"/>
      <c r="BW362" s="213"/>
      <c r="BX362" s="213"/>
      <c r="BY362" s="213"/>
      <c r="BZ362" s="213"/>
      <c r="CA362" s="213"/>
      <c r="CB362" s="213"/>
      <c r="CC362" s="213"/>
      <c r="CD362" s="213"/>
      <c r="CE362" s="213"/>
      <c r="CF362" s="213"/>
      <c r="CG362" s="213"/>
      <c r="CH362" s="213"/>
      <c r="CI362" s="213"/>
      <c r="CJ362" s="213"/>
      <c r="CK362" s="213"/>
      <c r="CL362" s="213"/>
      <c r="CM362" s="213"/>
      <c r="CN362" s="213"/>
      <c r="CO362" s="213"/>
      <c r="CP362" s="213"/>
      <c r="CQ362" s="213"/>
      <c r="CR362" s="213"/>
      <c r="CS362" s="213"/>
    </row>
    <row r="363" spans="1:97">
      <c r="A363" s="424">
        <v>45649</v>
      </c>
      <c r="B363" s="211" t="s">
        <v>247</v>
      </c>
      <c r="C363" s="213">
        <v>157.72</v>
      </c>
      <c r="D363" s="213">
        <v>155.72</v>
      </c>
      <c r="E363" s="213">
        <v>156.72</v>
      </c>
      <c r="F363" s="213">
        <v>164.94</v>
      </c>
      <c r="G363" s="213">
        <v>161.94</v>
      </c>
      <c r="H363" s="213">
        <v>163.44</v>
      </c>
      <c r="I363" s="213">
        <v>110.74</v>
      </c>
      <c r="J363" s="213">
        <v>107.53999999999999</v>
      </c>
      <c r="K363" s="213">
        <v>109.13999999999999</v>
      </c>
      <c r="L363" s="213">
        <v>201.11</v>
      </c>
      <c r="M363" s="213">
        <v>193.11</v>
      </c>
      <c r="N363" s="213">
        <v>197.11</v>
      </c>
      <c r="O363" s="213">
        <v>176.28</v>
      </c>
      <c r="P363" s="213">
        <v>174.48</v>
      </c>
      <c r="Q363" s="213">
        <v>175.38</v>
      </c>
      <c r="R363" s="213">
        <v>22.21</v>
      </c>
      <c r="S363" s="213">
        <v>21.61</v>
      </c>
      <c r="T363" s="213">
        <v>21.91</v>
      </c>
      <c r="U363" s="213">
        <v>14.15</v>
      </c>
      <c r="V363" s="213">
        <v>13.55</v>
      </c>
      <c r="W363" s="213">
        <v>13.850000000000001</v>
      </c>
      <c r="X363" s="213">
        <v>14.62</v>
      </c>
      <c r="Y363" s="213">
        <v>13.819999999999999</v>
      </c>
      <c r="Z363" s="213">
        <v>14.219999999999999</v>
      </c>
      <c r="AA363" s="213">
        <v>100</v>
      </c>
      <c r="AB363" s="213">
        <v>96</v>
      </c>
      <c r="AC363" s="213">
        <v>98</v>
      </c>
      <c r="AD363" s="213">
        <v>90.47</v>
      </c>
      <c r="AE363" s="213">
        <v>86.47</v>
      </c>
      <c r="AF363" s="213">
        <v>88.47</v>
      </c>
      <c r="AG363" s="213">
        <v>20.59</v>
      </c>
      <c r="AH363" s="213">
        <v>19.73</v>
      </c>
      <c r="AI363" s="213">
        <v>20.16</v>
      </c>
      <c r="AJ363" s="213"/>
      <c r="AK363" s="213"/>
      <c r="AL363" s="213"/>
      <c r="AM363" s="213">
        <v>116.49</v>
      </c>
      <c r="AN363" s="213">
        <v>114.83</v>
      </c>
      <c r="AO363" s="213">
        <v>115.66</v>
      </c>
      <c r="AP363" s="213">
        <v>42.61</v>
      </c>
      <c r="AQ363" s="213">
        <v>41.01</v>
      </c>
      <c r="AR363" s="213">
        <v>41.81</v>
      </c>
      <c r="AS363" s="213">
        <v>43.42</v>
      </c>
      <c r="AT363" s="213">
        <v>42.06</v>
      </c>
      <c r="AU363" s="213">
        <v>42.74</v>
      </c>
      <c r="AV363" s="213">
        <v>21.78</v>
      </c>
      <c r="AW363" s="213">
        <v>21.18</v>
      </c>
      <c r="AX363" s="213">
        <v>21.48</v>
      </c>
      <c r="AY363" s="213">
        <v>4.66</v>
      </c>
      <c r="AZ363" s="213">
        <v>4.5</v>
      </c>
      <c r="BA363" s="213">
        <v>4.58</v>
      </c>
      <c r="BB363" s="213">
        <v>2</v>
      </c>
      <c r="BC363" s="213">
        <v>1.7</v>
      </c>
      <c r="BD363" s="213">
        <v>1.85</v>
      </c>
      <c r="BE363" s="213">
        <v>0.72</v>
      </c>
      <c r="BF363" s="213">
        <v>0.42</v>
      </c>
      <c r="BG363" s="213">
        <v>0.56999999999999995</v>
      </c>
      <c r="BH363" s="213">
        <v>517.82000000000005</v>
      </c>
      <c r="BI363" s="213">
        <v>501.82000000000005</v>
      </c>
      <c r="BJ363" s="213">
        <v>509.82000000000005</v>
      </c>
      <c r="BK363" s="213">
        <v>43.73</v>
      </c>
      <c r="BL363" s="213">
        <v>42.37</v>
      </c>
      <c r="BM363" s="213">
        <v>43.05</v>
      </c>
      <c r="BN363" s="213">
        <v>1.0900000000000001</v>
      </c>
      <c r="BO363" s="213">
        <v>0.85000000000000009</v>
      </c>
      <c r="BP363" s="213">
        <v>0.97000000000000008</v>
      </c>
      <c r="BQ363" s="213">
        <v>8.81</v>
      </c>
      <c r="BR363" s="213">
        <v>6.8100000000000005</v>
      </c>
      <c r="BS363" s="213">
        <v>7.8100000000000005</v>
      </c>
      <c r="BT363" s="213">
        <v>11.05</v>
      </c>
      <c r="BU363" s="213">
        <v>10.65</v>
      </c>
      <c r="BV363" s="213">
        <v>10.850000000000001</v>
      </c>
      <c r="BW363" s="213">
        <v>2.83</v>
      </c>
      <c r="BX363" s="213">
        <v>2.5499999999999998</v>
      </c>
      <c r="BY363" s="213">
        <v>2.69</v>
      </c>
      <c r="BZ363" s="213">
        <v>10.050000000000001</v>
      </c>
      <c r="CA363" s="213">
        <v>7.0500000000000007</v>
      </c>
      <c r="CB363" s="213">
        <v>8.5500000000000007</v>
      </c>
      <c r="CC363" s="213">
        <v>6.64</v>
      </c>
      <c r="CD363" s="213">
        <v>6.3999999999999995</v>
      </c>
      <c r="CE363" s="213">
        <v>6.52</v>
      </c>
      <c r="CF363" s="213">
        <v>1.77</v>
      </c>
      <c r="CG363" s="213">
        <v>1.27</v>
      </c>
      <c r="CH363" s="213">
        <v>1.52</v>
      </c>
      <c r="CI363" s="213">
        <v>0.42</v>
      </c>
      <c r="CJ363" s="213">
        <v>0.38</v>
      </c>
      <c r="CK363" s="213">
        <v>0.4</v>
      </c>
      <c r="CL363" s="213">
        <v>39.619999999999997</v>
      </c>
      <c r="CM363" s="213">
        <v>37.22</v>
      </c>
      <c r="CN363" s="213">
        <v>38.42</v>
      </c>
      <c r="CO363" s="213">
        <v>6.95</v>
      </c>
      <c r="CP363" s="213">
        <v>1.9500000000000002</v>
      </c>
      <c r="CQ363" s="213">
        <v>4.45</v>
      </c>
      <c r="CR363" s="213"/>
      <c r="CS363" s="213"/>
    </row>
    <row r="364" spans="1:97">
      <c r="A364" s="424">
        <v>45650</v>
      </c>
      <c r="B364" s="211" t="s">
        <v>248</v>
      </c>
      <c r="C364" s="213">
        <v>158.44999999999999</v>
      </c>
      <c r="D364" s="213">
        <v>156.44999999999999</v>
      </c>
      <c r="E364" s="213">
        <v>157.44999999999999</v>
      </c>
      <c r="F364" s="213">
        <v>165.22</v>
      </c>
      <c r="G364" s="213">
        <v>162.22</v>
      </c>
      <c r="H364" s="213">
        <v>163.72</v>
      </c>
      <c r="I364" s="213">
        <v>111.05</v>
      </c>
      <c r="J364" s="213">
        <v>107.85</v>
      </c>
      <c r="K364" s="213">
        <v>109.44999999999999</v>
      </c>
      <c r="L364" s="213">
        <v>201.28</v>
      </c>
      <c r="M364" s="213">
        <v>193.28</v>
      </c>
      <c r="N364" s="213">
        <v>197.28</v>
      </c>
      <c r="O364" s="213">
        <v>175.96</v>
      </c>
      <c r="P364" s="213">
        <v>174.16</v>
      </c>
      <c r="Q364" s="213">
        <v>175.06</v>
      </c>
      <c r="R364" s="213">
        <v>22.24</v>
      </c>
      <c r="S364" s="213">
        <v>21.639999999999997</v>
      </c>
      <c r="T364" s="213">
        <v>21.939999999999998</v>
      </c>
      <c r="U364" s="213">
        <v>14.16</v>
      </c>
      <c r="V364" s="213">
        <v>13.56</v>
      </c>
      <c r="W364" s="213">
        <v>13.86</v>
      </c>
      <c r="X364" s="213">
        <v>14.65</v>
      </c>
      <c r="Y364" s="213">
        <v>13.85</v>
      </c>
      <c r="Z364" s="213">
        <v>14.25</v>
      </c>
      <c r="AA364" s="213">
        <v>100.23</v>
      </c>
      <c r="AB364" s="213">
        <v>96.23</v>
      </c>
      <c r="AC364" s="213">
        <v>98.23</v>
      </c>
      <c r="AD364" s="213">
        <v>90.85</v>
      </c>
      <c r="AE364" s="213">
        <v>86.85</v>
      </c>
      <c r="AF364" s="213">
        <v>88.85</v>
      </c>
      <c r="AG364" s="213">
        <v>20.69</v>
      </c>
      <c r="AH364" s="213">
        <v>19.830000000000002</v>
      </c>
      <c r="AI364" s="213">
        <v>20.260000000000002</v>
      </c>
      <c r="AJ364" s="213"/>
      <c r="AK364" s="213"/>
      <c r="AL364" s="213"/>
      <c r="AM364" s="213">
        <v>116.85</v>
      </c>
      <c r="AN364" s="213">
        <v>115.19</v>
      </c>
      <c r="AO364" s="213">
        <v>116.02</v>
      </c>
      <c r="AP364" s="213">
        <v>42.8</v>
      </c>
      <c r="AQ364" s="213">
        <v>41.199999999999996</v>
      </c>
      <c r="AR364" s="213">
        <v>42</v>
      </c>
      <c r="AS364" s="213">
        <v>43.62</v>
      </c>
      <c r="AT364" s="213">
        <v>42.26</v>
      </c>
      <c r="AU364" s="213">
        <v>42.94</v>
      </c>
      <c r="AV364" s="213">
        <v>21.85</v>
      </c>
      <c r="AW364" s="213">
        <v>21.25</v>
      </c>
      <c r="AX364" s="213">
        <v>21.55</v>
      </c>
      <c r="AY364" s="213">
        <v>4.68</v>
      </c>
      <c r="AZ364" s="213">
        <v>4.5199999999999996</v>
      </c>
      <c r="BA364" s="213">
        <v>4.5999999999999996</v>
      </c>
      <c r="BB364" s="213">
        <v>2.0099999999999998</v>
      </c>
      <c r="BC364" s="213">
        <v>1.7099999999999997</v>
      </c>
      <c r="BD364" s="213">
        <v>1.8599999999999999</v>
      </c>
      <c r="BE364" s="213">
        <v>0.72</v>
      </c>
      <c r="BF364" s="213">
        <v>0.42</v>
      </c>
      <c r="BG364" s="213">
        <v>0.56999999999999995</v>
      </c>
      <c r="BH364" s="213">
        <v>519.70000000000005</v>
      </c>
      <c r="BI364" s="213">
        <v>503.70000000000005</v>
      </c>
      <c r="BJ364" s="213">
        <v>511.70000000000005</v>
      </c>
      <c r="BK364" s="213">
        <v>43.95</v>
      </c>
      <c r="BL364" s="213">
        <v>42.59</v>
      </c>
      <c r="BM364" s="213">
        <v>43.27</v>
      </c>
      <c r="BN364" s="213">
        <v>1.1000000000000001</v>
      </c>
      <c r="BO364" s="213">
        <v>0.8600000000000001</v>
      </c>
      <c r="BP364" s="213">
        <v>0.98000000000000009</v>
      </c>
      <c r="BQ364" s="213">
        <v>8.81</v>
      </c>
      <c r="BR364" s="213">
        <v>6.8100000000000005</v>
      </c>
      <c r="BS364" s="213">
        <v>7.8100000000000005</v>
      </c>
      <c r="BT364" s="213">
        <v>11.04</v>
      </c>
      <c r="BU364" s="213">
        <v>10.639999999999999</v>
      </c>
      <c r="BV364" s="213">
        <v>10.84</v>
      </c>
      <c r="BW364" s="213">
        <v>2.85</v>
      </c>
      <c r="BX364" s="213">
        <v>2.5700000000000003</v>
      </c>
      <c r="BY364" s="213">
        <v>2.71</v>
      </c>
      <c r="BZ364" s="213">
        <v>9.99</v>
      </c>
      <c r="CA364" s="213">
        <v>6.99</v>
      </c>
      <c r="CB364" s="213">
        <v>8.49</v>
      </c>
      <c r="CC364" s="213">
        <v>6.64</v>
      </c>
      <c r="CD364" s="213">
        <v>6.3999999999999995</v>
      </c>
      <c r="CE364" s="213">
        <v>6.52</v>
      </c>
      <c r="CF364" s="213">
        <v>1.81</v>
      </c>
      <c r="CG364" s="213">
        <v>1.31</v>
      </c>
      <c r="CH364" s="213">
        <v>1.56</v>
      </c>
      <c r="CI364" s="213">
        <v>0.42</v>
      </c>
      <c r="CJ364" s="213">
        <v>0.38</v>
      </c>
      <c r="CK364" s="213">
        <v>0.4</v>
      </c>
      <c r="CL364" s="213">
        <v>39.619999999999997</v>
      </c>
      <c r="CM364" s="213">
        <v>37.22</v>
      </c>
      <c r="CN364" s="213">
        <v>38.42</v>
      </c>
      <c r="CO364" s="213">
        <v>6.98</v>
      </c>
      <c r="CP364" s="213">
        <v>1.9800000000000004</v>
      </c>
      <c r="CQ364" s="213">
        <v>4.4800000000000004</v>
      </c>
      <c r="CR364" s="213"/>
      <c r="CS364" s="213"/>
    </row>
    <row r="365" spans="1:97">
      <c r="A365" s="424">
        <v>45651</v>
      </c>
      <c r="B365" s="211" t="s">
        <v>249</v>
      </c>
      <c r="C365" s="213">
        <v>158.38</v>
      </c>
      <c r="D365" s="213">
        <v>156.38</v>
      </c>
      <c r="E365" s="213">
        <v>157.38</v>
      </c>
      <c r="F365" s="213">
        <v>165.32</v>
      </c>
      <c r="G365" s="213">
        <v>162.32</v>
      </c>
      <c r="H365" s="213">
        <v>163.82</v>
      </c>
      <c r="I365" s="213">
        <v>111.07</v>
      </c>
      <c r="J365" s="213">
        <v>107.86999999999999</v>
      </c>
      <c r="K365" s="213">
        <v>109.47</v>
      </c>
      <c r="L365" s="213">
        <v>201.48</v>
      </c>
      <c r="M365" s="213">
        <v>193.48</v>
      </c>
      <c r="N365" s="213">
        <v>197.48</v>
      </c>
      <c r="O365" s="213">
        <v>175.77</v>
      </c>
      <c r="P365" s="213">
        <v>173.97</v>
      </c>
      <c r="Q365" s="213">
        <v>174.87</v>
      </c>
      <c r="R365" s="213">
        <v>22.26</v>
      </c>
      <c r="S365" s="213">
        <v>21.66</v>
      </c>
      <c r="T365" s="213">
        <v>21.96</v>
      </c>
      <c r="U365" s="213">
        <v>14.15</v>
      </c>
      <c r="V365" s="213">
        <v>13.55</v>
      </c>
      <c r="W365" s="213">
        <v>13.850000000000001</v>
      </c>
      <c r="X365" s="213">
        <v>14.62</v>
      </c>
      <c r="Y365" s="213">
        <v>13.819999999999999</v>
      </c>
      <c r="Z365" s="213">
        <v>14.219999999999999</v>
      </c>
      <c r="AA365" s="213">
        <v>100.05</v>
      </c>
      <c r="AB365" s="213">
        <v>96.05</v>
      </c>
      <c r="AC365" s="213">
        <v>98.05</v>
      </c>
      <c r="AD365" s="213">
        <v>90.89</v>
      </c>
      <c r="AE365" s="213">
        <v>86.89</v>
      </c>
      <c r="AF365" s="213">
        <v>88.89</v>
      </c>
      <c r="AG365" s="213">
        <v>20.7</v>
      </c>
      <c r="AH365" s="213">
        <v>19.84</v>
      </c>
      <c r="AI365" s="213">
        <v>20.27</v>
      </c>
      <c r="AJ365" s="213"/>
      <c r="AK365" s="213"/>
      <c r="AL365" s="213"/>
      <c r="AM365" s="213">
        <v>116.67</v>
      </c>
      <c r="AN365" s="213">
        <v>115.01</v>
      </c>
      <c r="AO365" s="213">
        <v>115.84</v>
      </c>
      <c r="AP365" s="213">
        <v>42.79</v>
      </c>
      <c r="AQ365" s="213">
        <v>41.19</v>
      </c>
      <c r="AR365" s="213">
        <v>41.989999999999995</v>
      </c>
      <c r="AS365" s="213">
        <v>43.46</v>
      </c>
      <c r="AT365" s="213">
        <v>42.1</v>
      </c>
      <c r="AU365" s="213">
        <v>42.78</v>
      </c>
      <c r="AV365" s="213">
        <v>21.84</v>
      </c>
      <c r="AW365" s="213">
        <v>21.24</v>
      </c>
      <c r="AX365" s="213">
        <v>21.54</v>
      </c>
      <c r="AY365" s="213">
        <v>4.68</v>
      </c>
      <c r="AZ365" s="213">
        <v>4.5199999999999996</v>
      </c>
      <c r="BA365" s="213">
        <v>4.5999999999999996</v>
      </c>
      <c r="BB365" s="213">
        <v>2.0099999999999998</v>
      </c>
      <c r="BC365" s="213">
        <v>1.7099999999999997</v>
      </c>
      <c r="BD365" s="213">
        <v>1.8599999999999999</v>
      </c>
      <c r="BE365" s="213">
        <v>0.72</v>
      </c>
      <c r="BF365" s="213">
        <v>0.42</v>
      </c>
      <c r="BG365" s="213">
        <v>0.56999999999999995</v>
      </c>
      <c r="BH365" s="213">
        <v>519.64</v>
      </c>
      <c r="BI365" s="213">
        <v>503.64</v>
      </c>
      <c r="BJ365" s="213">
        <v>511.64</v>
      </c>
      <c r="BK365" s="213">
        <v>43.93</v>
      </c>
      <c r="BL365" s="213">
        <v>42.57</v>
      </c>
      <c r="BM365" s="213">
        <v>43.25</v>
      </c>
      <c r="BN365" s="213">
        <v>1.1000000000000001</v>
      </c>
      <c r="BO365" s="213">
        <v>0.8600000000000001</v>
      </c>
      <c r="BP365" s="213">
        <v>0.98000000000000009</v>
      </c>
      <c r="BQ365" s="213">
        <v>8.8000000000000007</v>
      </c>
      <c r="BR365" s="213">
        <v>6.8000000000000007</v>
      </c>
      <c r="BS365" s="213">
        <v>7.8000000000000007</v>
      </c>
      <c r="BT365" s="213">
        <v>10.99</v>
      </c>
      <c r="BU365" s="213">
        <v>10.59</v>
      </c>
      <c r="BV365" s="213">
        <v>10.79</v>
      </c>
      <c r="BW365" s="213">
        <v>2.85</v>
      </c>
      <c r="BX365" s="213">
        <v>2.5700000000000003</v>
      </c>
      <c r="BY365" s="213">
        <v>2.71</v>
      </c>
      <c r="BZ365" s="213">
        <v>9.9</v>
      </c>
      <c r="CA365" s="213">
        <v>6.9</v>
      </c>
      <c r="CB365" s="213">
        <v>8.4</v>
      </c>
      <c r="CC365" s="213">
        <v>6.66</v>
      </c>
      <c r="CD365" s="213">
        <v>6.42</v>
      </c>
      <c r="CE365" s="213">
        <v>6.54</v>
      </c>
      <c r="CF365" s="213">
        <v>1.83</v>
      </c>
      <c r="CG365" s="213">
        <v>1.33</v>
      </c>
      <c r="CH365" s="213">
        <v>1.58</v>
      </c>
      <c r="CI365" s="213">
        <v>0.42</v>
      </c>
      <c r="CJ365" s="213">
        <v>0.38</v>
      </c>
      <c r="CK365" s="213">
        <v>0.4</v>
      </c>
      <c r="CL365" s="213">
        <v>39.76</v>
      </c>
      <c r="CM365" s="213">
        <v>37.36</v>
      </c>
      <c r="CN365" s="213">
        <v>38.56</v>
      </c>
      <c r="CO365" s="213">
        <v>7</v>
      </c>
      <c r="CP365" s="213">
        <v>2</v>
      </c>
      <c r="CQ365" s="213">
        <v>4.5</v>
      </c>
      <c r="CR365" s="213"/>
      <c r="CS365" s="213"/>
    </row>
    <row r="366" spans="1:97">
      <c r="A366" s="424">
        <v>45652</v>
      </c>
      <c r="B366" s="211" t="s">
        <v>250</v>
      </c>
      <c r="C366" s="213">
        <v>158.43</v>
      </c>
      <c r="D366" s="213">
        <v>156.43</v>
      </c>
      <c r="E366" s="213">
        <v>157.43</v>
      </c>
      <c r="F366" s="213">
        <v>165.15</v>
      </c>
      <c r="G366" s="213">
        <v>162.15</v>
      </c>
      <c r="H366" s="213">
        <v>163.65</v>
      </c>
      <c r="I366" s="213">
        <v>111.25</v>
      </c>
      <c r="J366" s="213">
        <v>108.05</v>
      </c>
      <c r="K366" s="213">
        <v>109.65</v>
      </c>
      <c r="L366" s="213">
        <v>201.51</v>
      </c>
      <c r="M366" s="213">
        <v>193.51</v>
      </c>
      <c r="N366" s="213">
        <v>197.51</v>
      </c>
      <c r="O366" s="213">
        <v>175.82</v>
      </c>
      <c r="P366" s="213">
        <v>174.01999999999998</v>
      </c>
      <c r="Q366" s="213">
        <v>174.92</v>
      </c>
      <c r="R366" s="213">
        <v>22.23</v>
      </c>
      <c r="S366" s="213">
        <v>21.63</v>
      </c>
      <c r="T366" s="213">
        <v>21.93</v>
      </c>
      <c r="U366" s="213">
        <v>14.18</v>
      </c>
      <c r="V366" s="213">
        <v>13.58</v>
      </c>
      <c r="W366" s="213">
        <v>13.879999999999999</v>
      </c>
      <c r="X366" s="213">
        <v>14.63</v>
      </c>
      <c r="Y366" s="213">
        <v>13.83</v>
      </c>
      <c r="Z366" s="213">
        <v>14.23</v>
      </c>
      <c r="AA366" s="213">
        <v>100.27</v>
      </c>
      <c r="AB366" s="213">
        <v>96.27</v>
      </c>
      <c r="AC366" s="213">
        <v>98.27</v>
      </c>
      <c r="AD366" s="213">
        <v>90.95</v>
      </c>
      <c r="AE366" s="213">
        <v>86.95</v>
      </c>
      <c r="AF366" s="213">
        <v>88.95</v>
      </c>
      <c r="AG366" s="213">
        <v>20.7</v>
      </c>
      <c r="AH366" s="213">
        <v>19.84</v>
      </c>
      <c r="AI366" s="213">
        <v>20.27</v>
      </c>
      <c r="AJ366" s="213"/>
      <c r="AK366" s="213"/>
      <c r="AL366" s="213"/>
      <c r="AM366" s="213">
        <v>116.73</v>
      </c>
      <c r="AN366" s="213">
        <v>115.07000000000001</v>
      </c>
      <c r="AO366" s="213">
        <v>115.9</v>
      </c>
      <c r="AP366" s="213">
        <v>42.8</v>
      </c>
      <c r="AQ366" s="213">
        <v>41.199999999999996</v>
      </c>
      <c r="AR366" s="213">
        <v>42</v>
      </c>
      <c r="AS366" s="213">
        <v>43.61</v>
      </c>
      <c r="AT366" s="213">
        <v>42.25</v>
      </c>
      <c r="AU366" s="213">
        <v>42.93</v>
      </c>
      <c r="AV366" s="213">
        <v>21.86</v>
      </c>
      <c r="AW366" s="213">
        <v>21.259999999999998</v>
      </c>
      <c r="AX366" s="213">
        <v>21.56</v>
      </c>
      <c r="AY366" s="213">
        <v>4.68</v>
      </c>
      <c r="AZ366" s="213">
        <v>4.5199999999999996</v>
      </c>
      <c r="BA366" s="213">
        <v>4.5999999999999996</v>
      </c>
      <c r="BB366" s="213">
        <v>2.0099999999999998</v>
      </c>
      <c r="BC366" s="213">
        <v>1.7099999999999997</v>
      </c>
      <c r="BD366" s="213">
        <v>1.8599999999999999</v>
      </c>
      <c r="BE366" s="213">
        <v>0.72</v>
      </c>
      <c r="BF366" s="213">
        <v>0.42</v>
      </c>
      <c r="BG366" s="213">
        <v>0.56999999999999995</v>
      </c>
      <c r="BH366" s="213">
        <v>519.79999999999995</v>
      </c>
      <c r="BI366" s="213">
        <v>503.79999999999995</v>
      </c>
      <c r="BJ366" s="213">
        <v>511.79999999999995</v>
      </c>
      <c r="BK366" s="213">
        <v>43.94</v>
      </c>
      <c r="BL366" s="213">
        <v>42.58</v>
      </c>
      <c r="BM366" s="213">
        <v>43.26</v>
      </c>
      <c r="BN366" s="213">
        <v>1.1000000000000001</v>
      </c>
      <c r="BO366" s="213">
        <v>0.8600000000000001</v>
      </c>
      <c r="BP366" s="213">
        <v>0.98000000000000009</v>
      </c>
      <c r="BQ366" s="213">
        <v>8.81</v>
      </c>
      <c r="BR366" s="213">
        <v>6.8100000000000005</v>
      </c>
      <c r="BS366" s="213">
        <v>7.8100000000000005</v>
      </c>
      <c r="BT366" s="213">
        <v>11</v>
      </c>
      <c r="BU366" s="213">
        <v>10.6</v>
      </c>
      <c r="BV366" s="213">
        <v>10.8</v>
      </c>
      <c r="BW366" s="213">
        <v>2.84</v>
      </c>
      <c r="BX366" s="213">
        <v>2.5599999999999996</v>
      </c>
      <c r="BY366" s="213">
        <v>2.6999999999999997</v>
      </c>
      <c r="BZ366" s="213">
        <v>9.91</v>
      </c>
      <c r="CA366" s="213">
        <v>6.91</v>
      </c>
      <c r="CB366" s="213">
        <v>8.41</v>
      </c>
      <c r="CC366" s="213">
        <v>6.64</v>
      </c>
      <c r="CD366" s="213">
        <v>6.3999999999999995</v>
      </c>
      <c r="CE366" s="213">
        <v>6.52</v>
      </c>
      <c r="CF366" s="213">
        <v>1.83</v>
      </c>
      <c r="CG366" s="213">
        <v>1.33</v>
      </c>
      <c r="CH366" s="213">
        <v>1.58</v>
      </c>
      <c r="CI366" s="213">
        <v>0.42</v>
      </c>
      <c r="CJ366" s="213">
        <v>0.38</v>
      </c>
      <c r="CK366" s="213">
        <v>0.4</v>
      </c>
      <c r="CL366" s="213">
        <v>39.700000000000003</v>
      </c>
      <c r="CM366" s="213">
        <v>37.300000000000004</v>
      </c>
      <c r="CN366" s="213">
        <v>38.5</v>
      </c>
      <c r="CO366" s="213">
        <v>6.99</v>
      </c>
      <c r="CP366" s="213">
        <v>1.9900000000000002</v>
      </c>
      <c r="CQ366" s="213">
        <v>4.49</v>
      </c>
      <c r="CR366" s="213"/>
      <c r="CS366" s="213"/>
    </row>
    <row r="367" spans="1:97">
      <c r="A367" s="424">
        <v>45653</v>
      </c>
      <c r="B367" s="211" t="s">
        <v>251</v>
      </c>
      <c r="C367" s="213">
        <v>159.18</v>
      </c>
      <c r="D367" s="213">
        <v>157.18</v>
      </c>
      <c r="E367" s="213">
        <v>158.18</v>
      </c>
      <c r="F367" s="213">
        <v>166.34</v>
      </c>
      <c r="G367" s="213">
        <v>163.34</v>
      </c>
      <c r="H367" s="213">
        <v>164.84</v>
      </c>
      <c r="I367" s="213">
        <v>111.36</v>
      </c>
      <c r="J367" s="213">
        <v>108.16</v>
      </c>
      <c r="K367" s="213">
        <v>109.75999999999999</v>
      </c>
      <c r="L367" s="213">
        <v>202.23</v>
      </c>
      <c r="M367" s="213">
        <v>194.23</v>
      </c>
      <c r="N367" s="213">
        <v>198.23</v>
      </c>
      <c r="O367" s="213">
        <v>176.73</v>
      </c>
      <c r="P367" s="213">
        <v>174.92999999999998</v>
      </c>
      <c r="Q367" s="213">
        <v>175.82999999999998</v>
      </c>
      <c r="R367" s="213">
        <v>22.39</v>
      </c>
      <c r="S367" s="213">
        <v>21.79</v>
      </c>
      <c r="T367" s="213">
        <v>22.09</v>
      </c>
      <c r="U367" s="213">
        <v>14.19</v>
      </c>
      <c r="V367" s="213">
        <v>13.59</v>
      </c>
      <c r="W367" s="213">
        <v>13.89</v>
      </c>
      <c r="X367" s="213">
        <v>14.72</v>
      </c>
      <c r="Y367" s="213">
        <v>13.92</v>
      </c>
      <c r="Z367" s="213">
        <v>14.32</v>
      </c>
      <c r="AA367" s="213">
        <v>100.42</v>
      </c>
      <c r="AB367" s="213">
        <v>96.42</v>
      </c>
      <c r="AC367" s="213">
        <v>98.42</v>
      </c>
      <c r="AD367" s="213">
        <v>90.91</v>
      </c>
      <c r="AE367" s="213">
        <v>86.91</v>
      </c>
      <c r="AF367" s="213">
        <v>88.91</v>
      </c>
      <c r="AG367" s="213">
        <v>20.8</v>
      </c>
      <c r="AH367" s="213">
        <v>19.940000000000001</v>
      </c>
      <c r="AI367" s="213">
        <v>20.37</v>
      </c>
      <c r="AJ367" s="213"/>
      <c r="AK367" s="213"/>
      <c r="AL367" s="213"/>
      <c r="AM367" s="213">
        <v>117.24</v>
      </c>
      <c r="AN367" s="213">
        <v>115.58</v>
      </c>
      <c r="AO367" s="213">
        <v>116.41</v>
      </c>
      <c r="AP367" s="213">
        <v>43</v>
      </c>
      <c r="AQ367" s="213">
        <v>41.4</v>
      </c>
      <c r="AR367" s="213">
        <v>42.2</v>
      </c>
      <c r="AS367" s="213">
        <v>43.82</v>
      </c>
      <c r="AT367" s="213">
        <v>42.46</v>
      </c>
      <c r="AU367" s="213">
        <v>43.14</v>
      </c>
      <c r="AV367" s="213">
        <v>21.96</v>
      </c>
      <c r="AW367" s="213">
        <v>21.36</v>
      </c>
      <c r="AX367" s="213">
        <v>21.66</v>
      </c>
      <c r="AY367" s="213">
        <v>4.72</v>
      </c>
      <c r="AZ367" s="213">
        <v>4.5599999999999996</v>
      </c>
      <c r="BA367" s="213">
        <v>4.6399999999999997</v>
      </c>
      <c r="BB367" s="213">
        <v>2.0099999999999998</v>
      </c>
      <c r="BC367" s="213">
        <v>1.7099999999999997</v>
      </c>
      <c r="BD367" s="213">
        <v>1.8599999999999999</v>
      </c>
      <c r="BE367" s="213">
        <v>0.72</v>
      </c>
      <c r="BF367" s="213">
        <v>0.42</v>
      </c>
      <c r="BG367" s="213">
        <v>0.56999999999999995</v>
      </c>
      <c r="BH367" s="213">
        <v>522.24</v>
      </c>
      <c r="BI367" s="213">
        <v>506.24</v>
      </c>
      <c r="BJ367" s="213">
        <v>514.24</v>
      </c>
      <c r="BK367" s="213">
        <v>44.16</v>
      </c>
      <c r="BL367" s="213">
        <v>42.8</v>
      </c>
      <c r="BM367" s="213">
        <v>43.48</v>
      </c>
      <c r="BN367" s="213">
        <v>1.1000000000000001</v>
      </c>
      <c r="BO367" s="213">
        <v>0.8600000000000001</v>
      </c>
      <c r="BP367" s="213">
        <v>0.98000000000000009</v>
      </c>
      <c r="BQ367" s="213">
        <v>8.82</v>
      </c>
      <c r="BR367" s="213">
        <v>6.82</v>
      </c>
      <c r="BS367" s="213">
        <v>7.82</v>
      </c>
      <c r="BT367" s="213">
        <v>10.94</v>
      </c>
      <c r="BU367" s="213">
        <v>10.54</v>
      </c>
      <c r="BV367" s="213">
        <v>10.739999999999998</v>
      </c>
      <c r="BW367" s="213">
        <v>2.89</v>
      </c>
      <c r="BX367" s="213">
        <v>2.6100000000000003</v>
      </c>
      <c r="BY367" s="213">
        <v>2.75</v>
      </c>
      <c r="BZ367" s="213">
        <v>9.89</v>
      </c>
      <c r="CA367" s="213">
        <v>6.8900000000000006</v>
      </c>
      <c r="CB367" s="213">
        <v>8.39</v>
      </c>
      <c r="CC367" s="213">
        <v>6.69</v>
      </c>
      <c r="CD367" s="213">
        <v>6.45</v>
      </c>
      <c r="CE367" s="213">
        <v>6.57</v>
      </c>
      <c r="CF367" s="213">
        <v>1.85</v>
      </c>
      <c r="CG367" s="213">
        <v>1.35</v>
      </c>
      <c r="CH367" s="213">
        <v>1.6</v>
      </c>
      <c r="CI367" s="213">
        <v>0.42</v>
      </c>
      <c r="CJ367" s="213">
        <v>0.38</v>
      </c>
      <c r="CK367" s="213">
        <v>0.4</v>
      </c>
      <c r="CL367" s="213">
        <v>39.840000000000003</v>
      </c>
      <c r="CM367" s="213">
        <v>37.440000000000005</v>
      </c>
      <c r="CN367" s="213">
        <v>38.64</v>
      </c>
      <c r="CO367" s="213">
        <v>7.01</v>
      </c>
      <c r="CP367" s="213">
        <v>2.0099999999999998</v>
      </c>
      <c r="CQ367" s="213">
        <v>4.51</v>
      </c>
      <c r="CR367" s="213"/>
      <c r="CS367" s="213"/>
    </row>
    <row r="368" spans="1:97">
      <c r="A368" s="424">
        <v>45654</v>
      </c>
      <c r="B368" s="211" t="s">
        <v>252</v>
      </c>
      <c r="C368" s="213"/>
      <c r="D368" s="213"/>
      <c r="E368" s="213"/>
      <c r="F368" s="213"/>
      <c r="G368" s="213"/>
      <c r="H368" s="213"/>
      <c r="I368" s="213"/>
      <c r="J368" s="213"/>
      <c r="K368" s="213"/>
      <c r="L368" s="213"/>
      <c r="M368" s="213"/>
      <c r="N368" s="213"/>
      <c r="O368" s="213"/>
      <c r="P368" s="213"/>
      <c r="Q368" s="213"/>
      <c r="R368" s="213"/>
      <c r="S368" s="213"/>
      <c r="T368" s="213"/>
      <c r="U368" s="213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13"/>
      <c r="AF368" s="213"/>
      <c r="AG368" s="213"/>
      <c r="AH368" s="213"/>
      <c r="AI368" s="213"/>
      <c r="AJ368" s="213"/>
      <c r="AK368" s="213"/>
      <c r="AL368" s="213"/>
      <c r="AM368" s="213"/>
      <c r="AN368" s="213"/>
      <c r="AO368" s="213"/>
      <c r="AP368" s="213"/>
      <c r="AQ368" s="213"/>
      <c r="AR368" s="213"/>
      <c r="AS368" s="213"/>
      <c r="AT368" s="213"/>
      <c r="AU368" s="213"/>
      <c r="AV368" s="213"/>
      <c r="AW368" s="213"/>
      <c r="AX368" s="213"/>
      <c r="AY368" s="213"/>
      <c r="AZ368" s="213"/>
      <c r="BA368" s="213"/>
      <c r="BB368" s="213"/>
      <c r="BC368" s="213"/>
      <c r="BD368" s="213"/>
      <c r="BE368" s="213"/>
      <c r="BF368" s="213"/>
      <c r="BG368" s="213"/>
      <c r="BH368" s="213"/>
      <c r="BI368" s="213"/>
      <c r="BJ368" s="213"/>
      <c r="BK368" s="213"/>
      <c r="BL368" s="213"/>
      <c r="BM368" s="213"/>
      <c r="BN368" s="213"/>
      <c r="BO368" s="213"/>
      <c r="BP368" s="213"/>
      <c r="BQ368" s="213"/>
      <c r="BR368" s="213"/>
      <c r="BS368" s="213"/>
      <c r="BT368" s="213"/>
      <c r="BU368" s="213"/>
      <c r="BV368" s="213"/>
      <c r="BW368" s="213"/>
      <c r="BX368" s="213"/>
      <c r="BY368" s="213"/>
      <c r="BZ368" s="213"/>
      <c r="CA368" s="213"/>
      <c r="CB368" s="213"/>
      <c r="CC368" s="213"/>
      <c r="CD368" s="213"/>
      <c r="CE368" s="213"/>
      <c r="CF368" s="213"/>
      <c r="CG368" s="213"/>
      <c r="CH368" s="213"/>
      <c r="CI368" s="213"/>
      <c r="CJ368" s="213"/>
      <c r="CK368" s="213"/>
      <c r="CL368" s="213"/>
      <c r="CM368" s="213"/>
      <c r="CN368" s="213"/>
      <c r="CO368" s="213"/>
      <c r="CP368" s="213"/>
      <c r="CQ368" s="213"/>
      <c r="CR368" s="213"/>
      <c r="CS368" s="213"/>
    </row>
    <row r="369" spans="1:97">
      <c r="A369" s="424">
        <v>45655</v>
      </c>
      <c r="B369" s="211" t="s">
        <v>253</v>
      </c>
      <c r="C369" s="213"/>
      <c r="D369" s="213"/>
      <c r="E369" s="213"/>
      <c r="F369" s="213"/>
      <c r="G369" s="213"/>
      <c r="H369" s="213"/>
      <c r="I369" s="213"/>
      <c r="J369" s="213"/>
      <c r="K369" s="213"/>
      <c r="L369" s="213"/>
      <c r="M369" s="213"/>
      <c r="N369" s="213"/>
      <c r="O369" s="213"/>
      <c r="P369" s="213"/>
      <c r="Q369" s="213"/>
      <c r="R369" s="213"/>
      <c r="S369" s="213"/>
      <c r="T369" s="213"/>
      <c r="U369" s="213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13"/>
      <c r="AF369" s="213"/>
      <c r="AG369" s="213"/>
      <c r="AH369" s="213"/>
      <c r="AI369" s="213"/>
      <c r="AJ369" s="213"/>
      <c r="AK369" s="213"/>
      <c r="AL369" s="213"/>
      <c r="AM369" s="213"/>
      <c r="AN369" s="213"/>
      <c r="AO369" s="213"/>
      <c r="AP369" s="213"/>
      <c r="AQ369" s="213"/>
      <c r="AR369" s="213"/>
      <c r="AS369" s="213"/>
      <c r="AT369" s="213"/>
      <c r="AU369" s="213"/>
      <c r="AV369" s="213"/>
      <c r="AW369" s="213"/>
      <c r="AX369" s="213"/>
      <c r="AY369" s="213"/>
      <c r="AZ369" s="213"/>
      <c r="BA369" s="213"/>
      <c r="BB369" s="213"/>
      <c r="BC369" s="213"/>
      <c r="BD369" s="213"/>
      <c r="BE369" s="213"/>
      <c r="BF369" s="213"/>
      <c r="BG369" s="213"/>
      <c r="BH369" s="213"/>
      <c r="BI369" s="213"/>
      <c r="BJ369" s="213"/>
      <c r="BK369" s="213"/>
      <c r="BL369" s="213"/>
      <c r="BM369" s="213"/>
      <c r="BN369" s="213"/>
      <c r="BO369" s="213"/>
      <c r="BP369" s="213"/>
      <c r="BQ369" s="213"/>
      <c r="BR369" s="213"/>
      <c r="BS369" s="213"/>
      <c r="BT369" s="213"/>
      <c r="BU369" s="213"/>
      <c r="BV369" s="213"/>
      <c r="BW369" s="213"/>
      <c r="BX369" s="213"/>
      <c r="BY369" s="213"/>
      <c r="BZ369" s="213"/>
      <c r="CA369" s="213"/>
      <c r="CB369" s="213"/>
      <c r="CC369" s="213"/>
      <c r="CD369" s="213"/>
      <c r="CE369" s="213"/>
      <c r="CF369" s="213"/>
      <c r="CG369" s="213"/>
      <c r="CH369" s="213"/>
      <c r="CI369" s="213"/>
      <c r="CJ369" s="213"/>
      <c r="CK369" s="213"/>
      <c r="CL369" s="213"/>
      <c r="CM369" s="213"/>
      <c r="CN369" s="213"/>
      <c r="CO369" s="213"/>
      <c r="CP369" s="213"/>
      <c r="CQ369" s="213"/>
      <c r="CR369" s="213"/>
      <c r="CS369" s="213"/>
    </row>
    <row r="370" spans="1:97">
      <c r="A370" s="424">
        <v>45656</v>
      </c>
      <c r="B370" s="211" t="s">
        <v>247</v>
      </c>
      <c r="C370" s="213">
        <v>159.18</v>
      </c>
      <c r="D370" s="213">
        <v>157.18</v>
      </c>
      <c r="E370" s="213">
        <v>158.18</v>
      </c>
      <c r="F370" s="213">
        <v>166.42</v>
      </c>
      <c r="G370" s="213">
        <v>163.41999999999999</v>
      </c>
      <c r="H370" s="213">
        <v>164.92</v>
      </c>
      <c r="I370" s="213">
        <v>111.37</v>
      </c>
      <c r="J370" s="213">
        <v>108.17</v>
      </c>
      <c r="K370" s="213">
        <v>109.77000000000001</v>
      </c>
      <c r="L370" s="213">
        <v>203.02</v>
      </c>
      <c r="M370" s="213">
        <v>195.02</v>
      </c>
      <c r="N370" s="213">
        <v>199.02</v>
      </c>
      <c r="O370" s="213">
        <v>176.25</v>
      </c>
      <c r="P370" s="213">
        <v>174.45</v>
      </c>
      <c r="Q370" s="213">
        <v>175.35</v>
      </c>
      <c r="R370" s="213">
        <v>22.41</v>
      </c>
      <c r="S370" s="213">
        <v>21.81</v>
      </c>
      <c r="T370" s="213">
        <v>22.11</v>
      </c>
      <c r="U370" s="213">
        <v>14.24</v>
      </c>
      <c r="V370" s="213">
        <v>13.64</v>
      </c>
      <c r="W370" s="213">
        <v>13.940000000000001</v>
      </c>
      <c r="X370" s="213">
        <v>14.79</v>
      </c>
      <c r="Y370" s="213">
        <v>13.989999999999998</v>
      </c>
      <c r="Z370" s="213">
        <v>14.389999999999999</v>
      </c>
      <c r="AA370" s="213">
        <v>100.5</v>
      </c>
      <c r="AB370" s="213">
        <v>96.5</v>
      </c>
      <c r="AC370" s="213">
        <v>98.5</v>
      </c>
      <c r="AD370" s="213">
        <v>91.17</v>
      </c>
      <c r="AE370" s="213">
        <v>87.17</v>
      </c>
      <c r="AF370" s="213">
        <v>89.17</v>
      </c>
      <c r="AG370" s="213">
        <v>20.81</v>
      </c>
      <c r="AH370" s="213">
        <v>19.95</v>
      </c>
      <c r="AI370" s="213">
        <v>20.38</v>
      </c>
      <c r="AJ370" s="213"/>
      <c r="AK370" s="213"/>
      <c r="AL370" s="213"/>
      <c r="AM370" s="213">
        <v>117.34</v>
      </c>
      <c r="AN370" s="213">
        <v>115.68</v>
      </c>
      <c r="AO370" s="213">
        <v>116.51</v>
      </c>
      <c r="AP370" s="213">
        <v>43.03</v>
      </c>
      <c r="AQ370" s="213">
        <v>41.43</v>
      </c>
      <c r="AR370" s="213">
        <v>42.230000000000004</v>
      </c>
      <c r="AS370" s="213">
        <v>43.82</v>
      </c>
      <c r="AT370" s="213">
        <v>42.46</v>
      </c>
      <c r="AU370" s="213">
        <v>43.14</v>
      </c>
      <c r="AV370" s="213">
        <v>21.97</v>
      </c>
      <c r="AW370" s="213">
        <v>21.369999999999997</v>
      </c>
      <c r="AX370" s="213">
        <v>21.669999999999998</v>
      </c>
      <c r="AY370" s="213">
        <v>4.72</v>
      </c>
      <c r="AZ370" s="213">
        <v>4.5599999999999996</v>
      </c>
      <c r="BA370" s="213">
        <v>4.6399999999999997</v>
      </c>
      <c r="BB370" s="213">
        <v>2.0099999999999998</v>
      </c>
      <c r="BC370" s="213">
        <v>1.7099999999999997</v>
      </c>
      <c r="BD370" s="213">
        <v>1.8599999999999999</v>
      </c>
      <c r="BE370" s="213">
        <v>0.72</v>
      </c>
      <c r="BF370" s="213">
        <v>0.42</v>
      </c>
      <c r="BG370" s="213">
        <v>0.56999999999999995</v>
      </c>
      <c r="BH370" s="213">
        <v>522.24</v>
      </c>
      <c r="BI370" s="213">
        <v>506.24</v>
      </c>
      <c r="BJ370" s="213">
        <v>514.24</v>
      </c>
      <c r="BK370" s="213">
        <v>44.16</v>
      </c>
      <c r="BL370" s="213">
        <v>42.8</v>
      </c>
      <c r="BM370" s="213">
        <v>43.48</v>
      </c>
      <c r="BN370" s="213">
        <v>1.1000000000000001</v>
      </c>
      <c r="BO370" s="213">
        <v>0.8600000000000001</v>
      </c>
      <c r="BP370" s="213">
        <v>0.98000000000000009</v>
      </c>
      <c r="BQ370" s="213">
        <v>8.77</v>
      </c>
      <c r="BR370" s="213">
        <v>6.77</v>
      </c>
      <c r="BS370" s="213">
        <v>7.77</v>
      </c>
      <c r="BT370" s="213">
        <v>10.96</v>
      </c>
      <c r="BU370" s="213">
        <v>10.56</v>
      </c>
      <c r="BV370" s="213">
        <v>10.760000000000002</v>
      </c>
      <c r="BW370" s="213">
        <v>2.9</v>
      </c>
      <c r="BX370" s="213">
        <v>2.62</v>
      </c>
      <c r="BY370" s="213">
        <v>2.76</v>
      </c>
      <c r="BZ370" s="213">
        <v>9.9700000000000006</v>
      </c>
      <c r="CA370" s="213">
        <v>6.9700000000000006</v>
      </c>
      <c r="CB370" s="213">
        <v>8.4700000000000006</v>
      </c>
      <c r="CC370" s="213">
        <v>6.67</v>
      </c>
      <c r="CD370" s="213">
        <v>6.43</v>
      </c>
      <c r="CE370" s="213">
        <v>6.55</v>
      </c>
      <c r="CF370" s="213">
        <v>1.76</v>
      </c>
      <c r="CG370" s="213">
        <v>1.26</v>
      </c>
      <c r="CH370" s="213">
        <v>1.51</v>
      </c>
      <c r="CI370" s="213">
        <v>0.42</v>
      </c>
      <c r="CJ370" s="213">
        <v>0.38</v>
      </c>
      <c r="CK370" s="213">
        <v>0.4</v>
      </c>
      <c r="CL370" s="213">
        <v>39.840000000000003</v>
      </c>
      <c r="CM370" s="213">
        <v>37.440000000000005</v>
      </c>
      <c r="CN370" s="213">
        <v>38.64</v>
      </c>
      <c r="CO370" s="213">
        <v>6.98</v>
      </c>
      <c r="CP370" s="213">
        <v>1.9800000000000004</v>
      </c>
      <c r="CQ370" s="213">
        <v>4.4800000000000004</v>
      </c>
      <c r="CR370" s="213"/>
      <c r="CS370" s="213"/>
    </row>
    <row r="371" spans="1:97">
      <c r="A371" s="424">
        <v>45657</v>
      </c>
      <c r="B371" s="211" t="s">
        <v>248</v>
      </c>
      <c r="C371" s="213"/>
      <c r="D371" s="213"/>
      <c r="E371" s="213"/>
      <c r="F371" s="213"/>
      <c r="G371" s="213"/>
      <c r="H371" s="213"/>
      <c r="I371" s="213"/>
      <c r="J371" s="213"/>
      <c r="K371" s="213"/>
      <c r="L371" s="213"/>
      <c r="M371" s="213"/>
      <c r="N371" s="213"/>
      <c r="O371" s="213"/>
      <c r="P371" s="213"/>
      <c r="Q371" s="213"/>
      <c r="R371" s="213"/>
      <c r="S371" s="213"/>
      <c r="T371" s="213"/>
      <c r="U371" s="213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13"/>
      <c r="AF371" s="213"/>
      <c r="AG371" s="213"/>
      <c r="AH371" s="213"/>
      <c r="AI371" s="213"/>
      <c r="AJ371" s="213"/>
      <c r="AK371" s="213"/>
      <c r="AL371" s="213"/>
      <c r="AM371" s="213"/>
      <c r="AN371" s="213"/>
      <c r="AO371" s="213"/>
      <c r="AP371" s="213"/>
      <c r="AQ371" s="213"/>
      <c r="AR371" s="213"/>
      <c r="AS371" s="213"/>
      <c r="AT371" s="213"/>
      <c r="AU371" s="213"/>
      <c r="AV371" s="213"/>
      <c r="AW371" s="213"/>
      <c r="AX371" s="213"/>
      <c r="AY371" s="213"/>
      <c r="AZ371" s="213"/>
      <c r="BA371" s="213"/>
      <c r="BB371" s="213"/>
      <c r="BC371" s="213"/>
      <c r="BD371" s="213"/>
      <c r="BE371" s="213"/>
      <c r="BF371" s="213"/>
      <c r="BG371" s="213"/>
      <c r="BH371" s="213"/>
      <c r="BI371" s="213"/>
      <c r="BJ371" s="213"/>
      <c r="BK371" s="213"/>
      <c r="BL371" s="213"/>
      <c r="BM371" s="213"/>
      <c r="BN371" s="213"/>
      <c r="BO371" s="213"/>
      <c r="BP371" s="213"/>
      <c r="BQ371" s="213"/>
      <c r="BR371" s="213"/>
      <c r="BS371" s="213"/>
      <c r="BT371" s="213"/>
      <c r="BU371" s="213"/>
      <c r="BV371" s="213"/>
      <c r="BW371" s="213"/>
      <c r="BX371" s="213"/>
      <c r="BY371" s="213"/>
      <c r="BZ371" s="213"/>
      <c r="CA371" s="213"/>
      <c r="CB371" s="213"/>
      <c r="CC371" s="213"/>
      <c r="CD371" s="213"/>
      <c r="CE371" s="213"/>
      <c r="CF371" s="213"/>
      <c r="CG371" s="213"/>
      <c r="CH371" s="213"/>
      <c r="CI371" s="213"/>
      <c r="CJ371" s="213"/>
      <c r="CK371" s="213"/>
      <c r="CL371" s="213"/>
      <c r="CM371" s="213"/>
      <c r="CN371" s="213"/>
      <c r="CO371" s="213"/>
      <c r="CP371" s="213"/>
      <c r="CQ371" s="213"/>
      <c r="CR371" s="213"/>
      <c r="CS371" s="213"/>
    </row>
    <row r="372" spans="1:97">
      <c r="A372" s="424" t="s">
        <v>256</v>
      </c>
      <c r="B372" s="211"/>
      <c r="C372" s="213">
        <f>MAX(C6:C371)</f>
        <v>162.72999999999999</v>
      </c>
      <c r="D372" s="213">
        <f t="shared" ref="D372:AI372" si="0">MAX(D6:D371)</f>
        <v>160.72999999999999</v>
      </c>
      <c r="E372" s="213">
        <f t="shared" si="0"/>
        <v>161.72999999999999</v>
      </c>
      <c r="F372" s="213">
        <f t="shared" si="0"/>
        <v>176.7</v>
      </c>
      <c r="G372" s="213">
        <f t="shared" si="0"/>
        <v>173.7</v>
      </c>
      <c r="H372" s="213">
        <f t="shared" si="0"/>
        <v>175.2</v>
      </c>
      <c r="I372" s="213">
        <f t="shared" si="0"/>
        <v>120.33</v>
      </c>
      <c r="J372" s="213">
        <f t="shared" si="0"/>
        <v>117.13</v>
      </c>
      <c r="K372" s="213">
        <f t="shared" si="0"/>
        <v>118.72999999999999</v>
      </c>
      <c r="L372" s="213">
        <f t="shared" si="0"/>
        <v>211.94</v>
      </c>
      <c r="M372" s="213">
        <f t="shared" si="0"/>
        <v>203.94</v>
      </c>
      <c r="N372" s="213">
        <f t="shared" si="0"/>
        <v>207.94</v>
      </c>
      <c r="O372" s="213">
        <f t="shared" si="0"/>
        <v>180.78</v>
      </c>
      <c r="P372" s="213">
        <f t="shared" si="0"/>
        <v>178.98</v>
      </c>
      <c r="Q372" s="213">
        <f t="shared" si="0"/>
        <v>179.88</v>
      </c>
      <c r="R372" s="213">
        <f t="shared" si="0"/>
        <v>23.79</v>
      </c>
      <c r="S372" s="213">
        <f t="shared" si="0"/>
        <v>23.189999999999998</v>
      </c>
      <c r="T372" s="213">
        <f t="shared" si="0"/>
        <v>23.49</v>
      </c>
      <c r="U372" s="213">
        <f t="shared" si="0"/>
        <v>15.61</v>
      </c>
      <c r="V372" s="213">
        <f t="shared" si="0"/>
        <v>15.01</v>
      </c>
      <c r="W372" s="213">
        <f t="shared" si="0"/>
        <v>15.309999999999999</v>
      </c>
      <c r="X372" s="213">
        <f t="shared" si="0"/>
        <v>15.79</v>
      </c>
      <c r="Y372" s="213">
        <f t="shared" si="0"/>
        <v>14.989999999999998</v>
      </c>
      <c r="Z372" s="213">
        <f t="shared" si="0"/>
        <v>15.389999999999999</v>
      </c>
      <c r="AA372" s="213">
        <f t="shared" si="0"/>
        <v>111.1</v>
      </c>
      <c r="AB372" s="213">
        <f t="shared" si="0"/>
        <v>107.1</v>
      </c>
      <c r="AC372" s="213">
        <f t="shared" si="0"/>
        <v>109.1</v>
      </c>
      <c r="AD372" s="213">
        <f t="shared" si="0"/>
        <v>100.98</v>
      </c>
      <c r="AE372" s="213">
        <f t="shared" si="0"/>
        <v>96.98</v>
      </c>
      <c r="AF372" s="213">
        <f t="shared" si="0"/>
        <v>98.98</v>
      </c>
      <c r="AG372" s="213">
        <f t="shared" si="0"/>
        <v>21.14</v>
      </c>
      <c r="AH372" s="213">
        <f t="shared" si="0"/>
        <v>20.28</v>
      </c>
      <c r="AI372" s="213">
        <f t="shared" si="0"/>
        <v>20.71</v>
      </c>
      <c r="AJ372" s="213"/>
      <c r="AK372" s="213"/>
      <c r="AL372" s="213"/>
      <c r="AM372" s="213">
        <f t="shared" ref="AM372:CN372" si="1">MAX(AM6:AM371)</f>
        <v>120.76</v>
      </c>
      <c r="AN372" s="213">
        <f t="shared" si="1"/>
        <v>119.10000000000001</v>
      </c>
      <c r="AO372" s="213">
        <f t="shared" si="1"/>
        <v>119.93</v>
      </c>
      <c r="AP372" s="213">
        <f t="shared" si="1"/>
        <v>43.99</v>
      </c>
      <c r="AQ372" s="213">
        <f t="shared" si="1"/>
        <v>42.39</v>
      </c>
      <c r="AR372" s="213">
        <f t="shared" si="1"/>
        <v>43.19</v>
      </c>
      <c r="AS372" s="213">
        <f t="shared" si="1"/>
        <v>44.78</v>
      </c>
      <c r="AT372" s="213">
        <f t="shared" si="1"/>
        <v>43.42</v>
      </c>
      <c r="AU372" s="213">
        <f t="shared" si="1"/>
        <v>44.1</v>
      </c>
      <c r="AV372" s="213">
        <f t="shared" si="1"/>
        <v>22.48</v>
      </c>
      <c r="AW372" s="213">
        <f t="shared" si="1"/>
        <v>21.88</v>
      </c>
      <c r="AX372" s="213">
        <f t="shared" si="1"/>
        <v>22.18</v>
      </c>
      <c r="AY372" s="213">
        <f t="shared" si="1"/>
        <v>4.72</v>
      </c>
      <c r="AZ372" s="213">
        <f t="shared" si="1"/>
        <v>4.5599999999999996</v>
      </c>
      <c r="BA372" s="213">
        <f t="shared" si="1"/>
        <v>4.6399999999999997</v>
      </c>
      <c r="BB372" s="213">
        <f t="shared" si="1"/>
        <v>2.1</v>
      </c>
      <c r="BC372" s="213">
        <f t="shared" si="1"/>
        <v>1.8</v>
      </c>
      <c r="BD372" s="213">
        <f t="shared" si="1"/>
        <v>1.9500000000000002</v>
      </c>
      <c r="BE372" s="213">
        <f t="shared" si="1"/>
        <v>0.73</v>
      </c>
      <c r="BF372" s="213">
        <f t="shared" si="1"/>
        <v>0.43</v>
      </c>
      <c r="BG372" s="213">
        <f t="shared" si="1"/>
        <v>0.57999999999999996</v>
      </c>
      <c r="BH372" s="213">
        <f t="shared" si="1"/>
        <v>537.57000000000005</v>
      </c>
      <c r="BI372" s="213">
        <f t="shared" si="1"/>
        <v>521.57000000000005</v>
      </c>
      <c r="BJ372" s="213">
        <f t="shared" si="1"/>
        <v>529.57000000000005</v>
      </c>
      <c r="BK372" s="213">
        <f t="shared" si="1"/>
        <v>45.12</v>
      </c>
      <c r="BL372" s="213">
        <f t="shared" si="1"/>
        <v>43.76</v>
      </c>
      <c r="BM372" s="213">
        <f t="shared" si="1"/>
        <v>44.44</v>
      </c>
      <c r="BN372" s="213">
        <f t="shared" si="1"/>
        <v>1.1200000000000001</v>
      </c>
      <c r="BO372" s="213">
        <f t="shared" si="1"/>
        <v>0.88000000000000012</v>
      </c>
      <c r="BP372" s="213">
        <f>MAX(BP6:BP371)</f>
        <v>1</v>
      </c>
      <c r="BQ372" s="213">
        <f t="shared" si="1"/>
        <v>10.46</v>
      </c>
      <c r="BR372" s="213">
        <f t="shared" si="1"/>
        <v>8.4600000000000009</v>
      </c>
      <c r="BS372" s="213">
        <f t="shared" si="1"/>
        <v>9.4600000000000009</v>
      </c>
      <c r="BT372" s="213">
        <f t="shared" si="1"/>
        <v>11.92</v>
      </c>
      <c r="BU372" s="213">
        <f t="shared" si="1"/>
        <v>11.52</v>
      </c>
      <c r="BV372" s="213">
        <f t="shared" si="1"/>
        <v>11.719999999999999</v>
      </c>
      <c r="BW372" s="213">
        <f t="shared" si="1"/>
        <v>2.93</v>
      </c>
      <c r="BX372" s="213">
        <f t="shared" si="1"/>
        <v>2.6500000000000004</v>
      </c>
      <c r="BY372" s="213">
        <f t="shared" si="1"/>
        <v>2.79</v>
      </c>
      <c r="BZ372" s="213">
        <f t="shared" si="1"/>
        <v>10.43</v>
      </c>
      <c r="CA372" s="213">
        <f t="shared" si="1"/>
        <v>7.43</v>
      </c>
      <c r="CB372" s="213">
        <f t="shared" si="1"/>
        <v>8.93</v>
      </c>
      <c r="CC372" s="213">
        <f t="shared" si="1"/>
        <v>7.06</v>
      </c>
      <c r="CD372" s="213">
        <f t="shared" si="1"/>
        <v>6.8199999999999994</v>
      </c>
      <c r="CE372" s="213">
        <f t="shared" si="1"/>
        <v>6.9399999999999995</v>
      </c>
      <c r="CF372" s="213">
        <f t="shared" si="1"/>
        <v>2.17</v>
      </c>
      <c r="CG372" s="213">
        <f t="shared" si="1"/>
        <v>1.67</v>
      </c>
      <c r="CH372" s="213">
        <f t="shared" si="1"/>
        <v>1.92</v>
      </c>
      <c r="CI372" s="213">
        <f t="shared" si="1"/>
        <v>0.46</v>
      </c>
      <c r="CJ372" s="213">
        <f t="shared" si="1"/>
        <v>0.42000000000000004</v>
      </c>
      <c r="CK372" s="213">
        <f t="shared" si="1"/>
        <v>0.44000000000000006</v>
      </c>
      <c r="CL372" s="213">
        <f t="shared" si="1"/>
        <v>42.33</v>
      </c>
      <c r="CM372" s="213">
        <f t="shared" si="1"/>
        <v>39.93</v>
      </c>
      <c r="CN372" s="213">
        <f t="shared" si="1"/>
        <v>41.129999999999995</v>
      </c>
      <c r="CO372" s="213">
        <f>MAX(CO6:CO371)</f>
        <v>7.48</v>
      </c>
      <c r="CP372" s="213">
        <f>MAX(CP6:CP371)</f>
        <v>2.4800000000000004</v>
      </c>
      <c r="CQ372" s="213">
        <f>MAX(CQ6:CQ371)</f>
        <v>4.9800000000000004</v>
      </c>
      <c r="CR372" s="213"/>
      <c r="CS372" s="213"/>
    </row>
    <row r="373" spans="1:97">
      <c r="A373" s="424" t="s">
        <v>257</v>
      </c>
      <c r="B373" s="211"/>
      <c r="C373" s="213">
        <f>MIN(C6:C371)</f>
        <v>141.77000000000001</v>
      </c>
      <c r="D373" s="213">
        <f>MIN(D6:D371)</f>
        <v>139.77000000000001</v>
      </c>
      <c r="E373" s="213">
        <f>MIN(E6:E371)</f>
        <v>140.77000000000001</v>
      </c>
      <c r="F373" s="213">
        <f t="shared" ref="F373:AI373" si="2">MIN(F6:F371)</f>
        <v>158.05000000000001</v>
      </c>
      <c r="G373" s="213">
        <f t="shared" si="2"/>
        <v>155.05000000000001</v>
      </c>
      <c r="H373" s="213">
        <f t="shared" si="2"/>
        <v>156.55000000000001</v>
      </c>
      <c r="I373" s="213">
        <f t="shared" si="2"/>
        <v>105.16</v>
      </c>
      <c r="J373" s="213">
        <f t="shared" si="2"/>
        <v>101.96</v>
      </c>
      <c r="K373" s="213">
        <f t="shared" si="2"/>
        <v>103.56</v>
      </c>
      <c r="L373" s="213">
        <f t="shared" si="2"/>
        <v>185.71</v>
      </c>
      <c r="M373" s="213">
        <f t="shared" si="2"/>
        <v>177.71</v>
      </c>
      <c r="N373" s="213">
        <f t="shared" si="2"/>
        <v>181.71</v>
      </c>
      <c r="O373" s="213">
        <f t="shared" si="2"/>
        <v>167.36</v>
      </c>
      <c r="P373" s="213">
        <f t="shared" si="2"/>
        <v>165.56</v>
      </c>
      <c r="Q373" s="213">
        <f t="shared" si="2"/>
        <v>166.46</v>
      </c>
      <c r="R373" s="213">
        <f t="shared" si="2"/>
        <v>21.28</v>
      </c>
      <c r="S373" s="213">
        <f t="shared" si="2"/>
        <v>20.68</v>
      </c>
      <c r="T373" s="213">
        <f t="shared" si="2"/>
        <v>20.98</v>
      </c>
      <c r="U373" s="213">
        <f t="shared" si="2"/>
        <v>13.43</v>
      </c>
      <c r="V373" s="213">
        <f t="shared" si="2"/>
        <v>12.83</v>
      </c>
      <c r="W373" s="213">
        <f t="shared" si="2"/>
        <v>13.129999999999999</v>
      </c>
      <c r="X373" s="213">
        <f t="shared" si="2"/>
        <v>14.01</v>
      </c>
      <c r="Y373" s="213">
        <f t="shared" si="2"/>
        <v>13.209999999999999</v>
      </c>
      <c r="Z373" s="213">
        <f t="shared" si="2"/>
        <v>13.61</v>
      </c>
      <c r="AA373" s="213">
        <f t="shared" si="2"/>
        <v>96.4</v>
      </c>
      <c r="AB373" s="213">
        <f t="shared" si="2"/>
        <v>92.4</v>
      </c>
      <c r="AC373" s="213">
        <f t="shared" si="2"/>
        <v>94.4</v>
      </c>
      <c r="AD373" s="213">
        <f t="shared" si="2"/>
        <v>88.58</v>
      </c>
      <c r="AE373" s="213">
        <f t="shared" si="2"/>
        <v>84.58</v>
      </c>
      <c r="AF373" s="213">
        <f t="shared" si="2"/>
        <v>86.58</v>
      </c>
      <c r="AG373" s="213">
        <f t="shared" si="2"/>
        <v>18.489999999999998</v>
      </c>
      <c r="AH373" s="213">
        <f t="shared" si="2"/>
        <v>17.63</v>
      </c>
      <c r="AI373" s="213">
        <f t="shared" si="2"/>
        <v>18.059999999999999</v>
      </c>
      <c r="AJ373" s="213"/>
      <c r="AK373" s="213"/>
      <c r="AL373" s="213"/>
      <c r="AM373" s="213">
        <f>MIN(AM6:AM371)</f>
        <v>108.76</v>
      </c>
      <c r="AN373" s="213">
        <f>MIN(AN6:AN371)</f>
        <v>107.10000000000001</v>
      </c>
      <c r="AO373" s="213">
        <f>MIN(AO6:AO371)</f>
        <v>107.93</v>
      </c>
      <c r="AP373" s="213">
        <f t="shared" ref="AP373:CN373" si="3">MIN(AP6:AP371)</f>
        <v>38.369999999999997</v>
      </c>
      <c r="AQ373" s="213">
        <f t="shared" si="3"/>
        <v>36.769999999999996</v>
      </c>
      <c r="AR373" s="213">
        <f t="shared" si="3"/>
        <v>37.569999999999993</v>
      </c>
      <c r="AS373" s="213">
        <f t="shared" si="3"/>
        <v>39.07</v>
      </c>
      <c r="AT373" s="213">
        <f t="shared" si="3"/>
        <v>37.71</v>
      </c>
      <c r="AU373" s="213">
        <f t="shared" si="3"/>
        <v>38.39</v>
      </c>
      <c r="AV373" s="213">
        <f t="shared" si="3"/>
        <v>20.12</v>
      </c>
      <c r="AW373" s="213">
        <f t="shared" si="3"/>
        <v>19.52</v>
      </c>
      <c r="AX373" s="213">
        <f t="shared" si="3"/>
        <v>19.82</v>
      </c>
      <c r="AY373" s="213">
        <f t="shared" si="3"/>
        <v>4.16</v>
      </c>
      <c r="AZ373" s="213">
        <f t="shared" si="3"/>
        <v>4</v>
      </c>
      <c r="BA373" s="213">
        <f t="shared" si="3"/>
        <v>4.08</v>
      </c>
      <c r="BB373" s="213">
        <f t="shared" si="3"/>
        <v>1.84</v>
      </c>
      <c r="BC373" s="213">
        <f t="shared" si="3"/>
        <v>1.54</v>
      </c>
      <c r="BD373" s="213">
        <f t="shared" si="3"/>
        <v>1.69</v>
      </c>
      <c r="BE373" s="213">
        <f t="shared" si="3"/>
        <v>0.66</v>
      </c>
      <c r="BF373" s="213">
        <f t="shared" si="3"/>
        <v>0.36000000000000004</v>
      </c>
      <c r="BG373" s="213">
        <f t="shared" si="3"/>
        <v>0.51</v>
      </c>
      <c r="BH373" s="213">
        <f t="shared" si="3"/>
        <v>470.6</v>
      </c>
      <c r="BI373" s="213">
        <f t="shared" si="3"/>
        <v>454.6</v>
      </c>
      <c r="BJ373" s="213">
        <f t="shared" si="3"/>
        <v>462.6</v>
      </c>
      <c r="BK373" s="213">
        <f t="shared" si="3"/>
        <v>39.35</v>
      </c>
      <c r="BL373" s="213">
        <f t="shared" si="3"/>
        <v>37.99</v>
      </c>
      <c r="BM373" s="213">
        <f t="shared" si="3"/>
        <v>38.67</v>
      </c>
      <c r="BN373" s="213">
        <f t="shared" si="3"/>
        <v>1.01</v>
      </c>
      <c r="BO373" s="213">
        <f t="shared" si="3"/>
        <v>0.77</v>
      </c>
      <c r="BP373" s="213">
        <f t="shared" si="3"/>
        <v>0.89</v>
      </c>
      <c r="BQ373" s="213">
        <f t="shared" si="3"/>
        <v>8.06</v>
      </c>
      <c r="BR373" s="213">
        <f t="shared" si="3"/>
        <v>6.0600000000000005</v>
      </c>
      <c r="BS373" s="213">
        <f t="shared" si="3"/>
        <v>7.0600000000000005</v>
      </c>
      <c r="BT373" s="213">
        <f t="shared" si="3"/>
        <v>10.73</v>
      </c>
      <c r="BU373" s="213">
        <f t="shared" si="3"/>
        <v>10.33</v>
      </c>
      <c r="BV373" s="213">
        <f t="shared" si="3"/>
        <v>10.530000000000001</v>
      </c>
      <c r="BW373" s="213">
        <f t="shared" si="3"/>
        <v>2.66</v>
      </c>
      <c r="BX373" s="213">
        <f t="shared" si="3"/>
        <v>2.38</v>
      </c>
      <c r="BY373" s="213">
        <f t="shared" si="3"/>
        <v>2.52</v>
      </c>
      <c r="BZ373" s="213">
        <f t="shared" si="3"/>
        <v>9.16</v>
      </c>
      <c r="CA373" s="213">
        <f t="shared" si="3"/>
        <v>6.16</v>
      </c>
      <c r="CB373" s="213">
        <f t="shared" si="3"/>
        <v>7.66</v>
      </c>
      <c r="CC373" s="213">
        <f t="shared" si="3"/>
        <v>6.35</v>
      </c>
      <c r="CD373" s="213">
        <f t="shared" si="3"/>
        <v>6.1099999999999994</v>
      </c>
      <c r="CE373" s="213">
        <f t="shared" si="3"/>
        <v>6.2299999999999995</v>
      </c>
      <c r="CF373" s="213">
        <f t="shared" si="3"/>
        <v>1.59</v>
      </c>
      <c r="CG373" s="213">
        <f t="shared" si="3"/>
        <v>1.0900000000000001</v>
      </c>
      <c r="CH373" s="213">
        <f t="shared" si="3"/>
        <v>1.34</v>
      </c>
      <c r="CI373" s="213">
        <f t="shared" si="3"/>
        <v>0.4</v>
      </c>
      <c r="CJ373" s="213">
        <f t="shared" si="3"/>
        <v>0.36000000000000004</v>
      </c>
      <c r="CK373" s="213">
        <f t="shared" si="3"/>
        <v>0.38</v>
      </c>
      <c r="CL373" s="213">
        <f t="shared" si="3"/>
        <v>37.200000000000003</v>
      </c>
      <c r="CM373" s="213">
        <f t="shared" si="3"/>
        <v>34.800000000000004</v>
      </c>
      <c r="CN373" s="213">
        <f t="shared" si="3"/>
        <v>36</v>
      </c>
      <c r="CO373" s="213">
        <f>MIN(CO6:CO371)</f>
        <v>6.65</v>
      </c>
      <c r="CP373" s="213">
        <f>MIN(CP6:CP371)</f>
        <v>1.6500000000000004</v>
      </c>
      <c r="CQ373" s="213">
        <f>MIN(CQ6:CQ371)</f>
        <v>4.1500000000000004</v>
      </c>
      <c r="CR373" s="214"/>
      <c r="CS373" s="214"/>
    </row>
    <row r="374" spans="1:97">
      <c r="A374" s="424" t="s">
        <v>258</v>
      </c>
      <c r="B374" s="211"/>
      <c r="C374" s="213">
        <f>AVERAGE(C6:C371)</f>
        <v>152.69208163265299</v>
      </c>
      <c r="D374" s="213">
        <f>AVERAGE(D6:D371)</f>
        <v>150.69208163265299</v>
      </c>
      <c r="E374" s="213">
        <f>AVERAGE(E6:E371)</f>
        <v>151.69208163265299</v>
      </c>
      <c r="F374" s="213">
        <f t="shared" ref="F374:AI374" si="4">AVERAGE(F6:F371)</f>
        <v>165.55000000000004</v>
      </c>
      <c r="G374" s="213">
        <f t="shared" si="4"/>
        <v>162.55000000000007</v>
      </c>
      <c r="H374" s="213">
        <f t="shared" si="4"/>
        <v>164.05000000000004</v>
      </c>
      <c r="I374" s="213">
        <f t="shared" si="4"/>
        <v>112.30204081632652</v>
      </c>
      <c r="J374" s="213">
        <f t="shared" si="4"/>
        <v>109.10204081632648</v>
      </c>
      <c r="K374" s="213">
        <f t="shared" si="4"/>
        <v>110.70204081632657</v>
      </c>
      <c r="L374" s="213">
        <f t="shared" si="4"/>
        <v>197.84959183673459</v>
      </c>
      <c r="M374" s="213">
        <f t="shared" si="4"/>
        <v>189.84959183673456</v>
      </c>
      <c r="N374" s="213">
        <f t="shared" si="4"/>
        <v>193.84959183673456</v>
      </c>
      <c r="O374" s="213">
        <f t="shared" si="4"/>
        <v>173.06297959183667</v>
      </c>
      <c r="P374" s="213">
        <f t="shared" si="4"/>
        <v>171.26297959183671</v>
      </c>
      <c r="Q374" s="213">
        <f t="shared" si="4"/>
        <v>172.16297959183669</v>
      </c>
      <c r="R374" s="213">
        <f t="shared" si="4"/>
        <v>22.29277551020407</v>
      </c>
      <c r="S374" s="213">
        <f t="shared" si="4"/>
        <v>21.692775510204076</v>
      </c>
      <c r="T374" s="213">
        <f t="shared" si="4"/>
        <v>21.99277551020408</v>
      </c>
      <c r="U374" s="213">
        <f t="shared" si="4"/>
        <v>14.406408163265306</v>
      </c>
      <c r="V374" s="213">
        <f t="shared" si="4"/>
        <v>13.80640816326531</v>
      </c>
      <c r="W374" s="213">
        <f t="shared" si="4"/>
        <v>14.106408163265312</v>
      </c>
      <c r="X374" s="213">
        <f t="shared" si="4"/>
        <v>14.745551020408163</v>
      </c>
      <c r="Y374" s="213">
        <f t="shared" si="4"/>
        <v>13.945551020408164</v>
      </c>
      <c r="Z374" s="213">
        <f t="shared" si="4"/>
        <v>14.345551020408156</v>
      </c>
      <c r="AA374" s="213">
        <f t="shared" si="4"/>
        <v>102.04579591836732</v>
      </c>
      <c r="AB374" s="213">
        <f t="shared" si="4"/>
        <v>98.045795918367332</v>
      </c>
      <c r="AC374" s="213">
        <f t="shared" si="4"/>
        <v>100.04579591836733</v>
      </c>
      <c r="AD374" s="213">
        <f t="shared" si="4"/>
        <v>93.738081632653063</v>
      </c>
      <c r="AE374" s="213">
        <f t="shared" si="4"/>
        <v>89.738081632653049</v>
      </c>
      <c r="AF374" s="213">
        <f t="shared" si="4"/>
        <v>91.738081632653049</v>
      </c>
      <c r="AG374" s="213">
        <f t="shared" si="4"/>
        <v>19.870653061224484</v>
      </c>
      <c r="AH374" s="213">
        <f t="shared" si="4"/>
        <v>19.010653061224485</v>
      </c>
      <c r="AI374" s="213">
        <f t="shared" si="4"/>
        <v>19.440653061224495</v>
      </c>
      <c r="AJ374" s="213"/>
      <c r="AK374" s="213"/>
      <c r="AL374" s="213"/>
      <c r="AM374" s="213">
        <f>AVERAGE(AM6:AM371)</f>
        <v>114.30746938775499</v>
      </c>
      <c r="AN374" s="213">
        <f>AVERAGE(AN6:AN371)</f>
        <v>112.64746938775508</v>
      </c>
      <c r="AO374" s="213">
        <f>AVERAGE(AO6:AO371)</f>
        <v>113.47746938775506</v>
      </c>
      <c r="AP374" s="213">
        <f t="shared" ref="AP374:CN374" si="5">AVERAGE(AP6:AP371)</f>
        <v>41.287142857142861</v>
      </c>
      <c r="AQ374" s="213">
        <f t="shared" si="5"/>
        <v>39.687142857142874</v>
      </c>
      <c r="AR374" s="213">
        <f t="shared" si="5"/>
        <v>40.487142857142857</v>
      </c>
      <c r="AS374" s="213">
        <f t="shared" si="5"/>
        <v>42.038244897959203</v>
      </c>
      <c r="AT374" s="213">
        <f t="shared" si="5"/>
        <v>40.678244897959161</v>
      </c>
      <c r="AU374" s="213">
        <f t="shared" si="5"/>
        <v>41.35824489795916</v>
      </c>
      <c r="AV374" s="213">
        <f t="shared" si="5"/>
        <v>21.335061224489799</v>
      </c>
      <c r="AW374" s="213">
        <f t="shared" si="5"/>
        <v>20.735061224489794</v>
      </c>
      <c r="AX374" s="213">
        <f t="shared" si="5"/>
        <v>21.035061224489805</v>
      </c>
      <c r="AY374" s="213">
        <f t="shared" si="5"/>
        <v>4.3811836734693932</v>
      </c>
      <c r="AZ374" s="213">
        <f t="shared" si="5"/>
        <v>4.2211836734693851</v>
      </c>
      <c r="BA374" s="213">
        <f t="shared" si="5"/>
        <v>4.3011836734693869</v>
      </c>
      <c r="BB374" s="213">
        <f t="shared" si="5"/>
        <v>1.9728979591836753</v>
      </c>
      <c r="BC374" s="213">
        <f t="shared" si="5"/>
        <v>1.6728979591836735</v>
      </c>
      <c r="BD374" s="213">
        <f t="shared" si="5"/>
        <v>1.822897959183672</v>
      </c>
      <c r="BE374" s="213">
        <f t="shared" si="5"/>
        <v>0.69755102040816341</v>
      </c>
      <c r="BF374" s="213">
        <f t="shared" si="5"/>
        <v>0.3975510204081637</v>
      </c>
      <c r="BG374" s="213">
        <f t="shared" si="5"/>
        <v>0.54755102040816306</v>
      </c>
      <c r="BH374" s="213">
        <f t="shared" si="5"/>
        <v>502.93118367346943</v>
      </c>
      <c r="BI374" s="213">
        <f t="shared" si="5"/>
        <v>486.93118367346943</v>
      </c>
      <c r="BJ374" s="213">
        <f t="shared" si="5"/>
        <v>494.93118367346943</v>
      </c>
      <c r="BK374" s="213">
        <f t="shared" si="5"/>
        <v>42.357102040816301</v>
      </c>
      <c r="BL374" s="213">
        <f t="shared" si="5"/>
        <v>40.997102040816308</v>
      </c>
      <c r="BM374" s="213">
        <f t="shared" si="5"/>
        <v>41.677102040816301</v>
      </c>
      <c r="BN374" s="213">
        <f t="shared" si="5"/>
        <v>1.0802857142857152</v>
      </c>
      <c r="BO374" s="213">
        <f t="shared" si="5"/>
        <v>0.8402857142857163</v>
      </c>
      <c r="BP374" s="213">
        <f t="shared" si="5"/>
        <v>0.96028571428571252</v>
      </c>
      <c r="BQ374" s="213">
        <f t="shared" si="5"/>
        <v>9.3230612244897912</v>
      </c>
      <c r="BR374" s="213">
        <f t="shared" si="5"/>
        <v>7.3230612244897904</v>
      </c>
      <c r="BS374" s="213">
        <f t="shared" si="5"/>
        <v>8.3230612244897912</v>
      </c>
      <c r="BT374" s="213">
        <f t="shared" si="5"/>
        <v>11.331265306122452</v>
      </c>
      <c r="BU374" s="213">
        <f t="shared" si="5"/>
        <v>10.931265306122457</v>
      </c>
      <c r="BV374" s="213">
        <f t="shared" si="5"/>
        <v>11.131265306122458</v>
      </c>
      <c r="BW374" s="213">
        <f t="shared" si="5"/>
        <v>2.8056734693877536</v>
      </c>
      <c r="BX374" s="213">
        <f t="shared" si="5"/>
        <v>2.5256734693877561</v>
      </c>
      <c r="BY374" s="213">
        <f t="shared" si="5"/>
        <v>2.665673469387754</v>
      </c>
      <c r="BZ374" s="213">
        <f t="shared" si="5"/>
        <v>9.7794693877551069</v>
      </c>
      <c r="CA374" s="213">
        <f t="shared" si="5"/>
        <v>6.7794693877551007</v>
      </c>
      <c r="CB374" s="213">
        <f t="shared" si="5"/>
        <v>8.2794693877550998</v>
      </c>
      <c r="CC374" s="213">
        <f t="shared" si="5"/>
        <v>6.657265306122448</v>
      </c>
      <c r="CD374" s="213">
        <f t="shared" si="5"/>
        <v>6.4172653061224496</v>
      </c>
      <c r="CE374" s="213">
        <f t="shared" si="5"/>
        <v>6.5372653061224497</v>
      </c>
      <c r="CF374" s="213">
        <f t="shared" si="5"/>
        <v>1.8919591836734686</v>
      </c>
      <c r="CG374" s="213">
        <f t="shared" si="5"/>
        <v>1.3919591836734699</v>
      </c>
      <c r="CH374" s="213">
        <f t="shared" si="5"/>
        <v>1.6419591836734695</v>
      </c>
      <c r="CI374" s="213">
        <f t="shared" si="5"/>
        <v>0.43534693877551206</v>
      </c>
      <c r="CJ374" s="213">
        <f t="shared" si="5"/>
        <v>0.3953469387755098</v>
      </c>
      <c r="CK374" s="213">
        <f t="shared" si="5"/>
        <v>0.4153469387755101</v>
      </c>
      <c r="CL374" s="213">
        <f t="shared" si="5"/>
        <v>39.329551020408161</v>
      </c>
      <c r="CM374" s="213">
        <f t="shared" si="5"/>
        <v>36.929551020408162</v>
      </c>
      <c r="CN374" s="213">
        <f t="shared" si="5"/>
        <v>38.129551020408172</v>
      </c>
      <c r="CO374" s="213">
        <f>AVERAGE(CO6:CO371)</f>
        <v>7.1278367346938794</v>
      </c>
      <c r="CP374" s="213">
        <f>AVERAGE(CP6:CP371)</f>
        <v>2.1278367346938785</v>
      </c>
      <c r="CQ374" s="213">
        <f>AVERAGE(CQ6:CQ371)</f>
        <v>4.6278367346938776</v>
      </c>
      <c r="CR374" s="214"/>
      <c r="CS374" s="214"/>
    </row>
    <row r="375" spans="1:97">
      <c r="A375" s="424" t="s">
        <v>259</v>
      </c>
      <c r="B375" s="211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  <c r="AA375" s="214"/>
      <c r="AB375" s="214"/>
      <c r="AC375" s="214"/>
      <c r="AD375" s="214"/>
      <c r="AE375" s="214"/>
      <c r="AF375" s="214"/>
      <c r="AG375" s="214"/>
      <c r="AH375" s="214"/>
      <c r="AI375" s="214"/>
      <c r="AJ375" s="214"/>
      <c r="AK375" s="214"/>
      <c r="AL375" s="214"/>
      <c r="AM375" s="214"/>
      <c r="AN375" s="214"/>
      <c r="AO375" s="214"/>
      <c r="AP375" s="214"/>
      <c r="AQ375" s="214"/>
      <c r="AR375" s="214"/>
      <c r="AS375" s="214"/>
      <c r="AT375" s="214"/>
      <c r="AU375" s="214"/>
      <c r="AV375" s="214"/>
      <c r="AW375" s="214"/>
      <c r="AX375" s="214"/>
      <c r="AY375" s="214"/>
      <c r="AZ375" s="214"/>
      <c r="BA375" s="214"/>
      <c r="BB375" s="214"/>
      <c r="BC375" s="214"/>
      <c r="BD375" s="214"/>
      <c r="BE375" s="214"/>
      <c r="BF375" s="214"/>
      <c r="BG375" s="214"/>
      <c r="BH375" s="214"/>
      <c r="BI375" s="214"/>
      <c r="BJ375" s="214"/>
      <c r="BK375" s="214"/>
      <c r="BL375" s="214"/>
      <c r="BM375" s="214"/>
      <c r="BN375" s="214"/>
      <c r="BO375" s="214"/>
      <c r="BP375" s="214"/>
      <c r="BQ375" s="214"/>
      <c r="BR375" s="214"/>
      <c r="BS375" s="214"/>
      <c r="BT375" s="214"/>
      <c r="BU375" s="214"/>
      <c r="BV375" s="214"/>
      <c r="BW375" s="214"/>
      <c r="BX375" s="214"/>
      <c r="BY375" s="214"/>
      <c r="BZ375" s="214"/>
      <c r="CA375" s="214"/>
      <c r="CB375" s="214"/>
      <c r="CC375" s="214"/>
      <c r="CD375" s="214"/>
      <c r="CE375" s="214"/>
      <c r="CF375" s="214"/>
      <c r="CG375" s="214"/>
      <c r="CH375" s="214"/>
      <c r="CI375" s="214"/>
      <c r="CJ375" s="214"/>
      <c r="CK375" s="214"/>
      <c r="CL375" s="214"/>
      <c r="CM375" s="214"/>
      <c r="CN375" s="214"/>
      <c r="CO375" s="214"/>
      <c r="CP375" s="214"/>
      <c r="CQ375" s="214"/>
      <c r="CR375" s="213"/>
      <c r="CS375" s="213"/>
    </row>
    <row r="376" spans="1:97">
      <c r="B376" s="211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  <c r="AA376" s="214"/>
      <c r="AB376" s="214"/>
      <c r="AC376" s="214"/>
      <c r="AD376" s="214"/>
      <c r="AE376" s="214"/>
      <c r="AF376" s="214"/>
      <c r="AG376" s="214"/>
      <c r="AH376" s="214"/>
      <c r="AI376" s="214"/>
      <c r="AJ376" s="214"/>
      <c r="AK376" s="214"/>
      <c r="AL376" s="214"/>
      <c r="AM376" s="214"/>
      <c r="AN376" s="214"/>
      <c r="AO376" s="214"/>
      <c r="AP376" s="214"/>
      <c r="AQ376" s="214"/>
      <c r="AR376" s="214"/>
      <c r="AS376" s="214"/>
      <c r="AT376" s="214"/>
      <c r="AU376" s="214"/>
      <c r="AV376" s="214"/>
      <c r="AW376" s="214"/>
      <c r="AX376" s="214"/>
      <c r="AY376" s="214"/>
      <c r="AZ376" s="214"/>
      <c r="BA376" s="214"/>
      <c r="BB376" s="214"/>
      <c r="BC376" s="214"/>
      <c r="BD376" s="214"/>
      <c r="BE376" s="214"/>
      <c r="BF376" s="214"/>
      <c r="BG376" s="214"/>
      <c r="BH376" s="214"/>
      <c r="BI376" s="214"/>
      <c r="BJ376" s="214"/>
      <c r="BK376" s="214"/>
      <c r="BL376" s="214"/>
      <c r="BM376" s="214"/>
      <c r="BN376" s="214"/>
      <c r="BO376" s="214"/>
      <c r="BP376" s="214"/>
      <c r="BQ376" s="214"/>
      <c r="BR376" s="214"/>
      <c r="BS376" s="214"/>
      <c r="BT376" s="214"/>
      <c r="BU376" s="214"/>
      <c r="BV376" s="214"/>
      <c r="BW376" s="214"/>
      <c r="BX376" s="214"/>
      <c r="BY376" s="214"/>
      <c r="BZ376" s="214"/>
      <c r="CA376" s="214"/>
      <c r="CB376" s="214"/>
      <c r="CC376" s="214"/>
      <c r="CD376" s="214"/>
      <c r="CE376" s="214"/>
      <c r="CF376" s="214"/>
      <c r="CG376" s="214"/>
      <c r="CH376" s="214"/>
      <c r="CI376" s="214"/>
      <c r="CJ376" s="214"/>
      <c r="CK376" s="214"/>
      <c r="CL376" s="214"/>
      <c r="CM376" s="214"/>
      <c r="CN376" s="214"/>
      <c r="CO376" s="214"/>
      <c r="CP376" s="214"/>
      <c r="CQ376" s="214"/>
      <c r="CR376" s="214"/>
      <c r="CS376" s="214"/>
    </row>
    <row r="377" spans="1:97">
      <c r="A377" s="424" t="s">
        <v>294</v>
      </c>
      <c r="E377" t="s">
        <v>295</v>
      </c>
      <c r="CR377" s="211"/>
      <c r="CS377" s="211"/>
    </row>
    <row r="378" spans="1:97">
      <c r="A378" s="424">
        <v>45511</v>
      </c>
      <c r="B378" s="211" t="s">
        <v>249</v>
      </c>
      <c r="C378" s="213">
        <v>145.80000000000001</v>
      </c>
      <c r="D378" s="213">
        <v>143.80000000000001</v>
      </c>
      <c r="E378" s="213">
        <v>144.80000000000001</v>
      </c>
      <c r="F378" s="213">
        <v>159.75</v>
      </c>
      <c r="G378" s="213">
        <v>156.75</v>
      </c>
      <c r="H378" s="213">
        <v>158.25</v>
      </c>
      <c r="I378" s="213">
        <v>106.69</v>
      </c>
      <c r="J378" s="213">
        <v>103.49</v>
      </c>
      <c r="K378" s="213">
        <v>105.09</v>
      </c>
      <c r="L378" s="213">
        <v>187.92</v>
      </c>
      <c r="M378" s="213">
        <v>179.92</v>
      </c>
      <c r="N378" s="213">
        <v>183.92</v>
      </c>
      <c r="O378" s="213">
        <v>170.47</v>
      </c>
      <c r="P378" s="213">
        <v>168.67</v>
      </c>
      <c r="Q378" s="213">
        <v>169.57</v>
      </c>
      <c r="R378" s="213">
        <v>21.51</v>
      </c>
      <c r="S378" s="213">
        <v>20.91</v>
      </c>
      <c r="T378" s="213">
        <v>21.21</v>
      </c>
      <c r="U378" s="213">
        <v>13.56</v>
      </c>
      <c r="V378" s="213">
        <v>12.96</v>
      </c>
      <c r="W378" s="213">
        <v>13.260000000000002</v>
      </c>
      <c r="X378" s="213">
        <v>14.15</v>
      </c>
      <c r="Y378" s="213">
        <v>13.35</v>
      </c>
      <c r="Z378" s="213">
        <v>13.75</v>
      </c>
      <c r="AA378" s="213">
        <v>96.66</v>
      </c>
      <c r="AB378" s="213">
        <v>92.66</v>
      </c>
      <c r="AC378" s="213">
        <v>94.66</v>
      </c>
      <c r="AD378" s="213">
        <v>88.85</v>
      </c>
      <c r="AE378" s="213">
        <v>84.85</v>
      </c>
      <c r="AF378" s="213">
        <v>86.85</v>
      </c>
      <c r="AG378" s="213">
        <v>19</v>
      </c>
      <c r="AH378" s="213">
        <v>18.14</v>
      </c>
      <c r="AI378" s="213">
        <v>18.57</v>
      </c>
      <c r="AJ378" s="213"/>
      <c r="AK378" s="213"/>
      <c r="AL378" s="213"/>
      <c r="AM378" s="213">
        <v>110.09</v>
      </c>
      <c r="AN378" s="213">
        <v>108.43</v>
      </c>
      <c r="AO378" s="213">
        <v>109.26</v>
      </c>
      <c r="AP378" s="213">
        <v>39.43</v>
      </c>
      <c r="AQ378" s="213">
        <v>37.83</v>
      </c>
      <c r="AR378" s="213">
        <v>38.629999999999995</v>
      </c>
      <c r="AS378" s="213">
        <v>40.17</v>
      </c>
      <c r="AT378" s="213">
        <v>38.81</v>
      </c>
      <c r="AU378" s="213">
        <v>39.49</v>
      </c>
      <c r="AV378" s="213">
        <v>20.51</v>
      </c>
      <c r="AW378" s="213">
        <v>19.91</v>
      </c>
      <c r="AX378" s="213">
        <v>20.21</v>
      </c>
      <c r="AY378" s="213">
        <v>4.1500000000000004</v>
      </c>
      <c r="AZ378" s="213">
        <v>3.99</v>
      </c>
      <c r="BA378" s="213">
        <v>4.07</v>
      </c>
      <c r="BB378" s="213">
        <v>1.88</v>
      </c>
      <c r="BC378" s="213">
        <v>1.5799999999999998</v>
      </c>
      <c r="BD378" s="213">
        <v>1.73</v>
      </c>
      <c r="BE378" s="213">
        <v>0.67</v>
      </c>
      <c r="BF378" s="213">
        <v>0.37000000000000005</v>
      </c>
      <c r="BG378" s="213">
        <v>0.52</v>
      </c>
      <c r="BH378" s="213">
        <v>482.6</v>
      </c>
      <c r="BI378" s="213">
        <v>466.6</v>
      </c>
      <c r="BJ378" s="213">
        <v>474.6</v>
      </c>
      <c r="BK378" s="213">
        <v>40.46</v>
      </c>
      <c r="BL378" s="213">
        <v>39.1</v>
      </c>
      <c r="BM378" s="213">
        <v>39.78</v>
      </c>
      <c r="BN378" s="213">
        <v>1.02</v>
      </c>
      <c r="BO378" s="213">
        <v>0.78</v>
      </c>
      <c r="BP378" s="213">
        <v>0.9</v>
      </c>
      <c r="BQ378" s="213">
        <v>8.41</v>
      </c>
      <c r="BR378" s="213">
        <v>6.41</v>
      </c>
      <c r="BS378" s="213">
        <v>7.41</v>
      </c>
      <c r="BT378" s="213">
        <v>10.74</v>
      </c>
      <c r="BU378" s="213">
        <v>10.34</v>
      </c>
      <c r="BV378" s="213">
        <v>10.54</v>
      </c>
      <c r="BW378" s="213">
        <v>2.66</v>
      </c>
      <c r="BX378" s="213">
        <v>2.38</v>
      </c>
      <c r="BY378" s="213">
        <v>2.52</v>
      </c>
      <c r="BZ378" s="213">
        <v>9.33</v>
      </c>
      <c r="CA378" s="213">
        <v>6.33</v>
      </c>
      <c r="CB378" s="213">
        <v>7.83</v>
      </c>
      <c r="CC378" s="213">
        <v>6.39</v>
      </c>
      <c r="CD378" s="213">
        <v>6.1499999999999995</v>
      </c>
      <c r="CE378" s="213">
        <v>6.27</v>
      </c>
      <c r="CF378" s="213">
        <v>1.94</v>
      </c>
      <c r="CG378" s="213">
        <v>1.44</v>
      </c>
      <c r="CH378" s="213">
        <v>1.69</v>
      </c>
      <c r="CI378" s="213">
        <v>0.42</v>
      </c>
      <c r="CJ378" s="213">
        <v>0.38</v>
      </c>
      <c r="CK378" s="213">
        <v>0.4</v>
      </c>
      <c r="CL378" s="213">
        <v>37.89</v>
      </c>
      <c r="CM378" s="213">
        <v>35.49</v>
      </c>
      <c r="CN378" s="213">
        <v>36.69</v>
      </c>
      <c r="CO378" s="213">
        <v>6.82</v>
      </c>
      <c r="CP378" s="213">
        <v>1.8200000000000003</v>
      </c>
      <c r="CQ378" s="213">
        <v>4.32</v>
      </c>
      <c r="CR378" s="211"/>
      <c r="CS378" s="211"/>
    </row>
    <row r="379" spans="1:97">
      <c r="B379" s="211"/>
      <c r="C379" s="212"/>
      <c r="D379" s="212"/>
      <c r="E379" s="212"/>
      <c r="F379" s="212"/>
      <c r="G379" s="212"/>
      <c r="H379" s="212"/>
      <c r="I379" s="212"/>
      <c r="J379" s="212"/>
      <c r="K379" s="212"/>
      <c r="L379" s="212"/>
      <c r="M379" s="212"/>
      <c r="N379" s="212"/>
      <c r="O379" s="212"/>
      <c r="P379" s="212"/>
      <c r="Q379" s="212"/>
      <c r="R379" s="212"/>
      <c r="S379" s="212"/>
      <c r="T379" s="212"/>
      <c r="U379" s="212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12"/>
      <c r="AF379" s="212"/>
      <c r="AG379" s="212"/>
      <c r="AH379" s="212"/>
      <c r="AI379" s="212"/>
      <c r="AJ379" s="212"/>
      <c r="AK379" s="212"/>
      <c r="AL379" s="212"/>
      <c r="AM379" s="212"/>
      <c r="AN379" s="212"/>
      <c r="AO379" s="212"/>
      <c r="AP379" s="212"/>
      <c r="AQ379" s="212"/>
      <c r="AR379" s="212"/>
      <c r="AS379" s="212"/>
      <c r="AT379" s="212"/>
      <c r="AU379" s="212"/>
      <c r="AV379" s="212"/>
      <c r="AW379" s="212"/>
      <c r="AX379" s="212"/>
      <c r="AY379" s="212"/>
      <c r="AZ379" s="212"/>
      <c r="BA379" s="212"/>
      <c r="BB379" s="212"/>
      <c r="BC379" s="212"/>
      <c r="BD379" s="212"/>
      <c r="BE379" s="212"/>
      <c r="BF379" s="212"/>
      <c r="BG379" s="212"/>
      <c r="BH379" s="212"/>
      <c r="BI379" s="212"/>
      <c r="BJ379" s="212"/>
      <c r="BK379" s="212"/>
      <c r="BL379" s="212"/>
      <c r="BM379" s="212"/>
      <c r="BN379" s="212"/>
      <c r="BO379" s="212"/>
      <c r="BP379" s="212"/>
      <c r="BQ379" s="212"/>
      <c r="BR379" s="212"/>
      <c r="BS379" s="212"/>
      <c r="BT379" s="212"/>
      <c r="BU379" s="212"/>
      <c r="BV379" s="212"/>
      <c r="BW379" s="212"/>
      <c r="BX379" s="212"/>
      <c r="BY379" s="212"/>
      <c r="BZ379" s="212"/>
      <c r="CA379" s="212"/>
      <c r="CB379" s="212"/>
      <c r="CC379" s="211"/>
      <c r="CD379" s="211"/>
      <c r="CE379" s="211"/>
      <c r="CF379" s="211"/>
      <c r="CG379" s="211"/>
      <c r="CH379" s="211"/>
      <c r="CI379" s="211"/>
      <c r="CJ379" s="211"/>
      <c r="CK379" s="211"/>
      <c r="CL379" s="211"/>
      <c r="CM379" s="211"/>
      <c r="CN379" s="211"/>
      <c r="CO379" s="211"/>
      <c r="CP379" s="211"/>
      <c r="CQ379" s="211"/>
      <c r="CR379" s="211"/>
      <c r="CS379" s="211"/>
    </row>
    <row r="380" spans="1:97">
      <c r="A380" s="424">
        <v>45658</v>
      </c>
      <c r="B380" s="211" t="s">
        <v>249</v>
      </c>
      <c r="C380" s="212"/>
      <c r="D380" s="212"/>
      <c r="E380" s="212"/>
      <c r="F380" s="212"/>
      <c r="G380" s="212"/>
      <c r="H380" s="212"/>
      <c r="I380" s="212"/>
      <c r="J380" s="212"/>
      <c r="K380" s="212"/>
      <c r="L380" s="212"/>
      <c r="M380" s="212"/>
      <c r="N380" s="212"/>
      <c r="O380" s="212"/>
      <c r="P380" s="212"/>
      <c r="Q380" s="212"/>
      <c r="R380" s="212"/>
      <c r="S380" s="212"/>
      <c r="T380" s="212"/>
      <c r="U380" s="212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12"/>
      <c r="AF380" s="212"/>
      <c r="AG380" s="212"/>
      <c r="AH380" s="212"/>
      <c r="AI380" s="212"/>
      <c r="AJ380" s="212"/>
      <c r="AK380" s="212"/>
      <c r="AL380" s="212"/>
      <c r="AM380" s="212"/>
      <c r="AN380" s="212"/>
      <c r="AO380" s="212"/>
      <c r="AP380" s="212"/>
      <c r="AQ380" s="212"/>
      <c r="AR380" s="212"/>
      <c r="AS380" s="212"/>
      <c r="AT380" s="212"/>
      <c r="AU380" s="212"/>
      <c r="AV380" s="212"/>
      <c r="AW380" s="212"/>
      <c r="AX380" s="212"/>
      <c r="AY380" s="212"/>
      <c r="AZ380" s="212"/>
      <c r="BA380" s="212"/>
      <c r="BB380" s="212"/>
      <c r="BC380" s="212"/>
      <c r="BD380" s="212"/>
      <c r="BE380" s="212"/>
      <c r="BF380" s="212"/>
      <c r="BG380" s="212"/>
      <c r="BH380" s="212"/>
      <c r="BI380" s="212"/>
      <c r="BJ380" s="212"/>
      <c r="BK380" s="212"/>
      <c r="BL380" s="212"/>
      <c r="BM380" s="212"/>
      <c r="BN380" s="212"/>
      <c r="BO380" s="212"/>
      <c r="BP380" s="212"/>
      <c r="BQ380" s="212"/>
      <c r="BR380" s="212"/>
      <c r="BS380" s="212"/>
      <c r="BT380" s="212"/>
      <c r="BU380" s="212"/>
      <c r="BV380" s="212"/>
      <c r="BW380" s="212"/>
      <c r="BX380" s="212"/>
      <c r="BY380" s="212"/>
      <c r="BZ380" s="212"/>
      <c r="CA380" s="212"/>
      <c r="CB380" s="212"/>
      <c r="CC380" s="211"/>
      <c r="CD380" s="211"/>
      <c r="CE380" s="211"/>
      <c r="CF380" s="211"/>
      <c r="CG380" s="211"/>
      <c r="CH380" s="211"/>
      <c r="CI380" s="211"/>
      <c r="CJ380" s="211"/>
      <c r="CK380" s="211"/>
      <c r="CL380" s="211"/>
      <c r="CM380" s="211"/>
      <c r="CN380" s="211"/>
      <c r="CO380" s="211"/>
      <c r="CP380" s="211"/>
      <c r="CQ380" s="211"/>
      <c r="CR380" s="211"/>
      <c r="CS380" s="211"/>
    </row>
    <row r="381" spans="1:97">
      <c r="A381" s="424">
        <v>45659</v>
      </c>
      <c r="B381" s="211" t="s">
        <v>250</v>
      </c>
      <c r="C381" s="212"/>
      <c r="D381" s="212"/>
      <c r="E381" s="212"/>
      <c r="F381" s="212"/>
      <c r="G381" s="212"/>
      <c r="H381" s="212"/>
      <c r="I381" s="212"/>
      <c r="J381" s="212"/>
      <c r="K381" s="212"/>
      <c r="L381" s="212"/>
      <c r="M381" s="212"/>
      <c r="N381" s="212"/>
      <c r="O381" s="212"/>
      <c r="P381" s="212"/>
      <c r="Q381" s="212"/>
      <c r="R381" s="212"/>
      <c r="S381" s="212"/>
      <c r="T381" s="212"/>
      <c r="U381" s="212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12"/>
      <c r="AF381" s="212"/>
      <c r="AG381" s="212"/>
      <c r="AH381" s="212"/>
      <c r="AI381" s="212"/>
      <c r="AJ381" s="212"/>
      <c r="AK381" s="212"/>
      <c r="AL381" s="212"/>
      <c r="AM381" s="212"/>
      <c r="AN381" s="212"/>
      <c r="AO381" s="212"/>
      <c r="AP381" s="212"/>
      <c r="AQ381" s="212"/>
      <c r="AR381" s="212"/>
      <c r="AS381" s="212"/>
      <c r="AT381" s="212"/>
      <c r="AU381" s="212"/>
      <c r="AV381" s="212"/>
      <c r="AW381" s="212"/>
      <c r="AX381" s="212"/>
      <c r="AY381" s="212"/>
      <c r="AZ381" s="212"/>
      <c r="BA381" s="212"/>
      <c r="BB381" s="212"/>
      <c r="BC381" s="212"/>
      <c r="BD381" s="212"/>
      <c r="BE381" s="212"/>
      <c r="BF381" s="212"/>
      <c r="BG381" s="212"/>
      <c r="BH381" s="212"/>
      <c r="BI381" s="212"/>
      <c r="BJ381" s="212"/>
      <c r="BK381" s="212"/>
      <c r="BL381" s="212"/>
      <c r="BM381" s="212"/>
      <c r="BN381" s="212"/>
      <c r="BO381" s="212"/>
      <c r="BP381" s="212"/>
      <c r="BQ381" s="212"/>
      <c r="BR381" s="212"/>
      <c r="BS381" s="212"/>
      <c r="BT381" s="212"/>
      <c r="BU381" s="212"/>
      <c r="BV381" s="212"/>
      <c r="BW381" s="212"/>
      <c r="BX381" s="212"/>
      <c r="BY381" s="212"/>
      <c r="BZ381" s="212"/>
      <c r="CA381" s="212"/>
      <c r="CB381" s="212"/>
      <c r="CC381" s="211"/>
      <c r="CD381" s="211"/>
      <c r="CE381" s="211"/>
      <c r="CF381" s="211"/>
      <c r="CG381" s="211"/>
      <c r="CH381" s="211"/>
      <c r="CI381" s="211"/>
      <c r="CJ381" s="211"/>
      <c r="CK381" s="211"/>
      <c r="CL381" s="211"/>
      <c r="CM381" s="211"/>
      <c r="CN381" s="211"/>
      <c r="CO381" s="211"/>
      <c r="CP381" s="211"/>
      <c r="CQ381" s="211"/>
      <c r="CR381" s="211"/>
      <c r="CS381" s="211"/>
    </row>
    <row r="382" spans="1:97">
      <c r="A382" s="424">
        <v>45660</v>
      </c>
      <c r="B382" s="211" t="s">
        <v>251</v>
      </c>
      <c r="C382" s="212"/>
      <c r="D382" s="212"/>
      <c r="E382" s="212"/>
      <c r="F382" s="212"/>
      <c r="G382" s="212"/>
      <c r="H382" s="212"/>
      <c r="I382" s="212"/>
      <c r="J382" s="212"/>
      <c r="K382" s="212"/>
      <c r="L382" s="212"/>
      <c r="M382" s="212"/>
      <c r="N382" s="212"/>
      <c r="O382" s="212"/>
      <c r="P382" s="212"/>
      <c r="Q382" s="212"/>
      <c r="R382" s="212"/>
      <c r="S382" s="212"/>
      <c r="T382" s="212"/>
      <c r="U382" s="212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12"/>
      <c r="AF382" s="212"/>
      <c r="AG382" s="212"/>
      <c r="AH382" s="212"/>
      <c r="AI382" s="212"/>
      <c r="AJ382" s="212"/>
      <c r="AK382" s="212"/>
      <c r="AL382" s="212"/>
      <c r="AM382" s="212"/>
      <c r="AN382" s="212"/>
      <c r="AO382" s="212"/>
      <c r="AP382" s="212"/>
      <c r="AQ382" s="212"/>
      <c r="AR382" s="212"/>
      <c r="AS382" s="212"/>
      <c r="AT382" s="212"/>
      <c r="AU382" s="212"/>
      <c r="AV382" s="212"/>
      <c r="AW382" s="212"/>
      <c r="AX382" s="212"/>
      <c r="AY382" s="212"/>
      <c r="AZ382" s="212"/>
      <c r="BA382" s="212"/>
      <c r="BB382" s="212"/>
      <c r="BC382" s="212"/>
      <c r="BD382" s="212"/>
      <c r="BE382" s="212"/>
      <c r="BF382" s="212"/>
      <c r="BG382" s="212"/>
      <c r="BH382" s="212"/>
      <c r="BI382" s="212"/>
      <c r="BJ382" s="212"/>
      <c r="BK382" s="212"/>
      <c r="BL382" s="212"/>
      <c r="BM382" s="212"/>
      <c r="BN382" s="212"/>
      <c r="BO382" s="212"/>
      <c r="BP382" s="212"/>
      <c r="BQ382" s="212"/>
      <c r="BR382" s="212"/>
      <c r="BS382" s="212"/>
      <c r="BT382" s="212"/>
      <c r="BU382" s="212"/>
      <c r="BV382" s="212"/>
      <c r="BW382" s="212"/>
      <c r="BX382" s="212"/>
      <c r="BY382" s="212"/>
      <c r="BZ382" s="212"/>
      <c r="CA382" s="212"/>
      <c r="CB382" s="212"/>
      <c r="CC382" s="211"/>
      <c r="CD382" s="211"/>
      <c r="CE382" s="211"/>
      <c r="CF382" s="211"/>
      <c r="CG382" s="211"/>
      <c r="CH382" s="211"/>
      <c r="CI382" s="211"/>
      <c r="CJ382" s="211"/>
      <c r="CK382" s="211"/>
      <c r="CL382" s="211"/>
      <c r="CM382" s="211"/>
      <c r="CN382" s="211"/>
      <c r="CO382" s="211"/>
      <c r="CP382" s="211"/>
      <c r="CQ382" s="211"/>
      <c r="CR382" s="211"/>
      <c r="CS382" s="211"/>
    </row>
    <row r="383" spans="1:97">
      <c r="A383" s="424">
        <v>45661</v>
      </c>
      <c r="B383" s="211" t="s">
        <v>252</v>
      </c>
      <c r="C383" s="212"/>
      <c r="D383" s="212"/>
      <c r="E383" s="212"/>
      <c r="F383" s="212"/>
      <c r="G383" s="212"/>
      <c r="H383" s="212"/>
      <c r="I383" s="212"/>
      <c r="J383" s="212"/>
      <c r="K383" s="212"/>
      <c r="L383" s="212"/>
      <c r="M383" s="212"/>
      <c r="N383" s="212"/>
      <c r="O383" s="212"/>
      <c r="P383" s="212"/>
      <c r="Q383" s="212"/>
      <c r="R383" s="212"/>
      <c r="S383" s="212"/>
      <c r="T383" s="212"/>
      <c r="U383" s="212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12"/>
      <c r="AF383" s="212"/>
      <c r="AG383" s="212"/>
      <c r="AH383" s="212"/>
      <c r="AI383" s="212"/>
      <c r="AJ383" s="212"/>
      <c r="AK383" s="212"/>
      <c r="AL383" s="212"/>
      <c r="AM383" s="212"/>
      <c r="AN383" s="212"/>
      <c r="AO383" s="212"/>
      <c r="AP383" s="212"/>
      <c r="AQ383" s="212"/>
      <c r="AR383" s="212"/>
      <c r="AS383" s="212"/>
      <c r="AT383" s="212"/>
      <c r="AU383" s="212"/>
      <c r="AV383" s="212"/>
      <c r="AW383" s="212"/>
      <c r="AX383" s="212"/>
      <c r="AY383" s="212"/>
      <c r="AZ383" s="212"/>
      <c r="BA383" s="212"/>
      <c r="BB383" s="212"/>
      <c r="BC383" s="212"/>
      <c r="BD383" s="212"/>
      <c r="BE383" s="212"/>
      <c r="BF383" s="212"/>
      <c r="BG383" s="212"/>
      <c r="BH383" s="212"/>
      <c r="BI383" s="212"/>
      <c r="BJ383" s="212"/>
      <c r="BK383" s="212"/>
      <c r="BL383" s="212"/>
      <c r="BM383" s="212"/>
      <c r="BN383" s="212"/>
      <c r="BO383" s="212"/>
      <c r="BP383" s="212"/>
      <c r="BQ383" s="212"/>
      <c r="BR383" s="212"/>
      <c r="BS383" s="212"/>
      <c r="BT383" s="212"/>
      <c r="BU383" s="212"/>
      <c r="BV383" s="212"/>
      <c r="BW383" s="212"/>
      <c r="BX383" s="212"/>
      <c r="BY383" s="212"/>
      <c r="BZ383" s="212"/>
      <c r="CA383" s="212"/>
      <c r="CB383" s="212"/>
      <c r="CC383" s="211"/>
      <c r="CD383" s="211"/>
      <c r="CE383" s="211"/>
      <c r="CF383" s="211"/>
      <c r="CG383" s="211"/>
      <c r="CH383" s="211"/>
      <c r="CI383" s="211"/>
      <c r="CJ383" s="211"/>
      <c r="CK383" s="211"/>
      <c r="CL383" s="211"/>
      <c r="CM383" s="211"/>
      <c r="CN383" s="211"/>
      <c r="CO383" s="211"/>
      <c r="CP383" s="211"/>
      <c r="CQ383" s="211"/>
      <c r="CR383" s="211"/>
      <c r="CS383" s="211"/>
    </row>
    <row r="384" spans="1:97">
      <c r="A384" s="424">
        <v>45662</v>
      </c>
      <c r="B384" s="211" t="s">
        <v>253</v>
      </c>
      <c r="C384" s="212"/>
      <c r="D384" s="212"/>
      <c r="E384" s="212"/>
      <c r="F384" s="212"/>
      <c r="G384" s="212"/>
      <c r="H384" s="212"/>
      <c r="I384" s="212"/>
      <c r="J384" s="212"/>
      <c r="K384" s="212"/>
      <c r="L384" s="212"/>
      <c r="M384" s="212"/>
      <c r="N384" s="212"/>
      <c r="O384" s="212"/>
      <c r="P384" s="212"/>
      <c r="Q384" s="212"/>
      <c r="R384" s="212"/>
      <c r="S384" s="212"/>
      <c r="T384" s="212"/>
      <c r="U384" s="212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12"/>
      <c r="AF384" s="212"/>
      <c r="AG384" s="212"/>
      <c r="AH384" s="212"/>
      <c r="AI384" s="212"/>
      <c r="AJ384" s="212"/>
      <c r="AK384" s="212"/>
      <c r="AL384" s="212"/>
      <c r="AM384" s="212"/>
      <c r="AN384" s="212"/>
      <c r="AO384" s="212"/>
      <c r="AP384" s="212"/>
      <c r="AQ384" s="212"/>
      <c r="AR384" s="212"/>
      <c r="AS384" s="212"/>
      <c r="AT384" s="212"/>
      <c r="AU384" s="212"/>
      <c r="AV384" s="212"/>
      <c r="AW384" s="212"/>
      <c r="AX384" s="212"/>
      <c r="AY384" s="212"/>
      <c r="AZ384" s="212"/>
      <c r="BA384" s="212"/>
      <c r="BB384" s="212"/>
      <c r="BC384" s="212"/>
      <c r="BD384" s="212"/>
      <c r="BE384" s="212"/>
      <c r="BF384" s="212"/>
      <c r="BG384" s="212"/>
      <c r="BH384" s="212"/>
      <c r="BI384" s="212"/>
      <c r="BJ384" s="212"/>
      <c r="BK384" s="212"/>
      <c r="BL384" s="212"/>
      <c r="BM384" s="212"/>
      <c r="BN384" s="212"/>
      <c r="BO384" s="212"/>
      <c r="BP384" s="212"/>
      <c r="BQ384" s="212"/>
      <c r="BR384" s="212"/>
      <c r="BS384" s="212"/>
      <c r="BT384" s="212"/>
      <c r="BU384" s="212"/>
      <c r="BV384" s="212"/>
      <c r="BW384" s="212"/>
      <c r="BX384" s="212"/>
      <c r="BY384" s="212"/>
      <c r="BZ384" s="212"/>
      <c r="CA384" s="212"/>
      <c r="CB384" s="212"/>
      <c r="CC384" s="211"/>
      <c r="CD384" s="211"/>
      <c r="CE384" s="211"/>
      <c r="CF384" s="211"/>
      <c r="CG384" s="211"/>
      <c r="CH384" s="211"/>
      <c r="CI384" s="211"/>
      <c r="CJ384" s="211"/>
      <c r="CK384" s="211"/>
      <c r="CL384" s="211"/>
      <c r="CM384" s="211"/>
      <c r="CN384" s="211"/>
      <c r="CO384" s="211"/>
      <c r="CP384" s="211"/>
      <c r="CQ384" s="211"/>
      <c r="CR384" s="211"/>
      <c r="CS384" s="211"/>
    </row>
    <row r="385" spans="1:97">
      <c r="A385" s="424">
        <v>45663</v>
      </c>
      <c r="B385" s="211" t="s">
        <v>247</v>
      </c>
      <c r="C385" s="212">
        <v>158.72999999999999</v>
      </c>
      <c r="D385" s="212">
        <v>156.72999999999999</v>
      </c>
      <c r="E385" s="212">
        <v>157.72999999999999</v>
      </c>
      <c r="F385" s="212">
        <v>163.96</v>
      </c>
      <c r="G385" s="212">
        <v>160.96</v>
      </c>
      <c r="H385" s="212">
        <v>162.46</v>
      </c>
      <c r="I385" s="212">
        <v>110.88</v>
      </c>
      <c r="J385" s="212">
        <v>107.67999999999999</v>
      </c>
      <c r="K385" s="212">
        <v>109.28</v>
      </c>
      <c r="L385" s="212">
        <v>200.03</v>
      </c>
      <c r="M385" s="212">
        <v>192.03</v>
      </c>
      <c r="N385" s="212">
        <v>196.03</v>
      </c>
      <c r="O385" s="212">
        <v>174.21</v>
      </c>
      <c r="P385" s="212">
        <v>172.41</v>
      </c>
      <c r="Q385" s="212">
        <v>173.31</v>
      </c>
      <c r="R385" s="212">
        <v>22.08</v>
      </c>
      <c r="S385" s="212">
        <v>21.479999999999997</v>
      </c>
      <c r="T385" s="212">
        <v>21.779999999999998</v>
      </c>
      <c r="U385" s="212">
        <v>14.2</v>
      </c>
      <c r="V385" s="212">
        <v>13.6</v>
      </c>
      <c r="W385" s="212">
        <v>13.899999999999999</v>
      </c>
      <c r="X385" s="212">
        <v>14.57</v>
      </c>
      <c r="Y385" s="212">
        <v>13.77</v>
      </c>
      <c r="Z385" s="212">
        <v>14.17</v>
      </c>
      <c r="AA385" s="212">
        <v>100.27</v>
      </c>
      <c r="AB385" s="212">
        <v>96.27</v>
      </c>
      <c r="AC385" s="212">
        <v>98.27</v>
      </c>
      <c r="AD385" s="212">
        <v>90.72</v>
      </c>
      <c r="AE385" s="212">
        <v>86.72</v>
      </c>
      <c r="AF385" s="212">
        <v>88.72</v>
      </c>
      <c r="AG385" s="212">
        <v>20.71</v>
      </c>
      <c r="AH385" s="212">
        <v>19.850000000000001</v>
      </c>
      <c r="AI385" s="212">
        <v>20.28</v>
      </c>
      <c r="AJ385" s="212"/>
      <c r="AK385" s="212"/>
      <c r="AL385" s="212"/>
      <c r="AM385" s="212">
        <v>115.91</v>
      </c>
      <c r="AN385" s="212">
        <v>114.25</v>
      </c>
      <c r="AO385" s="212">
        <v>115.08</v>
      </c>
      <c r="AP385" s="212">
        <v>42.87</v>
      </c>
      <c r="AQ385" s="212">
        <v>41.269999999999996</v>
      </c>
      <c r="AR385" s="212">
        <v>42.069999999999993</v>
      </c>
      <c r="AS385" s="212">
        <v>43.69</v>
      </c>
      <c r="AT385" s="212">
        <v>42.33</v>
      </c>
      <c r="AU385" s="212">
        <v>43.01</v>
      </c>
      <c r="AV385" s="212">
        <v>21.73</v>
      </c>
      <c r="AW385" s="212">
        <v>21.13</v>
      </c>
      <c r="AX385" s="212">
        <v>21.43</v>
      </c>
      <c r="AY385" s="212">
        <v>4.6399999999999997</v>
      </c>
      <c r="AZ385" s="212">
        <v>4.4799999999999995</v>
      </c>
      <c r="BA385" s="212">
        <v>4.5599999999999996</v>
      </c>
      <c r="BB385" s="212">
        <v>2</v>
      </c>
      <c r="BC385" s="212">
        <v>1.7</v>
      </c>
      <c r="BD385" s="212">
        <v>1.85</v>
      </c>
      <c r="BE385" s="212">
        <v>0.72</v>
      </c>
      <c r="BF385" s="212">
        <v>0.42</v>
      </c>
      <c r="BG385" s="212">
        <v>0.56999999999999995</v>
      </c>
      <c r="BH385" s="212">
        <v>520.11</v>
      </c>
      <c r="BI385" s="212">
        <v>504.11</v>
      </c>
      <c r="BJ385" s="212">
        <v>512.11</v>
      </c>
      <c r="BK385" s="212">
        <v>44.02</v>
      </c>
      <c r="BL385" s="212">
        <v>42.660000000000004</v>
      </c>
      <c r="BM385" s="212">
        <v>43.34</v>
      </c>
      <c r="BN385" s="212">
        <v>1.1000000000000001</v>
      </c>
      <c r="BO385" s="212">
        <v>0.8600000000000001</v>
      </c>
      <c r="BP385" s="212">
        <v>0.98000000000000009</v>
      </c>
      <c r="BQ385" s="212">
        <v>8.65</v>
      </c>
      <c r="BR385" s="212">
        <v>6.65</v>
      </c>
      <c r="BS385" s="212">
        <v>7.65</v>
      </c>
      <c r="BT385" s="212">
        <v>10.92</v>
      </c>
      <c r="BU385" s="212">
        <v>10.52</v>
      </c>
      <c r="BV385" s="212">
        <v>10.719999999999999</v>
      </c>
      <c r="BW385" s="212">
        <v>2.87</v>
      </c>
      <c r="BX385" s="212">
        <v>2.59</v>
      </c>
      <c r="BY385" s="212">
        <v>2.73</v>
      </c>
      <c r="BZ385" s="212">
        <v>9.91</v>
      </c>
      <c r="CA385" s="212">
        <v>6.91</v>
      </c>
      <c r="CB385" s="212">
        <v>8.41</v>
      </c>
      <c r="CC385" s="211">
        <v>6.59</v>
      </c>
      <c r="CD385" s="211">
        <v>6.35</v>
      </c>
      <c r="CE385" s="211">
        <v>6.47</v>
      </c>
      <c r="CF385" s="211">
        <v>1.68</v>
      </c>
      <c r="CG385" s="211">
        <v>1.18</v>
      </c>
      <c r="CH385" s="211">
        <v>1.43</v>
      </c>
      <c r="CI385" s="211">
        <v>0.41</v>
      </c>
      <c r="CJ385" s="211">
        <v>0.37</v>
      </c>
      <c r="CK385" s="211">
        <v>0.39</v>
      </c>
      <c r="CL385" s="211">
        <v>39.26</v>
      </c>
      <c r="CM385" s="211">
        <v>36.86</v>
      </c>
      <c r="CN385" s="211">
        <v>38.06</v>
      </c>
      <c r="CO385" s="211">
        <v>6.97</v>
      </c>
      <c r="CP385" s="211">
        <v>1.9699999999999998</v>
      </c>
      <c r="CQ385" s="211">
        <v>4.47</v>
      </c>
      <c r="CR385" s="211"/>
      <c r="CS385" s="211"/>
    </row>
    <row r="386" spans="1:97">
      <c r="A386" s="424">
        <v>45664</v>
      </c>
      <c r="B386" s="211" t="s">
        <v>248</v>
      </c>
      <c r="C386" s="212">
        <v>159.22</v>
      </c>
      <c r="D386" s="212">
        <v>157.22</v>
      </c>
      <c r="E386" s="212">
        <v>158.22</v>
      </c>
      <c r="F386" s="212">
        <v>165.8</v>
      </c>
      <c r="G386" s="212">
        <v>162.80000000000001</v>
      </c>
      <c r="H386" s="212">
        <v>164.3</v>
      </c>
      <c r="I386" s="212">
        <v>111.94</v>
      </c>
      <c r="J386" s="212">
        <v>108.74</v>
      </c>
      <c r="K386" s="212">
        <v>110.34</v>
      </c>
      <c r="L386" s="212">
        <v>202</v>
      </c>
      <c r="M386" s="212">
        <v>194</v>
      </c>
      <c r="N386" s="212">
        <v>198</v>
      </c>
      <c r="O386" s="212">
        <v>175.63</v>
      </c>
      <c r="P386" s="212">
        <v>173.82999999999998</v>
      </c>
      <c r="Q386" s="212">
        <v>174.73</v>
      </c>
      <c r="R386" s="212">
        <v>22.33</v>
      </c>
      <c r="S386" s="212">
        <v>21.729999999999997</v>
      </c>
      <c r="T386" s="212">
        <v>22.029999999999998</v>
      </c>
      <c r="U386" s="212">
        <v>14.31</v>
      </c>
      <c r="V386" s="212">
        <v>13.71</v>
      </c>
      <c r="W386" s="212">
        <v>14.010000000000002</v>
      </c>
      <c r="X386" s="212">
        <v>14.72</v>
      </c>
      <c r="Y386" s="212">
        <v>13.92</v>
      </c>
      <c r="Z386" s="212">
        <v>14.32</v>
      </c>
      <c r="AA386" s="212">
        <v>100.86</v>
      </c>
      <c r="AB386" s="212">
        <v>96.86</v>
      </c>
      <c r="AC386" s="212">
        <v>98.86</v>
      </c>
      <c r="AD386" s="212">
        <v>91.3</v>
      </c>
      <c r="AE386" s="212">
        <v>87.3</v>
      </c>
      <c r="AF386" s="212">
        <v>89.3</v>
      </c>
      <c r="AG386" s="212">
        <v>20.78</v>
      </c>
      <c r="AH386" s="212">
        <v>19.920000000000002</v>
      </c>
      <c r="AI386" s="212">
        <v>20.350000000000001</v>
      </c>
      <c r="AJ386" s="212"/>
      <c r="AK386" s="212"/>
      <c r="AL386" s="212"/>
      <c r="AM386" s="212">
        <v>116.84</v>
      </c>
      <c r="AN386" s="212">
        <v>115.18</v>
      </c>
      <c r="AO386" s="212">
        <v>116.01</v>
      </c>
      <c r="AP386" s="212">
        <v>43</v>
      </c>
      <c r="AQ386" s="212">
        <v>41.4</v>
      </c>
      <c r="AR386" s="212">
        <v>42.2</v>
      </c>
      <c r="AS386" s="212">
        <v>43.83</v>
      </c>
      <c r="AT386" s="212">
        <v>42.47</v>
      </c>
      <c r="AU386" s="212">
        <v>43.15</v>
      </c>
      <c r="AV386" s="212">
        <v>21.85</v>
      </c>
      <c r="AW386" s="212">
        <v>21.25</v>
      </c>
      <c r="AX386" s="212">
        <v>21.55</v>
      </c>
      <c r="AY386" s="212">
        <v>4.6500000000000004</v>
      </c>
      <c r="AZ386" s="212">
        <v>4.49</v>
      </c>
      <c r="BA386" s="212">
        <v>4.57</v>
      </c>
      <c r="BB386" s="212">
        <v>2</v>
      </c>
      <c r="BC386" s="212">
        <v>1.7</v>
      </c>
      <c r="BD386" s="212">
        <v>1.85</v>
      </c>
      <c r="BE386" s="212">
        <v>0.72</v>
      </c>
      <c r="BF386" s="212">
        <v>0.42</v>
      </c>
      <c r="BG386" s="212">
        <v>0.56999999999999995</v>
      </c>
      <c r="BH386" s="212">
        <v>521.87</v>
      </c>
      <c r="BI386" s="212">
        <v>505.87</v>
      </c>
      <c r="BJ386" s="212">
        <v>513.87</v>
      </c>
      <c r="BK386" s="212">
        <v>44.16</v>
      </c>
      <c r="BL386" s="212">
        <v>42.8</v>
      </c>
      <c r="BM386" s="212">
        <v>43.48</v>
      </c>
      <c r="BN386" s="212">
        <v>1.1000000000000001</v>
      </c>
      <c r="BO386" s="212">
        <v>0.8600000000000001</v>
      </c>
      <c r="BP386" s="212">
        <v>0.98000000000000009</v>
      </c>
      <c r="BQ386" s="212">
        <v>8.7799999999999994</v>
      </c>
      <c r="BR386" s="212">
        <v>6.7799999999999994</v>
      </c>
      <c r="BS386" s="212">
        <v>7.7799999999999994</v>
      </c>
      <c r="BT386" s="212">
        <v>11.05</v>
      </c>
      <c r="BU386" s="212">
        <v>10.65</v>
      </c>
      <c r="BV386" s="212">
        <v>10.850000000000001</v>
      </c>
      <c r="BW386" s="212">
        <v>2.87</v>
      </c>
      <c r="BX386" s="212">
        <v>2.59</v>
      </c>
      <c r="BY386" s="212">
        <v>2.73</v>
      </c>
      <c r="BZ386" s="212">
        <v>10.02</v>
      </c>
      <c r="CA386" s="212">
        <v>7.02</v>
      </c>
      <c r="CB386" s="212">
        <v>8.52</v>
      </c>
      <c r="CC386" s="211">
        <v>6.66</v>
      </c>
      <c r="CD386" s="211">
        <v>6.42</v>
      </c>
      <c r="CE386" s="211">
        <v>6.54</v>
      </c>
      <c r="CF386" s="211">
        <v>1.72</v>
      </c>
      <c r="CG386" s="211">
        <v>1.22</v>
      </c>
      <c r="CH386" s="211">
        <v>1.47</v>
      </c>
      <c r="CI386" s="211">
        <v>0.42</v>
      </c>
      <c r="CJ386" s="211">
        <v>0.38</v>
      </c>
      <c r="CK386" s="211">
        <v>0.4</v>
      </c>
      <c r="CL386" s="211">
        <v>39.86</v>
      </c>
      <c r="CM386" s="211">
        <v>37.46</v>
      </c>
      <c r="CN386" s="211">
        <v>38.659999999999997</v>
      </c>
      <c r="CO386" s="211">
        <v>6.99</v>
      </c>
      <c r="CP386" s="211">
        <v>1.9900000000000002</v>
      </c>
      <c r="CQ386" s="211">
        <v>4.49</v>
      </c>
      <c r="CR386" s="211"/>
      <c r="CS386" s="211"/>
    </row>
    <row r="387" spans="1:97">
      <c r="A387" s="424">
        <v>45665</v>
      </c>
      <c r="B387" s="211" t="s">
        <v>249</v>
      </c>
      <c r="C387" s="212">
        <v>159.09</v>
      </c>
      <c r="D387" s="212">
        <v>157.09</v>
      </c>
      <c r="E387" s="212">
        <v>158.09</v>
      </c>
      <c r="F387" s="212">
        <v>165.04</v>
      </c>
      <c r="G387" s="212">
        <v>162.04</v>
      </c>
      <c r="H387" s="212">
        <v>163.54</v>
      </c>
      <c r="I387" s="212">
        <v>111.67</v>
      </c>
      <c r="J387" s="212">
        <v>108.47</v>
      </c>
      <c r="K387" s="212">
        <v>110.07</v>
      </c>
      <c r="L387" s="212">
        <v>201.3</v>
      </c>
      <c r="M387" s="212">
        <v>193.3</v>
      </c>
      <c r="N387" s="212">
        <v>197.3</v>
      </c>
      <c r="O387" s="212">
        <v>174.72</v>
      </c>
      <c r="P387" s="212">
        <v>172.92</v>
      </c>
      <c r="Q387" s="212">
        <v>173.82</v>
      </c>
      <c r="R387" s="212">
        <v>22.22</v>
      </c>
      <c r="S387" s="212">
        <v>21.619999999999997</v>
      </c>
      <c r="T387" s="212">
        <v>21.919999999999998</v>
      </c>
      <c r="U387" s="212">
        <v>14.24</v>
      </c>
      <c r="V387" s="212">
        <v>13.64</v>
      </c>
      <c r="W387" s="212">
        <v>13.940000000000001</v>
      </c>
      <c r="X387" s="212">
        <v>14.6</v>
      </c>
      <c r="Y387" s="212">
        <v>13.799999999999999</v>
      </c>
      <c r="Z387" s="212">
        <v>14.2</v>
      </c>
      <c r="AA387" s="212">
        <v>100.38</v>
      </c>
      <c r="AB387" s="212">
        <v>96.38</v>
      </c>
      <c r="AC387" s="212">
        <v>98.38</v>
      </c>
      <c r="AD387" s="212">
        <v>90.99</v>
      </c>
      <c r="AE387" s="212">
        <v>86.99</v>
      </c>
      <c r="AF387" s="212">
        <v>88.99</v>
      </c>
      <c r="AG387" s="212">
        <v>20.76</v>
      </c>
      <c r="AH387" s="212">
        <v>19.900000000000002</v>
      </c>
      <c r="AI387" s="212">
        <v>20.330000000000002</v>
      </c>
      <c r="AJ387" s="212"/>
      <c r="AK387" s="212"/>
      <c r="AL387" s="212"/>
      <c r="AM387" s="212">
        <v>116.65</v>
      </c>
      <c r="AN387" s="212">
        <v>114.99000000000001</v>
      </c>
      <c r="AO387" s="212">
        <v>115.82000000000001</v>
      </c>
      <c r="AP387" s="212">
        <v>42.97</v>
      </c>
      <c r="AQ387" s="212">
        <v>41.37</v>
      </c>
      <c r="AR387" s="212">
        <v>42.17</v>
      </c>
      <c r="AS387" s="212">
        <v>43.79</v>
      </c>
      <c r="AT387" s="212">
        <v>42.43</v>
      </c>
      <c r="AU387" s="212">
        <v>43.11</v>
      </c>
      <c r="AV387" s="212">
        <v>21.83</v>
      </c>
      <c r="AW387" s="212">
        <v>21.229999999999997</v>
      </c>
      <c r="AX387" s="212">
        <v>21.529999999999998</v>
      </c>
      <c r="AY387" s="212">
        <v>4.6500000000000004</v>
      </c>
      <c r="AZ387" s="212">
        <v>4.49</v>
      </c>
      <c r="BA387" s="212">
        <v>4.57</v>
      </c>
      <c r="BB387" s="212">
        <v>2</v>
      </c>
      <c r="BC387" s="212">
        <v>1.7</v>
      </c>
      <c r="BD387" s="212">
        <v>1.85</v>
      </c>
      <c r="BE387" s="212">
        <v>0.72</v>
      </c>
      <c r="BF387" s="212">
        <v>0.42</v>
      </c>
      <c r="BG387" s="212">
        <v>0.56999999999999995</v>
      </c>
      <c r="BH387" s="212">
        <v>521.61</v>
      </c>
      <c r="BI387" s="212">
        <v>505.61</v>
      </c>
      <c r="BJ387" s="212">
        <v>513.61</v>
      </c>
      <c r="BK387" s="212">
        <v>44.12</v>
      </c>
      <c r="BL387" s="212">
        <v>42.76</v>
      </c>
      <c r="BM387" s="212">
        <v>43.44</v>
      </c>
      <c r="BN387" s="212">
        <v>1.1000000000000001</v>
      </c>
      <c r="BO387" s="212">
        <v>0.8600000000000001</v>
      </c>
      <c r="BP387" s="212">
        <v>0.98000000000000009</v>
      </c>
      <c r="BQ387" s="212">
        <v>8.7799999999999994</v>
      </c>
      <c r="BR387" s="212">
        <v>6.7799999999999994</v>
      </c>
      <c r="BS387" s="212">
        <v>7.7799999999999994</v>
      </c>
      <c r="BT387" s="212">
        <v>11.07</v>
      </c>
      <c r="BU387" s="212">
        <v>10.67</v>
      </c>
      <c r="BV387" s="212">
        <v>10.870000000000001</v>
      </c>
      <c r="BW387" s="212">
        <v>2.88</v>
      </c>
      <c r="BX387" s="212">
        <v>2.5999999999999996</v>
      </c>
      <c r="BY387" s="212">
        <v>2.7399999999999998</v>
      </c>
      <c r="BZ387" s="212">
        <v>9.94</v>
      </c>
      <c r="CA387" s="212">
        <v>6.9399999999999995</v>
      </c>
      <c r="CB387" s="212">
        <v>8.44</v>
      </c>
      <c r="CC387" s="211">
        <v>6.63</v>
      </c>
      <c r="CD387" s="211">
        <v>6.39</v>
      </c>
      <c r="CE387" s="211">
        <v>6.51</v>
      </c>
      <c r="CF387" s="211">
        <v>1.72</v>
      </c>
      <c r="CG387" s="211">
        <v>1.22</v>
      </c>
      <c r="CH387" s="211">
        <v>1.47</v>
      </c>
      <c r="CI387" s="211">
        <v>0.41</v>
      </c>
      <c r="CJ387" s="211">
        <v>0.37</v>
      </c>
      <c r="CK387" s="211">
        <v>0.39</v>
      </c>
      <c r="CL387" s="211">
        <v>39.549999999999997</v>
      </c>
      <c r="CM387" s="211">
        <v>37.15</v>
      </c>
      <c r="CN387" s="211">
        <v>38.349999999999994</v>
      </c>
      <c r="CO387" s="211">
        <v>6.98</v>
      </c>
      <c r="CP387" s="211">
        <v>1.9800000000000004</v>
      </c>
      <c r="CQ387" s="211">
        <v>4.4800000000000004</v>
      </c>
      <c r="CR387" s="211"/>
      <c r="CS387" s="211"/>
    </row>
    <row r="388" spans="1:97">
      <c r="A388" s="424">
        <v>45666</v>
      </c>
      <c r="B388" s="211" t="s">
        <v>250</v>
      </c>
      <c r="C388" s="212">
        <v>159.43</v>
      </c>
      <c r="D388" s="212">
        <v>157.43</v>
      </c>
      <c r="E388" s="212">
        <v>158.43</v>
      </c>
      <c r="F388" s="212">
        <v>164.78</v>
      </c>
      <c r="G388" s="212">
        <v>161.78</v>
      </c>
      <c r="H388" s="212">
        <v>163.28</v>
      </c>
      <c r="I388" s="212">
        <v>111.77</v>
      </c>
      <c r="J388" s="212">
        <v>108.57</v>
      </c>
      <c r="K388" s="212">
        <v>110.16999999999999</v>
      </c>
      <c r="L388" s="212">
        <v>199.72</v>
      </c>
      <c r="M388" s="212">
        <v>191.72</v>
      </c>
      <c r="N388" s="212">
        <v>195.72</v>
      </c>
      <c r="O388" s="212">
        <v>174.75</v>
      </c>
      <c r="P388" s="212">
        <v>172.95</v>
      </c>
      <c r="Q388" s="212">
        <v>173.85</v>
      </c>
      <c r="R388" s="212">
        <v>22.18</v>
      </c>
      <c r="S388" s="212">
        <v>21.58</v>
      </c>
      <c r="T388" s="212">
        <v>21.88</v>
      </c>
      <c r="U388" s="212">
        <v>14.16</v>
      </c>
      <c r="V388" s="212">
        <v>13.56</v>
      </c>
      <c r="W388" s="212">
        <v>13.86</v>
      </c>
      <c r="X388" s="212">
        <v>14.58</v>
      </c>
      <c r="Y388" s="212">
        <v>13.78</v>
      </c>
      <c r="Z388" s="212">
        <v>14.18</v>
      </c>
      <c r="AA388" s="212">
        <v>100.24</v>
      </c>
      <c r="AB388" s="212">
        <v>96.24</v>
      </c>
      <c r="AC388" s="212">
        <v>98.24</v>
      </c>
      <c r="AD388" s="212">
        <v>90.66</v>
      </c>
      <c r="AE388" s="212">
        <v>86.66</v>
      </c>
      <c r="AF388" s="212">
        <v>88.66</v>
      </c>
      <c r="AG388" s="212">
        <v>20.8</v>
      </c>
      <c r="AH388" s="212">
        <v>19.940000000000001</v>
      </c>
      <c r="AI388" s="212">
        <v>20.37</v>
      </c>
      <c r="AJ388" s="212"/>
      <c r="AK388" s="212"/>
      <c r="AL388" s="212"/>
      <c r="AM388" s="212">
        <v>116.54</v>
      </c>
      <c r="AN388" s="212">
        <v>114.88000000000001</v>
      </c>
      <c r="AO388" s="212">
        <v>115.71000000000001</v>
      </c>
      <c r="AP388" s="212">
        <v>43.07</v>
      </c>
      <c r="AQ388" s="212">
        <v>41.47</v>
      </c>
      <c r="AR388" s="212">
        <v>42.269999999999996</v>
      </c>
      <c r="AS388" s="212">
        <v>43.88</v>
      </c>
      <c r="AT388" s="212">
        <v>42.52</v>
      </c>
      <c r="AU388" s="212">
        <v>43.2</v>
      </c>
      <c r="AV388" s="212">
        <v>21.84</v>
      </c>
      <c r="AW388" s="212">
        <v>21.24</v>
      </c>
      <c r="AX388" s="212">
        <v>21.54</v>
      </c>
      <c r="AY388" s="212">
        <v>4.66</v>
      </c>
      <c r="AZ388" s="212">
        <v>4.5</v>
      </c>
      <c r="BA388" s="212">
        <v>4.58</v>
      </c>
      <c r="BB388" s="212">
        <v>2</v>
      </c>
      <c r="BC388" s="212">
        <v>1.7</v>
      </c>
      <c r="BD388" s="212">
        <v>1.85</v>
      </c>
      <c r="BE388" s="212">
        <v>0.72</v>
      </c>
      <c r="BF388" s="212">
        <v>0.42</v>
      </c>
      <c r="BG388" s="212">
        <v>0.56999999999999995</v>
      </c>
      <c r="BH388" s="212">
        <v>522.88</v>
      </c>
      <c r="BI388" s="212">
        <v>506.88</v>
      </c>
      <c r="BJ388" s="212">
        <v>514.88</v>
      </c>
      <c r="BK388" s="212">
        <v>44.22</v>
      </c>
      <c r="BL388" s="212">
        <v>42.86</v>
      </c>
      <c r="BM388" s="212">
        <v>43.54</v>
      </c>
      <c r="BN388" s="212">
        <v>1.1000000000000001</v>
      </c>
      <c r="BO388" s="212">
        <v>0.8600000000000001</v>
      </c>
      <c r="BP388" s="212">
        <v>0.98000000000000009</v>
      </c>
      <c r="BQ388" s="212">
        <v>8.76</v>
      </c>
      <c r="BR388" s="212">
        <v>6.76</v>
      </c>
      <c r="BS388" s="212">
        <v>7.76</v>
      </c>
      <c r="BT388" s="212">
        <v>11.07</v>
      </c>
      <c r="BU388" s="212">
        <v>10.67</v>
      </c>
      <c r="BV388" s="212">
        <v>10.870000000000001</v>
      </c>
      <c r="BW388" s="212">
        <v>2.87</v>
      </c>
      <c r="BX388" s="212">
        <v>2.59</v>
      </c>
      <c r="BY388" s="212">
        <v>2.73</v>
      </c>
      <c r="BZ388" s="212">
        <v>9.8699999999999992</v>
      </c>
      <c r="CA388" s="212">
        <v>6.8699999999999992</v>
      </c>
      <c r="CB388" s="212">
        <v>8.3699999999999992</v>
      </c>
      <c r="CC388" s="211">
        <v>6.62</v>
      </c>
      <c r="CD388" s="211">
        <v>6.38</v>
      </c>
      <c r="CE388" s="211">
        <v>6.5</v>
      </c>
      <c r="CF388" s="211">
        <v>1.77</v>
      </c>
      <c r="CG388" s="211">
        <v>1.27</v>
      </c>
      <c r="CH388" s="211">
        <v>1.52</v>
      </c>
      <c r="CI388" s="211">
        <v>0.41</v>
      </c>
      <c r="CJ388" s="211">
        <v>0.37</v>
      </c>
      <c r="CK388" s="211">
        <v>0.39</v>
      </c>
      <c r="CL388" s="211">
        <v>39.369999999999997</v>
      </c>
      <c r="CM388" s="211">
        <v>36.97</v>
      </c>
      <c r="CN388" s="211">
        <v>38.17</v>
      </c>
      <c r="CO388" s="211">
        <v>6.99</v>
      </c>
      <c r="CP388" s="211">
        <v>1.9900000000000002</v>
      </c>
      <c r="CQ388" s="211">
        <v>4.49</v>
      </c>
      <c r="CR388" s="211"/>
      <c r="CS388" s="211"/>
    </row>
    <row r="389" spans="1:97">
      <c r="A389" s="424">
        <v>45667</v>
      </c>
      <c r="B389" s="211" t="s">
        <v>251</v>
      </c>
      <c r="C389" s="212">
        <v>159.18</v>
      </c>
      <c r="D389" s="212">
        <v>157.18</v>
      </c>
      <c r="E389" s="212">
        <v>158.18</v>
      </c>
      <c r="F389" s="212">
        <v>164.35</v>
      </c>
      <c r="G389" s="212">
        <v>161.35</v>
      </c>
      <c r="H389" s="212">
        <v>162.85</v>
      </c>
      <c r="I389" s="212">
        <v>111.45</v>
      </c>
      <c r="J389" s="212">
        <v>108.25</v>
      </c>
      <c r="K389" s="212">
        <v>109.85</v>
      </c>
      <c r="L389" s="212">
        <v>198.58</v>
      </c>
      <c r="M389" s="212">
        <v>190.58</v>
      </c>
      <c r="N389" s="212">
        <v>194.58</v>
      </c>
      <c r="O389" s="212">
        <v>174.27</v>
      </c>
      <c r="P389" s="212">
        <v>172.47</v>
      </c>
      <c r="Q389" s="212">
        <v>173.37</v>
      </c>
      <c r="R389" s="212">
        <v>22.13</v>
      </c>
      <c r="S389" s="212">
        <v>21.529999999999998</v>
      </c>
      <c r="T389" s="212">
        <v>21.83</v>
      </c>
      <c r="U389" s="212">
        <v>14.18</v>
      </c>
      <c r="V389" s="212">
        <v>13.58</v>
      </c>
      <c r="W389" s="212">
        <v>13.879999999999999</v>
      </c>
      <c r="X389" s="212">
        <v>14.57</v>
      </c>
      <c r="Y389" s="212">
        <v>13.77</v>
      </c>
      <c r="Z389" s="212">
        <v>14.17</v>
      </c>
      <c r="AA389" s="212">
        <v>99.93</v>
      </c>
      <c r="AB389" s="212">
        <v>95.93</v>
      </c>
      <c r="AC389" s="212">
        <v>97.93</v>
      </c>
      <c r="AD389" s="212">
        <v>90.49</v>
      </c>
      <c r="AE389" s="212">
        <v>86.49</v>
      </c>
      <c r="AF389" s="212">
        <v>88.49</v>
      </c>
      <c r="AG389" s="212">
        <v>20.76</v>
      </c>
      <c r="AH389" s="212">
        <v>19.900000000000002</v>
      </c>
      <c r="AI389" s="212">
        <v>20.330000000000002</v>
      </c>
      <c r="AJ389" s="212"/>
      <c r="AK389" s="212"/>
      <c r="AL389" s="212"/>
      <c r="AM389" s="212">
        <v>116.39</v>
      </c>
      <c r="AN389" s="212">
        <v>114.73</v>
      </c>
      <c r="AO389" s="212">
        <v>115.56</v>
      </c>
      <c r="AP389" s="212">
        <v>43</v>
      </c>
      <c r="AQ389" s="212">
        <v>41.4</v>
      </c>
      <c r="AR389" s="212">
        <v>42.2</v>
      </c>
      <c r="AS389" s="212">
        <v>43.82</v>
      </c>
      <c r="AT389" s="212">
        <v>42.46</v>
      </c>
      <c r="AU389" s="212">
        <v>43.14</v>
      </c>
      <c r="AV389" s="212">
        <v>21.82</v>
      </c>
      <c r="AW389" s="212">
        <v>21.22</v>
      </c>
      <c r="AX389" s="212">
        <v>21.52</v>
      </c>
      <c r="AY389" s="212">
        <v>4.66</v>
      </c>
      <c r="AZ389" s="212">
        <v>4.5</v>
      </c>
      <c r="BA389" s="212">
        <v>4.58</v>
      </c>
      <c r="BB389" s="212">
        <v>2</v>
      </c>
      <c r="BC389" s="212">
        <v>1.7</v>
      </c>
      <c r="BD389" s="212">
        <v>1.85</v>
      </c>
      <c r="BE389" s="212">
        <v>0.72</v>
      </c>
      <c r="BF389" s="212">
        <v>0.42</v>
      </c>
      <c r="BG389" s="212">
        <v>0.56999999999999995</v>
      </c>
      <c r="BH389" s="212">
        <v>522.24</v>
      </c>
      <c r="BI389" s="212">
        <v>506.24</v>
      </c>
      <c r="BJ389" s="212">
        <v>514.24</v>
      </c>
      <c r="BK389" s="212">
        <v>44.15</v>
      </c>
      <c r="BL389" s="212">
        <v>42.79</v>
      </c>
      <c r="BM389" s="212">
        <v>43.47</v>
      </c>
      <c r="BN389" s="212">
        <v>1.1000000000000001</v>
      </c>
      <c r="BO389" s="212">
        <v>0.8600000000000001</v>
      </c>
      <c r="BP389" s="212">
        <v>0.98000000000000009</v>
      </c>
      <c r="BQ389" s="212">
        <v>8.7200000000000006</v>
      </c>
      <c r="BR389" s="212">
        <v>6.7200000000000006</v>
      </c>
      <c r="BS389" s="212">
        <v>7.7200000000000006</v>
      </c>
      <c r="BT389" s="212">
        <v>11.07</v>
      </c>
      <c r="BU389" s="212">
        <v>10.67</v>
      </c>
      <c r="BV389" s="212">
        <v>10.870000000000001</v>
      </c>
      <c r="BW389" s="212">
        <v>2.86</v>
      </c>
      <c r="BX389" s="212">
        <v>2.58</v>
      </c>
      <c r="BY389" s="212">
        <v>2.7199999999999998</v>
      </c>
      <c r="BZ389" s="212">
        <v>9.85</v>
      </c>
      <c r="CA389" s="212">
        <v>6.85</v>
      </c>
      <c r="CB389" s="212">
        <v>8.35</v>
      </c>
      <c r="CC389" s="211">
        <v>6.62</v>
      </c>
      <c r="CD389" s="211">
        <v>6.38</v>
      </c>
      <c r="CE389" s="211">
        <v>6.5</v>
      </c>
      <c r="CF389" s="211">
        <v>1.8</v>
      </c>
      <c r="CG389" s="211">
        <v>1.3</v>
      </c>
      <c r="CH389" s="211">
        <v>1.55</v>
      </c>
      <c r="CI389" s="211">
        <v>0.41</v>
      </c>
      <c r="CJ389" s="211">
        <v>0.37</v>
      </c>
      <c r="CK389" s="211">
        <v>0.39</v>
      </c>
      <c r="CL389" s="211">
        <v>39.43</v>
      </c>
      <c r="CM389" s="211">
        <v>37.03</v>
      </c>
      <c r="CN389" s="211">
        <v>38.230000000000004</v>
      </c>
      <c r="CO389" s="211">
        <v>6.99</v>
      </c>
      <c r="CP389" s="211">
        <v>1.9900000000000002</v>
      </c>
      <c r="CQ389" s="211">
        <v>4.49</v>
      </c>
      <c r="CR389" s="211"/>
      <c r="CS389" s="211"/>
    </row>
    <row r="390" spans="1:97">
      <c r="A390" s="424">
        <v>45668</v>
      </c>
      <c r="B390" s="211" t="s">
        <v>252</v>
      </c>
      <c r="C390" s="212"/>
      <c r="D390" s="212"/>
      <c r="E390" s="212"/>
      <c r="F390" s="212"/>
      <c r="G390" s="212"/>
      <c r="H390" s="212"/>
      <c r="I390" s="212"/>
      <c r="J390" s="212"/>
      <c r="K390" s="212"/>
      <c r="L390" s="212"/>
      <c r="M390" s="212"/>
      <c r="N390" s="212"/>
      <c r="O390" s="212"/>
      <c r="P390" s="212"/>
      <c r="Q390" s="212"/>
      <c r="R390" s="212"/>
      <c r="S390" s="212"/>
      <c r="T390" s="212"/>
      <c r="U390" s="212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12"/>
      <c r="AF390" s="212"/>
      <c r="AG390" s="212"/>
      <c r="AH390" s="212"/>
      <c r="AI390" s="212"/>
      <c r="AJ390" s="212"/>
      <c r="AK390" s="212"/>
      <c r="AL390" s="212"/>
      <c r="AM390" s="212"/>
      <c r="AN390" s="212"/>
      <c r="AO390" s="212"/>
      <c r="AP390" s="212"/>
      <c r="AQ390" s="212"/>
      <c r="AR390" s="212"/>
      <c r="AS390" s="212"/>
      <c r="AT390" s="212"/>
      <c r="AU390" s="212"/>
      <c r="AV390" s="212"/>
      <c r="AW390" s="212"/>
      <c r="AX390" s="212"/>
      <c r="AY390" s="212"/>
      <c r="AZ390" s="212"/>
      <c r="BA390" s="212"/>
      <c r="BB390" s="212"/>
      <c r="BC390" s="212"/>
      <c r="BD390" s="212"/>
      <c r="BE390" s="212"/>
      <c r="BF390" s="212"/>
      <c r="BG390" s="212"/>
      <c r="BH390" s="212"/>
      <c r="BI390" s="212"/>
      <c r="BJ390" s="212"/>
      <c r="BK390" s="212"/>
      <c r="BL390" s="212"/>
      <c r="BM390" s="212"/>
      <c r="BN390" s="212"/>
      <c r="BO390" s="212"/>
      <c r="BP390" s="212"/>
      <c r="BQ390" s="212"/>
      <c r="BR390" s="212"/>
      <c r="BS390" s="212"/>
      <c r="BT390" s="212"/>
      <c r="BU390" s="212"/>
      <c r="BV390" s="212"/>
      <c r="BW390" s="212"/>
      <c r="BX390" s="212"/>
      <c r="BY390" s="212"/>
      <c r="BZ390" s="212"/>
      <c r="CA390" s="212"/>
      <c r="CB390" s="212"/>
      <c r="CC390" s="211"/>
      <c r="CD390" s="211"/>
      <c r="CE390" s="211"/>
      <c r="CF390" s="211"/>
      <c r="CG390" s="211"/>
      <c r="CH390" s="211"/>
      <c r="CI390" s="211"/>
      <c r="CJ390" s="211"/>
      <c r="CK390" s="211"/>
      <c r="CL390" s="211"/>
      <c r="CM390" s="211"/>
      <c r="CN390" s="211"/>
      <c r="CO390" s="211"/>
      <c r="CP390" s="211"/>
      <c r="CQ390" s="211"/>
      <c r="CR390" s="211"/>
      <c r="CS390" s="211"/>
    </row>
    <row r="391" spans="1:97">
      <c r="A391" s="424">
        <v>45669</v>
      </c>
      <c r="B391" s="211" t="s">
        <v>253</v>
      </c>
      <c r="C391" s="212"/>
      <c r="D391" s="212"/>
      <c r="E391" s="212"/>
      <c r="F391" s="212"/>
      <c r="G391" s="212"/>
      <c r="H391" s="212"/>
      <c r="I391" s="212"/>
      <c r="J391" s="212"/>
      <c r="K391" s="212"/>
      <c r="L391" s="212"/>
      <c r="M391" s="212"/>
      <c r="N391" s="212"/>
      <c r="O391" s="212"/>
      <c r="P391" s="212"/>
      <c r="Q391" s="212"/>
      <c r="R391" s="212"/>
      <c r="S391" s="212"/>
      <c r="T391" s="212"/>
      <c r="U391" s="212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12"/>
      <c r="AF391" s="212"/>
      <c r="AG391" s="212"/>
      <c r="AH391" s="212"/>
      <c r="AI391" s="212"/>
      <c r="AJ391" s="212"/>
      <c r="AK391" s="212"/>
      <c r="AL391" s="212"/>
      <c r="AM391" s="212"/>
      <c r="AN391" s="212"/>
      <c r="AO391" s="212"/>
      <c r="AP391" s="212"/>
      <c r="AQ391" s="212"/>
      <c r="AR391" s="212"/>
      <c r="AS391" s="212"/>
      <c r="AT391" s="212"/>
      <c r="AU391" s="212"/>
      <c r="AV391" s="212"/>
      <c r="AW391" s="212"/>
      <c r="AX391" s="212"/>
      <c r="AY391" s="212"/>
      <c r="AZ391" s="212"/>
      <c r="BA391" s="212"/>
      <c r="BB391" s="212"/>
      <c r="BC391" s="212"/>
      <c r="BD391" s="212"/>
      <c r="BE391" s="212"/>
      <c r="BF391" s="212"/>
      <c r="BG391" s="212"/>
      <c r="BH391" s="212"/>
      <c r="BI391" s="212"/>
      <c r="BJ391" s="212"/>
      <c r="BK391" s="212"/>
      <c r="BL391" s="212"/>
      <c r="BM391" s="212"/>
      <c r="BN391" s="212"/>
      <c r="BO391" s="212"/>
      <c r="BP391" s="212"/>
      <c r="BQ391" s="212"/>
      <c r="BR391" s="212"/>
      <c r="BS391" s="212"/>
      <c r="BT391" s="212"/>
      <c r="BU391" s="212"/>
      <c r="BV391" s="212"/>
      <c r="BW391" s="212"/>
      <c r="BX391" s="212"/>
      <c r="BY391" s="212"/>
      <c r="BZ391" s="212"/>
      <c r="CA391" s="212"/>
      <c r="CB391" s="212"/>
      <c r="CC391" s="211"/>
      <c r="CD391" s="211"/>
      <c r="CE391" s="211"/>
      <c r="CF391" s="211"/>
      <c r="CG391" s="211"/>
      <c r="CH391" s="211"/>
      <c r="CI391" s="211"/>
      <c r="CJ391" s="211"/>
      <c r="CK391" s="211"/>
      <c r="CL391" s="211"/>
      <c r="CM391" s="211"/>
      <c r="CN391" s="211"/>
      <c r="CO391" s="211"/>
      <c r="CP391" s="211"/>
      <c r="CQ391" s="211"/>
      <c r="CR391" s="211"/>
      <c r="CS391" s="211"/>
    </row>
    <row r="392" spans="1:97">
      <c r="A392" s="424">
        <v>45670</v>
      </c>
      <c r="B392" s="211" t="s">
        <v>247</v>
      </c>
      <c r="C392" s="212"/>
      <c r="D392" s="212"/>
      <c r="E392" s="212"/>
      <c r="F392" s="212"/>
      <c r="G392" s="212"/>
      <c r="H392" s="212"/>
      <c r="I392" s="212"/>
      <c r="J392" s="212"/>
      <c r="K392" s="212"/>
      <c r="L392" s="212"/>
      <c r="M392" s="212"/>
      <c r="N392" s="212"/>
      <c r="O392" s="212"/>
      <c r="P392" s="212"/>
      <c r="Q392" s="212"/>
      <c r="R392" s="212"/>
      <c r="S392" s="212"/>
      <c r="T392" s="212"/>
      <c r="U392" s="212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12"/>
      <c r="AF392" s="212"/>
      <c r="AG392" s="212"/>
      <c r="AH392" s="212"/>
      <c r="AI392" s="212"/>
      <c r="AJ392" s="212"/>
      <c r="AK392" s="212"/>
      <c r="AL392" s="212"/>
      <c r="AM392" s="212"/>
      <c r="AN392" s="212"/>
      <c r="AO392" s="212"/>
      <c r="AP392" s="212"/>
      <c r="AQ392" s="212"/>
      <c r="AR392" s="212"/>
      <c r="AS392" s="212"/>
      <c r="AT392" s="212"/>
      <c r="AU392" s="212"/>
      <c r="AV392" s="212"/>
      <c r="AW392" s="212"/>
      <c r="AX392" s="212"/>
      <c r="AY392" s="212"/>
      <c r="AZ392" s="212"/>
      <c r="BA392" s="212"/>
      <c r="BB392" s="212"/>
      <c r="BC392" s="212"/>
      <c r="BD392" s="212"/>
      <c r="BE392" s="212"/>
      <c r="BF392" s="212"/>
      <c r="BG392" s="212"/>
      <c r="BH392" s="212"/>
      <c r="BI392" s="212"/>
      <c r="BJ392" s="212"/>
      <c r="BK392" s="212"/>
      <c r="BL392" s="212"/>
      <c r="BM392" s="212"/>
      <c r="BN392" s="212"/>
      <c r="BO392" s="212"/>
      <c r="BP392" s="212"/>
      <c r="BQ392" s="212"/>
      <c r="BR392" s="212"/>
      <c r="BS392" s="212"/>
      <c r="BT392" s="212"/>
      <c r="BU392" s="212"/>
      <c r="BV392" s="212"/>
      <c r="BW392" s="212"/>
      <c r="BX392" s="212"/>
      <c r="BY392" s="212"/>
      <c r="BZ392" s="212"/>
      <c r="CA392" s="212"/>
      <c r="CB392" s="212"/>
      <c r="CC392" s="211"/>
      <c r="CD392" s="211"/>
      <c r="CE392" s="211"/>
      <c r="CF392" s="211"/>
      <c r="CG392" s="211"/>
      <c r="CH392" s="211"/>
      <c r="CI392" s="211"/>
      <c r="CJ392" s="211"/>
      <c r="CK392" s="211"/>
      <c r="CL392" s="211"/>
      <c r="CM392" s="211"/>
      <c r="CN392" s="211"/>
      <c r="CO392" s="211"/>
      <c r="CP392" s="211"/>
      <c r="CQ392" s="211"/>
      <c r="CR392" s="211"/>
      <c r="CS392" s="211"/>
    </row>
    <row r="393" spans="1:97">
      <c r="A393" s="424">
        <v>45671</v>
      </c>
      <c r="B393" s="211" t="s">
        <v>248</v>
      </c>
      <c r="C393" s="212">
        <v>158.57</v>
      </c>
      <c r="D393" s="212">
        <v>156.57</v>
      </c>
      <c r="E393" s="212">
        <v>157.57</v>
      </c>
      <c r="F393" s="212">
        <v>162.93</v>
      </c>
      <c r="G393" s="212">
        <v>159.93</v>
      </c>
      <c r="H393" s="212">
        <v>161.43</v>
      </c>
      <c r="I393" s="212">
        <v>111.21</v>
      </c>
      <c r="J393" s="212">
        <v>108.00999999999999</v>
      </c>
      <c r="K393" s="212">
        <v>109.60999999999999</v>
      </c>
      <c r="L393" s="212">
        <v>196.39</v>
      </c>
      <c r="M393" s="212">
        <v>188.39</v>
      </c>
      <c r="N393" s="212">
        <v>192.39</v>
      </c>
      <c r="O393" s="212">
        <v>172.77</v>
      </c>
      <c r="P393" s="212">
        <v>170.97</v>
      </c>
      <c r="Q393" s="212">
        <v>171.87</v>
      </c>
      <c r="R393" s="212">
        <v>21.94</v>
      </c>
      <c r="S393" s="212">
        <v>21.34</v>
      </c>
      <c r="T393" s="212">
        <v>21.64</v>
      </c>
      <c r="U393" s="212">
        <v>14.1</v>
      </c>
      <c r="V393" s="212">
        <v>13.5</v>
      </c>
      <c r="W393" s="212">
        <v>13.8</v>
      </c>
      <c r="X393" s="212">
        <v>14.4</v>
      </c>
      <c r="Y393" s="212">
        <v>13.6</v>
      </c>
      <c r="Z393" s="212">
        <v>14</v>
      </c>
      <c r="AA393" s="212">
        <v>99.43</v>
      </c>
      <c r="AB393" s="212">
        <v>95.43</v>
      </c>
      <c r="AC393" s="212">
        <v>97.43</v>
      </c>
      <c r="AD393" s="212">
        <v>90.24</v>
      </c>
      <c r="AE393" s="212">
        <v>86.24</v>
      </c>
      <c r="AF393" s="212">
        <v>88.24</v>
      </c>
      <c r="AG393" s="212">
        <v>20.67</v>
      </c>
      <c r="AH393" s="212">
        <v>19.810000000000002</v>
      </c>
      <c r="AI393" s="212">
        <v>20.240000000000002</v>
      </c>
      <c r="AJ393" s="212"/>
      <c r="AK393" s="212"/>
      <c r="AL393" s="212"/>
      <c r="AM393" s="212">
        <v>115.88</v>
      </c>
      <c r="AN393" s="212">
        <v>114.22</v>
      </c>
      <c r="AO393" s="212">
        <v>115.05</v>
      </c>
      <c r="AP393" s="212">
        <v>42.84</v>
      </c>
      <c r="AQ393" s="212">
        <v>41.24</v>
      </c>
      <c r="AR393" s="212">
        <v>42.040000000000006</v>
      </c>
      <c r="AS393" s="212">
        <v>43.65</v>
      </c>
      <c r="AT393" s="212">
        <v>42.29</v>
      </c>
      <c r="AU393" s="212">
        <v>42.97</v>
      </c>
      <c r="AV393" s="212">
        <v>21.75</v>
      </c>
      <c r="AW393" s="212">
        <v>21.15</v>
      </c>
      <c r="AX393" s="212">
        <v>21.45</v>
      </c>
      <c r="AY393" s="212">
        <v>4.6500000000000004</v>
      </c>
      <c r="AZ393" s="212">
        <v>4.49</v>
      </c>
      <c r="BA393" s="212">
        <v>4.57</v>
      </c>
      <c r="BB393" s="212">
        <v>1.98</v>
      </c>
      <c r="BC393" s="212">
        <v>1.68</v>
      </c>
      <c r="BD393" s="212">
        <v>1.83</v>
      </c>
      <c r="BE393" s="212">
        <v>0.72</v>
      </c>
      <c r="BF393" s="212">
        <v>0.42</v>
      </c>
      <c r="BG393" s="212">
        <v>0.56999999999999995</v>
      </c>
      <c r="BH393" s="212">
        <v>519.26</v>
      </c>
      <c r="BI393" s="212">
        <v>503.26</v>
      </c>
      <c r="BJ393" s="212">
        <v>511.26</v>
      </c>
      <c r="BK393" s="212">
        <v>43.98</v>
      </c>
      <c r="BL393" s="212">
        <v>42.62</v>
      </c>
      <c r="BM393" s="212">
        <v>43.3</v>
      </c>
      <c r="BN393" s="212">
        <v>1.0900000000000001</v>
      </c>
      <c r="BO393" s="212">
        <v>0.85000000000000009</v>
      </c>
      <c r="BP393" s="212">
        <v>0.97000000000000008</v>
      </c>
      <c r="BQ393" s="212">
        <v>8.64</v>
      </c>
      <c r="BR393" s="212">
        <v>6.6400000000000006</v>
      </c>
      <c r="BS393" s="212">
        <v>7.6400000000000006</v>
      </c>
      <c r="BT393" s="212">
        <v>10.96</v>
      </c>
      <c r="BU393" s="212">
        <v>10.56</v>
      </c>
      <c r="BV393" s="212">
        <v>10.760000000000002</v>
      </c>
      <c r="BW393" s="212">
        <v>2.84</v>
      </c>
      <c r="BX393" s="212">
        <v>2.5599999999999996</v>
      </c>
      <c r="BY393" s="212">
        <v>2.6999999999999997</v>
      </c>
      <c r="BZ393" s="212">
        <v>9.7899999999999991</v>
      </c>
      <c r="CA393" s="212">
        <v>6.7899999999999991</v>
      </c>
      <c r="CB393" s="212">
        <v>8.2899999999999991</v>
      </c>
      <c r="CC393" s="211">
        <v>6.53</v>
      </c>
      <c r="CD393" s="211">
        <v>6.29</v>
      </c>
      <c r="CE393" s="211">
        <v>6.41</v>
      </c>
      <c r="CF393" s="211">
        <v>1.78</v>
      </c>
      <c r="CG393" s="211">
        <v>1.28</v>
      </c>
      <c r="CH393" s="211">
        <v>1.53</v>
      </c>
      <c r="CI393" s="211">
        <v>0.41</v>
      </c>
      <c r="CJ393" s="211">
        <v>0.37</v>
      </c>
      <c r="CK393" s="211">
        <v>0.39</v>
      </c>
      <c r="CL393" s="211">
        <v>39.020000000000003</v>
      </c>
      <c r="CM393" s="211">
        <v>36.620000000000005</v>
      </c>
      <c r="CN393" s="211">
        <v>37.820000000000007</v>
      </c>
      <c r="CO393" s="211">
        <v>6.95</v>
      </c>
      <c r="CP393" s="211">
        <v>1.9500000000000002</v>
      </c>
      <c r="CQ393" s="211">
        <v>4.45</v>
      </c>
      <c r="CR393" s="211"/>
      <c r="CS393" s="211"/>
    </row>
    <row r="394" spans="1:97">
      <c r="A394" s="424">
        <v>45672</v>
      </c>
      <c r="B394" s="211" t="s">
        <v>249</v>
      </c>
      <c r="C394" s="212">
        <v>159.08000000000001</v>
      </c>
      <c r="D394" s="212">
        <v>157.08000000000001</v>
      </c>
      <c r="E394" s="212">
        <v>158.08000000000001</v>
      </c>
      <c r="F394" s="212">
        <v>164.35</v>
      </c>
      <c r="G394" s="212">
        <v>161.35</v>
      </c>
      <c r="H394" s="212">
        <v>162.85</v>
      </c>
      <c r="I394" s="212">
        <v>111.71</v>
      </c>
      <c r="J394" s="212">
        <v>108.50999999999999</v>
      </c>
      <c r="K394" s="212">
        <v>110.10999999999999</v>
      </c>
      <c r="L394" s="212">
        <v>196.94</v>
      </c>
      <c r="M394" s="212">
        <v>188.94</v>
      </c>
      <c r="N394" s="212">
        <v>192.94</v>
      </c>
      <c r="O394" s="212">
        <v>174.12</v>
      </c>
      <c r="P394" s="212">
        <v>172.32</v>
      </c>
      <c r="Q394" s="212">
        <v>173.22</v>
      </c>
      <c r="R394" s="212">
        <v>22.13</v>
      </c>
      <c r="S394" s="212">
        <v>21.529999999999998</v>
      </c>
      <c r="T394" s="212">
        <v>21.83</v>
      </c>
      <c r="U394" s="212">
        <v>14.18</v>
      </c>
      <c r="V394" s="212">
        <v>13.58</v>
      </c>
      <c r="W394" s="212">
        <v>13.879999999999999</v>
      </c>
      <c r="X394" s="212">
        <v>14.55</v>
      </c>
      <c r="Y394" s="212">
        <v>13.75</v>
      </c>
      <c r="Z394" s="212">
        <v>14.15</v>
      </c>
      <c r="AA394" s="212">
        <v>99.8</v>
      </c>
      <c r="AB394" s="212">
        <v>95.8</v>
      </c>
      <c r="AC394" s="212">
        <v>97.8</v>
      </c>
      <c r="AD394" s="212">
        <v>90.56</v>
      </c>
      <c r="AE394" s="212">
        <v>86.56</v>
      </c>
      <c r="AF394" s="212">
        <v>88.56</v>
      </c>
      <c r="AG394" s="212">
        <v>20.73</v>
      </c>
      <c r="AH394" s="212">
        <v>19.87</v>
      </c>
      <c r="AI394" s="212">
        <v>20.3</v>
      </c>
      <c r="AJ394" s="212"/>
      <c r="AK394" s="212"/>
      <c r="AL394" s="212"/>
      <c r="AM394" s="212">
        <v>116.45</v>
      </c>
      <c r="AN394" s="212">
        <v>114.79</v>
      </c>
      <c r="AO394" s="212">
        <v>115.62</v>
      </c>
      <c r="AP394" s="212">
        <v>42.99</v>
      </c>
      <c r="AQ394" s="212">
        <v>41.39</v>
      </c>
      <c r="AR394" s="212">
        <v>42.19</v>
      </c>
      <c r="AS394" s="212">
        <v>43.79</v>
      </c>
      <c r="AT394" s="212">
        <v>42.43</v>
      </c>
      <c r="AU394" s="212">
        <v>43.11</v>
      </c>
      <c r="AV394" s="212">
        <v>21.82</v>
      </c>
      <c r="AW394" s="212">
        <v>21.22</v>
      </c>
      <c r="AX394" s="212">
        <v>21.52</v>
      </c>
      <c r="AY394" s="212">
        <v>4.6399999999999997</v>
      </c>
      <c r="AZ394" s="212">
        <v>4.4799999999999995</v>
      </c>
      <c r="BA394" s="212">
        <v>4.5599999999999996</v>
      </c>
      <c r="BB394" s="212">
        <v>1.98</v>
      </c>
      <c r="BC394" s="212">
        <v>1.68</v>
      </c>
      <c r="BD394" s="212">
        <v>1.83</v>
      </c>
      <c r="BE394" s="212">
        <v>0.72</v>
      </c>
      <c r="BF394" s="212">
        <v>0.42</v>
      </c>
      <c r="BG394" s="212">
        <v>0.56999999999999995</v>
      </c>
      <c r="BH394" s="212">
        <v>521.25</v>
      </c>
      <c r="BI394" s="212">
        <v>505.25</v>
      </c>
      <c r="BJ394" s="212">
        <v>513.25</v>
      </c>
      <c r="BK394" s="212">
        <v>44.12</v>
      </c>
      <c r="BL394" s="212">
        <v>42.76</v>
      </c>
      <c r="BM394" s="212">
        <v>43.44</v>
      </c>
      <c r="BN394" s="212">
        <v>1.1000000000000001</v>
      </c>
      <c r="BO394" s="212">
        <v>0.8600000000000001</v>
      </c>
      <c r="BP394" s="212">
        <v>0.98000000000000009</v>
      </c>
      <c r="BQ394" s="212">
        <v>8.6999999999999993</v>
      </c>
      <c r="BR394" s="212">
        <v>6.6999999999999993</v>
      </c>
      <c r="BS394" s="212">
        <v>7.6999999999999993</v>
      </c>
      <c r="BT394" s="212">
        <v>11.03</v>
      </c>
      <c r="BU394" s="212">
        <v>10.629999999999999</v>
      </c>
      <c r="BV394" s="212">
        <v>10.829999999999998</v>
      </c>
      <c r="BW394" s="212">
        <v>2.86</v>
      </c>
      <c r="BX394" s="212">
        <v>2.58</v>
      </c>
      <c r="BY394" s="212">
        <v>2.7199999999999998</v>
      </c>
      <c r="BZ394" s="212">
        <v>9.85</v>
      </c>
      <c r="CA394" s="212">
        <v>6.85</v>
      </c>
      <c r="CB394" s="212">
        <v>8.35</v>
      </c>
      <c r="CC394" s="211">
        <v>6.57</v>
      </c>
      <c r="CD394" s="211">
        <v>6.33</v>
      </c>
      <c r="CE394" s="211">
        <v>6.45</v>
      </c>
      <c r="CF394" s="211">
        <v>1.79</v>
      </c>
      <c r="CG394" s="211">
        <v>1.29</v>
      </c>
      <c r="CH394" s="211">
        <v>1.54</v>
      </c>
      <c r="CI394" s="211">
        <v>0.42</v>
      </c>
      <c r="CJ394" s="211">
        <v>0.38</v>
      </c>
      <c r="CK394" s="211">
        <v>0.4</v>
      </c>
      <c r="CL394" s="211">
        <v>39.36</v>
      </c>
      <c r="CM394" s="211">
        <v>36.96</v>
      </c>
      <c r="CN394" s="211">
        <v>38.159999999999997</v>
      </c>
      <c r="CO394" s="211">
        <v>6.96</v>
      </c>
      <c r="CP394" s="211">
        <v>1.96</v>
      </c>
      <c r="CQ394" s="211">
        <v>4.46</v>
      </c>
      <c r="CR394" s="211"/>
      <c r="CS394" s="211"/>
    </row>
    <row r="395" spans="1:97">
      <c r="A395" s="424">
        <v>45673</v>
      </c>
      <c r="B395" s="211" t="s">
        <v>250</v>
      </c>
      <c r="C395" s="212">
        <v>157.46</v>
      </c>
      <c r="D395" s="212">
        <v>155.46</v>
      </c>
      <c r="E395" s="212">
        <v>156.46</v>
      </c>
      <c r="F395" s="212">
        <v>162.56</v>
      </c>
      <c r="G395" s="212">
        <v>159.56</v>
      </c>
      <c r="H395" s="212">
        <v>161.06</v>
      </c>
      <c r="I395" s="212">
        <v>110.78</v>
      </c>
      <c r="J395" s="212">
        <v>107.58</v>
      </c>
      <c r="K395" s="212">
        <v>109.18</v>
      </c>
      <c r="L395" s="212">
        <v>195.49</v>
      </c>
      <c r="M395" s="212">
        <v>187.49</v>
      </c>
      <c r="N395" s="212">
        <v>191.49</v>
      </c>
      <c r="O395" s="212">
        <v>172.31</v>
      </c>
      <c r="P395" s="212">
        <v>170.51</v>
      </c>
      <c r="Q395" s="212">
        <v>171.41</v>
      </c>
      <c r="R395" s="212">
        <v>21.88</v>
      </c>
      <c r="S395" s="212">
        <v>21.279999999999998</v>
      </c>
      <c r="T395" s="212">
        <v>21.58</v>
      </c>
      <c r="U395" s="212">
        <v>14.13</v>
      </c>
      <c r="V395" s="212">
        <v>13.530000000000001</v>
      </c>
      <c r="W395" s="212">
        <v>13.830000000000002</v>
      </c>
      <c r="X395" s="212">
        <v>14.44</v>
      </c>
      <c r="Y395" s="212">
        <v>13.639999999999999</v>
      </c>
      <c r="Z395" s="212">
        <v>14.04</v>
      </c>
      <c r="AA395" s="212">
        <v>99.55</v>
      </c>
      <c r="AB395" s="212">
        <v>95.55</v>
      </c>
      <c r="AC395" s="212">
        <v>97.55</v>
      </c>
      <c r="AD395" s="212">
        <v>89.99</v>
      </c>
      <c r="AE395" s="212">
        <v>85.99</v>
      </c>
      <c r="AF395" s="212">
        <v>87.99</v>
      </c>
      <c r="AG395" s="212">
        <v>20.52</v>
      </c>
      <c r="AH395" s="212">
        <v>19.66</v>
      </c>
      <c r="AI395" s="212">
        <v>20.09</v>
      </c>
      <c r="AJ395" s="212"/>
      <c r="AK395" s="212"/>
      <c r="AL395" s="212"/>
      <c r="AM395" s="212">
        <v>115.26</v>
      </c>
      <c r="AN395" s="212">
        <v>113.60000000000001</v>
      </c>
      <c r="AO395" s="212">
        <v>114.43</v>
      </c>
      <c r="AP395" s="212">
        <v>42.56</v>
      </c>
      <c r="AQ395" s="212">
        <v>40.96</v>
      </c>
      <c r="AR395" s="212">
        <v>41.760000000000005</v>
      </c>
      <c r="AS395" s="212">
        <v>43.35</v>
      </c>
      <c r="AT395" s="212">
        <v>41.99</v>
      </c>
      <c r="AU395" s="212">
        <v>42.67</v>
      </c>
      <c r="AV395" s="212">
        <v>21.59</v>
      </c>
      <c r="AW395" s="212">
        <v>20.99</v>
      </c>
      <c r="AX395" s="212">
        <v>21.29</v>
      </c>
      <c r="AY395" s="212">
        <v>4.6100000000000003</v>
      </c>
      <c r="AZ395" s="212">
        <v>4.45</v>
      </c>
      <c r="BA395" s="212">
        <v>4.53</v>
      </c>
      <c r="BB395" s="212">
        <v>1.97</v>
      </c>
      <c r="BC395" s="212">
        <v>1.67</v>
      </c>
      <c r="BD395" s="212">
        <v>1.8199999999999998</v>
      </c>
      <c r="BE395" s="212">
        <v>0.72</v>
      </c>
      <c r="BF395" s="212">
        <v>0.42</v>
      </c>
      <c r="BG395" s="212">
        <v>0.56999999999999995</v>
      </c>
      <c r="BH395" s="212">
        <v>515.99</v>
      </c>
      <c r="BI395" s="212">
        <v>499.99</v>
      </c>
      <c r="BJ395" s="212">
        <v>507.99</v>
      </c>
      <c r="BK395" s="212">
        <v>43.68</v>
      </c>
      <c r="BL395" s="212">
        <v>42.32</v>
      </c>
      <c r="BM395" s="212">
        <v>43</v>
      </c>
      <c r="BN395" s="212">
        <v>1.08</v>
      </c>
      <c r="BO395" s="212">
        <v>0.84000000000000008</v>
      </c>
      <c r="BP395" s="212">
        <v>0.96000000000000008</v>
      </c>
      <c r="BQ395" s="212">
        <v>8.66</v>
      </c>
      <c r="BR395" s="212">
        <v>6.66</v>
      </c>
      <c r="BS395" s="212">
        <v>7.66</v>
      </c>
      <c r="BT395" s="212">
        <v>10.97</v>
      </c>
      <c r="BU395" s="212">
        <v>10.57</v>
      </c>
      <c r="BV395" s="212">
        <v>10.77</v>
      </c>
      <c r="BW395" s="212">
        <v>2.83</v>
      </c>
      <c r="BX395" s="212">
        <v>2.5499999999999998</v>
      </c>
      <c r="BY395" s="212">
        <v>2.69</v>
      </c>
      <c r="BZ395" s="212">
        <v>9.84</v>
      </c>
      <c r="CA395" s="212">
        <v>6.84</v>
      </c>
      <c r="CB395" s="212">
        <v>8.34</v>
      </c>
      <c r="CC395" s="211">
        <v>6.51</v>
      </c>
      <c r="CD395" s="211">
        <v>6.27</v>
      </c>
      <c r="CE395" s="211">
        <v>6.39</v>
      </c>
      <c r="CF395" s="211">
        <v>1.78</v>
      </c>
      <c r="CG395" s="211">
        <v>1.28</v>
      </c>
      <c r="CH395" s="211">
        <v>1.53</v>
      </c>
      <c r="CI395" s="211">
        <v>0.41</v>
      </c>
      <c r="CJ395" s="211">
        <v>0.37</v>
      </c>
      <c r="CK395" s="211">
        <v>0.39</v>
      </c>
      <c r="CL395" s="211">
        <v>39.06</v>
      </c>
      <c r="CM395" s="211">
        <v>36.660000000000004</v>
      </c>
      <c r="CN395" s="211">
        <v>37.86</v>
      </c>
      <c r="CO395" s="211">
        <v>6.92</v>
      </c>
      <c r="CP395" s="211">
        <v>1.92</v>
      </c>
      <c r="CQ395" s="211">
        <v>4.42</v>
      </c>
      <c r="CR395" s="211"/>
      <c r="CS395" s="211"/>
    </row>
    <row r="396" spans="1:97">
      <c r="A396" s="424">
        <v>45674</v>
      </c>
      <c r="B396" s="211" t="s">
        <v>251</v>
      </c>
      <c r="C396" s="212">
        <v>156.25</v>
      </c>
      <c r="D396" s="212">
        <v>154.25</v>
      </c>
      <c r="E396" s="212">
        <v>155.25</v>
      </c>
      <c r="F396" s="212">
        <v>161.5</v>
      </c>
      <c r="G396" s="212">
        <v>158.5</v>
      </c>
      <c r="H396" s="212">
        <v>160</v>
      </c>
      <c r="I396" s="212">
        <v>109.41</v>
      </c>
      <c r="J396" s="212">
        <v>106.21</v>
      </c>
      <c r="K396" s="212">
        <v>107.81</v>
      </c>
      <c r="L396" s="212">
        <v>193.96</v>
      </c>
      <c r="M396" s="212">
        <v>185.96</v>
      </c>
      <c r="N396" s="212">
        <v>189.96</v>
      </c>
      <c r="O396" s="212">
        <v>171.41</v>
      </c>
      <c r="P396" s="212">
        <v>169.60999999999999</v>
      </c>
      <c r="Q396" s="212">
        <v>170.51</v>
      </c>
      <c r="R396" s="212">
        <v>21.74</v>
      </c>
      <c r="S396" s="212">
        <v>21.139999999999997</v>
      </c>
      <c r="T396" s="212">
        <v>21.439999999999998</v>
      </c>
      <c r="U396" s="212">
        <v>13.97</v>
      </c>
      <c r="V396" s="212">
        <v>13.370000000000001</v>
      </c>
      <c r="W396" s="212">
        <v>13.670000000000002</v>
      </c>
      <c r="X396" s="212">
        <v>14.33</v>
      </c>
      <c r="Y396" s="212">
        <v>13.53</v>
      </c>
      <c r="Z396" s="212">
        <v>13.93</v>
      </c>
      <c r="AA396" s="212">
        <v>98.41</v>
      </c>
      <c r="AB396" s="212">
        <v>94.41</v>
      </c>
      <c r="AC396" s="212">
        <v>96.41</v>
      </c>
      <c r="AD396" s="212">
        <v>89.06</v>
      </c>
      <c r="AE396" s="212">
        <v>85.06</v>
      </c>
      <c r="AF396" s="212">
        <v>87.06</v>
      </c>
      <c r="AG396" s="212">
        <v>20.36</v>
      </c>
      <c r="AH396" s="212">
        <v>19.5</v>
      </c>
      <c r="AI396" s="212">
        <v>19.93</v>
      </c>
      <c r="AJ396" s="212"/>
      <c r="AK396" s="212"/>
      <c r="AL396" s="212"/>
      <c r="AM396" s="212">
        <v>114.48</v>
      </c>
      <c r="AN396" s="212">
        <v>112.82000000000001</v>
      </c>
      <c r="AO396" s="212">
        <v>113.65</v>
      </c>
      <c r="AP396" s="212">
        <v>42.24</v>
      </c>
      <c r="AQ396" s="212">
        <v>40.64</v>
      </c>
      <c r="AR396" s="212">
        <v>41.44</v>
      </c>
      <c r="AS396" s="212">
        <v>43.02</v>
      </c>
      <c r="AT396" s="212">
        <v>41.660000000000004</v>
      </c>
      <c r="AU396" s="212">
        <v>42.34</v>
      </c>
      <c r="AV396" s="212">
        <v>21.44</v>
      </c>
      <c r="AW396" s="212">
        <v>20.84</v>
      </c>
      <c r="AX396" s="212">
        <v>21.14</v>
      </c>
      <c r="AY396" s="212">
        <v>4.58</v>
      </c>
      <c r="AZ396" s="212">
        <v>4.42</v>
      </c>
      <c r="BA396" s="212">
        <v>4.5</v>
      </c>
      <c r="BB396" s="212">
        <v>1.95</v>
      </c>
      <c r="BC396" s="212">
        <v>1.65</v>
      </c>
      <c r="BD396" s="212">
        <v>1.7999999999999998</v>
      </c>
      <c r="BE396" s="212">
        <v>0.71</v>
      </c>
      <c r="BF396" s="212">
        <v>0.41</v>
      </c>
      <c r="BG396" s="212">
        <v>0.55999999999999994</v>
      </c>
      <c r="BH396" s="212">
        <v>512.05999999999995</v>
      </c>
      <c r="BI396" s="212">
        <v>496.05999999999995</v>
      </c>
      <c r="BJ396" s="212">
        <v>504.05999999999995</v>
      </c>
      <c r="BK396" s="212">
        <v>43.35</v>
      </c>
      <c r="BL396" s="212">
        <v>41.99</v>
      </c>
      <c r="BM396" s="212">
        <v>42.67</v>
      </c>
      <c r="BN396" s="212">
        <v>1.07</v>
      </c>
      <c r="BO396" s="212">
        <v>0.83000000000000007</v>
      </c>
      <c r="BP396" s="212">
        <v>0.95000000000000007</v>
      </c>
      <c r="BQ396" s="212">
        <v>8.4600000000000009</v>
      </c>
      <c r="BR396" s="212">
        <v>6.4600000000000009</v>
      </c>
      <c r="BS396" s="212">
        <v>7.4600000000000009</v>
      </c>
      <c r="BT396" s="212">
        <v>10.89</v>
      </c>
      <c r="BU396" s="212">
        <v>10.49</v>
      </c>
      <c r="BV396" s="212">
        <v>10.690000000000001</v>
      </c>
      <c r="BW396" s="212">
        <v>2.81</v>
      </c>
      <c r="BX396" s="212">
        <v>2.5300000000000002</v>
      </c>
      <c r="BY396" s="212">
        <v>2.67</v>
      </c>
      <c r="BZ396" s="212">
        <v>9.75</v>
      </c>
      <c r="CA396" s="212">
        <v>6.75</v>
      </c>
      <c r="CB396" s="212">
        <v>8.25</v>
      </c>
      <c r="CC396" s="211">
        <v>6.46</v>
      </c>
      <c r="CD396" s="211">
        <v>6.22</v>
      </c>
      <c r="CE396" s="211">
        <v>6.34</v>
      </c>
      <c r="CF396" s="211">
        <v>1.77</v>
      </c>
      <c r="CG396" s="211">
        <v>1.27</v>
      </c>
      <c r="CH396" s="211">
        <v>1.52</v>
      </c>
      <c r="CI396" s="211">
        <v>0.41</v>
      </c>
      <c r="CJ396" s="211">
        <v>0.37</v>
      </c>
      <c r="CK396" s="211">
        <v>0.39</v>
      </c>
      <c r="CL396" s="211">
        <v>38.76</v>
      </c>
      <c r="CM396" s="211">
        <v>36.36</v>
      </c>
      <c r="CN396" s="211">
        <v>37.56</v>
      </c>
      <c r="CO396" s="211">
        <v>6.89</v>
      </c>
      <c r="CP396" s="211">
        <v>1.8899999999999997</v>
      </c>
      <c r="CQ396" s="211">
        <v>4.3899999999999997</v>
      </c>
      <c r="CR396" s="211"/>
      <c r="CS396" s="211"/>
    </row>
    <row r="397" spans="1:97">
      <c r="A397" s="424">
        <v>45675</v>
      </c>
      <c r="B397" s="211" t="s">
        <v>252</v>
      </c>
      <c r="C397" s="212"/>
      <c r="D397" s="212"/>
      <c r="E397" s="212"/>
      <c r="F397" s="212"/>
      <c r="G397" s="212"/>
      <c r="H397" s="212"/>
      <c r="I397" s="212"/>
      <c r="J397" s="212"/>
      <c r="K397" s="212"/>
      <c r="L397" s="212"/>
      <c r="M397" s="212"/>
      <c r="N397" s="212"/>
      <c r="O397" s="212"/>
      <c r="P397" s="212"/>
      <c r="Q397" s="212"/>
      <c r="R397" s="212"/>
      <c r="S397" s="212"/>
      <c r="T397" s="212"/>
      <c r="U397" s="212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12"/>
      <c r="AF397" s="212"/>
      <c r="AG397" s="212"/>
      <c r="AH397" s="212"/>
      <c r="AI397" s="212"/>
      <c r="AJ397" s="212"/>
      <c r="AK397" s="212"/>
      <c r="AL397" s="212"/>
      <c r="AM397" s="212"/>
      <c r="AN397" s="212"/>
      <c r="AO397" s="212"/>
      <c r="AP397" s="212"/>
      <c r="AQ397" s="212"/>
      <c r="AR397" s="212"/>
      <c r="AS397" s="212"/>
      <c r="AT397" s="212"/>
      <c r="AU397" s="212"/>
      <c r="AV397" s="212"/>
      <c r="AW397" s="212"/>
      <c r="AX397" s="212"/>
      <c r="AY397" s="212"/>
      <c r="AZ397" s="212"/>
      <c r="BA397" s="212"/>
      <c r="BB397" s="212"/>
      <c r="BC397" s="212"/>
      <c r="BD397" s="212"/>
      <c r="BE397" s="212"/>
      <c r="BF397" s="212"/>
      <c r="BG397" s="212"/>
      <c r="BH397" s="212"/>
      <c r="BI397" s="212"/>
      <c r="BJ397" s="212"/>
      <c r="BK397" s="212"/>
      <c r="BL397" s="212"/>
      <c r="BM397" s="212"/>
      <c r="BN397" s="212"/>
      <c r="BO397" s="212"/>
      <c r="BP397" s="212"/>
      <c r="BQ397" s="212"/>
      <c r="BR397" s="212"/>
      <c r="BS397" s="212"/>
      <c r="BT397" s="212"/>
      <c r="BU397" s="212"/>
      <c r="BV397" s="212"/>
      <c r="BW397" s="212"/>
      <c r="BX397" s="212"/>
      <c r="BY397" s="212"/>
      <c r="BZ397" s="212"/>
      <c r="CA397" s="212"/>
      <c r="CB397" s="212"/>
      <c r="CC397" s="211"/>
      <c r="CD397" s="211"/>
      <c r="CE397" s="211"/>
      <c r="CF397" s="211"/>
      <c r="CG397" s="211"/>
      <c r="CH397" s="211"/>
      <c r="CI397" s="211"/>
      <c r="CJ397" s="211"/>
      <c r="CK397" s="211"/>
      <c r="CL397" s="211"/>
      <c r="CM397" s="211"/>
      <c r="CN397" s="211"/>
      <c r="CO397" s="211"/>
      <c r="CP397" s="211"/>
      <c r="CQ397" s="211"/>
      <c r="CR397" s="211"/>
      <c r="CS397" s="211"/>
    </row>
    <row r="398" spans="1:97">
      <c r="A398" s="424">
        <v>45676</v>
      </c>
      <c r="B398" s="211" t="s">
        <v>253</v>
      </c>
      <c r="C398" s="212"/>
      <c r="D398" s="212"/>
      <c r="E398" s="212"/>
      <c r="F398" s="212"/>
      <c r="G398" s="212"/>
      <c r="H398" s="212"/>
      <c r="I398" s="212"/>
      <c r="J398" s="212"/>
      <c r="K398" s="212"/>
      <c r="L398" s="212"/>
      <c r="M398" s="212"/>
      <c r="N398" s="212"/>
      <c r="O398" s="212"/>
      <c r="P398" s="212"/>
      <c r="Q398" s="212"/>
      <c r="R398" s="212"/>
      <c r="S398" s="212"/>
      <c r="T398" s="212"/>
      <c r="U398" s="212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12"/>
      <c r="AF398" s="212"/>
      <c r="AG398" s="212"/>
      <c r="AH398" s="212"/>
      <c r="AI398" s="212"/>
      <c r="AJ398" s="212"/>
      <c r="AK398" s="212"/>
      <c r="AL398" s="212"/>
      <c r="AM398" s="212"/>
      <c r="AN398" s="212"/>
      <c r="AO398" s="212"/>
      <c r="AP398" s="212"/>
      <c r="AQ398" s="212"/>
      <c r="AR398" s="212"/>
      <c r="AS398" s="212"/>
      <c r="AT398" s="212"/>
      <c r="AU398" s="212"/>
      <c r="AV398" s="212"/>
      <c r="AW398" s="212"/>
      <c r="AX398" s="212"/>
      <c r="AY398" s="212"/>
      <c r="AZ398" s="212"/>
      <c r="BA398" s="212"/>
      <c r="BB398" s="212"/>
      <c r="BC398" s="212"/>
      <c r="BD398" s="212"/>
      <c r="BE398" s="212"/>
      <c r="BF398" s="212"/>
      <c r="BG398" s="212"/>
      <c r="BH398" s="212"/>
      <c r="BI398" s="212"/>
      <c r="BJ398" s="212"/>
      <c r="BK398" s="212"/>
      <c r="BL398" s="212"/>
      <c r="BM398" s="212"/>
      <c r="BN398" s="212"/>
      <c r="BO398" s="212"/>
      <c r="BP398" s="212"/>
      <c r="BQ398" s="212"/>
      <c r="BR398" s="212"/>
      <c r="BS398" s="212"/>
      <c r="BT398" s="212"/>
      <c r="BU398" s="212"/>
      <c r="BV398" s="212"/>
      <c r="BW398" s="212"/>
      <c r="BX398" s="212"/>
      <c r="BY398" s="212"/>
      <c r="BZ398" s="212"/>
      <c r="CA398" s="212"/>
      <c r="CB398" s="212"/>
      <c r="CC398" s="211"/>
      <c r="CD398" s="211"/>
      <c r="CE398" s="211"/>
      <c r="CF398" s="211"/>
      <c r="CG398" s="211"/>
      <c r="CH398" s="211"/>
      <c r="CI398" s="211"/>
      <c r="CJ398" s="211"/>
      <c r="CK398" s="211"/>
      <c r="CL398" s="211"/>
      <c r="CM398" s="211"/>
      <c r="CN398" s="211"/>
      <c r="CO398" s="211"/>
      <c r="CP398" s="211"/>
      <c r="CQ398" s="211"/>
      <c r="CR398" s="211"/>
      <c r="CS398" s="211"/>
    </row>
    <row r="399" spans="1:97">
      <c r="A399" s="424">
        <v>45677</v>
      </c>
      <c r="B399" s="211" t="s">
        <v>247</v>
      </c>
      <c r="C399" s="212">
        <v>157.08000000000001</v>
      </c>
      <c r="D399" s="212">
        <v>155.08000000000001</v>
      </c>
      <c r="E399" s="212">
        <v>156.08000000000001</v>
      </c>
      <c r="F399" s="212">
        <v>162.01</v>
      </c>
      <c r="G399" s="212">
        <v>159.01</v>
      </c>
      <c r="H399" s="212">
        <v>160.51</v>
      </c>
      <c r="I399" s="212">
        <v>109.51</v>
      </c>
      <c r="J399" s="212">
        <v>106.31</v>
      </c>
      <c r="K399" s="212">
        <v>107.91</v>
      </c>
      <c r="L399" s="212">
        <v>194.17</v>
      </c>
      <c r="M399" s="212">
        <v>186.17</v>
      </c>
      <c r="N399" s="212">
        <v>190.17</v>
      </c>
      <c r="O399" s="212">
        <v>171.59</v>
      </c>
      <c r="P399" s="212">
        <v>169.79</v>
      </c>
      <c r="Q399" s="212">
        <v>170.69</v>
      </c>
      <c r="R399" s="212">
        <v>21.81</v>
      </c>
      <c r="S399" s="212">
        <v>21.209999999999997</v>
      </c>
      <c r="T399" s="212">
        <v>21.509999999999998</v>
      </c>
      <c r="U399" s="212">
        <v>13.97</v>
      </c>
      <c r="V399" s="212">
        <v>13.370000000000001</v>
      </c>
      <c r="W399" s="212">
        <v>13.670000000000002</v>
      </c>
      <c r="X399" s="212">
        <v>14.37</v>
      </c>
      <c r="Y399" s="212">
        <v>13.569999999999999</v>
      </c>
      <c r="Z399" s="212">
        <v>13.969999999999999</v>
      </c>
      <c r="AA399" s="212">
        <v>98.82</v>
      </c>
      <c r="AB399" s="212">
        <v>94.82</v>
      </c>
      <c r="AC399" s="212">
        <v>96.82</v>
      </c>
      <c r="AD399" s="212">
        <v>89.36</v>
      </c>
      <c r="AE399" s="212">
        <v>85.36</v>
      </c>
      <c r="AF399" s="212">
        <v>87.36</v>
      </c>
      <c r="AG399" s="212">
        <v>20.48</v>
      </c>
      <c r="AH399" s="212">
        <v>19.62</v>
      </c>
      <c r="AI399" s="212">
        <v>20.05</v>
      </c>
      <c r="AJ399" s="212"/>
      <c r="AK399" s="212"/>
      <c r="AL399" s="212"/>
      <c r="AM399" s="212">
        <v>114.98</v>
      </c>
      <c r="AN399" s="212">
        <v>113.32000000000001</v>
      </c>
      <c r="AO399" s="212">
        <v>114.15</v>
      </c>
      <c r="AP399" s="212">
        <v>42.47</v>
      </c>
      <c r="AQ399" s="212">
        <v>40.869999999999997</v>
      </c>
      <c r="AR399" s="212">
        <v>41.67</v>
      </c>
      <c r="AS399" s="212">
        <v>43.24</v>
      </c>
      <c r="AT399" s="212">
        <v>41.88</v>
      </c>
      <c r="AU399" s="212">
        <v>42.56</v>
      </c>
      <c r="AV399" s="212">
        <v>21.58</v>
      </c>
      <c r="AW399" s="212">
        <v>20.979999999999997</v>
      </c>
      <c r="AX399" s="212">
        <v>21.279999999999998</v>
      </c>
      <c r="AY399" s="212">
        <v>4.6100000000000003</v>
      </c>
      <c r="AZ399" s="212">
        <v>4.45</v>
      </c>
      <c r="BA399" s="212">
        <v>4.53</v>
      </c>
      <c r="BB399" s="212">
        <v>1.96</v>
      </c>
      <c r="BC399" s="212">
        <v>1.66</v>
      </c>
      <c r="BD399" s="212">
        <v>1.81</v>
      </c>
      <c r="BE399" s="212">
        <v>0.71</v>
      </c>
      <c r="BF399" s="212">
        <v>0.41</v>
      </c>
      <c r="BG399" s="212">
        <v>0.55999999999999994</v>
      </c>
      <c r="BH399" s="212">
        <v>514.75</v>
      </c>
      <c r="BI399" s="212">
        <v>498.75</v>
      </c>
      <c r="BJ399" s="212">
        <v>506.75</v>
      </c>
      <c r="BK399" s="212">
        <v>43.57</v>
      </c>
      <c r="BL399" s="212">
        <v>42.21</v>
      </c>
      <c r="BM399" s="212">
        <v>42.89</v>
      </c>
      <c r="BN399" s="212">
        <v>1.08</v>
      </c>
      <c r="BO399" s="212">
        <v>0.84000000000000008</v>
      </c>
      <c r="BP399" s="212">
        <v>0.96000000000000008</v>
      </c>
      <c r="BQ399" s="212">
        <v>8.51</v>
      </c>
      <c r="BR399" s="212">
        <v>6.51</v>
      </c>
      <c r="BS399" s="212">
        <v>7.51</v>
      </c>
      <c r="BT399" s="212">
        <v>10.92</v>
      </c>
      <c r="BU399" s="212">
        <v>10.52</v>
      </c>
      <c r="BV399" s="212">
        <v>10.719999999999999</v>
      </c>
      <c r="BW399" s="212">
        <v>2.82</v>
      </c>
      <c r="BX399" s="212">
        <v>2.54</v>
      </c>
      <c r="BY399" s="212">
        <v>2.6799999999999997</v>
      </c>
      <c r="BZ399" s="212">
        <v>9.82</v>
      </c>
      <c r="CA399" s="212">
        <v>6.82</v>
      </c>
      <c r="CB399" s="212">
        <v>8.32</v>
      </c>
      <c r="CC399" s="211">
        <v>6.48</v>
      </c>
      <c r="CD399" s="211">
        <v>6.24</v>
      </c>
      <c r="CE399" s="211">
        <v>6.36</v>
      </c>
      <c r="CF399" s="211">
        <v>1.77</v>
      </c>
      <c r="CG399" s="211">
        <v>1.27</v>
      </c>
      <c r="CH399" s="211">
        <v>1.52</v>
      </c>
      <c r="CI399" s="211">
        <v>0.41</v>
      </c>
      <c r="CJ399" s="211">
        <v>0.37</v>
      </c>
      <c r="CK399" s="211">
        <v>0.39</v>
      </c>
      <c r="CL399" s="211">
        <v>38.9</v>
      </c>
      <c r="CM399" s="211">
        <v>36.5</v>
      </c>
      <c r="CN399" s="211">
        <v>37.700000000000003</v>
      </c>
      <c r="CO399" s="211">
        <v>6.89</v>
      </c>
      <c r="CP399" s="211">
        <v>1.8899999999999997</v>
      </c>
      <c r="CQ399" s="211">
        <v>4.3899999999999997</v>
      </c>
      <c r="CR399" s="211"/>
      <c r="CS399" s="211"/>
    </row>
    <row r="400" spans="1:97">
      <c r="A400" s="424">
        <v>45678</v>
      </c>
      <c r="B400" s="211" t="s">
        <v>248</v>
      </c>
      <c r="C400" s="212">
        <v>157.1</v>
      </c>
      <c r="D400" s="212">
        <v>155.1</v>
      </c>
      <c r="E400" s="212">
        <v>156.1</v>
      </c>
      <c r="F400" s="212">
        <v>163.44</v>
      </c>
      <c r="G400" s="212">
        <v>160.44</v>
      </c>
      <c r="H400" s="212">
        <v>161.94</v>
      </c>
      <c r="I400" s="212">
        <v>109.44</v>
      </c>
      <c r="J400" s="212">
        <v>106.24</v>
      </c>
      <c r="K400" s="212">
        <v>107.84</v>
      </c>
      <c r="L400" s="212">
        <v>195.63</v>
      </c>
      <c r="M400" s="212">
        <v>187.63</v>
      </c>
      <c r="N400" s="212">
        <v>191.63</v>
      </c>
      <c r="O400" s="212">
        <v>172.7</v>
      </c>
      <c r="P400" s="212">
        <v>170.89999999999998</v>
      </c>
      <c r="Q400" s="212">
        <v>171.79999999999998</v>
      </c>
      <c r="R400" s="212">
        <v>22</v>
      </c>
      <c r="S400" s="212">
        <v>21.4</v>
      </c>
      <c r="T400" s="212">
        <v>21.7</v>
      </c>
      <c r="U400" s="212">
        <v>14.06</v>
      </c>
      <c r="V400" s="212">
        <v>13.46</v>
      </c>
      <c r="W400" s="212">
        <v>13.760000000000002</v>
      </c>
      <c r="X400" s="212">
        <v>14.5</v>
      </c>
      <c r="Y400" s="212">
        <v>13.7</v>
      </c>
      <c r="Z400" s="212">
        <v>14.1</v>
      </c>
      <c r="AA400" s="212">
        <v>99.25</v>
      </c>
      <c r="AB400" s="212">
        <v>95.25</v>
      </c>
      <c r="AC400" s="212">
        <v>97.25</v>
      </c>
      <c r="AD400" s="212">
        <v>90.12</v>
      </c>
      <c r="AE400" s="212">
        <v>86.12</v>
      </c>
      <c r="AF400" s="212">
        <v>88.12</v>
      </c>
      <c r="AG400" s="212">
        <v>20.49</v>
      </c>
      <c r="AH400" s="212">
        <v>19.63</v>
      </c>
      <c r="AI400" s="212">
        <v>20.059999999999999</v>
      </c>
      <c r="AJ400" s="212"/>
      <c r="AK400" s="212"/>
      <c r="AL400" s="212"/>
      <c r="AM400" s="212">
        <v>115.63</v>
      </c>
      <c r="AN400" s="212">
        <v>113.97</v>
      </c>
      <c r="AO400" s="212">
        <v>114.8</v>
      </c>
      <c r="AP400" s="212">
        <v>42.47</v>
      </c>
      <c r="AQ400" s="212">
        <v>40.869999999999997</v>
      </c>
      <c r="AR400" s="212">
        <v>41.67</v>
      </c>
      <c r="AS400" s="212">
        <v>43.25</v>
      </c>
      <c r="AT400" s="212">
        <v>41.89</v>
      </c>
      <c r="AU400" s="212">
        <v>42.57</v>
      </c>
      <c r="AV400" s="212">
        <v>21.72</v>
      </c>
      <c r="AW400" s="212">
        <v>21.119999999999997</v>
      </c>
      <c r="AX400" s="212">
        <v>21.419999999999998</v>
      </c>
      <c r="AY400" s="212">
        <v>4.6399999999999997</v>
      </c>
      <c r="AZ400" s="212">
        <v>4.4799999999999995</v>
      </c>
      <c r="BA400" s="212">
        <v>4.5599999999999996</v>
      </c>
      <c r="BB400" s="212">
        <v>1.97</v>
      </c>
      <c r="BC400" s="212">
        <v>1.67</v>
      </c>
      <c r="BD400" s="212">
        <v>1.8199999999999998</v>
      </c>
      <c r="BE400" s="212">
        <v>0.71</v>
      </c>
      <c r="BF400" s="212">
        <v>0.41</v>
      </c>
      <c r="BG400" s="212">
        <v>0.55999999999999994</v>
      </c>
      <c r="BH400" s="212">
        <v>515.15</v>
      </c>
      <c r="BI400" s="212">
        <v>499.15</v>
      </c>
      <c r="BJ400" s="212">
        <v>507.15</v>
      </c>
      <c r="BK400" s="212">
        <v>43.58</v>
      </c>
      <c r="BL400" s="212">
        <v>42.22</v>
      </c>
      <c r="BM400" s="212">
        <v>42.9</v>
      </c>
      <c r="BN400" s="212">
        <v>1.08</v>
      </c>
      <c r="BO400" s="212">
        <v>0.84000000000000008</v>
      </c>
      <c r="BP400" s="212">
        <v>0.96000000000000008</v>
      </c>
      <c r="BQ400" s="212">
        <v>8.5500000000000007</v>
      </c>
      <c r="BR400" s="212">
        <v>6.5500000000000007</v>
      </c>
      <c r="BS400" s="212">
        <v>7.5500000000000007</v>
      </c>
      <c r="BT400" s="212">
        <v>11.04</v>
      </c>
      <c r="BU400" s="212">
        <v>10.639999999999999</v>
      </c>
      <c r="BV400" s="212">
        <v>10.84</v>
      </c>
      <c r="BW400" s="212">
        <v>2.83</v>
      </c>
      <c r="BX400" s="212">
        <v>2.5499999999999998</v>
      </c>
      <c r="BY400" s="212">
        <v>2.69</v>
      </c>
      <c r="BZ400" s="212">
        <v>9.8800000000000008</v>
      </c>
      <c r="CA400" s="212">
        <v>6.8800000000000008</v>
      </c>
      <c r="CB400" s="212">
        <v>8.3800000000000008</v>
      </c>
      <c r="CC400" s="211">
        <v>6.55</v>
      </c>
      <c r="CD400" s="211">
        <v>6.31</v>
      </c>
      <c r="CE400" s="211">
        <v>6.43</v>
      </c>
      <c r="CF400" s="211">
        <v>1.8</v>
      </c>
      <c r="CG400" s="211">
        <v>1.3</v>
      </c>
      <c r="CH400" s="211">
        <v>1.55</v>
      </c>
      <c r="CI400" s="211">
        <v>0.41</v>
      </c>
      <c r="CJ400" s="211">
        <v>0.37</v>
      </c>
      <c r="CK400" s="211">
        <v>0.39</v>
      </c>
      <c r="CL400" s="211">
        <v>39.29</v>
      </c>
      <c r="CM400" s="211">
        <v>36.89</v>
      </c>
      <c r="CN400" s="211">
        <v>38.090000000000003</v>
      </c>
      <c r="CO400" s="211">
        <v>6.89</v>
      </c>
      <c r="CP400" s="211">
        <v>1.8899999999999997</v>
      </c>
      <c r="CQ400" s="211">
        <v>4.3899999999999997</v>
      </c>
      <c r="CR400" s="211"/>
      <c r="CS400" s="211"/>
    </row>
    <row r="401" spans="1:95">
      <c r="A401" s="424">
        <v>45679</v>
      </c>
      <c r="B401" s="211" t="s">
        <v>249</v>
      </c>
      <c r="C401" s="212">
        <v>156.55000000000001</v>
      </c>
      <c r="D401" s="212">
        <v>154.55000000000001</v>
      </c>
      <c r="E401" s="212">
        <v>155.55000000000001</v>
      </c>
      <c r="F401" s="212">
        <v>163.61000000000001</v>
      </c>
      <c r="G401" s="212">
        <v>160.61000000000001</v>
      </c>
      <c r="H401" s="212">
        <v>162.11000000000001</v>
      </c>
      <c r="I401" s="212">
        <v>110.21</v>
      </c>
      <c r="J401" s="212">
        <v>107.00999999999999</v>
      </c>
      <c r="K401" s="212">
        <v>108.60999999999999</v>
      </c>
      <c r="L401" s="212">
        <v>196.14</v>
      </c>
      <c r="M401" s="212">
        <v>188.14</v>
      </c>
      <c r="N401" s="212">
        <v>192.14</v>
      </c>
      <c r="O401" s="212">
        <v>172.63</v>
      </c>
      <c r="P401" s="212">
        <v>170.82999999999998</v>
      </c>
      <c r="Q401" s="212">
        <v>171.73</v>
      </c>
      <c r="R401" s="212">
        <v>22.03</v>
      </c>
      <c r="S401" s="212">
        <v>21.43</v>
      </c>
      <c r="T401" s="212">
        <v>21.73</v>
      </c>
      <c r="U401" s="212">
        <v>14.07</v>
      </c>
      <c r="V401" s="212">
        <v>13.47</v>
      </c>
      <c r="W401" s="212">
        <v>13.77</v>
      </c>
      <c r="X401" s="212">
        <v>14.57</v>
      </c>
      <c r="Y401" s="212">
        <v>13.77</v>
      </c>
      <c r="Z401" s="212">
        <v>14.17</v>
      </c>
      <c r="AA401" s="212">
        <v>99.62</v>
      </c>
      <c r="AB401" s="212">
        <v>95.62</v>
      </c>
      <c r="AC401" s="212">
        <v>97.62</v>
      </c>
      <c r="AD401" s="212">
        <v>90.15</v>
      </c>
      <c r="AE401" s="212">
        <v>86.15</v>
      </c>
      <c r="AF401" s="212">
        <v>88.15</v>
      </c>
      <c r="AG401" s="212">
        <v>20.41</v>
      </c>
      <c r="AH401" s="212">
        <v>19.55</v>
      </c>
      <c r="AI401" s="212">
        <v>19.98</v>
      </c>
      <c r="AJ401" s="212"/>
      <c r="AK401" s="212"/>
      <c r="AL401" s="212"/>
      <c r="AM401" s="212">
        <v>115.86</v>
      </c>
      <c r="AN401" s="212">
        <v>114.2</v>
      </c>
      <c r="AO401" s="212">
        <v>115.03</v>
      </c>
      <c r="AP401" s="212">
        <v>42.34</v>
      </c>
      <c r="AQ401" s="212">
        <v>40.74</v>
      </c>
      <c r="AR401" s="212">
        <v>41.540000000000006</v>
      </c>
      <c r="AS401" s="212">
        <v>43.1</v>
      </c>
      <c r="AT401" s="212">
        <v>41.74</v>
      </c>
      <c r="AU401" s="212">
        <v>42.42</v>
      </c>
      <c r="AV401" s="212">
        <v>21.69</v>
      </c>
      <c r="AW401" s="212">
        <v>21.09</v>
      </c>
      <c r="AX401" s="212">
        <v>21.39</v>
      </c>
      <c r="AY401" s="212">
        <v>4.67</v>
      </c>
      <c r="AZ401" s="212">
        <v>4.51</v>
      </c>
      <c r="BA401" s="212">
        <v>4.59</v>
      </c>
      <c r="BB401" s="212">
        <v>1.96</v>
      </c>
      <c r="BC401" s="212">
        <v>1.66</v>
      </c>
      <c r="BD401" s="212">
        <v>1.81</v>
      </c>
      <c r="BE401" s="212">
        <v>0.71</v>
      </c>
      <c r="BF401" s="212">
        <v>0.41</v>
      </c>
      <c r="BG401" s="212">
        <v>0.55999999999999994</v>
      </c>
      <c r="BH401" s="212">
        <v>513.85</v>
      </c>
      <c r="BI401" s="212">
        <v>497.85</v>
      </c>
      <c r="BJ401" s="212">
        <v>505.85</v>
      </c>
      <c r="BK401" s="212">
        <v>43.43</v>
      </c>
      <c r="BL401" s="212">
        <v>42.07</v>
      </c>
      <c r="BM401" s="212">
        <v>42.75</v>
      </c>
      <c r="BN401" s="212">
        <v>1.08</v>
      </c>
      <c r="BO401" s="212">
        <v>0.84000000000000008</v>
      </c>
      <c r="BP401" s="212">
        <v>0.96000000000000008</v>
      </c>
      <c r="BQ401" s="212">
        <v>8.5399999999999991</v>
      </c>
      <c r="BR401" s="212">
        <v>6.5399999999999991</v>
      </c>
      <c r="BS401" s="212">
        <v>7.5399999999999991</v>
      </c>
      <c r="BT401" s="212">
        <v>11.08</v>
      </c>
      <c r="BU401" s="212">
        <v>10.68</v>
      </c>
      <c r="BV401" s="212">
        <v>10.879999999999999</v>
      </c>
      <c r="BW401" s="212">
        <v>2.82</v>
      </c>
      <c r="BX401" s="212">
        <v>2.54</v>
      </c>
      <c r="BY401" s="212">
        <v>2.6799999999999997</v>
      </c>
      <c r="BZ401" s="212">
        <v>9.92</v>
      </c>
      <c r="CA401" s="212">
        <v>6.92</v>
      </c>
      <c r="CB401" s="212">
        <v>8.42</v>
      </c>
      <c r="CC401" s="211">
        <v>6.57</v>
      </c>
      <c r="CD401" s="211">
        <v>6.33</v>
      </c>
      <c r="CE401" s="211">
        <v>6.45</v>
      </c>
      <c r="CF401" s="211">
        <v>1.81</v>
      </c>
      <c r="CG401" s="211">
        <v>1.31</v>
      </c>
      <c r="CH401" s="211">
        <v>1.56</v>
      </c>
      <c r="CI401" s="211">
        <v>0.41</v>
      </c>
      <c r="CJ401" s="211">
        <v>0.37</v>
      </c>
      <c r="CK401" s="211">
        <v>0.39</v>
      </c>
      <c r="CL401" s="211">
        <v>39.369999999999997</v>
      </c>
      <c r="CM401" s="211">
        <v>36.97</v>
      </c>
      <c r="CN401" s="211">
        <v>38.17</v>
      </c>
      <c r="CO401" s="211">
        <v>6.87</v>
      </c>
      <c r="CP401" s="211">
        <v>1.87</v>
      </c>
      <c r="CQ401" s="211">
        <v>4.37</v>
      </c>
    </row>
    <row r="402" spans="1:95">
      <c r="A402" s="424">
        <v>45680</v>
      </c>
      <c r="B402" s="211" t="s">
        <v>250</v>
      </c>
      <c r="C402" s="212">
        <v>157.5</v>
      </c>
      <c r="D402" s="212">
        <v>155.5</v>
      </c>
      <c r="E402" s="212">
        <v>156.5</v>
      </c>
      <c r="F402" s="212">
        <v>164.37</v>
      </c>
      <c r="G402" s="212">
        <v>161.37</v>
      </c>
      <c r="H402" s="212">
        <v>162.87</v>
      </c>
      <c r="I402" s="212">
        <v>110.33</v>
      </c>
      <c r="J402" s="212">
        <v>107.13</v>
      </c>
      <c r="K402" s="212">
        <v>108.72999999999999</v>
      </c>
      <c r="L402" s="212">
        <v>196.81</v>
      </c>
      <c r="M402" s="212">
        <v>188.81</v>
      </c>
      <c r="N402" s="212">
        <v>192.81</v>
      </c>
      <c r="O402" s="212">
        <v>173.58</v>
      </c>
      <c r="P402" s="212">
        <v>171.78</v>
      </c>
      <c r="Q402" s="212">
        <v>172.68</v>
      </c>
      <c r="R402" s="212">
        <v>22.13</v>
      </c>
      <c r="S402" s="212">
        <v>21.529999999999998</v>
      </c>
      <c r="T402" s="212">
        <v>21.83</v>
      </c>
      <c r="U402" s="212">
        <v>14.16</v>
      </c>
      <c r="V402" s="212">
        <v>13.56</v>
      </c>
      <c r="W402" s="212">
        <v>13.86</v>
      </c>
      <c r="X402" s="212">
        <v>14.62</v>
      </c>
      <c r="Y402" s="212">
        <v>13.819999999999999</v>
      </c>
      <c r="Z402" s="212">
        <v>14.219999999999999</v>
      </c>
      <c r="AA402" s="212">
        <v>100.17</v>
      </c>
      <c r="AB402" s="212">
        <v>96.17</v>
      </c>
      <c r="AC402" s="212">
        <v>98.17</v>
      </c>
      <c r="AD402" s="212">
        <v>90.61</v>
      </c>
      <c r="AE402" s="212">
        <v>86.61</v>
      </c>
      <c r="AF402" s="212">
        <v>88.61</v>
      </c>
      <c r="AG402" s="212">
        <v>20.53</v>
      </c>
      <c r="AH402" s="212">
        <v>19.670000000000002</v>
      </c>
      <c r="AI402" s="212">
        <v>20.100000000000001</v>
      </c>
      <c r="AJ402" s="212"/>
      <c r="AK402" s="212"/>
      <c r="AL402" s="212"/>
      <c r="AM402" s="212">
        <v>116.31</v>
      </c>
      <c r="AN402" s="212">
        <v>114.65</v>
      </c>
      <c r="AO402" s="212">
        <v>115.48</v>
      </c>
      <c r="AP402" s="212">
        <v>42.59</v>
      </c>
      <c r="AQ402" s="212">
        <v>40.99</v>
      </c>
      <c r="AR402" s="212">
        <v>41.790000000000006</v>
      </c>
      <c r="AS402" s="212">
        <v>43.37</v>
      </c>
      <c r="AT402" s="212">
        <v>42.01</v>
      </c>
      <c r="AU402" s="212">
        <v>42.69</v>
      </c>
      <c r="AV402" s="212">
        <v>21.79</v>
      </c>
      <c r="AW402" s="212">
        <v>21.189999999999998</v>
      </c>
      <c r="AX402" s="212">
        <v>21.49</v>
      </c>
      <c r="AY402" s="212">
        <v>4.71</v>
      </c>
      <c r="AZ402" s="212">
        <v>4.55</v>
      </c>
      <c r="BA402" s="212">
        <v>4.63</v>
      </c>
      <c r="BB402" s="212">
        <v>1.97</v>
      </c>
      <c r="BC402" s="212">
        <v>1.67</v>
      </c>
      <c r="BD402" s="212">
        <v>1.8199999999999998</v>
      </c>
      <c r="BE402" s="212">
        <v>0.72</v>
      </c>
      <c r="BF402" s="212">
        <v>0.42</v>
      </c>
      <c r="BG402" s="212">
        <v>0.56999999999999995</v>
      </c>
      <c r="BH402" s="212">
        <v>516.61</v>
      </c>
      <c r="BI402" s="212">
        <v>500.61</v>
      </c>
      <c r="BJ402" s="212">
        <v>508.61</v>
      </c>
      <c r="BK402" s="212">
        <v>43.69</v>
      </c>
      <c r="BL402" s="212">
        <v>42.33</v>
      </c>
      <c r="BM402" s="212">
        <v>43.01</v>
      </c>
      <c r="BN402" s="212">
        <v>1.0900000000000001</v>
      </c>
      <c r="BO402" s="212">
        <v>0.85000000000000009</v>
      </c>
      <c r="BP402" s="212">
        <v>0.97000000000000008</v>
      </c>
      <c r="BQ402" s="212">
        <v>8.65</v>
      </c>
      <c r="BR402" s="212">
        <v>6.65</v>
      </c>
      <c r="BS402" s="212">
        <v>7.65</v>
      </c>
      <c r="BT402" s="212">
        <v>11.12</v>
      </c>
      <c r="BU402" s="212">
        <v>10.719999999999999</v>
      </c>
      <c r="BV402" s="212">
        <v>10.919999999999998</v>
      </c>
      <c r="BW402" s="212">
        <v>2.83</v>
      </c>
      <c r="BX402" s="212">
        <v>2.5499999999999998</v>
      </c>
      <c r="BY402" s="212">
        <v>2.69</v>
      </c>
      <c r="BZ402" s="212">
        <v>9.9499999999999993</v>
      </c>
      <c r="CA402" s="212">
        <v>6.9499999999999993</v>
      </c>
      <c r="CB402" s="212">
        <v>8.4499999999999993</v>
      </c>
      <c r="CC402" s="211">
        <v>6.61</v>
      </c>
      <c r="CD402" s="211">
        <v>6.37</v>
      </c>
      <c r="CE402" s="211">
        <v>6.49</v>
      </c>
      <c r="CF402" s="211">
        <v>1.83</v>
      </c>
      <c r="CG402" s="211">
        <v>1.33</v>
      </c>
      <c r="CH402" s="211">
        <v>1.58</v>
      </c>
      <c r="CI402" s="211">
        <v>0.42</v>
      </c>
      <c r="CJ402" s="211">
        <v>0.38</v>
      </c>
      <c r="CK402" s="211">
        <v>0.4</v>
      </c>
      <c r="CL402" s="211">
        <v>39.770000000000003</v>
      </c>
      <c r="CM402" s="211">
        <v>37.370000000000005</v>
      </c>
      <c r="CN402" s="211">
        <v>38.570000000000007</v>
      </c>
      <c r="CO402" s="211">
        <v>6.9</v>
      </c>
      <c r="CP402" s="211">
        <v>1.9000000000000004</v>
      </c>
      <c r="CQ402" s="211">
        <v>4.4000000000000004</v>
      </c>
    </row>
    <row r="403" spans="1:95">
      <c r="A403" s="424">
        <v>45681</v>
      </c>
      <c r="B403" t="s">
        <v>251</v>
      </c>
      <c r="C403">
        <v>157.33000000000001</v>
      </c>
      <c r="D403">
        <v>155.33000000000001</v>
      </c>
      <c r="E403">
        <v>156.33000000000001</v>
      </c>
      <c r="F403">
        <v>164.38</v>
      </c>
      <c r="G403">
        <v>161.38</v>
      </c>
      <c r="H403">
        <v>162.88</v>
      </c>
      <c r="I403">
        <v>110.34</v>
      </c>
      <c r="J403">
        <v>107.14</v>
      </c>
      <c r="K403">
        <v>108.74000000000001</v>
      </c>
      <c r="L403">
        <v>197.18</v>
      </c>
      <c r="M403">
        <v>189.18</v>
      </c>
      <c r="N403">
        <v>193.18</v>
      </c>
      <c r="O403">
        <v>173.13</v>
      </c>
      <c r="P403">
        <v>171.32999999999998</v>
      </c>
      <c r="Q403">
        <v>172.23</v>
      </c>
      <c r="R403">
        <v>22.13</v>
      </c>
      <c r="S403">
        <v>21.529999999999998</v>
      </c>
      <c r="T403">
        <v>21.83</v>
      </c>
      <c r="U403">
        <v>14.18</v>
      </c>
      <c r="V403">
        <v>13.58</v>
      </c>
      <c r="W403">
        <v>13.879999999999999</v>
      </c>
      <c r="X403">
        <v>14.62</v>
      </c>
      <c r="Y403">
        <v>13.819999999999999</v>
      </c>
      <c r="Z403">
        <v>14.219999999999999</v>
      </c>
      <c r="AA403">
        <v>100.22</v>
      </c>
      <c r="AB403">
        <v>96.22</v>
      </c>
      <c r="AC403">
        <v>98.22</v>
      </c>
      <c r="AD403">
        <v>90.7</v>
      </c>
      <c r="AE403">
        <v>86.7</v>
      </c>
      <c r="AF403">
        <v>88.7</v>
      </c>
      <c r="AG403">
        <v>20.5</v>
      </c>
      <c r="AH403">
        <v>19.64</v>
      </c>
      <c r="AI403">
        <v>20.07</v>
      </c>
      <c r="AM403">
        <v>116.14</v>
      </c>
      <c r="AN403">
        <v>114.48</v>
      </c>
      <c r="AO403">
        <v>115.31</v>
      </c>
      <c r="AP403">
        <v>42.54</v>
      </c>
      <c r="AQ403">
        <v>40.94</v>
      </c>
      <c r="AR403">
        <v>41.739999999999995</v>
      </c>
      <c r="AS403">
        <v>43.31</v>
      </c>
      <c r="AT403">
        <v>41.95</v>
      </c>
      <c r="AU403">
        <v>42.63</v>
      </c>
      <c r="AV403">
        <v>21.75</v>
      </c>
      <c r="AW403">
        <v>21.15</v>
      </c>
      <c r="AX403">
        <v>21.45</v>
      </c>
      <c r="AY403">
        <v>4.6900000000000004</v>
      </c>
      <c r="AZ403">
        <v>4.53</v>
      </c>
      <c r="BA403">
        <v>4.6100000000000003</v>
      </c>
      <c r="BB403">
        <v>1.97</v>
      </c>
      <c r="BC403">
        <v>1.67</v>
      </c>
      <c r="BD403">
        <v>1.8199999999999998</v>
      </c>
      <c r="BE403">
        <v>0.71</v>
      </c>
      <c r="BF403">
        <v>0.41</v>
      </c>
      <c r="BG403">
        <v>0.55999999999999994</v>
      </c>
      <c r="BH403">
        <v>514.25</v>
      </c>
      <c r="BI403">
        <v>498.25</v>
      </c>
      <c r="BJ403">
        <v>506.25</v>
      </c>
      <c r="BK403">
        <v>43.64</v>
      </c>
      <c r="BL403">
        <v>42.28</v>
      </c>
      <c r="BM403">
        <v>42.96</v>
      </c>
      <c r="BN403">
        <v>1.0900000000000001</v>
      </c>
      <c r="BO403">
        <v>0.85000000000000009</v>
      </c>
      <c r="BP403">
        <v>0.97000000000000008</v>
      </c>
      <c r="BQ403">
        <v>8.68</v>
      </c>
      <c r="BR403">
        <v>6.68</v>
      </c>
      <c r="BS403">
        <v>7.68</v>
      </c>
      <c r="BT403">
        <v>11.12</v>
      </c>
      <c r="BU403">
        <v>10.719999999999999</v>
      </c>
      <c r="BV403">
        <v>10.919999999999998</v>
      </c>
      <c r="BW403">
        <v>2.82</v>
      </c>
      <c r="BX403">
        <v>2.54</v>
      </c>
      <c r="BY403">
        <v>2.6799999999999997</v>
      </c>
      <c r="BZ403">
        <v>9.94</v>
      </c>
      <c r="CA403">
        <v>6.9399999999999995</v>
      </c>
      <c r="CB403">
        <v>8.44</v>
      </c>
      <c r="CC403">
        <v>6.6</v>
      </c>
      <c r="CD403">
        <v>6.3599999999999994</v>
      </c>
      <c r="CE403">
        <v>6.4799999999999995</v>
      </c>
      <c r="CF403">
        <v>1.82</v>
      </c>
      <c r="CG403">
        <v>1.32</v>
      </c>
      <c r="CH403">
        <v>1.57</v>
      </c>
      <c r="CI403">
        <v>0.42</v>
      </c>
      <c r="CJ403">
        <v>0.38</v>
      </c>
      <c r="CK403">
        <v>0.4</v>
      </c>
      <c r="CL403">
        <v>39.83</v>
      </c>
      <c r="CM403">
        <v>37.43</v>
      </c>
      <c r="CN403">
        <v>38.629999999999995</v>
      </c>
      <c r="CO403">
        <v>6.89</v>
      </c>
      <c r="CP403">
        <v>1.8899999999999997</v>
      </c>
      <c r="CQ403">
        <v>4.3899999999999997</v>
      </c>
    </row>
    <row r="404" spans="1:95">
      <c r="A404" s="424">
        <v>45682</v>
      </c>
      <c r="B404" t="s">
        <v>252</v>
      </c>
    </row>
    <row r="405" spans="1:95">
      <c r="A405" s="424">
        <v>45683</v>
      </c>
      <c r="B405" t="s">
        <v>253</v>
      </c>
    </row>
    <row r="406" spans="1:95">
      <c r="A406" s="424">
        <v>45684</v>
      </c>
      <c r="B406" t="s">
        <v>247</v>
      </c>
      <c r="C406">
        <v>156.6</v>
      </c>
      <c r="D406">
        <v>154.6</v>
      </c>
      <c r="E406">
        <v>155.6</v>
      </c>
      <c r="F406">
        <v>164.51</v>
      </c>
      <c r="G406">
        <v>161.51</v>
      </c>
      <c r="H406">
        <v>163.01</v>
      </c>
      <c r="I406">
        <v>109.83</v>
      </c>
      <c r="J406">
        <v>106.63</v>
      </c>
      <c r="K406">
        <v>108.22999999999999</v>
      </c>
      <c r="L406">
        <v>197.92</v>
      </c>
      <c r="M406">
        <v>189.92</v>
      </c>
      <c r="N406">
        <v>193.92</v>
      </c>
      <c r="O406">
        <v>172.59</v>
      </c>
      <c r="P406">
        <v>170.79</v>
      </c>
      <c r="Q406">
        <v>171.69</v>
      </c>
      <c r="R406">
        <v>22.14</v>
      </c>
      <c r="S406">
        <v>21.54</v>
      </c>
      <c r="T406">
        <v>21.84</v>
      </c>
      <c r="U406">
        <v>14.14</v>
      </c>
      <c r="V406">
        <v>13.540000000000001</v>
      </c>
      <c r="W406">
        <v>13.84</v>
      </c>
      <c r="X406">
        <v>14.62</v>
      </c>
      <c r="Y406">
        <v>13.819999999999999</v>
      </c>
      <c r="Z406">
        <v>14.219999999999999</v>
      </c>
      <c r="AA406">
        <v>99.93</v>
      </c>
      <c r="AB406">
        <v>95.93</v>
      </c>
      <c r="AC406">
        <v>97.93</v>
      </c>
      <c r="AD406">
        <v>90.55</v>
      </c>
      <c r="AE406">
        <v>86.55</v>
      </c>
      <c r="AF406">
        <v>88.55</v>
      </c>
      <c r="AG406">
        <v>20.41</v>
      </c>
      <c r="AH406">
        <v>19.55</v>
      </c>
      <c r="AI406">
        <v>19.98</v>
      </c>
      <c r="AM406">
        <v>116.34</v>
      </c>
      <c r="AN406">
        <v>114.68</v>
      </c>
      <c r="AO406">
        <v>115.51</v>
      </c>
      <c r="AP406">
        <v>42.36</v>
      </c>
      <c r="AQ406">
        <v>40.76</v>
      </c>
      <c r="AR406">
        <v>41.56</v>
      </c>
      <c r="AS406">
        <v>43.11</v>
      </c>
      <c r="AT406">
        <v>41.75</v>
      </c>
      <c r="AU406">
        <v>42.43</v>
      </c>
      <c r="AV406">
        <v>21.75</v>
      </c>
      <c r="AW406">
        <v>21.15</v>
      </c>
      <c r="AX406">
        <v>21.45</v>
      </c>
      <c r="AY406">
        <v>4.71</v>
      </c>
      <c r="AZ406">
        <v>4.55</v>
      </c>
      <c r="BA406">
        <v>4.63</v>
      </c>
      <c r="BB406">
        <v>1.96</v>
      </c>
      <c r="BC406">
        <v>1.66</v>
      </c>
      <c r="BD406">
        <v>1.81</v>
      </c>
      <c r="BE406">
        <v>0.71</v>
      </c>
      <c r="BF406">
        <v>0.41</v>
      </c>
      <c r="BG406">
        <v>0.55999999999999994</v>
      </c>
      <c r="BH406">
        <v>514.02</v>
      </c>
      <c r="BI406">
        <v>498.02</v>
      </c>
      <c r="BJ406">
        <v>506.02</v>
      </c>
      <c r="BK406">
        <v>43.44</v>
      </c>
      <c r="BL406">
        <v>42.08</v>
      </c>
      <c r="BM406">
        <v>42.76</v>
      </c>
      <c r="BN406">
        <v>1.0900000000000001</v>
      </c>
      <c r="BO406">
        <v>0.85000000000000009</v>
      </c>
      <c r="BP406">
        <v>0.97000000000000008</v>
      </c>
      <c r="BQ406">
        <v>8.6300000000000008</v>
      </c>
      <c r="BR406">
        <v>6.6300000000000008</v>
      </c>
      <c r="BS406">
        <v>7.6300000000000008</v>
      </c>
      <c r="BT406">
        <v>11.13</v>
      </c>
      <c r="BU406">
        <v>10.73</v>
      </c>
      <c r="BV406">
        <v>10.93</v>
      </c>
      <c r="BW406">
        <v>2.83</v>
      </c>
      <c r="BX406">
        <v>2.5499999999999998</v>
      </c>
      <c r="BY406">
        <v>2.69</v>
      </c>
      <c r="BZ406">
        <v>9.9</v>
      </c>
      <c r="CA406">
        <v>6.9</v>
      </c>
      <c r="CB406">
        <v>8.4</v>
      </c>
      <c r="CC406">
        <v>6.63</v>
      </c>
      <c r="CD406">
        <v>6.39</v>
      </c>
      <c r="CE406">
        <v>6.51</v>
      </c>
      <c r="CF406">
        <v>1.84</v>
      </c>
      <c r="CG406">
        <v>1.34</v>
      </c>
      <c r="CH406">
        <v>1.59</v>
      </c>
      <c r="CI406">
        <v>0.42</v>
      </c>
      <c r="CJ406">
        <v>0.38</v>
      </c>
      <c r="CK406">
        <v>0.4</v>
      </c>
      <c r="CL406">
        <v>39.909999999999997</v>
      </c>
      <c r="CM406">
        <v>37.51</v>
      </c>
      <c r="CN406">
        <v>38.709999999999994</v>
      </c>
      <c r="CO406">
        <v>6.86</v>
      </c>
      <c r="CP406">
        <v>1.8600000000000003</v>
      </c>
      <c r="CQ406">
        <v>4.3600000000000003</v>
      </c>
    </row>
    <row r="407" spans="1:95">
      <c r="A407" s="424">
        <v>45685</v>
      </c>
      <c r="B407" t="s">
        <v>248</v>
      </c>
      <c r="C407">
        <v>156.13</v>
      </c>
      <c r="D407">
        <v>154.13</v>
      </c>
      <c r="E407">
        <v>155.13</v>
      </c>
      <c r="F407">
        <v>163.55000000000001</v>
      </c>
      <c r="G407">
        <v>160.55000000000001</v>
      </c>
      <c r="H407">
        <v>162.05000000000001</v>
      </c>
      <c r="I407">
        <v>109.4</v>
      </c>
      <c r="J407">
        <v>106.2</v>
      </c>
      <c r="K407">
        <v>107.80000000000001</v>
      </c>
      <c r="L407">
        <v>197.26</v>
      </c>
      <c r="M407">
        <v>189.26</v>
      </c>
      <c r="N407">
        <v>193.26</v>
      </c>
      <c r="O407">
        <v>172.43</v>
      </c>
      <c r="P407">
        <v>170.63</v>
      </c>
      <c r="Q407">
        <v>171.53</v>
      </c>
      <c r="R407">
        <v>22.02</v>
      </c>
      <c r="S407">
        <v>21.419999999999998</v>
      </c>
      <c r="T407">
        <v>21.72</v>
      </c>
      <c r="U407">
        <v>14.03</v>
      </c>
      <c r="V407">
        <v>13.43</v>
      </c>
      <c r="W407">
        <v>13.73</v>
      </c>
      <c r="X407">
        <v>14.53</v>
      </c>
      <c r="Y407">
        <v>13.729999999999999</v>
      </c>
      <c r="Z407">
        <v>14.129999999999999</v>
      </c>
      <c r="AA407">
        <v>99.22</v>
      </c>
      <c r="AB407">
        <v>95.22</v>
      </c>
      <c r="AC407">
        <v>97.22</v>
      </c>
      <c r="AD407">
        <v>89.91</v>
      </c>
      <c r="AE407">
        <v>85.91</v>
      </c>
      <c r="AF407">
        <v>87.91</v>
      </c>
      <c r="AG407">
        <v>20.350000000000001</v>
      </c>
      <c r="AH407">
        <v>19.490000000000002</v>
      </c>
      <c r="AI407">
        <v>19.920000000000002</v>
      </c>
      <c r="AM407">
        <v>115.77</v>
      </c>
      <c r="AN407">
        <v>114.11</v>
      </c>
      <c r="AO407">
        <v>114.94</v>
      </c>
      <c r="AP407">
        <v>42.22</v>
      </c>
      <c r="AQ407">
        <v>40.619999999999997</v>
      </c>
      <c r="AR407">
        <v>41.42</v>
      </c>
      <c r="AS407">
        <v>42.98</v>
      </c>
      <c r="AT407">
        <v>41.62</v>
      </c>
      <c r="AU407">
        <v>42.3</v>
      </c>
      <c r="AV407">
        <v>21.62</v>
      </c>
      <c r="AW407">
        <v>21.02</v>
      </c>
      <c r="AX407">
        <v>21.32</v>
      </c>
      <c r="AY407">
        <v>4.6500000000000004</v>
      </c>
      <c r="AZ407">
        <v>4.49</v>
      </c>
      <c r="BA407">
        <v>4.57</v>
      </c>
      <c r="BB407">
        <v>1.95</v>
      </c>
      <c r="BC407">
        <v>1.65</v>
      </c>
      <c r="BD407">
        <v>1.7999999999999998</v>
      </c>
      <c r="BE407">
        <v>0.71</v>
      </c>
      <c r="BF407">
        <v>0.41</v>
      </c>
      <c r="BG407">
        <v>0.55999999999999994</v>
      </c>
      <c r="BH407">
        <v>512.16</v>
      </c>
      <c r="BI407">
        <v>496.15999999999997</v>
      </c>
      <c r="BJ407">
        <v>504.15999999999997</v>
      </c>
      <c r="BK407">
        <v>43.3</v>
      </c>
      <c r="BL407">
        <v>41.94</v>
      </c>
      <c r="BM407">
        <v>42.62</v>
      </c>
      <c r="BN407">
        <v>1.08</v>
      </c>
      <c r="BO407">
        <v>0.84000000000000008</v>
      </c>
      <c r="BP407">
        <v>0.96000000000000008</v>
      </c>
      <c r="BQ407">
        <v>8.49</v>
      </c>
      <c r="BR407">
        <v>6.49</v>
      </c>
      <c r="BS407">
        <v>7.49</v>
      </c>
      <c r="BT407">
        <v>11.03</v>
      </c>
      <c r="BU407">
        <v>10.629999999999999</v>
      </c>
      <c r="BV407">
        <v>10.829999999999998</v>
      </c>
      <c r="BW407">
        <v>2.81</v>
      </c>
      <c r="BX407">
        <v>2.5300000000000002</v>
      </c>
      <c r="BY407">
        <v>2.67</v>
      </c>
      <c r="BZ407">
        <v>9.75</v>
      </c>
      <c r="CA407">
        <v>6.75</v>
      </c>
      <c r="CB407">
        <v>8.25</v>
      </c>
      <c r="CC407">
        <v>6.58</v>
      </c>
      <c r="CD407">
        <v>6.34</v>
      </c>
      <c r="CE407">
        <v>6.46</v>
      </c>
      <c r="CF407">
        <v>1.84</v>
      </c>
      <c r="CG407">
        <v>1.34</v>
      </c>
      <c r="CH407">
        <v>1.59</v>
      </c>
      <c r="CI407">
        <v>0.42</v>
      </c>
      <c r="CJ407">
        <v>0.38</v>
      </c>
      <c r="CK407">
        <v>0.4</v>
      </c>
      <c r="CL407">
        <v>39.659999999999997</v>
      </c>
      <c r="CM407">
        <v>37.26</v>
      </c>
      <c r="CN407">
        <v>38.459999999999994</v>
      </c>
      <c r="CO407">
        <v>6.84</v>
      </c>
      <c r="CP407">
        <v>1.8399999999999999</v>
      </c>
      <c r="CQ407">
        <v>4.34</v>
      </c>
    </row>
    <row r="408" spans="1:95">
      <c r="A408" s="424">
        <v>45686</v>
      </c>
      <c r="B408" t="s">
        <v>249</v>
      </c>
      <c r="C408">
        <v>156.68</v>
      </c>
      <c r="D408">
        <v>154.68</v>
      </c>
      <c r="E408">
        <v>155.68</v>
      </c>
      <c r="F408">
        <v>163.87</v>
      </c>
      <c r="G408">
        <v>160.87</v>
      </c>
      <c r="H408">
        <v>162.37</v>
      </c>
      <c r="I408">
        <v>109.69</v>
      </c>
      <c r="J408">
        <v>106.49</v>
      </c>
      <c r="K408">
        <v>108.09</v>
      </c>
      <c r="L408">
        <v>197.65</v>
      </c>
      <c r="M408">
        <v>189.65</v>
      </c>
      <c r="N408">
        <v>193.65</v>
      </c>
      <c r="O408">
        <v>173.07</v>
      </c>
      <c r="P408">
        <v>171.26999999999998</v>
      </c>
      <c r="Q408">
        <v>172.17</v>
      </c>
      <c r="R408">
        <v>22.06</v>
      </c>
      <c r="S408">
        <v>21.459999999999997</v>
      </c>
      <c r="T408">
        <v>21.759999999999998</v>
      </c>
      <c r="U408">
        <v>14.11</v>
      </c>
      <c r="V408">
        <v>13.51</v>
      </c>
      <c r="W408">
        <v>13.809999999999999</v>
      </c>
      <c r="X408">
        <v>14.56</v>
      </c>
      <c r="Y408">
        <v>13.76</v>
      </c>
      <c r="Z408">
        <v>14.16</v>
      </c>
      <c r="AA408">
        <v>99.05</v>
      </c>
      <c r="AB408">
        <v>95.05</v>
      </c>
      <c r="AC408">
        <v>97.05</v>
      </c>
      <c r="AD408">
        <v>90.13</v>
      </c>
      <c r="AE408">
        <v>86.13</v>
      </c>
      <c r="AF408">
        <v>88.13</v>
      </c>
      <c r="AG408">
        <v>20.41</v>
      </c>
      <c r="AH408">
        <v>19.55</v>
      </c>
      <c r="AI408">
        <v>19.98</v>
      </c>
      <c r="AM408">
        <v>115.97</v>
      </c>
      <c r="AN408">
        <v>114.31</v>
      </c>
      <c r="AO408">
        <v>115.14</v>
      </c>
      <c r="AP408">
        <v>42.35</v>
      </c>
      <c r="AQ408">
        <v>40.75</v>
      </c>
      <c r="AR408">
        <v>41.55</v>
      </c>
      <c r="AS408">
        <v>43.13</v>
      </c>
      <c r="AT408">
        <v>41.77</v>
      </c>
      <c r="AU408">
        <v>42.45</v>
      </c>
      <c r="AV408">
        <v>21.69</v>
      </c>
      <c r="AW408">
        <v>21.09</v>
      </c>
      <c r="AX408">
        <v>21.39</v>
      </c>
      <c r="AY408">
        <v>4.68</v>
      </c>
      <c r="AZ408">
        <v>4.5199999999999996</v>
      </c>
      <c r="BA408">
        <v>4.5999999999999996</v>
      </c>
      <c r="BB408">
        <v>1.96</v>
      </c>
      <c r="BC408">
        <v>1.66</v>
      </c>
      <c r="BD408">
        <v>1.81</v>
      </c>
      <c r="BE408">
        <v>0.71</v>
      </c>
      <c r="BF408">
        <v>0.41</v>
      </c>
      <c r="BG408">
        <v>0.55999999999999994</v>
      </c>
      <c r="BH408">
        <v>513.78</v>
      </c>
      <c r="BI408">
        <v>497.78</v>
      </c>
      <c r="BJ408">
        <v>505.78</v>
      </c>
      <c r="BK408">
        <v>43.46</v>
      </c>
      <c r="BL408">
        <v>42.1</v>
      </c>
      <c r="BM408">
        <v>42.78</v>
      </c>
      <c r="BN408">
        <v>1.0900000000000001</v>
      </c>
      <c r="BO408">
        <v>0.85000000000000009</v>
      </c>
      <c r="BP408">
        <v>0.97000000000000008</v>
      </c>
      <c r="BQ408">
        <v>8.58</v>
      </c>
      <c r="BR408">
        <v>6.58</v>
      </c>
      <c r="BS408">
        <v>7.58</v>
      </c>
      <c r="BT408">
        <v>10.98</v>
      </c>
      <c r="BU408">
        <v>10.58</v>
      </c>
      <c r="BV408">
        <v>10.780000000000001</v>
      </c>
      <c r="BW408">
        <v>2.82</v>
      </c>
      <c r="BX408">
        <v>2.54</v>
      </c>
      <c r="BY408">
        <v>2.6799999999999997</v>
      </c>
      <c r="BZ408">
        <v>9.82</v>
      </c>
      <c r="CA408">
        <v>6.82</v>
      </c>
      <c r="CB408">
        <v>8.32</v>
      </c>
      <c r="CC408">
        <v>6.6</v>
      </c>
      <c r="CD408">
        <v>6.3599999999999994</v>
      </c>
      <c r="CE408">
        <v>6.4799999999999995</v>
      </c>
      <c r="CF408">
        <v>1.84</v>
      </c>
      <c r="CG408">
        <v>1.34</v>
      </c>
      <c r="CH408">
        <v>1.59</v>
      </c>
      <c r="CI408">
        <v>0.42</v>
      </c>
      <c r="CJ408">
        <v>0.38</v>
      </c>
      <c r="CK408">
        <v>0.4</v>
      </c>
      <c r="CL408">
        <v>39.86</v>
      </c>
      <c r="CM408">
        <v>37.46</v>
      </c>
      <c r="CN408">
        <v>38.659999999999997</v>
      </c>
      <c r="CO408">
        <v>6.86</v>
      </c>
      <c r="CP408">
        <v>1.8600000000000003</v>
      </c>
      <c r="CQ408">
        <v>4.3600000000000003</v>
      </c>
    </row>
    <row r="409" spans="1:95">
      <c r="A409" s="424">
        <v>45687</v>
      </c>
      <c r="B409" t="s">
        <v>250</v>
      </c>
      <c r="C409">
        <v>155.76</v>
      </c>
      <c r="D409">
        <v>153.76</v>
      </c>
      <c r="E409">
        <v>154.76</v>
      </c>
      <c r="F409">
        <v>162.84</v>
      </c>
      <c r="G409">
        <v>159.84</v>
      </c>
      <c r="H409">
        <v>161.34</v>
      </c>
      <c r="I409">
        <v>109.01</v>
      </c>
      <c r="J409">
        <v>105.81</v>
      </c>
      <c r="K409">
        <v>107.41</v>
      </c>
      <c r="L409">
        <v>196.71</v>
      </c>
      <c r="M409">
        <v>188.71</v>
      </c>
      <c r="N409">
        <v>192.71</v>
      </c>
      <c r="O409">
        <v>171.66</v>
      </c>
      <c r="P409">
        <v>169.85999999999999</v>
      </c>
      <c r="Q409">
        <v>170.76</v>
      </c>
      <c r="R409">
        <v>21.92</v>
      </c>
      <c r="S409">
        <v>21.32</v>
      </c>
      <c r="T409">
        <v>21.62</v>
      </c>
      <c r="U409">
        <v>14.02</v>
      </c>
      <c r="V409">
        <v>13.42</v>
      </c>
      <c r="W409">
        <v>13.719999999999999</v>
      </c>
      <c r="X409">
        <v>14.48</v>
      </c>
      <c r="Y409">
        <v>13.68</v>
      </c>
      <c r="Z409">
        <v>14.08</v>
      </c>
      <c r="AA409">
        <v>98.52</v>
      </c>
      <c r="AB409">
        <v>94.52</v>
      </c>
      <c r="AC409">
        <v>96.52</v>
      </c>
      <c r="AD409">
        <v>89.64</v>
      </c>
      <c r="AE409">
        <v>85.64</v>
      </c>
      <c r="AF409">
        <v>87.64</v>
      </c>
      <c r="AG409">
        <v>20.29</v>
      </c>
      <c r="AH409">
        <v>19.43</v>
      </c>
      <c r="AI409">
        <v>19.86</v>
      </c>
      <c r="AM409">
        <v>115.49</v>
      </c>
      <c r="AN409">
        <v>113.83</v>
      </c>
      <c r="AO409">
        <v>114.66</v>
      </c>
      <c r="AP409">
        <v>42.12</v>
      </c>
      <c r="AQ409">
        <v>40.519999999999996</v>
      </c>
      <c r="AR409">
        <v>41.319999999999993</v>
      </c>
      <c r="AS409">
        <v>42.88</v>
      </c>
      <c r="AT409">
        <v>41.52</v>
      </c>
      <c r="AU409">
        <v>42.2</v>
      </c>
      <c r="AV409">
        <v>21.59</v>
      </c>
      <c r="AW409">
        <v>20.99</v>
      </c>
      <c r="AX409">
        <v>21.29</v>
      </c>
      <c r="AY409">
        <v>4.68</v>
      </c>
      <c r="AZ409">
        <v>4.5199999999999996</v>
      </c>
      <c r="BA409">
        <v>4.5999999999999996</v>
      </c>
      <c r="BB409">
        <v>1.95</v>
      </c>
      <c r="BC409">
        <v>1.65</v>
      </c>
      <c r="BD409">
        <v>1.7999999999999998</v>
      </c>
      <c r="BE409">
        <v>0.71</v>
      </c>
      <c r="BF409">
        <v>0.41</v>
      </c>
      <c r="BG409">
        <v>0.55999999999999994</v>
      </c>
      <c r="BH409">
        <v>510.96</v>
      </c>
      <c r="BI409">
        <v>494.96</v>
      </c>
      <c r="BJ409">
        <v>502.96</v>
      </c>
      <c r="BK409">
        <v>43.21</v>
      </c>
      <c r="BL409">
        <v>41.85</v>
      </c>
      <c r="BM409">
        <v>42.53</v>
      </c>
      <c r="BN409">
        <v>1.08</v>
      </c>
      <c r="BO409">
        <v>0.84000000000000008</v>
      </c>
      <c r="BP409">
        <v>0.96000000000000008</v>
      </c>
      <c r="BQ409">
        <v>8.56</v>
      </c>
      <c r="BR409">
        <v>6.5600000000000005</v>
      </c>
      <c r="BS409">
        <v>7.5600000000000005</v>
      </c>
      <c r="BT409">
        <v>10.94</v>
      </c>
      <c r="BU409">
        <v>10.54</v>
      </c>
      <c r="BV409">
        <v>10.739999999999998</v>
      </c>
      <c r="BW409">
        <v>2.81</v>
      </c>
      <c r="BX409">
        <v>2.5300000000000002</v>
      </c>
      <c r="BY409">
        <v>2.67</v>
      </c>
      <c r="BZ409">
        <v>9.84</v>
      </c>
      <c r="CA409">
        <v>6.84</v>
      </c>
      <c r="CB409">
        <v>8.34</v>
      </c>
      <c r="CC409">
        <v>6.55</v>
      </c>
      <c r="CD409">
        <v>6.31</v>
      </c>
      <c r="CE409">
        <v>6.43</v>
      </c>
      <c r="CF409">
        <v>1.81</v>
      </c>
      <c r="CG409">
        <v>1.31</v>
      </c>
      <c r="CH409">
        <v>1.56</v>
      </c>
      <c r="CI409">
        <v>0.42</v>
      </c>
      <c r="CJ409">
        <v>0.38</v>
      </c>
      <c r="CK409">
        <v>0.4</v>
      </c>
      <c r="CL409">
        <v>39.6</v>
      </c>
      <c r="CM409">
        <v>37.200000000000003</v>
      </c>
      <c r="CN409">
        <v>38.400000000000006</v>
      </c>
      <c r="CO409">
        <v>6.83</v>
      </c>
      <c r="CP409">
        <v>1.83</v>
      </c>
      <c r="CQ409">
        <v>4.33</v>
      </c>
    </row>
    <row r="410" spans="1:95">
      <c r="A410" s="424">
        <v>45688</v>
      </c>
      <c r="B410" t="s">
        <v>251</v>
      </c>
      <c r="C410">
        <v>155.43</v>
      </c>
      <c r="D410">
        <v>153.43</v>
      </c>
      <c r="E410">
        <v>154.43</v>
      </c>
      <c r="F410">
        <v>161.86000000000001</v>
      </c>
      <c r="G410">
        <v>158.86000000000001</v>
      </c>
      <c r="H410">
        <v>160.36000000000001</v>
      </c>
      <c r="I410">
        <v>108.09</v>
      </c>
      <c r="J410">
        <v>104.89</v>
      </c>
      <c r="K410">
        <v>106.49000000000001</v>
      </c>
      <c r="L410">
        <v>195.69</v>
      </c>
      <c r="M410">
        <v>187.69</v>
      </c>
      <c r="N410">
        <v>191.69</v>
      </c>
      <c r="O410">
        <v>170.49</v>
      </c>
      <c r="P410">
        <v>168.69</v>
      </c>
      <c r="Q410">
        <v>169.59</v>
      </c>
      <c r="R410">
        <v>21.79</v>
      </c>
      <c r="S410">
        <v>21.189999999999998</v>
      </c>
      <c r="T410">
        <v>21.49</v>
      </c>
      <c r="U410">
        <v>13.93</v>
      </c>
      <c r="V410">
        <v>13.33</v>
      </c>
      <c r="W410">
        <v>13.629999999999999</v>
      </c>
      <c r="X410">
        <v>14.35</v>
      </c>
      <c r="Y410">
        <v>13.549999999999999</v>
      </c>
      <c r="Z410">
        <v>13.95</v>
      </c>
      <c r="AA410">
        <v>97.87</v>
      </c>
      <c r="AB410">
        <v>93.87</v>
      </c>
      <c r="AC410">
        <v>95.87</v>
      </c>
      <c r="AD410">
        <v>88.87</v>
      </c>
      <c r="AE410">
        <v>84.87</v>
      </c>
      <c r="AF410">
        <v>86.87</v>
      </c>
      <c r="AG410">
        <v>20.25</v>
      </c>
      <c r="AH410">
        <v>19.39</v>
      </c>
      <c r="AI410">
        <v>19.82</v>
      </c>
      <c r="AM410">
        <v>114.87</v>
      </c>
      <c r="AN410">
        <v>113.21000000000001</v>
      </c>
      <c r="AO410">
        <v>114.04</v>
      </c>
      <c r="AP410">
        <v>42.04</v>
      </c>
      <c r="AQ410">
        <v>40.44</v>
      </c>
      <c r="AR410">
        <v>41.239999999999995</v>
      </c>
      <c r="AS410">
        <v>42.8</v>
      </c>
      <c r="AT410">
        <v>41.44</v>
      </c>
      <c r="AU410">
        <v>42.12</v>
      </c>
      <c r="AV410">
        <v>21.46</v>
      </c>
      <c r="AW410">
        <v>20.86</v>
      </c>
      <c r="AX410">
        <v>21.16</v>
      </c>
      <c r="AY410">
        <v>4.67</v>
      </c>
      <c r="AZ410">
        <v>4.51</v>
      </c>
      <c r="BA410">
        <v>4.59</v>
      </c>
      <c r="BB410">
        <v>1.94</v>
      </c>
      <c r="BC410">
        <v>1.64</v>
      </c>
      <c r="BD410">
        <v>1.79</v>
      </c>
      <c r="BE410">
        <v>0.71</v>
      </c>
      <c r="BF410">
        <v>0.41</v>
      </c>
      <c r="BG410">
        <v>0.55999999999999994</v>
      </c>
      <c r="BH410">
        <v>509.56</v>
      </c>
      <c r="BI410">
        <v>493.56</v>
      </c>
      <c r="BJ410">
        <v>501.56</v>
      </c>
      <c r="BK410">
        <v>43.12</v>
      </c>
      <c r="BL410">
        <v>41.76</v>
      </c>
      <c r="BM410">
        <v>42.44</v>
      </c>
      <c r="BN410">
        <v>1.07</v>
      </c>
      <c r="BO410">
        <v>0.83000000000000007</v>
      </c>
      <c r="BP410">
        <v>0.95000000000000007</v>
      </c>
      <c r="BQ410">
        <v>8.4700000000000006</v>
      </c>
      <c r="BR410">
        <v>6.4700000000000006</v>
      </c>
      <c r="BS410">
        <v>7.4700000000000006</v>
      </c>
      <c r="BT410">
        <v>10.84</v>
      </c>
      <c r="BU410">
        <v>10.44</v>
      </c>
      <c r="BV410">
        <v>10.64</v>
      </c>
      <c r="BW410">
        <v>2.81</v>
      </c>
      <c r="BX410">
        <v>2.5300000000000002</v>
      </c>
      <c r="BY410">
        <v>2.67</v>
      </c>
      <c r="BZ410">
        <v>9.81</v>
      </c>
      <c r="CA410">
        <v>6.8100000000000005</v>
      </c>
      <c r="CB410">
        <v>8.31</v>
      </c>
      <c r="CC410">
        <v>6.51</v>
      </c>
      <c r="CD410">
        <v>6.27</v>
      </c>
      <c r="CE410">
        <v>6.39</v>
      </c>
      <c r="CF410">
        <v>1.82</v>
      </c>
      <c r="CG410">
        <v>1.32</v>
      </c>
      <c r="CH410">
        <v>1.57</v>
      </c>
      <c r="CI410">
        <v>0.41</v>
      </c>
      <c r="CJ410">
        <v>0.37</v>
      </c>
      <c r="CK410">
        <v>0.39</v>
      </c>
      <c r="CL410">
        <v>39.36</v>
      </c>
      <c r="CM410">
        <v>36.96</v>
      </c>
      <c r="CN410">
        <v>38.159999999999997</v>
      </c>
      <c r="CO410">
        <v>6.81</v>
      </c>
      <c r="CP410">
        <v>1.8099999999999996</v>
      </c>
      <c r="CQ410">
        <v>4.3099999999999996</v>
      </c>
    </row>
    <row r="411" spans="1:95">
      <c r="A411" s="424">
        <v>45689</v>
      </c>
      <c r="B411" t="s">
        <v>252</v>
      </c>
    </row>
    <row r="412" spans="1:95">
      <c r="A412" s="424">
        <v>45690</v>
      </c>
      <c r="B412" t="s">
        <v>253</v>
      </c>
    </row>
    <row r="413" spans="1:95">
      <c r="A413" s="424">
        <v>45691</v>
      </c>
      <c r="B413" t="s">
        <v>247</v>
      </c>
      <c r="C413">
        <v>156.71</v>
      </c>
      <c r="D413">
        <v>154.71</v>
      </c>
      <c r="E413">
        <v>155.71</v>
      </c>
      <c r="F413">
        <v>160.62</v>
      </c>
      <c r="G413">
        <v>157.62</v>
      </c>
      <c r="H413">
        <v>159.12</v>
      </c>
      <c r="I413">
        <v>107.29</v>
      </c>
      <c r="J413">
        <v>104.09</v>
      </c>
      <c r="K413">
        <v>105.69</v>
      </c>
      <c r="L413">
        <v>195.03</v>
      </c>
      <c r="M413">
        <v>187.03</v>
      </c>
      <c r="N413">
        <v>191.03</v>
      </c>
      <c r="O413">
        <v>170.8</v>
      </c>
      <c r="P413">
        <v>169</v>
      </c>
      <c r="Q413">
        <v>169.9</v>
      </c>
      <c r="R413">
        <v>21.62</v>
      </c>
      <c r="S413">
        <v>21.02</v>
      </c>
      <c r="T413">
        <v>21.32</v>
      </c>
      <c r="U413">
        <v>13.87</v>
      </c>
      <c r="V413">
        <v>13.27</v>
      </c>
      <c r="W413">
        <v>13.57</v>
      </c>
      <c r="X413">
        <v>14.23</v>
      </c>
      <c r="Y413">
        <v>13.43</v>
      </c>
      <c r="Z413">
        <v>13.83</v>
      </c>
      <c r="AA413">
        <v>97.19</v>
      </c>
      <c r="AB413">
        <v>93.19</v>
      </c>
      <c r="AC413">
        <v>95.19</v>
      </c>
      <c r="AD413">
        <v>88.28</v>
      </c>
      <c r="AE413">
        <v>84.28</v>
      </c>
      <c r="AF413">
        <v>86.28</v>
      </c>
      <c r="AG413">
        <v>20.41</v>
      </c>
      <c r="AH413">
        <v>19.55</v>
      </c>
      <c r="AI413">
        <v>19.98</v>
      </c>
      <c r="AM413">
        <v>114.51</v>
      </c>
      <c r="AN413">
        <v>112.85000000000001</v>
      </c>
      <c r="AO413">
        <v>113.68</v>
      </c>
      <c r="AP413">
        <v>42.38</v>
      </c>
      <c r="AQ413">
        <v>40.78</v>
      </c>
      <c r="AR413">
        <v>41.58</v>
      </c>
      <c r="AS413">
        <v>43.14</v>
      </c>
      <c r="AT413">
        <v>41.78</v>
      </c>
      <c r="AU413">
        <v>42.46</v>
      </c>
      <c r="AV413">
        <v>21.47</v>
      </c>
      <c r="AW413">
        <v>20.869999999999997</v>
      </c>
      <c r="AX413">
        <v>21.169999999999998</v>
      </c>
      <c r="AY413">
        <v>4.6500000000000004</v>
      </c>
      <c r="AZ413">
        <v>4.49</v>
      </c>
      <c r="BA413">
        <v>4.57</v>
      </c>
      <c r="BB413">
        <v>1.96</v>
      </c>
      <c r="BC413">
        <v>1.66</v>
      </c>
      <c r="BD413">
        <v>1.81</v>
      </c>
      <c r="BE413">
        <v>0.71</v>
      </c>
      <c r="BF413">
        <v>0.41</v>
      </c>
      <c r="BG413">
        <v>0.55999999999999994</v>
      </c>
      <c r="BH413">
        <v>512.73</v>
      </c>
      <c r="BI413">
        <v>496.73</v>
      </c>
      <c r="BJ413">
        <v>504.73</v>
      </c>
      <c r="BK413">
        <v>43.46</v>
      </c>
      <c r="BL413">
        <v>42.1</v>
      </c>
      <c r="BM413">
        <v>42.78</v>
      </c>
      <c r="BN413">
        <v>1.08</v>
      </c>
      <c r="BO413">
        <v>0.84000000000000008</v>
      </c>
      <c r="BP413">
        <v>0.96000000000000008</v>
      </c>
      <c r="BQ413">
        <v>8.33</v>
      </c>
      <c r="BR413">
        <v>6.33</v>
      </c>
      <c r="BS413">
        <v>7.33</v>
      </c>
      <c r="BT413">
        <v>10.8</v>
      </c>
      <c r="BU413">
        <v>10.4</v>
      </c>
      <c r="BV413">
        <v>10.600000000000001</v>
      </c>
      <c r="BW413">
        <v>2.83</v>
      </c>
      <c r="BX413">
        <v>2.5499999999999998</v>
      </c>
      <c r="BY413">
        <v>2.69</v>
      </c>
      <c r="BZ413">
        <v>9.68</v>
      </c>
      <c r="CA413">
        <v>6.68</v>
      </c>
      <c r="CB413">
        <v>8.18</v>
      </c>
      <c r="CC413">
        <v>6.44</v>
      </c>
      <c r="CD413">
        <v>6.2</v>
      </c>
      <c r="CE413">
        <v>6.32</v>
      </c>
      <c r="CF413">
        <v>1.83</v>
      </c>
      <c r="CG413">
        <v>1.33</v>
      </c>
      <c r="CH413">
        <v>1.58</v>
      </c>
      <c r="CI413">
        <v>0.41</v>
      </c>
      <c r="CJ413">
        <v>0.37</v>
      </c>
      <c r="CK413">
        <v>0.39</v>
      </c>
      <c r="CL413">
        <v>38.909999999999997</v>
      </c>
      <c r="CM413">
        <v>36.51</v>
      </c>
      <c r="CN413">
        <v>37.709999999999994</v>
      </c>
      <c r="CO413">
        <v>6.84</v>
      </c>
      <c r="CP413">
        <v>1.8399999999999999</v>
      </c>
      <c r="CQ413">
        <v>4.34</v>
      </c>
    </row>
    <row r="414" spans="1:95">
      <c r="A414" s="424">
        <v>45692</v>
      </c>
      <c r="B414" t="s">
        <v>248</v>
      </c>
      <c r="C414">
        <v>156.35</v>
      </c>
      <c r="D414">
        <v>154.35</v>
      </c>
      <c r="E414">
        <v>155.35</v>
      </c>
      <c r="F414">
        <v>161.81</v>
      </c>
      <c r="G414">
        <v>158.81</v>
      </c>
      <c r="H414">
        <v>160.31</v>
      </c>
      <c r="I414">
        <v>109.18</v>
      </c>
      <c r="J414">
        <v>105.98</v>
      </c>
      <c r="K414">
        <v>107.58000000000001</v>
      </c>
      <c r="L414">
        <v>197.07</v>
      </c>
      <c r="M414">
        <v>189.07</v>
      </c>
      <c r="N414">
        <v>193.07</v>
      </c>
      <c r="O414">
        <v>171.24</v>
      </c>
      <c r="P414">
        <v>169.44</v>
      </c>
      <c r="Q414">
        <v>170.34</v>
      </c>
      <c r="R414">
        <v>21.78</v>
      </c>
      <c r="S414">
        <v>21.18</v>
      </c>
      <c r="T414">
        <v>21.48</v>
      </c>
      <c r="U414">
        <v>13.97</v>
      </c>
      <c r="V414">
        <v>13.370000000000001</v>
      </c>
      <c r="W414">
        <v>13.670000000000002</v>
      </c>
      <c r="X414">
        <v>14.4</v>
      </c>
      <c r="Y414">
        <v>13.6</v>
      </c>
      <c r="Z414">
        <v>14</v>
      </c>
      <c r="AA414">
        <v>98.47</v>
      </c>
      <c r="AB414">
        <v>94.47</v>
      </c>
      <c r="AC414">
        <v>96.47</v>
      </c>
      <c r="AD414">
        <v>89.29</v>
      </c>
      <c r="AE414">
        <v>85.29</v>
      </c>
      <c r="AF414">
        <v>87.29</v>
      </c>
      <c r="AG414">
        <v>20.37</v>
      </c>
      <c r="AH414">
        <v>19.510000000000002</v>
      </c>
      <c r="AI414">
        <v>19.940000000000001</v>
      </c>
      <c r="AM414">
        <v>115.03</v>
      </c>
      <c r="AN414">
        <v>113.37</v>
      </c>
      <c r="AO414">
        <v>114.2</v>
      </c>
      <c r="AP414">
        <v>42.16</v>
      </c>
      <c r="AQ414">
        <v>40.559999999999995</v>
      </c>
      <c r="AR414">
        <v>41.36</v>
      </c>
      <c r="AS414">
        <v>43.04</v>
      </c>
      <c r="AT414">
        <v>41.68</v>
      </c>
      <c r="AU414">
        <v>42.36</v>
      </c>
      <c r="AV414">
        <v>21.54</v>
      </c>
      <c r="AW414">
        <v>20.939999999999998</v>
      </c>
      <c r="AX414">
        <v>21.24</v>
      </c>
      <c r="AY414">
        <v>4.66</v>
      </c>
      <c r="AZ414">
        <v>4.5</v>
      </c>
      <c r="BA414">
        <v>4.58</v>
      </c>
      <c r="BB414">
        <v>1.94</v>
      </c>
      <c r="BC414">
        <v>1.64</v>
      </c>
      <c r="BD414">
        <v>1.79</v>
      </c>
      <c r="BE414">
        <v>0.71</v>
      </c>
      <c r="BF414">
        <v>0.41</v>
      </c>
      <c r="BG414">
        <v>0.55999999999999994</v>
      </c>
      <c r="BH414">
        <v>511.89</v>
      </c>
      <c r="BI414">
        <v>495.89</v>
      </c>
      <c r="BJ414">
        <v>503.89</v>
      </c>
      <c r="BK414">
        <v>43.37</v>
      </c>
      <c r="BL414">
        <v>42.01</v>
      </c>
      <c r="BM414">
        <v>42.69</v>
      </c>
      <c r="BN414">
        <v>1.07</v>
      </c>
      <c r="BO414">
        <v>0.83000000000000007</v>
      </c>
      <c r="BP414">
        <v>0.95000000000000007</v>
      </c>
      <c r="BQ414">
        <v>8.6199999999999992</v>
      </c>
      <c r="BR414">
        <v>6.6199999999999992</v>
      </c>
      <c r="BS414">
        <v>7.6199999999999992</v>
      </c>
      <c r="BT414">
        <v>10.86</v>
      </c>
      <c r="BU414">
        <v>10.459999999999999</v>
      </c>
      <c r="BV414">
        <v>10.66</v>
      </c>
      <c r="BW414">
        <v>2.81</v>
      </c>
      <c r="BX414">
        <v>2.5300000000000002</v>
      </c>
      <c r="BY414">
        <v>2.67</v>
      </c>
      <c r="BZ414">
        <v>9.7799999999999994</v>
      </c>
      <c r="CA414">
        <v>6.7799999999999994</v>
      </c>
      <c r="CB414">
        <v>8.2799999999999994</v>
      </c>
      <c r="CC414">
        <v>6.48</v>
      </c>
      <c r="CD414">
        <v>6.24</v>
      </c>
      <c r="CE414">
        <v>6.36</v>
      </c>
      <c r="CF414">
        <v>1.81</v>
      </c>
      <c r="CG414">
        <v>1.31</v>
      </c>
      <c r="CH414">
        <v>1.56</v>
      </c>
      <c r="CI414">
        <v>0.41</v>
      </c>
      <c r="CJ414">
        <v>0.37</v>
      </c>
      <c r="CK414">
        <v>0.39</v>
      </c>
      <c r="CL414">
        <v>39.130000000000003</v>
      </c>
      <c r="CM414">
        <v>36.730000000000004</v>
      </c>
      <c r="CN414">
        <v>37.930000000000007</v>
      </c>
      <c r="CO414">
        <v>6.82</v>
      </c>
      <c r="CP414">
        <v>1.8200000000000003</v>
      </c>
      <c r="CQ414">
        <v>4.32</v>
      </c>
    </row>
    <row r="415" spans="1:95">
      <c r="A415" s="424">
        <v>45693</v>
      </c>
      <c r="B415" t="s">
        <v>249</v>
      </c>
      <c r="C415">
        <v>155.07</v>
      </c>
      <c r="D415">
        <v>153.07</v>
      </c>
      <c r="E415">
        <v>154.07</v>
      </c>
      <c r="F415">
        <v>161.38999999999999</v>
      </c>
      <c r="G415">
        <v>158.38999999999999</v>
      </c>
      <c r="H415">
        <v>159.88999999999999</v>
      </c>
      <c r="I415">
        <v>109.15</v>
      </c>
      <c r="J415">
        <v>105.95</v>
      </c>
      <c r="K415">
        <v>107.55000000000001</v>
      </c>
      <c r="L415">
        <v>196.29</v>
      </c>
      <c r="M415">
        <v>188.29</v>
      </c>
      <c r="N415">
        <v>192.29</v>
      </c>
      <c r="O415">
        <v>171.05</v>
      </c>
      <c r="P415">
        <v>169.25</v>
      </c>
      <c r="Q415">
        <v>170.15</v>
      </c>
      <c r="R415">
        <v>21.73</v>
      </c>
      <c r="S415">
        <v>21.13</v>
      </c>
      <c r="T415">
        <v>21.43</v>
      </c>
      <c r="U415">
        <v>14.01</v>
      </c>
      <c r="V415">
        <v>13.41</v>
      </c>
      <c r="W415">
        <v>13.71</v>
      </c>
      <c r="X415">
        <v>14.44</v>
      </c>
      <c r="Y415">
        <v>13.639999999999999</v>
      </c>
      <c r="Z415">
        <v>14.04</v>
      </c>
      <c r="AA415">
        <v>98.37</v>
      </c>
      <c r="AB415">
        <v>94.37</v>
      </c>
      <c r="AC415">
        <v>96.37</v>
      </c>
      <c r="AD415">
        <v>89.16</v>
      </c>
      <c r="AE415">
        <v>85.16</v>
      </c>
      <c r="AF415">
        <v>87.16</v>
      </c>
      <c r="AG415">
        <v>20.22</v>
      </c>
      <c r="AH415">
        <v>19.36</v>
      </c>
      <c r="AI415">
        <v>19.79</v>
      </c>
      <c r="AM415">
        <v>114.81</v>
      </c>
      <c r="AN415">
        <v>113.15</v>
      </c>
      <c r="AO415">
        <v>113.98</v>
      </c>
      <c r="AP415">
        <v>41.95</v>
      </c>
      <c r="AQ415">
        <v>40.35</v>
      </c>
      <c r="AR415">
        <v>41.150000000000006</v>
      </c>
      <c r="AS415">
        <v>42.7</v>
      </c>
      <c r="AT415">
        <v>41.34</v>
      </c>
      <c r="AU415">
        <v>42.02</v>
      </c>
      <c r="AV415">
        <v>21.45</v>
      </c>
      <c r="AW415">
        <v>20.849999999999998</v>
      </c>
      <c r="AX415">
        <v>21.15</v>
      </c>
      <c r="AY415">
        <v>4.66</v>
      </c>
      <c r="AZ415">
        <v>4.5</v>
      </c>
      <c r="BA415">
        <v>4.58</v>
      </c>
      <c r="BB415">
        <v>1.93</v>
      </c>
      <c r="BC415">
        <v>1.63</v>
      </c>
      <c r="BD415">
        <v>1.7799999999999998</v>
      </c>
      <c r="BE415">
        <v>0.71</v>
      </c>
      <c r="BF415">
        <v>0.41</v>
      </c>
      <c r="BG415">
        <v>0.55999999999999994</v>
      </c>
      <c r="BH415">
        <v>508.39</v>
      </c>
      <c r="BI415">
        <v>492.39</v>
      </c>
      <c r="BJ415">
        <v>500.39</v>
      </c>
      <c r="BK415">
        <v>43.02</v>
      </c>
      <c r="BL415">
        <v>41.660000000000004</v>
      </c>
      <c r="BM415">
        <v>42.34</v>
      </c>
      <c r="BN415">
        <v>1.07</v>
      </c>
      <c r="BO415">
        <v>0.83000000000000007</v>
      </c>
      <c r="BP415">
        <v>0.95000000000000007</v>
      </c>
      <c r="BQ415">
        <v>8.52</v>
      </c>
      <c r="BR415">
        <v>6.52</v>
      </c>
      <c r="BS415">
        <v>7.52</v>
      </c>
      <c r="BT415">
        <v>10.82</v>
      </c>
      <c r="BU415">
        <v>10.42</v>
      </c>
      <c r="BV415">
        <v>10.620000000000001</v>
      </c>
      <c r="BW415">
        <v>2.8</v>
      </c>
      <c r="BX415">
        <v>2.5199999999999996</v>
      </c>
      <c r="BY415">
        <v>2.6599999999999997</v>
      </c>
      <c r="BZ415">
        <v>9.74</v>
      </c>
      <c r="CA415">
        <v>6.74</v>
      </c>
      <c r="CB415">
        <v>8.24</v>
      </c>
      <c r="CC415">
        <v>6.48</v>
      </c>
      <c r="CD415">
        <v>6.24</v>
      </c>
      <c r="CE415">
        <v>6.36</v>
      </c>
      <c r="CF415">
        <v>1.78</v>
      </c>
      <c r="CG415">
        <v>1.28</v>
      </c>
      <c r="CH415">
        <v>1.53</v>
      </c>
      <c r="CI415">
        <v>0.41</v>
      </c>
      <c r="CJ415">
        <v>0.37</v>
      </c>
      <c r="CK415">
        <v>0.39</v>
      </c>
      <c r="CL415">
        <v>39.18</v>
      </c>
      <c r="CM415">
        <v>36.78</v>
      </c>
      <c r="CN415">
        <v>37.980000000000004</v>
      </c>
      <c r="CO415">
        <v>6.79</v>
      </c>
      <c r="CP415">
        <v>1.79</v>
      </c>
      <c r="CQ415">
        <v>4.29</v>
      </c>
    </row>
    <row r="416" spans="1:95">
      <c r="A416" s="424">
        <v>45694</v>
      </c>
      <c r="B416" t="s">
        <v>250</v>
      </c>
      <c r="C416">
        <v>153.61000000000001</v>
      </c>
      <c r="D416">
        <v>151.61000000000001</v>
      </c>
      <c r="E416">
        <v>152.61000000000001</v>
      </c>
      <c r="F416">
        <v>160.15</v>
      </c>
      <c r="G416">
        <v>157.15</v>
      </c>
      <c r="H416">
        <v>158.65</v>
      </c>
      <c r="I416">
        <v>108.16</v>
      </c>
      <c r="J416">
        <v>104.96</v>
      </c>
      <c r="K416">
        <v>106.56</v>
      </c>
      <c r="L416">
        <v>194.78</v>
      </c>
      <c r="M416">
        <v>186.78</v>
      </c>
      <c r="N416">
        <v>190.78</v>
      </c>
      <c r="O416">
        <v>170.07</v>
      </c>
      <c r="P416">
        <v>168.26999999999998</v>
      </c>
      <c r="Q416">
        <v>169.17</v>
      </c>
      <c r="R416">
        <v>21.56</v>
      </c>
      <c r="S416">
        <v>20.959999999999997</v>
      </c>
      <c r="T416">
        <v>21.259999999999998</v>
      </c>
      <c r="U416">
        <v>13.88</v>
      </c>
      <c r="V416">
        <v>13.280000000000001</v>
      </c>
      <c r="W416">
        <v>13.580000000000002</v>
      </c>
      <c r="X416">
        <v>14.37</v>
      </c>
      <c r="Y416">
        <v>13.569999999999999</v>
      </c>
      <c r="Z416">
        <v>13.969999999999999</v>
      </c>
      <c r="AA416">
        <v>97.84</v>
      </c>
      <c r="AB416">
        <v>93.84</v>
      </c>
      <c r="AC416">
        <v>95.84</v>
      </c>
      <c r="AD416">
        <v>88.74</v>
      </c>
      <c r="AE416">
        <v>84.74</v>
      </c>
      <c r="AF416">
        <v>86.74</v>
      </c>
      <c r="AG416">
        <v>20.03</v>
      </c>
      <c r="AH416">
        <v>19.170000000000002</v>
      </c>
      <c r="AI416">
        <v>19.600000000000001</v>
      </c>
      <c r="AM416">
        <v>113.96</v>
      </c>
      <c r="AN416">
        <v>112.3</v>
      </c>
      <c r="AO416">
        <v>113.13</v>
      </c>
      <c r="AP416">
        <v>41.55</v>
      </c>
      <c r="AQ416">
        <v>39.949999999999996</v>
      </c>
      <c r="AR416">
        <v>40.75</v>
      </c>
      <c r="AS416">
        <v>42.3</v>
      </c>
      <c r="AT416">
        <v>40.94</v>
      </c>
      <c r="AU416">
        <v>41.62</v>
      </c>
      <c r="AV416">
        <v>21.26</v>
      </c>
      <c r="AW416">
        <v>20.66</v>
      </c>
      <c r="AX416">
        <v>20.96</v>
      </c>
      <c r="AY416">
        <v>4.63</v>
      </c>
      <c r="AZ416">
        <v>4.47</v>
      </c>
      <c r="BA416">
        <v>4.55</v>
      </c>
      <c r="BB416">
        <v>1.91</v>
      </c>
      <c r="BC416">
        <v>1.6099999999999999</v>
      </c>
      <c r="BD416">
        <v>1.7599999999999998</v>
      </c>
      <c r="BE416">
        <v>0.7</v>
      </c>
      <c r="BF416">
        <v>0.39999999999999997</v>
      </c>
      <c r="BG416">
        <v>0.54999999999999993</v>
      </c>
      <c r="BH416">
        <v>503.65</v>
      </c>
      <c r="BI416">
        <v>487.65</v>
      </c>
      <c r="BJ416">
        <v>495.65</v>
      </c>
      <c r="BK416">
        <v>42.62</v>
      </c>
      <c r="BL416">
        <v>41.26</v>
      </c>
      <c r="BM416">
        <v>41.94</v>
      </c>
      <c r="BN416">
        <v>1.06</v>
      </c>
      <c r="BO416">
        <v>0.82000000000000006</v>
      </c>
      <c r="BP416">
        <v>0.94000000000000006</v>
      </c>
      <c r="BQ416">
        <v>8.41</v>
      </c>
      <c r="BR416">
        <v>6.41</v>
      </c>
      <c r="BS416">
        <v>7.41</v>
      </c>
      <c r="BT416">
        <v>10.77</v>
      </c>
      <c r="BU416">
        <v>10.37</v>
      </c>
      <c r="BV416">
        <v>10.57</v>
      </c>
      <c r="BW416">
        <v>2.79</v>
      </c>
      <c r="BX416">
        <v>2.5099999999999998</v>
      </c>
      <c r="BY416">
        <v>2.65</v>
      </c>
      <c r="BZ416">
        <v>9.7200000000000006</v>
      </c>
      <c r="CA416">
        <v>6.7200000000000006</v>
      </c>
      <c r="CB416">
        <v>8.2200000000000006</v>
      </c>
      <c r="CC416">
        <v>6.43</v>
      </c>
      <c r="CD416">
        <v>6.1899999999999995</v>
      </c>
      <c r="CE416">
        <v>6.31</v>
      </c>
      <c r="CF416">
        <v>1.81</v>
      </c>
      <c r="CG416">
        <v>1.31</v>
      </c>
      <c r="CH416">
        <v>1.56</v>
      </c>
      <c r="CI416">
        <v>0.41</v>
      </c>
      <c r="CJ416">
        <v>0.37</v>
      </c>
      <c r="CK416">
        <v>0.39</v>
      </c>
      <c r="CL416">
        <v>38.99</v>
      </c>
      <c r="CM416">
        <v>36.590000000000003</v>
      </c>
      <c r="CN416">
        <v>37.790000000000006</v>
      </c>
      <c r="CO416">
        <v>6.75</v>
      </c>
      <c r="CP416">
        <v>1.75</v>
      </c>
      <c r="CQ416">
        <v>4.25</v>
      </c>
    </row>
    <row r="417" spans="1:95">
      <c r="A417" s="424">
        <v>45695</v>
      </c>
      <c r="B417" t="s">
        <v>251</v>
      </c>
      <c r="C417">
        <v>152.30000000000001</v>
      </c>
      <c r="D417">
        <v>150.30000000000001</v>
      </c>
      <c r="E417">
        <v>151.30000000000001</v>
      </c>
      <c r="F417">
        <v>158.55000000000001</v>
      </c>
      <c r="G417">
        <v>155.55000000000001</v>
      </c>
      <c r="H417">
        <v>157.05000000000001</v>
      </c>
      <c r="I417">
        <v>107.29</v>
      </c>
      <c r="J417">
        <v>104.09</v>
      </c>
      <c r="K417">
        <v>105.69</v>
      </c>
      <c r="L417">
        <v>192.01</v>
      </c>
      <c r="M417">
        <v>184.01</v>
      </c>
      <c r="N417">
        <v>188.01</v>
      </c>
      <c r="O417">
        <v>167.93</v>
      </c>
      <c r="P417">
        <v>166.13</v>
      </c>
      <c r="Q417">
        <v>167.03</v>
      </c>
      <c r="R417">
        <v>21.35</v>
      </c>
      <c r="S417">
        <v>20.75</v>
      </c>
      <c r="T417">
        <v>21.05</v>
      </c>
      <c r="U417">
        <v>13.81</v>
      </c>
      <c r="V417">
        <v>13.21</v>
      </c>
      <c r="W417">
        <v>13.510000000000002</v>
      </c>
      <c r="X417">
        <v>14.29</v>
      </c>
      <c r="Y417">
        <v>13.489999999999998</v>
      </c>
      <c r="Z417">
        <v>13.889999999999999</v>
      </c>
      <c r="AA417">
        <v>97.06</v>
      </c>
      <c r="AB417">
        <v>93.06</v>
      </c>
      <c r="AC417">
        <v>95.06</v>
      </c>
      <c r="AD417">
        <v>87.88</v>
      </c>
      <c r="AE417">
        <v>83.88</v>
      </c>
      <c r="AF417">
        <v>85.88</v>
      </c>
      <c r="AG417">
        <v>19.86</v>
      </c>
      <c r="AH417">
        <v>19</v>
      </c>
      <c r="AI417">
        <v>19.43</v>
      </c>
      <c r="AM417">
        <v>112.86</v>
      </c>
      <c r="AN417">
        <v>111.2</v>
      </c>
      <c r="AO417">
        <v>112.03</v>
      </c>
      <c r="AP417">
        <v>41.22</v>
      </c>
      <c r="AQ417">
        <v>39.619999999999997</v>
      </c>
      <c r="AR417">
        <v>40.42</v>
      </c>
      <c r="AS417">
        <v>41.94</v>
      </c>
      <c r="AT417">
        <v>40.58</v>
      </c>
      <c r="AU417">
        <v>41.26</v>
      </c>
      <c r="AV417">
        <v>21.06</v>
      </c>
      <c r="AW417">
        <v>20.459999999999997</v>
      </c>
      <c r="AX417">
        <v>20.759999999999998</v>
      </c>
      <c r="AY417">
        <v>4.5599999999999996</v>
      </c>
      <c r="AZ417">
        <v>4.3999999999999995</v>
      </c>
      <c r="BA417">
        <v>4.4799999999999995</v>
      </c>
      <c r="BB417">
        <v>1.89</v>
      </c>
      <c r="BC417">
        <v>1.5899999999999999</v>
      </c>
      <c r="BD417">
        <v>1.7399999999999998</v>
      </c>
      <c r="BE417">
        <v>0.7</v>
      </c>
      <c r="BF417">
        <v>0.39999999999999997</v>
      </c>
      <c r="BG417">
        <v>0.54999999999999993</v>
      </c>
      <c r="BH417">
        <v>499.23</v>
      </c>
      <c r="BI417">
        <v>483.23</v>
      </c>
      <c r="BJ417">
        <v>491.23</v>
      </c>
      <c r="BK417">
        <v>42.26</v>
      </c>
      <c r="BL417">
        <v>40.9</v>
      </c>
      <c r="BM417">
        <v>41.58</v>
      </c>
      <c r="BN417">
        <v>1.05</v>
      </c>
      <c r="BO417">
        <v>0.81</v>
      </c>
      <c r="BP417">
        <v>0.93</v>
      </c>
      <c r="BQ417">
        <v>8.39</v>
      </c>
      <c r="BR417">
        <v>6.3900000000000006</v>
      </c>
      <c r="BS417">
        <v>7.3900000000000006</v>
      </c>
      <c r="BT417">
        <v>10.68</v>
      </c>
      <c r="BU417">
        <v>10.28</v>
      </c>
      <c r="BV417">
        <v>10.48</v>
      </c>
      <c r="BW417">
        <v>2.76</v>
      </c>
      <c r="BX417">
        <v>2.4799999999999995</v>
      </c>
      <c r="BY417">
        <v>2.6199999999999997</v>
      </c>
      <c r="BZ417">
        <v>9.7100000000000009</v>
      </c>
      <c r="CA417">
        <v>6.7100000000000009</v>
      </c>
      <c r="CB417">
        <v>8.2100000000000009</v>
      </c>
      <c r="CC417">
        <v>6.39</v>
      </c>
      <c r="CD417">
        <v>6.1499999999999995</v>
      </c>
      <c r="CE417">
        <v>6.27</v>
      </c>
      <c r="CF417">
        <v>1.82</v>
      </c>
      <c r="CG417">
        <v>1.32</v>
      </c>
      <c r="CH417">
        <v>1.57</v>
      </c>
      <c r="CI417">
        <v>0.41</v>
      </c>
      <c r="CJ417">
        <v>0.37</v>
      </c>
      <c r="CK417">
        <v>0.39</v>
      </c>
      <c r="CL417">
        <v>38.71</v>
      </c>
      <c r="CM417">
        <v>36.31</v>
      </c>
      <c r="CN417">
        <v>37.510000000000005</v>
      </c>
      <c r="CO417">
        <v>6.72</v>
      </c>
      <c r="CP417">
        <v>1.7199999999999998</v>
      </c>
      <c r="CQ417">
        <v>4.22</v>
      </c>
    </row>
    <row r="418" spans="1:95">
      <c r="A418" s="424">
        <v>45696</v>
      </c>
      <c r="B418" t="s">
        <v>252</v>
      </c>
    </row>
    <row r="419" spans="1:95">
      <c r="A419" s="424">
        <v>45697</v>
      </c>
      <c r="B419" t="s">
        <v>253</v>
      </c>
    </row>
    <row r="420" spans="1:95">
      <c r="A420" s="424">
        <v>45698</v>
      </c>
      <c r="B420" t="s">
        <v>247</v>
      </c>
      <c r="C420">
        <v>152.96</v>
      </c>
      <c r="D420">
        <v>150.96</v>
      </c>
      <c r="E420">
        <v>151.96</v>
      </c>
      <c r="F420">
        <v>158.19</v>
      </c>
      <c r="G420">
        <v>155.19</v>
      </c>
      <c r="H420">
        <v>156.69</v>
      </c>
      <c r="I420">
        <v>107.64</v>
      </c>
      <c r="J420">
        <v>104.44</v>
      </c>
      <c r="K420">
        <v>106.03999999999999</v>
      </c>
      <c r="L420">
        <v>192.35</v>
      </c>
      <c r="M420">
        <v>184.35</v>
      </c>
      <c r="N420">
        <v>188.35</v>
      </c>
      <c r="O420">
        <v>167.71</v>
      </c>
      <c r="P420">
        <v>165.91</v>
      </c>
      <c r="Q420">
        <v>166.81</v>
      </c>
      <c r="R420">
        <v>21.3</v>
      </c>
      <c r="S420">
        <v>20.7</v>
      </c>
      <c r="T420">
        <v>21</v>
      </c>
      <c r="U420">
        <v>13.8</v>
      </c>
      <c r="V420">
        <v>13.200000000000001</v>
      </c>
      <c r="W420">
        <v>13.5</v>
      </c>
      <c r="X420">
        <v>14.25</v>
      </c>
      <c r="Y420">
        <v>13.45</v>
      </c>
      <c r="Z420">
        <v>13.85</v>
      </c>
      <c r="AA420">
        <v>97.19</v>
      </c>
      <c r="AB420">
        <v>93.19</v>
      </c>
      <c r="AC420">
        <v>95.19</v>
      </c>
      <c r="AD420">
        <v>87.84</v>
      </c>
      <c r="AE420">
        <v>83.84</v>
      </c>
      <c r="AF420">
        <v>85.84</v>
      </c>
      <c r="AG420">
        <v>19.940000000000001</v>
      </c>
      <c r="AH420">
        <v>19.080000000000002</v>
      </c>
      <c r="AI420">
        <v>19.510000000000002</v>
      </c>
      <c r="AM420">
        <v>112.9</v>
      </c>
      <c r="AN420">
        <v>111.24000000000001</v>
      </c>
      <c r="AO420">
        <v>112.07000000000001</v>
      </c>
      <c r="AP420">
        <v>41.38</v>
      </c>
      <c r="AQ420">
        <v>39.78</v>
      </c>
      <c r="AR420">
        <v>40.58</v>
      </c>
      <c r="AS420">
        <v>42.12</v>
      </c>
      <c r="AT420">
        <v>40.76</v>
      </c>
      <c r="AU420">
        <v>41.44</v>
      </c>
      <c r="AV420">
        <v>21.1</v>
      </c>
      <c r="AW420">
        <v>20.5</v>
      </c>
      <c r="AX420">
        <v>20.8</v>
      </c>
      <c r="AY420">
        <v>4.57</v>
      </c>
      <c r="AZ420">
        <v>4.41</v>
      </c>
      <c r="BA420">
        <v>4.49</v>
      </c>
      <c r="BB420">
        <v>1.89</v>
      </c>
      <c r="BC420">
        <v>1.5899999999999999</v>
      </c>
      <c r="BD420">
        <v>1.7399999999999998</v>
      </c>
      <c r="BE420">
        <v>0.7</v>
      </c>
      <c r="BF420">
        <v>0.39999999999999997</v>
      </c>
      <c r="BG420">
        <v>0.54999999999999993</v>
      </c>
      <c r="BH420">
        <v>500.9</v>
      </c>
      <c r="BI420">
        <v>484.9</v>
      </c>
      <c r="BJ420">
        <v>492.9</v>
      </c>
      <c r="BK420">
        <v>42.45</v>
      </c>
      <c r="BL420">
        <v>41.09</v>
      </c>
      <c r="BM420">
        <v>41.77</v>
      </c>
      <c r="BN420">
        <v>1.06</v>
      </c>
      <c r="BO420">
        <v>0.82000000000000006</v>
      </c>
      <c r="BP420">
        <v>0.94000000000000006</v>
      </c>
      <c r="BQ420">
        <v>8.3800000000000008</v>
      </c>
      <c r="BR420">
        <v>6.3800000000000008</v>
      </c>
      <c r="BS420">
        <v>7.3800000000000008</v>
      </c>
      <c r="BT420">
        <v>10.66</v>
      </c>
      <c r="BU420">
        <v>10.26</v>
      </c>
      <c r="BV420">
        <v>10.46</v>
      </c>
      <c r="BW420">
        <v>2.78</v>
      </c>
      <c r="BX420">
        <v>2.5</v>
      </c>
      <c r="BY420">
        <v>2.6399999999999997</v>
      </c>
      <c r="BZ420">
        <v>9.6999999999999993</v>
      </c>
      <c r="CA420">
        <v>6.6999999999999993</v>
      </c>
      <c r="CB420">
        <v>8.1999999999999993</v>
      </c>
      <c r="CC420">
        <v>6.35</v>
      </c>
      <c r="CD420">
        <v>6.1099999999999994</v>
      </c>
      <c r="CE420">
        <v>6.2299999999999995</v>
      </c>
      <c r="CF420">
        <v>1.82</v>
      </c>
      <c r="CG420">
        <v>1.32</v>
      </c>
      <c r="CH420">
        <v>1.57</v>
      </c>
      <c r="CI420">
        <v>0.41</v>
      </c>
      <c r="CJ420">
        <v>0.37</v>
      </c>
      <c r="CK420">
        <v>0.39</v>
      </c>
      <c r="CL420">
        <v>38.6</v>
      </c>
      <c r="CM420">
        <v>36.200000000000003</v>
      </c>
      <c r="CN420">
        <v>37.400000000000006</v>
      </c>
      <c r="CO420">
        <v>6.72</v>
      </c>
      <c r="CP420">
        <v>1.7199999999999998</v>
      </c>
      <c r="CQ420">
        <v>4.22</v>
      </c>
    </row>
    <row r="421" spans="1:95">
      <c r="A421" s="424">
        <v>45699</v>
      </c>
      <c r="B421" t="s">
        <v>248</v>
      </c>
    </row>
    <row r="422" spans="1:95">
      <c r="A422" s="424">
        <v>45700</v>
      </c>
      <c r="B422" t="s">
        <v>249</v>
      </c>
      <c r="C422">
        <v>154.26</v>
      </c>
      <c r="D422">
        <v>152.26</v>
      </c>
      <c r="E422">
        <v>153.26</v>
      </c>
      <c r="F422">
        <v>160.25</v>
      </c>
      <c r="G422">
        <v>157.25</v>
      </c>
      <c r="H422">
        <v>158.75</v>
      </c>
      <c r="I422">
        <v>108.83</v>
      </c>
      <c r="J422">
        <v>105.63</v>
      </c>
      <c r="K422">
        <v>107.22999999999999</v>
      </c>
      <c r="L422">
        <v>194.75</v>
      </c>
      <c r="M422">
        <v>186.75</v>
      </c>
      <c r="N422">
        <v>190.75</v>
      </c>
      <c r="O422">
        <v>168.73</v>
      </c>
      <c r="P422">
        <v>166.92999999999998</v>
      </c>
      <c r="Q422">
        <v>167.82999999999998</v>
      </c>
      <c r="R422">
        <v>21.58</v>
      </c>
      <c r="S422">
        <v>20.979999999999997</v>
      </c>
      <c r="T422">
        <v>21.279999999999998</v>
      </c>
      <c r="U422">
        <v>14</v>
      </c>
      <c r="V422">
        <v>13.4</v>
      </c>
      <c r="W422">
        <v>13.7</v>
      </c>
      <c r="X422">
        <v>14.51</v>
      </c>
      <c r="Y422">
        <v>13.709999999999999</v>
      </c>
      <c r="Z422">
        <v>14.11</v>
      </c>
      <c r="AA422">
        <v>98.46</v>
      </c>
      <c r="AB422">
        <v>94.46</v>
      </c>
      <c r="AC422">
        <v>96.46</v>
      </c>
      <c r="AD422">
        <v>88.71</v>
      </c>
      <c r="AE422">
        <v>84.71</v>
      </c>
      <c r="AF422">
        <v>86.71</v>
      </c>
      <c r="AG422">
        <v>20.100000000000001</v>
      </c>
      <c r="AH422">
        <v>19.240000000000002</v>
      </c>
      <c r="AI422">
        <v>19.670000000000002</v>
      </c>
      <c r="AM422">
        <v>114.05</v>
      </c>
      <c r="AN422">
        <v>112.39</v>
      </c>
      <c r="AO422">
        <v>113.22</v>
      </c>
      <c r="AP422">
        <v>41.73</v>
      </c>
      <c r="AQ422">
        <v>40.129999999999995</v>
      </c>
      <c r="AR422">
        <v>40.929999999999993</v>
      </c>
      <c r="AS422">
        <v>42.47</v>
      </c>
      <c r="AT422">
        <v>41.11</v>
      </c>
      <c r="AU422">
        <v>41.79</v>
      </c>
      <c r="AV422">
        <v>21.26</v>
      </c>
      <c r="AW422">
        <v>20.66</v>
      </c>
      <c r="AX422">
        <v>20.96</v>
      </c>
      <c r="AY422">
        <v>4.57</v>
      </c>
      <c r="AZ422">
        <v>4.41</v>
      </c>
      <c r="BA422">
        <v>4.49</v>
      </c>
      <c r="BB422">
        <v>1.92</v>
      </c>
      <c r="BC422">
        <v>1.6199999999999999</v>
      </c>
      <c r="BD422">
        <v>1.77</v>
      </c>
      <c r="BE422">
        <v>0.7</v>
      </c>
      <c r="BF422">
        <v>0.39999999999999997</v>
      </c>
      <c r="BG422">
        <v>0.54999999999999993</v>
      </c>
      <c r="BH422">
        <v>505.11</v>
      </c>
      <c r="BI422">
        <v>489.11</v>
      </c>
      <c r="BJ422">
        <v>497.11</v>
      </c>
      <c r="BK422">
        <v>42.81</v>
      </c>
      <c r="BL422">
        <v>41.45</v>
      </c>
      <c r="BM422">
        <v>42.13</v>
      </c>
      <c r="BN422">
        <v>1.06</v>
      </c>
      <c r="BO422">
        <v>0.82000000000000006</v>
      </c>
      <c r="BP422">
        <v>0.94000000000000006</v>
      </c>
      <c r="BQ422">
        <v>8.4600000000000009</v>
      </c>
      <c r="BR422">
        <v>6.4600000000000009</v>
      </c>
      <c r="BS422">
        <v>7.4600000000000009</v>
      </c>
      <c r="BT422">
        <v>10.75</v>
      </c>
      <c r="BU422">
        <v>10.35</v>
      </c>
      <c r="BV422">
        <v>10.55</v>
      </c>
      <c r="BW422">
        <v>2.79</v>
      </c>
      <c r="BX422">
        <v>2.5099999999999998</v>
      </c>
      <c r="BY422">
        <v>2.65</v>
      </c>
      <c r="BZ422">
        <v>9.7799999999999994</v>
      </c>
      <c r="CA422">
        <v>6.7799999999999994</v>
      </c>
      <c r="CB422">
        <v>8.2799999999999994</v>
      </c>
      <c r="CC422">
        <v>6.45</v>
      </c>
      <c r="CD422">
        <v>6.21</v>
      </c>
      <c r="CE422">
        <v>6.33</v>
      </c>
      <c r="CF422">
        <v>1.84</v>
      </c>
      <c r="CG422">
        <v>1.34</v>
      </c>
      <c r="CH422">
        <v>1.59</v>
      </c>
      <c r="CI422">
        <v>0.41</v>
      </c>
      <c r="CJ422">
        <v>0.37</v>
      </c>
      <c r="CK422">
        <v>0.39</v>
      </c>
      <c r="CL422">
        <v>39.26</v>
      </c>
      <c r="CM422">
        <v>36.86</v>
      </c>
      <c r="CN422">
        <v>38.06</v>
      </c>
      <c r="CO422">
        <v>6.76</v>
      </c>
      <c r="CP422">
        <v>1.7599999999999998</v>
      </c>
      <c r="CQ422">
        <v>4.26</v>
      </c>
    </row>
    <row r="423" spans="1:95">
      <c r="A423" s="424">
        <v>45701</v>
      </c>
      <c r="B423" t="s">
        <v>250</v>
      </c>
      <c r="C423">
        <v>155.51</v>
      </c>
      <c r="D423">
        <v>153.51</v>
      </c>
      <c r="E423">
        <v>154.51</v>
      </c>
      <c r="F423">
        <v>162.08000000000001</v>
      </c>
      <c r="G423">
        <v>159.08000000000001</v>
      </c>
      <c r="H423">
        <v>160.58000000000001</v>
      </c>
      <c r="I423">
        <v>109.68</v>
      </c>
      <c r="J423">
        <v>106.48</v>
      </c>
      <c r="K423">
        <v>108.08000000000001</v>
      </c>
      <c r="L423">
        <v>196.4</v>
      </c>
      <c r="M423">
        <v>188.4</v>
      </c>
      <c r="N423">
        <v>192.4</v>
      </c>
      <c r="O423">
        <v>169.95</v>
      </c>
      <c r="P423">
        <v>168.14999999999998</v>
      </c>
      <c r="Q423">
        <v>169.04999999999998</v>
      </c>
      <c r="R423">
        <v>21.83</v>
      </c>
      <c r="S423">
        <v>21.229999999999997</v>
      </c>
      <c r="T423">
        <v>21.529999999999998</v>
      </c>
      <c r="U423">
        <v>14.01</v>
      </c>
      <c r="V423">
        <v>13.41</v>
      </c>
      <c r="W423">
        <v>13.71</v>
      </c>
      <c r="X423">
        <v>14.62</v>
      </c>
      <c r="Y423">
        <v>13.819999999999999</v>
      </c>
      <c r="Z423">
        <v>14.219999999999999</v>
      </c>
      <c r="AA423">
        <v>99.06</v>
      </c>
      <c r="AB423">
        <v>95.06</v>
      </c>
      <c r="AC423">
        <v>97.06</v>
      </c>
      <c r="AD423">
        <v>89.16</v>
      </c>
      <c r="AE423">
        <v>85.16</v>
      </c>
      <c r="AF423">
        <v>87.16</v>
      </c>
      <c r="AG423">
        <v>20.27</v>
      </c>
      <c r="AH423">
        <v>19.41</v>
      </c>
      <c r="AI423">
        <v>19.84</v>
      </c>
      <c r="AM423">
        <v>115.03</v>
      </c>
      <c r="AN423">
        <v>113.37</v>
      </c>
      <c r="AO423">
        <v>114.2</v>
      </c>
      <c r="AP423">
        <v>42.07</v>
      </c>
      <c r="AQ423">
        <v>40.47</v>
      </c>
      <c r="AR423">
        <v>41.269999999999996</v>
      </c>
      <c r="AS423">
        <v>42.82</v>
      </c>
      <c r="AT423">
        <v>41.46</v>
      </c>
      <c r="AU423">
        <v>42.14</v>
      </c>
      <c r="AV423">
        <v>21.43</v>
      </c>
      <c r="AW423">
        <v>20.83</v>
      </c>
      <c r="AX423">
        <v>21.13</v>
      </c>
      <c r="AY423">
        <v>4.63</v>
      </c>
      <c r="AZ423">
        <v>4.47</v>
      </c>
      <c r="BA423">
        <v>4.55</v>
      </c>
      <c r="BB423">
        <v>1.94</v>
      </c>
      <c r="BC423">
        <v>1.64</v>
      </c>
      <c r="BD423">
        <v>1.79</v>
      </c>
      <c r="BE423">
        <v>0.71</v>
      </c>
      <c r="BF423">
        <v>0.41</v>
      </c>
      <c r="BG423">
        <v>0.55999999999999994</v>
      </c>
      <c r="BH423">
        <v>509.17</v>
      </c>
      <c r="BI423">
        <v>493.17</v>
      </c>
      <c r="BJ423">
        <v>501.17</v>
      </c>
      <c r="BK423">
        <v>43.14</v>
      </c>
      <c r="BL423">
        <v>41.78</v>
      </c>
      <c r="BM423">
        <v>42.46</v>
      </c>
      <c r="BN423">
        <v>1.07</v>
      </c>
      <c r="BO423">
        <v>0.83000000000000007</v>
      </c>
      <c r="BP423">
        <v>0.95000000000000007</v>
      </c>
      <c r="BQ423">
        <v>8.52</v>
      </c>
      <c r="BR423">
        <v>6.52</v>
      </c>
      <c r="BS423">
        <v>7.52</v>
      </c>
      <c r="BT423">
        <v>10.85</v>
      </c>
      <c r="BU423">
        <v>10.45</v>
      </c>
      <c r="BV423">
        <v>10.649999999999999</v>
      </c>
      <c r="BW423">
        <v>2.81</v>
      </c>
      <c r="BX423">
        <v>2.5300000000000002</v>
      </c>
      <c r="BY423">
        <v>2.67</v>
      </c>
      <c r="BZ423">
        <v>9.84</v>
      </c>
      <c r="CA423">
        <v>6.84</v>
      </c>
      <c r="CB423">
        <v>8.34</v>
      </c>
      <c r="CC423">
        <v>6.54</v>
      </c>
      <c r="CD423">
        <v>6.3</v>
      </c>
      <c r="CE423">
        <v>6.42</v>
      </c>
      <c r="CF423">
        <v>1.89</v>
      </c>
      <c r="CG423">
        <v>1.39</v>
      </c>
      <c r="CH423">
        <v>1.64</v>
      </c>
      <c r="CI423">
        <v>0.42</v>
      </c>
      <c r="CJ423">
        <v>0.38</v>
      </c>
      <c r="CK423">
        <v>0.4</v>
      </c>
      <c r="CL423">
        <v>39.81</v>
      </c>
      <c r="CM423">
        <v>37.410000000000004</v>
      </c>
      <c r="CN423">
        <v>38.61</v>
      </c>
      <c r="CO423">
        <v>6.78</v>
      </c>
      <c r="CP423">
        <v>1.7800000000000002</v>
      </c>
      <c r="CQ423">
        <v>4.28</v>
      </c>
    </row>
    <row r="424" spans="1:95">
      <c r="A424" s="424">
        <v>45702</v>
      </c>
      <c r="B424" t="s">
        <v>251</v>
      </c>
      <c r="C424">
        <v>153.81</v>
      </c>
      <c r="D424">
        <v>151.81</v>
      </c>
      <c r="E424">
        <v>152.81</v>
      </c>
      <c r="F424">
        <v>161.35</v>
      </c>
      <c r="G424">
        <v>158.35</v>
      </c>
      <c r="H424">
        <v>159.85</v>
      </c>
      <c r="I424">
        <v>109.21</v>
      </c>
      <c r="J424">
        <v>106.00999999999999</v>
      </c>
      <c r="K424">
        <v>107.60999999999999</v>
      </c>
      <c r="L424">
        <v>195.94</v>
      </c>
      <c r="M424">
        <v>187.94</v>
      </c>
      <c r="N424">
        <v>191.94</v>
      </c>
      <c r="O424">
        <v>170.07</v>
      </c>
      <c r="P424">
        <v>168.26999999999998</v>
      </c>
      <c r="Q424">
        <v>169.17</v>
      </c>
      <c r="R424">
        <v>21.73</v>
      </c>
      <c r="S424">
        <v>21.13</v>
      </c>
      <c r="T424">
        <v>21.43</v>
      </c>
      <c r="U424">
        <v>14.02</v>
      </c>
      <c r="V424">
        <v>13.42</v>
      </c>
      <c r="W424">
        <v>13.719999999999999</v>
      </c>
      <c r="X424">
        <v>14.64</v>
      </c>
      <c r="Y424">
        <v>13.84</v>
      </c>
      <c r="Z424">
        <v>14.24</v>
      </c>
      <c r="AA424">
        <v>98.48</v>
      </c>
      <c r="AB424">
        <v>94.48</v>
      </c>
      <c r="AC424">
        <v>96.48</v>
      </c>
      <c r="AD424">
        <v>88.8</v>
      </c>
      <c r="AE424">
        <v>84.8</v>
      </c>
      <c r="AF424">
        <v>86.8</v>
      </c>
      <c r="AG424">
        <v>20.05</v>
      </c>
      <c r="AH424">
        <v>19.190000000000001</v>
      </c>
      <c r="AI424">
        <v>19.62</v>
      </c>
      <c r="AM424">
        <v>114.54</v>
      </c>
      <c r="AN424">
        <v>112.88000000000001</v>
      </c>
      <c r="AO424">
        <v>113.71000000000001</v>
      </c>
      <c r="AP424">
        <v>41.61</v>
      </c>
      <c r="AQ424">
        <v>40.01</v>
      </c>
      <c r="AR424">
        <v>40.81</v>
      </c>
      <c r="AS424">
        <v>42.35</v>
      </c>
      <c r="AT424">
        <v>40.99</v>
      </c>
      <c r="AU424">
        <v>41.67</v>
      </c>
      <c r="AV424">
        <v>21.29</v>
      </c>
      <c r="AW424">
        <v>20.689999999999998</v>
      </c>
      <c r="AX424">
        <v>20.99</v>
      </c>
      <c r="AY424">
        <v>4.62</v>
      </c>
      <c r="AZ424">
        <v>4.46</v>
      </c>
      <c r="BA424">
        <v>4.54</v>
      </c>
      <c r="BB424">
        <v>1.92</v>
      </c>
      <c r="BC424">
        <v>1.6199999999999999</v>
      </c>
      <c r="BD424">
        <v>1.77</v>
      </c>
      <c r="BE424">
        <v>0.7</v>
      </c>
      <c r="BF424">
        <v>0.39999999999999997</v>
      </c>
      <c r="BG424">
        <v>0.54999999999999993</v>
      </c>
      <c r="BH424">
        <v>504.3</v>
      </c>
      <c r="BI424">
        <v>488.3</v>
      </c>
      <c r="BJ424">
        <v>496.3</v>
      </c>
      <c r="BK424">
        <v>42.68</v>
      </c>
      <c r="BL424">
        <v>41.32</v>
      </c>
      <c r="BM424">
        <v>42</v>
      </c>
      <c r="BN424">
        <v>1.06</v>
      </c>
      <c r="BO424">
        <v>0.82000000000000006</v>
      </c>
      <c r="BP424">
        <v>0.94000000000000006</v>
      </c>
      <c r="BQ424">
        <v>8.49</v>
      </c>
      <c r="BR424">
        <v>6.49</v>
      </c>
      <c r="BS424">
        <v>7.49</v>
      </c>
      <c r="BT424">
        <v>10.8</v>
      </c>
      <c r="BU424">
        <v>10.4</v>
      </c>
      <c r="BV424">
        <v>10.600000000000001</v>
      </c>
      <c r="BW424">
        <v>2.79</v>
      </c>
      <c r="BX424">
        <v>2.5099999999999998</v>
      </c>
      <c r="BY424">
        <v>2.65</v>
      </c>
      <c r="BZ424">
        <v>9.76</v>
      </c>
      <c r="CA424">
        <v>6.76</v>
      </c>
      <c r="CB424">
        <v>8.26</v>
      </c>
      <c r="CC424">
        <v>6.51</v>
      </c>
      <c r="CD424">
        <v>6.27</v>
      </c>
      <c r="CE424">
        <v>6.39</v>
      </c>
      <c r="CF424">
        <v>1.96</v>
      </c>
      <c r="CG424">
        <v>1.46</v>
      </c>
      <c r="CH424">
        <v>1.71</v>
      </c>
      <c r="CI424">
        <v>0.42</v>
      </c>
      <c r="CJ424">
        <v>0.38</v>
      </c>
      <c r="CK424">
        <v>0.4</v>
      </c>
      <c r="CL424">
        <v>39.57</v>
      </c>
      <c r="CM424">
        <v>37.17</v>
      </c>
      <c r="CN424">
        <v>38.370000000000005</v>
      </c>
      <c r="CO424">
        <v>6.74</v>
      </c>
      <c r="CP424">
        <v>1.7400000000000002</v>
      </c>
      <c r="CQ424">
        <v>4.24</v>
      </c>
    </row>
    <row r="425" spans="1:95">
      <c r="A425" s="424">
        <v>45703</v>
      </c>
      <c r="B425" t="s">
        <v>252</v>
      </c>
    </row>
    <row r="426" spans="1:95">
      <c r="A426" s="424">
        <v>45704</v>
      </c>
      <c r="B426" t="s">
        <v>253</v>
      </c>
    </row>
    <row r="427" spans="1:95">
      <c r="A427" s="424">
        <v>45705</v>
      </c>
      <c r="B427" t="s">
        <v>247</v>
      </c>
      <c r="C427">
        <v>152.91</v>
      </c>
      <c r="D427">
        <v>150.91</v>
      </c>
      <c r="E427">
        <v>151.91</v>
      </c>
      <c r="F427">
        <v>160.85</v>
      </c>
      <c r="G427">
        <v>157.85</v>
      </c>
      <c r="H427">
        <v>159.35</v>
      </c>
      <c r="I427">
        <v>108.8</v>
      </c>
      <c r="J427">
        <v>105.6</v>
      </c>
      <c r="K427">
        <v>107.19999999999999</v>
      </c>
      <c r="L427">
        <v>195.19</v>
      </c>
      <c r="M427">
        <v>187.19</v>
      </c>
      <c r="N427">
        <v>191.19</v>
      </c>
      <c r="O427">
        <v>169.67</v>
      </c>
      <c r="P427">
        <v>167.86999999999998</v>
      </c>
      <c r="Q427">
        <v>168.76999999999998</v>
      </c>
      <c r="R427">
        <v>21.66</v>
      </c>
      <c r="S427">
        <v>21.06</v>
      </c>
      <c r="T427">
        <v>21.36</v>
      </c>
      <c r="U427">
        <v>13.95</v>
      </c>
      <c r="V427">
        <v>13.35</v>
      </c>
      <c r="W427">
        <v>13.649999999999999</v>
      </c>
      <c r="X427">
        <v>14.61</v>
      </c>
      <c r="Y427">
        <v>13.809999999999999</v>
      </c>
      <c r="Z427">
        <v>14.209999999999999</v>
      </c>
      <c r="AA427">
        <v>98.54</v>
      </c>
      <c r="AB427">
        <v>94.54</v>
      </c>
      <c r="AC427">
        <v>96.54</v>
      </c>
      <c r="AD427">
        <v>89.12</v>
      </c>
      <c r="AE427">
        <v>85.12</v>
      </c>
      <c r="AF427">
        <v>87.12</v>
      </c>
      <c r="AG427">
        <v>19.95</v>
      </c>
      <c r="AH427">
        <v>19.09</v>
      </c>
      <c r="AI427">
        <v>19.52</v>
      </c>
      <c r="AM427">
        <v>114.25</v>
      </c>
      <c r="AN427">
        <v>112.59</v>
      </c>
      <c r="AO427">
        <v>113.42</v>
      </c>
      <c r="AP427">
        <v>41.37</v>
      </c>
      <c r="AQ427">
        <v>39.769999999999996</v>
      </c>
      <c r="AR427">
        <v>40.569999999999993</v>
      </c>
      <c r="AS427">
        <v>42.11</v>
      </c>
      <c r="AT427">
        <v>40.75</v>
      </c>
      <c r="AU427">
        <v>41.43</v>
      </c>
      <c r="AV427">
        <v>21.24</v>
      </c>
      <c r="AW427">
        <v>20.639999999999997</v>
      </c>
      <c r="AX427">
        <v>20.939999999999998</v>
      </c>
      <c r="AY427">
        <v>4.57</v>
      </c>
      <c r="AZ427">
        <v>4.41</v>
      </c>
      <c r="BA427">
        <v>4.49</v>
      </c>
      <c r="BB427">
        <v>1.91</v>
      </c>
      <c r="BC427">
        <v>1.6099999999999999</v>
      </c>
      <c r="BD427">
        <v>1.7599999999999998</v>
      </c>
      <c r="BE427">
        <v>0.7</v>
      </c>
      <c r="BF427">
        <v>0.39999999999999997</v>
      </c>
      <c r="BG427">
        <v>0.54999999999999993</v>
      </c>
      <c r="BH427">
        <v>501.21</v>
      </c>
      <c r="BI427">
        <v>485.21</v>
      </c>
      <c r="BJ427">
        <v>493.21</v>
      </c>
      <c r="BK427">
        <v>42.42</v>
      </c>
      <c r="BL427">
        <v>41.06</v>
      </c>
      <c r="BM427">
        <v>41.74</v>
      </c>
      <c r="BN427">
        <v>1.06</v>
      </c>
      <c r="BO427">
        <v>0.82000000000000006</v>
      </c>
      <c r="BP427">
        <v>0.94000000000000006</v>
      </c>
      <c r="BQ427">
        <v>8.48</v>
      </c>
      <c r="BR427">
        <v>6.48</v>
      </c>
      <c r="BS427">
        <v>7.48</v>
      </c>
      <c r="BT427">
        <v>10.74</v>
      </c>
      <c r="BU427">
        <v>10.34</v>
      </c>
      <c r="BV427">
        <v>10.54</v>
      </c>
      <c r="BW427">
        <v>2.79</v>
      </c>
      <c r="BX427">
        <v>2.5099999999999998</v>
      </c>
      <c r="BY427">
        <v>2.65</v>
      </c>
      <c r="BZ427">
        <v>9.77</v>
      </c>
      <c r="CA427">
        <v>6.77</v>
      </c>
      <c r="CB427">
        <v>8.27</v>
      </c>
      <c r="CC427">
        <v>6.49</v>
      </c>
      <c r="CD427">
        <v>6.25</v>
      </c>
      <c r="CE427">
        <v>6.37</v>
      </c>
      <c r="CF427">
        <v>1.92</v>
      </c>
      <c r="CG427">
        <v>1.42</v>
      </c>
      <c r="CH427">
        <v>1.67</v>
      </c>
      <c r="CI427">
        <v>0.42</v>
      </c>
      <c r="CJ427">
        <v>0.38</v>
      </c>
      <c r="CK427">
        <v>0.4</v>
      </c>
      <c r="CL427">
        <v>39.53</v>
      </c>
      <c r="CM427">
        <v>37.130000000000003</v>
      </c>
      <c r="CN427">
        <v>38.33</v>
      </c>
      <c r="CO427">
        <v>6.7</v>
      </c>
      <c r="CP427">
        <v>1.7000000000000002</v>
      </c>
      <c r="CQ427">
        <v>4.2</v>
      </c>
    </row>
    <row r="428" spans="1:95">
      <c r="A428" s="424">
        <v>45706</v>
      </c>
      <c r="B428" t="s">
        <v>248</v>
      </c>
      <c r="C428">
        <v>152.66999999999999</v>
      </c>
      <c r="D428">
        <v>150.66999999999999</v>
      </c>
      <c r="E428">
        <v>151.66999999999999</v>
      </c>
      <c r="F428">
        <v>160.37</v>
      </c>
      <c r="G428">
        <v>157.37</v>
      </c>
      <c r="H428">
        <v>158.87</v>
      </c>
      <c r="I428">
        <v>108.46</v>
      </c>
      <c r="J428">
        <v>105.25999999999999</v>
      </c>
      <c r="K428">
        <v>106.85999999999999</v>
      </c>
      <c r="L428">
        <v>195.3</v>
      </c>
      <c r="M428">
        <v>187.3</v>
      </c>
      <c r="N428">
        <v>191.3</v>
      </c>
      <c r="O428">
        <v>169.14</v>
      </c>
      <c r="P428">
        <v>167.33999999999997</v>
      </c>
      <c r="Q428">
        <v>168.23999999999998</v>
      </c>
      <c r="R428">
        <v>21.6</v>
      </c>
      <c r="S428">
        <v>21</v>
      </c>
      <c r="T428">
        <v>21.3</v>
      </c>
      <c r="U428">
        <v>13.95</v>
      </c>
      <c r="V428">
        <v>13.35</v>
      </c>
      <c r="W428">
        <v>13.649999999999999</v>
      </c>
      <c r="X428">
        <v>14.58</v>
      </c>
      <c r="Y428">
        <v>13.78</v>
      </c>
      <c r="Z428">
        <v>14.18</v>
      </c>
      <c r="AA428">
        <v>98.28</v>
      </c>
      <c r="AB428">
        <v>94.28</v>
      </c>
      <c r="AC428">
        <v>96.28</v>
      </c>
      <c r="AD428">
        <v>88.85</v>
      </c>
      <c r="AE428">
        <v>84.85</v>
      </c>
      <c r="AF428">
        <v>86.85</v>
      </c>
      <c r="AG428">
        <v>19.920000000000002</v>
      </c>
      <c r="AH428">
        <v>19.060000000000002</v>
      </c>
      <c r="AI428">
        <v>19.490000000000002</v>
      </c>
      <c r="AM428">
        <v>113.85</v>
      </c>
      <c r="AN428">
        <v>112.19</v>
      </c>
      <c r="AO428">
        <v>113.02</v>
      </c>
      <c r="AP428">
        <v>41.3</v>
      </c>
      <c r="AQ428">
        <v>39.699999999999996</v>
      </c>
      <c r="AR428">
        <v>40.5</v>
      </c>
      <c r="AS428">
        <v>42.04</v>
      </c>
      <c r="AT428">
        <v>40.68</v>
      </c>
      <c r="AU428">
        <v>41.36</v>
      </c>
      <c r="AV428">
        <v>21.17</v>
      </c>
      <c r="AW428">
        <v>20.57</v>
      </c>
      <c r="AX428">
        <v>20.87</v>
      </c>
      <c r="AY428">
        <v>4.58</v>
      </c>
      <c r="AZ428">
        <v>4.42</v>
      </c>
      <c r="BA428">
        <v>4.5</v>
      </c>
      <c r="BB428">
        <v>1.91</v>
      </c>
      <c r="BC428">
        <v>1.6099999999999999</v>
      </c>
      <c r="BD428">
        <v>1.7599999999999998</v>
      </c>
      <c r="BE428">
        <v>0.7</v>
      </c>
      <c r="BF428">
        <v>0.39999999999999997</v>
      </c>
      <c r="BG428">
        <v>0.54999999999999993</v>
      </c>
      <c r="BH428">
        <v>500.44</v>
      </c>
      <c r="BI428">
        <v>484.44</v>
      </c>
      <c r="BJ428">
        <v>492.44</v>
      </c>
      <c r="BK428">
        <v>42.36</v>
      </c>
      <c r="BL428">
        <v>41</v>
      </c>
      <c r="BM428">
        <v>41.68</v>
      </c>
      <c r="BN428">
        <v>1.06</v>
      </c>
      <c r="BO428">
        <v>0.82000000000000006</v>
      </c>
      <c r="BP428">
        <v>0.94000000000000006</v>
      </c>
      <c r="BQ428">
        <v>8.4600000000000009</v>
      </c>
      <c r="BR428">
        <v>6.4600000000000009</v>
      </c>
      <c r="BS428">
        <v>7.4600000000000009</v>
      </c>
      <c r="BT428">
        <v>10.72</v>
      </c>
      <c r="BU428">
        <v>10.32</v>
      </c>
      <c r="BV428">
        <v>10.52</v>
      </c>
      <c r="BW428">
        <v>2.77</v>
      </c>
      <c r="BX428">
        <v>2.4900000000000002</v>
      </c>
      <c r="BY428">
        <v>2.63</v>
      </c>
      <c r="BZ428">
        <v>9.7200000000000006</v>
      </c>
      <c r="CA428">
        <v>6.7200000000000006</v>
      </c>
      <c r="CB428">
        <v>8.2200000000000006</v>
      </c>
      <c r="CC428">
        <v>6.47</v>
      </c>
      <c r="CD428">
        <v>6.2299999999999995</v>
      </c>
      <c r="CE428">
        <v>6.35</v>
      </c>
      <c r="CF428">
        <v>1.91</v>
      </c>
      <c r="CG428">
        <v>1.41</v>
      </c>
      <c r="CH428">
        <v>1.66</v>
      </c>
      <c r="CI428">
        <v>0.42</v>
      </c>
      <c r="CJ428">
        <v>0.38</v>
      </c>
      <c r="CK428">
        <v>0.4</v>
      </c>
      <c r="CL428">
        <v>39.43</v>
      </c>
      <c r="CM428">
        <v>37.03</v>
      </c>
      <c r="CN428">
        <v>38.230000000000004</v>
      </c>
      <c r="CO428">
        <v>6.69</v>
      </c>
      <c r="CP428">
        <v>1.6900000000000004</v>
      </c>
      <c r="CQ428">
        <v>4.1900000000000004</v>
      </c>
    </row>
    <row r="429" spans="1:95">
      <c r="A429" s="424">
        <v>45707</v>
      </c>
      <c r="B429" t="s">
        <v>249</v>
      </c>
      <c r="C429">
        <v>153.13999999999999</v>
      </c>
      <c r="D429">
        <v>151.13999999999999</v>
      </c>
      <c r="E429">
        <v>152.13999999999999</v>
      </c>
      <c r="F429">
        <v>160.41</v>
      </c>
      <c r="G429">
        <v>157.41</v>
      </c>
      <c r="H429">
        <v>158.91</v>
      </c>
      <c r="I429">
        <v>108.76</v>
      </c>
      <c r="J429">
        <v>105.56</v>
      </c>
      <c r="K429">
        <v>107.16</v>
      </c>
      <c r="L429">
        <v>195.99</v>
      </c>
      <c r="M429">
        <v>187.99</v>
      </c>
      <c r="N429">
        <v>191.99</v>
      </c>
      <c r="O429">
        <v>169.12</v>
      </c>
      <c r="P429">
        <v>167.32</v>
      </c>
      <c r="Q429">
        <v>168.22</v>
      </c>
      <c r="R429">
        <v>21.6</v>
      </c>
      <c r="S429">
        <v>21</v>
      </c>
      <c r="T429">
        <v>21.3</v>
      </c>
      <c r="U429">
        <v>13.92</v>
      </c>
      <c r="V429">
        <v>13.32</v>
      </c>
      <c r="W429">
        <v>13.620000000000001</v>
      </c>
      <c r="X429">
        <v>14.58</v>
      </c>
      <c r="Y429">
        <v>13.78</v>
      </c>
      <c r="Z429">
        <v>14.18</v>
      </c>
      <c r="AA429">
        <v>98.61</v>
      </c>
      <c r="AB429">
        <v>94.61</v>
      </c>
      <c r="AC429">
        <v>96.61</v>
      </c>
      <c r="AD429">
        <v>88.72</v>
      </c>
      <c r="AE429">
        <v>84.72</v>
      </c>
      <c r="AF429">
        <v>86.72</v>
      </c>
      <c r="AG429">
        <v>20</v>
      </c>
      <c r="AH429">
        <v>19.14</v>
      </c>
      <c r="AI429">
        <v>19.57</v>
      </c>
      <c r="AM429">
        <v>114.14</v>
      </c>
      <c r="AN429">
        <v>112.48</v>
      </c>
      <c r="AO429">
        <v>113.31</v>
      </c>
      <c r="AP429">
        <v>41.44</v>
      </c>
      <c r="AQ429">
        <v>39.839999999999996</v>
      </c>
      <c r="AR429">
        <v>40.64</v>
      </c>
      <c r="AS429">
        <v>42.17</v>
      </c>
      <c r="AT429">
        <v>40.81</v>
      </c>
      <c r="AU429">
        <v>41.49</v>
      </c>
      <c r="AV429">
        <v>21.19</v>
      </c>
      <c r="AW429">
        <v>20.59</v>
      </c>
      <c r="AX429">
        <v>20.89</v>
      </c>
      <c r="AY429">
        <v>4.5999999999999996</v>
      </c>
      <c r="AZ429">
        <v>4.4399999999999995</v>
      </c>
      <c r="BA429">
        <v>4.5199999999999996</v>
      </c>
      <c r="BB429">
        <v>1.91</v>
      </c>
      <c r="BC429">
        <v>1.6099999999999999</v>
      </c>
      <c r="BD429">
        <v>1.7599999999999998</v>
      </c>
      <c r="BE429">
        <v>0.7</v>
      </c>
      <c r="BF429">
        <v>0.39999999999999997</v>
      </c>
      <c r="BG429">
        <v>0.54999999999999993</v>
      </c>
      <c r="BH429">
        <v>501.64</v>
      </c>
      <c r="BI429">
        <v>485.64</v>
      </c>
      <c r="BJ429">
        <v>493.64</v>
      </c>
      <c r="BK429">
        <v>42.49</v>
      </c>
      <c r="BL429">
        <v>41.13</v>
      </c>
      <c r="BM429">
        <v>41.81</v>
      </c>
      <c r="BN429">
        <v>1.06</v>
      </c>
      <c r="BO429">
        <v>0.82000000000000006</v>
      </c>
      <c r="BP429">
        <v>0.94000000000000006</v>
      </c>
      <c r="BQ429">
        <v>8.51</v>
      </c>
      <c r="BR429">
        <v>6.51</v>
      </c>
      <c r="BS429">
        <v>7.51</v>
      </c>
      <c r="BT429">
        <v>10.77</v>
      </c>
      <c r="BU429">
        <v>10.37</v>
      </c>
      <c r="BV429">
        <v>10.57</v>
      </c>
      <c r="BW429">
        <v>2.77</v>
      </c>
      <c r="BX429">
        <v>2.4900000000000002</v>
      </c>
      <c r="BY429">
        <v>2.63</v>
      </c>
      <c r="BZ429">
        <v>9.76</v>
      </c>
      <c r="CA429">
        <v>6.76</v>
      </c>
      <c r="CB429">
        <v>8.26</v>
      </c>
      <c r="CC429">
        <v>6.47</v>
      </c>
      <c r="CD429">
        <v>6.2299999999999995</v>
      </c>
      <c r="CE429">
        <v>6.35</v>
      </c>
      <c r="CF429">
        <v>1.91</v>
      </c>
      <c r="CG429">
        <v>1.41</v>
      </c>
      <c r="CH429">
        <v>1.66</v>
      </c>
      <c r="CI429">
        <v>0.42</v>
      </c>
      <c r="CJ429">
        <v>0.38</v>
      </c>
      <c r="CK429">
        <v>0.4</v>
      </c>
      <c r="CL429">
        <v>39.49</v>
      </c>
      <c r="CM429">
        <v>37.090000000000003</v>
      </c>
      <c r="CN429">
        <v>38.290000000000006</v>
      </c>
      <c r="CO429">
        <v>6.7</v>
      </c>
      <c r="CP429">
        <v>1.7000000000000002</v>
      </c>
      <c r="CQ429">
        <v>4.2</v>
      </c>
    </row>
    <row r="430" spans="1:95">
      <c r="A430" s="424">
        <v>45708</v>
      </c>
      <c r="B430" t="s">
        <v>250</v>
      </c>
      <c r="C430">
        <v>152.13</v>
      </c>
      <c r="D430">
        <v>150.13</v>
      </c>
      <c r="E430">
        <v>151.13</v>
      </c>
      <c r="F430">
        <v>159.1</v>
      </c>
      <c r="G430">
        <v>156.1</v>
      </c>
      <c r="H430">
        <v>157.6</v>
      </c>
      <c r="I430">
        <v>107.82</v>
      </c>
      <c r="J430">
        <v>104.61999999999999</v>
      </c>
      <c r="K430">
        <v>106.22</v>
      </c>
      <c r="L430">
        <v>194.3</v>
      </c>
      <c r="M430">
        <v>186.3</v>
      </c>
      <c r="N430">
        <v>190.3</v>
      </c>
      <c r="O430">
        <v>168.08</v>
      </c>
      <c r="P430">
        <v>166.28</v>
      </c>
      <c r="Q430">
        <v>167.18</v>
      </c>
      <c r="R430">
        <v>21.43</v>
      </c>
      <c r="S430">
        <v>20.83</v>
      </c>
      <c r="T430">
        <v>21.13</v>
      </c>
      <c r="U430">
        <v>13.89</v>
      </c>
      <c r="V430">
        <v>13.290000000000001</v>
      </c>
      <c r="W430">
        <v>13.59</v>
      </c>
      <c r="X430">
        <v>14.5</v>
      </c>
      <c r="Y430">
        <v>13.7</v>
      </c>
      <c r="Z430">
        <v>14.1</v>
      </c>
      <c r="AA430">
        <v>97.97</v>
      </c>
      <c r="AB430">
        <v>93.97</v>
      </c>
      <c r="AC430">
        <v>95.97</v>
      </c>
      <c r="AD430">
        <v>88.22</v>
      </c>
      <c r="AE430">
        <v>84.22</v>
      </c>
      <c r="AF430">
        <v>86.22</v>
      </c>
      <c r="AG430">
        <v>19.86</v>
      </c>
      <c r="AH430">
        <v>19</v>
      </c>
      <c r="AI430">
        <v>19.43</v>
      </c>
      <c r="AM430">
        <v>113.47</v>
      </c>
      <c r="AN430">
        <v>111.81</v>
      </c>
      <c r="AO430">
        <v>112.64</v>
      </c>
      <c r="AP430">
        <v>41.17</v>
      </c>
      <c r="AQ430">
        <v>39.57</v>
      </c>
      <c r="AR430">
        <v>40.370000000000005</v>
      </c>
      <c r="AS430">
        <v>41.89</v>
      </c>
      <c r="AT430">
        <v>40.53</v>
      </c>
      <c r="AU430">
        <v>41.21</v>
      </c>
      <c r="AV430">
        <v>21.06</v>
      </c>
      <c r="AW430">
        <v>20.459999999999997</v>
      </c>
      <c r="AX430">
        <v>20.759999999999998</v>
      </c>
      <c r="AY430">
        <v>4.57</v>
      </c>
      <c r="AZ430">
        <v>4.41</v>
      </c>
      <c r="BA430">
        <v>4.49</v>
      </c>
      <c r="BB430">
        <v>1.9</v>
      </c>
      <c r="BC430">
        <v>1.5999999999999999</v>
      </c>
      <c r="BD430">
        <v>1.75</v>
      </c>
      <c r="BE430">
        <v>0.69</v>
      </c>
      <c r="BF430">
        <v>0.38999999999999996</v>
      </c>
      <c r="BG430">
        <v>0.53999999999999992</v>
      </c>
      <c r="BH430">
        <v>498.52</v>
      </c>
      <c r="BI430">
        <v>482.52</v>
      </c>
      <c r="BJ430">
        <v>490.52</v>
      </c>
      <c r="BK430">
        <v>42.21</v>
      </c>
      <c r="BL430">
        <v>40.85</v>
      </c>
      <c r="BM430">
        <v>41.53</v>
      </c>
      <c r="BN430">
        <v>1.05</v>
      </c>
      <c r="BO430">
        <v>0.81</v>
      </c>
      <c r="BP430">
        <v>0.93</v>
      </c>
      <c r="BQ430">
        <v>8.39</v>
      </c>
      <c r="BR430">
        <v>6.3900000000000006</v>
      </c>
      <c r="BS430">
        <v>7.3900000000000006</v>
      </c>
      <c r="BT430">
        <v>10.71</v>
      </c>
      <c r="BU430">
        <v>10.31</v>
      </c>
      <c r="BV430">
        <v>10.510000000000002</v>
      </c>
      <c r="BW430">
        <v>2.76</v>
      </c>
      <c r="BX430">
        <v>2.4799999999999995</v>
      </c>
      <c r="BY430">
        <v>2.6199999999999997</v>
      </c>
      <c r="BZ430">
        <v>9.65</v>
      </c>
      <c r="CA430">
        <v>6.65</v>
      </c>
      <c r="CB430">
        <v>8.15</v>
      </c>
      <c r="CC430">
        <v>6.4</v>
      </c>
      <c r="CD430">
        <v>6.16</v>
      </c>
      <c r="CE430">
        <v>6.28</v>
      </c>
      <c r="CF430">
        <v>1.94</v>
      </c>
      <c r="CG430">
        <v>1.44</v>
      </c>
      <c r="CH430">
        <v>1.69</v>
      </c>
      <c r="CI430">
        <v>0.41</v>
      </c>
      <c r="CJ430">
        <v>0.37</v>
      </c>
      <c r="CK430">
        <v>0.39</v>
      </c>
      <c r="CL430">
        <v>38.96</v>
      </c>
      <c r="CM430">
        <v>36.56</v>
      </c>
      <c r="CN430">
        <v>37.760000000000005</v>
      </c>
      <c r="CO430">
        <v>6.67</v>
      </c>
      <c r="CP430">
        <v>1.67</v>
      </c>
      <c r="CQ430">
        <v>4.17</v>
      </c>
    </row>
    <row r="431" spans="1:95">
      <c r="A431" s="424">
        <v>45709</v>
      </c>
      <c r="B431" t="s">
        <v>251</v>
      </c>
      <c r="C431">
        <v>150.86000000000001</v>
      </c>
      <c r="D431">
        <v>148.86000000000001</v>
      </c>
      <c r="E431">
        <v>149.86000000000001</v>
      </c>
      <c r="F431">
        <v>158.69</v>
      </c>
      <c r="G431">
        <v>155.69</v>
      </c>
      <c r="H431">
        <v>157.19</v>
      </c>
      <c r="I431">
        <v>107.27</v>
      </c>
      <c r="J431">
        <v>104.07</v>
      </c>
      <c r="K431">
        <v>105.66999999999999</v>
      </c>
      <c r="L431">
        <v>193.74</v>
      </c>
      <c r="M431">
        <v>185.74</v>
      </c>
      <c r="N431">
        <v>189.74</v>
      </c>
      <c r="O431">
        <v>167.6</v>
      </c>
      <c r="P431">
        <v>165.79999999999998</v>
      </c>
      <c r="Q431">
        <v>166.7</v>
      </c>
      <c r="R431">
        <v>21.37</v>
      </c>
      <c r="S431">
        <v>20.77</v>
      </c>
      <c r="T431">
        <v>21.07</v>
      </c>
      <c r="U431">
        <v>13.78</v>
      </c>
      <c r="V431">
        <v>13.18</v>
      </c>
      <c r="W431">
        <v>13.48</v>
      </c>
      <c r="X431">
        <v>14.48</v>
      </c>
      <c r="Y431">
        <v>13.68</v>
      </c>
      <c r="Z431">
        <v>14.08</v>
      </c>
      <c r="AA431">
        <v>97.85</v>
      </c>
      <c r="AB431">
        <v>93.85</v>
      </c>
      <c r="AC431">
        <v>95.85</v>
      </c>
      <c r="AD431">
        <v>88.33</v>
      </c>
      <c r="AE431">
        <v>84.33</v>
      </c>
      <c r="AF431">
        <v>86.33</v>
      </c>
      <c r="AG431">
        <v>19.7</v>
      </c>
      <c r="AH431">
        <v>18.84</v>
      </c>
      <c r="AI431">
        <v>19.27</v>
      </c>
      <c r="AM431">
        <v>113.15</v>
      </c>
      <c r="AN431">
        <v>111.49000000000001</v>
      </c>
      <c r="AO431">
        <v>112.32000000000001</v>
      </c>
      <c r="AP431">
        <v>40.83</v>
      </c>
      <c r="AQ431">
        <v>39.229999999999997</v>
      </c>
      <c r="AR431">
        <v>40.03</v>
      </c>
      <c r="AS431">
        <v>41.55</v>
      </c>
      <c r="AT431">
        <v>40.19</v>
      </c>
      <c r="AU431">
        <v>40.869999999999997</v>
      </c>
      <c r="AV431">
        <v>20.98</v>
      </c>
      <c r="AW431">
        <v>20.38</v>
      </c>
      <c r="AX431">
        <v>20.68</v>
      </c>
      <c r="AY431">
        <v>4.55</v>
      </c>
      <c r="AZ431">
        <v>4.3899999999999997</v>
      </c>
      <c r="BA431">
        <v>4.47</v>
      </c>
      <c r="BB431">
        <v>1.89</v>
      </c>
      <c r="BC431">
        <v>1.5899999999999999</v>
      </c>
      <c r="BD431">
        <v>1.7399999999999998</v>
      </c>
      <c r="BE431">
        <v>0.69</v>
      </c>
      <c r="BF431">
        <v>0.38999999999999996</v>
      </c>
      <c r="BG431">
        <v>0.53999999999999992</v>
      </c>
      <c r="BH431">
        <v>493.14</v>
      </c>
      <c r="BI431">
        <v>477.14</v>
      </c>
      <c r="BJ431">
        <v>485.14</v>
      </c>
      <c r="BK431">
        <v>41.87</v>
      </c>
      <c r="BL431">
        <v>40.51</v>
      </c>
      <c r="BM431">
        <v>41.19</v>
      </c>
      <c r="BN431">
        <v>1.04</v>
      </c>
      <c r="BO431">
        <v>0.8</v>
      </c>
      <c r="BP431">
        <v>0.92</v>
      </c>
      <c r="BQ431">
        <v>8.3800000000000008</v>
      </c>
      <c r="BR431">
        <v>6.3800000000000008</v>
      </c>
      <c r="BS431">
        <v>7.3800000000000008</v>
      </c>
      <c r="BT431">
        <v>10.66</v>
      </c>
      <c r="BU431">
        <v>10.26</v>
      </c>
      <c r="BV431">
        <v>10.46</v>
      </c>
      <c r="BW431">
        <v>2.75</v>
      </c>
      <c r="BX431">
        <v>2.4699999999999998</v>
      </c>
      <c r="BY431">
        <v>2.61</v>
      </c>
      <c r="BZ431">
        <v>9.67</v>
      </c>
      <c r="CA431">
        <v>6.67</v>
      </c>
      <c r="CB431">
        <v>8.17</v>
      </c>
      <c r="CC431">
        <v>6.4</v>
      </c>
      <c r="CD431">
        <v>6.16</v>
      </c>
      <c r="CE431">
        <v>6.28</v>
      </c>
      <c r="CF431">
        <v>1.94</v>
      </c>
      <c r="CG431">
        <v>1.44</v>
      </c>
      <c r="CH431">
        <v>1.69</v>
      </c>
      <c r="CI431">
        <v>0.41</v>
      </c>
      <c r="CJ431">
        <v>0.37</v>
      </c>
      <c r="CK431">
        <v>0.39</v>
      </c>
      <c r="CL431">
        <v>39</v>
      </c>
      <c r="CM431">
        <v>36.6</v>
      </c>
      <c r="CN431">
        <v>37.799999999999997</v>
      </c>
      <c r="CO431">
        <v>6.63</v>
      </c>
      <c r="CP431">
        <v>1.63</v>
      </c>
      <c r="CQ431">
        <v>4.13</v>
      </c>
    </row>
    <row r="432" spans="1:95">
      <c r="A432" s="424">
        <v>45710</v>
      </c>
      <c r="B432" t="s">
        <v>252</v>
      </c>
    </row>
    <row r="433" spans="1:95">
      <c r="A433" s="424">
        <v>45711</v>
      </c>
      <c r="B433" t="s">
        <v>253</v>
      </c>
    </row>
    <row r="434" spans="1:95">
      <c r="A434" s="424">
        <v>45712</v>
      </c>
      <c r="B434" t="s">
        <v>247</v>
      </c>
    </row>
    <row r="435" spans="1:95">
      <c r="A435" s="424">
        <v>45713</v>
      </c>
      <c r="B435" t="s">
        <v>248</v>
      </c>
      <c r="C435">
        <v>151.22999999999999</v>
      </c>
      <c r="D435">
        <v>149.22999999999999</v>
      </c>
      <c r="E435">
        <v>150.22999999999999</v>
      </c>
      <c r="F435">
        <v>158.69</v>
      </c>
      <c r="G435">
        <v>155.69</v>
      </c>
      <c r="H435">
        <v>157.19</v>
      </c>
      <c r="I435">
        <v>106.86</v>
      </c>
      <c r="J435">
        <v>103.66</v>
      </c>
      <c r="K435">
        <v>105.25999999999999</v>
      </c>
      <c r="L435">
        <v>193.59</v>
      </c>
      <c r="M435">
        <v>185.59</v>
      </c>
      <c r="N435">
        <v>189.59</v>
      </c>
      <c r="O435">
        <v>168.27</v>
      </c>
      <c r="P435">
        <v>166.47</v>
      </c>
      <c r="Q435">
        <v>167.37</v>
      </c>
      <c r="R435">
        <v>21.37</v>
      </c>
      <c r="S435">
        <v>20.77</v>
      </c>
      <c r="T435">
        <v>21.07</v>
      </c>
      <c r="U435">
        <v>13.8</v>
      </c>
      <c r="V435">
        <v>13.200000000000001</v>
      </c>
      <c r="W435">
        <v>13.5</v>
      </c>
      <c r="X435">
        <v>14.49</v>
      </c>
      <c r="Y435">
        <v>13.69</v>
      </c>
      <c r="Z435">
        <v>14.09</v>
      </c>
      <c r="AA435">
        <v>97.25</v>
      </c>
      <c r="AB435">
        <v>93.25</v>
      </c>
      <c r="AC435">
        <v>95.25</v>
      </c>
      <c r="AD435">
        <v>87.99</v>
      </c>
      <c r="AE435">
        <v>83.99</v>
      </c>
      <c r="AF435">
        <v>85.99</v>
      </c>
      <c r="AG435">
        <v>19.75</v>
      </c>
      <c r="AH435">
        <v>18.89</v>
      </c>
      <c r="AI435">
        <v>19.32</v>
      </c>
      <c r="AM435">
        <v>112.98</v>
      </c>
      <c r="AN435">
        <v>111.32000000000001</v>
      </c>
      <c r="AO435">
        <v>112.15</v>
      </c>
      <c r="AP435">
        <v>40.93</v>
      </c>
      <c r="AQ435">
        <v>39.33</v>
      </c>
      <c r="AR435">
        <v>40.129999999999995</v>
      </c>
      <c r="AS435">
        <v>41.65</v>
      </c>
      <c r="AT435">
        <v>40.29</v>
      </c>
      <c r="AU435">
        <v>40.97</v>
      </c>
      <c r="AV435">
        <v>21</v>
      </c>
      <c r="AW435">
        <v>20.399999999999999</v>
      </c>
      <c r="AX435">
        <v>20.7</v>
      </c>
      <c r="AY435">
        <v>4.57</v>
      </c>
      <c r="AZ435">
        <v>4.41</v>
      </c>
      <c r="BA435">
        <v>4.49</v>
      </c>
      <c r="BB435">
        <v>1.89</v>
      </c>
      <c r="BC435">
        <v>1.5899999999999999</v>
      </c>
      <c r="BD435">
        <v>1.7399999999999998</v>
      </c>
      <c r="BE435">
        <v>0.69</v>
      </c>
      <c r="BF435">
        <v>0.38999999999999996</v>
      </c>
      <c r="BG435">
        <v>0.53999999999999992</v>
      </c>
      <c r="BH435">
        <v>494.02</v>
      </c>
      <c r="BI435">
        <v>478.02</v>
      </c>
      <c r="BJ435">
        <v>486.02</v>
      </c>
      <c r="BK435">
        <v>41.96</v>
      </c>
      <c r="BL435">
        <v>40.6</v>
      </c>
      <c r="BM435">
        <v>41.28</v>
      </c>
      <c r="BN435">
        <v>1.05</v>
      </c>
      <c r="BO435">
        <v>0.81</v>
      </c>
      <c r="BP435">
        <v>0.93</v>
      </c>
      <c r="BQ435">
        <v>8.33</v>
      </c>
      <c r="BR435">
        <v>6.33</v>
      </c>
      <c r="BS435">
        <v>7.33</v>
      </c>
      <c r="BT435">
        <v>10.7</v>
      </c>
      <c r="BU435">
        <v>10.299999999999999</v>
      </c>
      <c r="BV435">
        <v>10.5</v>
      </c>
      <c r="BW435">
        <v>2.76</v>
      </c>
      <c r="BX435">
        <v>2.4799999999999995</v>
      </c>
      <c r="BY435">
        <v>2.6199999999999997</v>
      </c>
      <c r="BZ435">
        <v>9.66</v>
      </c>
      <c r="CA435">
        <v>6.66</v>
      </c>
      <c r="CB435">
        <v>8.16</v>
      </c>
      <c r="CC435">
        <v>6.42</v>
      </c>
      <c r="CD435">
        <v>6.18</v>
      </c>
      <c r="CE435">
        <v>6.3</v>
      </c>
      <c r="CF435">
        <v>1.96</v>
      </c>
      <c r="CG435">
        <v>1.46</v>
      </c>
      <c r="CH435">
        <v>1.71</v>
      </c>
      <c r="CI435">
        <v>0.41</v>
      </c>
      <c r="CJ435">
        <v>0.37</v>
      </c>
      <c r="CK435">
        <v>0.39</v>
      </c>
      <c r="CL435">
        <v>39.159999999999997</v>
      </c>
      <c r="CM435">
        <v>36.76</v>
      </c>
      <c r="CN435">
        <v>37.959999999999994</v>
      </c>
      <c r="CO435">
        <v>6.62</v>
      </c>
      <c r="CP435">
        <v>1.62</v>
      </c>
      <c r="CQ435">
        <v>4.12</v>
      </c>
    </row>
    <row r="436" spans="1:95">
      <c r="A436" s="424">
        <v>45714</v>
      </c>
      <c r="B436" t="s">
        <v>249</v>
      </c>
      <c r="C436">
        <v>149.91999999999999</v>
      </c>
      <c r="D436">
        <v>147.91999999999999</v>
      </c>
      <c r="E436">
        <v>148.91999999999999</v>
      </c>
      <c r="F436">
        <v>158.21</v>
      </c>
      <c r="G436">
        <v>155.21</v>
      </c>
      <c r="H436">
        <v>156.71</v>
      </c>
      <c r="I436">
        <v>105.74</v>
      </c>
      <c r="J436">
        <v>102.53999999999999</v>
      </c>
      <c r="K436">
        <v>104.13999999999999</v>
      </c>
      <c r="L436">
        <v>192.83</v>
      </c>
      <c r="M436">
        <v>184.83</v>
      </c>
      <c r="N436">
        <v>188.83</v>
      </c>
      <c r="O436">
        <v>167.91</v>
      </c>
      <c r="P436">
        <v>166.10999999999999</v>
      </c>
      <c r="Q436">
        <v>167.01</v>
      </c>
      <c r="R436">
        <v>21.31</v>
      </c>
      <c r="S436">
        <v>20.709999999999997</v>
      </c>
      <c r="T436">
        <v>21.009999999999998</v>
      </c>
      <c r="U436">
        <v>13.7</v>
      </c>
      <c r="V436">
        <v>13.1</v>
      </c>
      <c r="W436">
        <v>13.399999999999999</v>
      </c>
      <c r="X436">
        <v>14.47</v>
      </c>
      <c r="Y436">
        <v>13.67</v>
      </c>
      <c r="Z436">
        <v>14.07</v>
      </c>
      <c r="AA436">
        <v>96.46</v>
      </c>
      <c r="AB436">
        <v>92.46</v>
      </c>
      <c r="AC436">
        <v>94.46</v>
      </c>
      <c r="AD436">
        <v>87.27</v>
      </c>
      <c r="AE436">
        <v>83.27</v>
      </c>
      <c r="AF436">
        <v>85.27</v>
      </c>
      <c r="AG436">
        <v>19.59</v>
      </c>
      <c r="AH436">
        <v>18.73</v>
      </c>
      <c r="AI436">
        <v>19.16</v>
      </c>
      <c r="AM436">
        <v>112.32</v>
      </c>
      <c r="AN436">
        <v>110.66</v>
      </c>
      <c r="AO436">
        <v>111.49</v>
      </c>
      <c r="AP436">
        <v>40.58</v>
      </c>
      <c r="AQ436">
        <v>38.979999999999997</v>
      </c>
      <c r="AR436">
        <v>39.78</v>
      </c>
      <c r="AS436">
        <v>41.29</v>
      </c>
      <c r="AT436">
        <v>39.93</v>
      </c>
      <c r="AU436">
        <v>40.61</v>
      </c>
      <c r="AV436">
        <v>20.84</v>
      </c>
      <c r="AW436">
        <v>20.239999999999998</v>
      </c>
      <c r="AX436">
        <v>20.54</v>
      </c>
      <c r="AY436">
        <v>4.5</v>
      </c>
      <c r="AZ436">
        <v>4.34</v>
      </c>
      <c r="BA436">
        <v>4.42</v>
      </c>
      <c r="BB436">
        <v>1.87</v>
      </c>
      <c r="BC436">
        <v>1.57</v>
      </c>
      <c r="BD436">
        <v>1.7200000000000002</v>
      </c>
      <c r="BE436">
        <v>0.69</v>
      </c>
      <c r="BF436">
        <v>0.38999999999999996</v>
      </c>
      <c r="BG436">
        <v>0.53999999999999992</v>
      </c>
      <c r="BH436">
        <v>492.14</v>
      </c>
      <c r="BI436">
        <v>476.14</v>
      </c>
      <c r="BJ436">
        <v>484.14</v>
      </c>
      <c r="BK436">
        <v>41.6</v>
      </c>
      <c r="BL436">
        <v>40.24</v>
      </c>
      <c r="BM436">
        <v>40.92</v>
      </c>
      <c r="BN436">
        <v>1.03</v>
      </c>
      <c r="BO436">
        <v>0.79</v>
      </c>
      <c r="BP436">
        <v>0.91</v>
      </c>
      <c r="BQ436">
        <v>8.27</v>
      </c>
      <c r="BR436">
        <v>6.27</v>
      </c>
      <c r="BS436">
        <v>7.27</v>
      </c>
      <c r="BT436">
        <v>10.63</v>
      </c>
      <c r="BU436">
        <v>10.23</v>
      </c>
      <c r="BV436">
        <v>10.43</v>
      </c>
      <c r="BW436">
        <v>2.73</v>
      </c>
      <c r="BX436">
        <v>2.4500000000000002</v>
      </c>
      <c r="BY436">
        <v>2.59</v>
      </c>
      <c r="BZ436">
        <v>9.58</v>
      </c>
      <c r="CA436">
        <v>6.58</v>
      </c>
      <c r="CB436">
        <v>8.08</v>
      </c>
      <c r="CC436">
        <v>6.42</v>
      </c>
      <c r="CD436">
        <v>6.18</v>
      </c>
      <c r="CE436">
        <v>6.3</v>
      </c>
      <c r="CF436">
        <v>1.97</v>
      </c>
      <c r="CG436">
        <v>1.47</v>
      </c>
      <c r="CH436">
        <v>1.72</v>
      </c>
      <c r="CI436">
        <v>0.41</v>
      </c>
      <c r="CJ436">
        <v>0.37</v>
      </c>
      <c r="CK436">
        <v>0.39</v>
      </c>
      <c r="CL436">
        <v>39.04</v>
      </c>
      <c r="CM436">
        <v>36.64</v>
      </c>
      <c r="CN436">
        <v>37.840000000000003</v>
      </c>
      <c r="CO436">
        <v>6.59</v>
      </c>
      <c r="CP436">
        <v>1.5899999999999999</v>
      </c>
      <c r="CQ436">
        <v>4.09</v>
      </c>
    </row>
    <row r="437" spans="1:95">
      <c r="A437" s="424">
        <v>45715</v>
      </c>
      <c r="B437" t="s">
        <v>250</v>
      </c>
      <c r="C437">
        <v>150.24</v>
      </c>
      <c r="D437">
        <v>148.24</v>
      </c>
      <c r="E437">
        <v>149.24</v>
      </c>
      <c r="F437">
        <v>157.87</v>
      </c>
      <c r="G437">
        <v>154.87</v>
      </c>
      <c r="H437">
        <v>156.37</v>
      </c>
      <c r="I437">
        <v>105.61</v>
      </c>
      <c r="J437">
        <v>102.41</v>
      </c>
      <c r="K437">
        <v>104.00999999999999</v>
      </c>
      <c r="L437">
        <v>193.07</v>
      </c>
      <c r="M437">
        <v>185.07</v>
      </c>
      <c r="N437">
        <v>189.07</v>
      </c>
      <c r="O437">
        <v>167.61</v>
      </c>
      <c r="P437">
        <v>165.81</v>
      </c>
      <c r="Q437">
        <v>166.71</v>
      </c>
      <c r="R437">
        <v>21.27</v>
      </c>
      <c r="S437">
        <v>20.669999999999998</v>
      </c>
      <c r="T437">
        <v>20.97</v>
      </c>
      <c r="U437">
        <v>13.67</v>
      </c>
      <c r="V437">
        <v>13.07</v>
      </c>
      <c r="W437">
        <v>13.370000000000001</v>
      </c>
      <c r="X437">
        <v>14.41</v>
      </c>
      <c r="Y437">
        <v>13.61</v>
      </c>
      <c r="Z437">
        <v>14.01</v>
      </c>
      <c r="AA437">
        <v>96.05</v>
      </c>
      <c r="AB437">
        <v>92.05</v>
      </c>
      <c r="AC437">
        <v>94.05</v>
      </c>
      <c r="AD437">
        <v>86.98</v>
      </c>
      <c r="AE437">
        <v>82.98</v>
      </c>
      <c r="AF437">
        <v>84.98</v>
      </c>
      <c r="AG437">
        <v>19.63</v>
      </c>
      <c r="AH437">
        <v>18.77</v>
      </c>
      <c r="AI437">
        <v>19.2</v>
      </c>
      <c r="AM437">
        <v>112.31</v>
      </c>
      <c r="AN437">
        <v>110.65</v>
      </c>
      <c r="AO437">
        <v>111.48</v>
      </c>
      <c r="AP437">
        <v>40.659999999999997</v>
      </c>
      <c r="AQ437">
        <v>39.059999999999995</v>
      </c>
      <c r="AR437">
        <v>39.86</v>
      </c>
      <c r="AS437">
        <v>41.39</v>
      </c>
      <c r="AT437">
        <v>40.03</v>
      </c>
      <c r="AU437">
        <v>40.71</v>
      </c>
      <c r="AV437">
        <v>20.83</v>
      </c>
      <c r="AW437">
        <v>20.229999999999997</v>
      </c>
      <c r="AX437">
        <v>20.529999999999998</v>
      </c>
      <c r="AY437">
        <v>4.5</v>
      </c>
      <c r="AZ437">
        <v>4.34</v>
      </c>
      <c r="BA437">
        <v>4.42</v>
      </c>
      <c r="BB437">
        <v>1.87</v>
      </c>
      <c r="BC437">
        <v>1.57</v>
      </c>
      <c r="BD437">
        <v>1.7200000000000002</v>
      </c>
      <c r="BE437">
        <v>0.69</v>
      </c>
      <c r="BF437">
        <v>0.38999999999999996</v>
      </c>
      <c r="BG437">
        <v>0.53999999999999992</v>
      </c>
      <c r="BH437">
        <v>492.86</v>
      </c>
      <c r="BI437">
        <v>476.86</v>
      </c>
      <c r="BJ437">
        <v>484.86</v>
      </c>
      <c r="BK437">
        <v>41.7</v>
      </c>
      <c r="BL437">
        <v>40.340000000000003</v>
      </c>
      <c r="BM437">
        <v>41.02</v>
      </c>
      <c r="BN437">
        <v>1.04</v>
      </c>
      <c r="BO437">
        <v>0.8</v>
      </c>
      <c r="BP437">
        <v>0.92</v>
      </c>
      <c r="BQ437">
        <v>8.32</v>
      </c>
      <c r="BR437">
        <v>6.32</v>
      </c>
      <c r="BS437">
        <v>7.32</v>
      </c>
      <c r="BT437">
        <v>10.61</v>
      </c>
      <c r="BU437">
        <v>10.209999999999999</v>
      </c>
      <c r="BV437">
        <v>10.41</v>
      </c>
      <c r="BW437">
        <v>2.74</v>
      </c>
      <c r="BX437">
        <v>2.46</v>
      </c>
      <c r="BY437">
        <v>2.6</v>
      </c>
      <c r="BZ437">
        <v>9.6</v>
      </c>
      <c r="CA437">
        <v>6.6</v>
      </c>
      <c r="CB437">
        <v>8.1</v>
      </c>
      <c r="CC437">
        <v>6.4</v>
      </c>
      <c r="CD437">
        <v>6.16</v>
      </c>
      <c r="CE437">
        <v>6.28</v>
      </c>
      <c r="CF437">
        <v>1.97</v>
      </c>
      <c r="CG437">
        <v>1.47</v>
      </c>
      <c r="CH437">
        <v>1.72</v>
      </c>
      <c r="CI437">
        <v>0.41</v>
      </c>
      <c r="CJ437">
        <v>0.37</v>
      </c>
      <c r="CK437">
        <v>0.39</v>
      </c>
      <c r="CL437">
        <v>39.020000000000003</v>
      </c>
      <c r="CM437">
        <v>36.620000000000005</v>
      </c>
      <c r="CN437">
        <v>37.820000000000007</v>
      </c>
      <c r="CO437">
        <v>6.6</v>
      </c>
      <c r="CP437">
        <v>1.5999999999999996</v>
      </c>
      <c r="CQ437">
        <v>4.0999999999999996</v>
      </c>
    </row>
    <row r="438" spans="1:95">
      <c r="A438" s="424">
        <v>45716</v>
      </c>
      <c r="B438" t="s">
        <v>251</v>
      </c>
      <c r="C438">
        <v>150.66999999999999</v>
      </c>
      <c r="D438">
        <v>148.66999999999999</v>
      </c>
      <c r="E438">
        <v>149.66999999999999</v>
      </c>
      <c r="F438">
        <v>157.1</v>
      </c>
      <c r="G438">
        <v>154.1</v>
      </c>
      <c r="H438">
        <v>155.6</v>
      </c>
      <c r="I438">
        <v>105.2</v>
      </c>
      <c r="J438">
        <v>102</v>
      </c>
      <c r="K438">
        <v>103.6</v>
      </c>
      <c r="L438">
        <v>192.66</v>
      </c>
      <c r="M438">
        <v>184.66</v>
      </c>
      <c r="N438">
        <v>188.66</v>
      </c>
      <c r="O438">
        <v>167.31</v>
      </c>
      <c r="P438">
        <v>165.51</v>
      </c>
      <c r="Q438">
        <v>166.41</v>
      </c>
      <c r="R438">
        <v>21.16</v>
      </c>
      <c r="S438">
        <v>20.56</v>
      </c>
      <c r="T438">
        <v>20.86</v>
      </c>
      <c r="U438">
        <v>13.6</v>
      </c>
      <c r="V438">
        <v>13</v>
      </c>
      <c r="W438">
        <v>13.3</v>
      </c>
      <c r="X438">
        <v>14.33</v>
      </c>
      <c r="Y438">
        <v>13.53</v>
      </c>
      <c r="Z438">
        <v>13.93</v>
      </c>
      <c r="AA438">
        <v>95.23</v>
      </c>
      <c r="AB438">
        <v>91.23</v>
      </c>
      <c r="AC438">
        <v>93.23</v>
      </c>
      <c r="AD438">
        <v>86.14</v>
      </c>
      <c r="AE438">
        <v>82.14</v>
      </c>
      <c r="AF438">
        <v>84.14</v>
      </c>
      <c r="AG438">
        <v>19.68</v>
      </c>
      <c r="AH438">
        <v>18.82</v>
      </c>
      <c r="AI438">
        <v>19.25</v>
      </c>
      <c r="AM438">
        <v>111.87</v>
      </c>
      <c r="AN438">
        <v>110.21000000000001</v>
      </c>
      <c r="AO438">
        <v>111.04</v>
      </c>
      <c r="AP438">
        <v>40.78</v>
      </c>
      <c r="AQ438">
        <v>39.18</v>
      </c>
      <c r="AR438">
        <v>39.980000000000004</v>
      </c>
      <c r="AS438">
        <v>41.37</v>
      </c>
      <c r="AT438">
        <v>40.01</v>
      </c>
      <c r="AU438">
        <v>40.69</v>
      </c>
      <c r="AV438">
        <v>20.8</v>
      </c>
      <c r="AW438">
        <v>20.2</v>
      </c>
      <c r="AX438">
        <v>20.5</v>
      </c>
      <c r="AY438">
        <v>4.47</v>
      </c>
      <c r="AZ438">
        <v>4.3099999999999996</v>
      </c>
      <c r="BA438">
        <v>4.3899999999999997</v>
      </c>
      <c r="BB438">
        <v>1.87</v>
      </c>
      <c r="BC438">
        <v>1.57</v>
      </c>
      <c r="BD438">
        <v>1.7200000000000002</v>
      </c>
      <c r="BE438">
        <v>0.69</v>
      </c>
      <c r="BF438">
        <v>0.38999999999999996</v>
      </c>
      <c r="BG438">
        <v>0.53999999999999992</v>
      </c>
      <c r="BH438">
        <v>493.78</v>
      </c>
      <c r="BI438">
        <v>477.78</v>
      </c>
      <c r="BJ438">
        <v>485.78</v>
      </c>
      <c r="BK438">
        <v>41.82</v>
      </c>
      <c r="BL438">
        <v>40.46</v>
      </c>
      <c r="BM438">
        <v>41.14</v>
      </c>
      <c r="BN438">
        <v>1.03</v>
      </c>
      <c r="BO438">
        <v>0.79</v>
      </c>
      <c r="BP438">
        <v>0.91</v>
      </c>
      <c r="BQ438">
        <v>8.31</v>
      </c>
      <c r="BR438">
        <v>6.3100000000000005</v>
      </c>
      <c r="BS438">
        <v>7.3100000000000005</v>
      </c>
      <c r="BT438">
        <v>10.52</v>
      </c>
      <c r="BU438">
        <v>10.119999999999999</v>
      </c>
      <c r="BV438">
        <v>10.32</v>
      </c>
      <c r="BW438">
        <v>2.74</v>
      </c>
      <c r="BX438">
        <v>2.46</v>
      </c>
      <c r="BY438">
        <v>2.6</v>
      </c>
      <c r="BZ438">
        <v>9.61</v>
      </c>
      <c r="CA438">
        <v>6.6099999999999994</v>
      </c>
      <c r="CB438">
        <v>8.11</v>
      </c>
      <c r="CC438">
        <v>6.35</v>
      </c>
      <c r="CD438">
        <v>6.1099999999999994</v>
      </c>
      <c r="CE438">
        <v>6.2299999999999995</v>
      </c>
      <c r="CF438">
        <v>1.96</v>
      </c>
      <c r="CG438">
        <v>1.46</v>
      </c>
      <c r="CH438">
        <v>1.71</v>
      </c>
      <c r="CI438">
        <v>0.41</v>
      </c>
      <c r="CJ438">
        <v>0.37</v>
      </c>
      <c r="CK438">
        <v>0.39</v>
      </c>
      <c r="CL438">
        <v>38.6</v>
      </c>
      <c r="CM438">
        <v>36.200000000000003</v>
      </c>
      <c r="CN438">
        <v>37.400000000000006</v>
      </c>
      <c r="CO438">
        <v>6.61</v>
      </c>
      <c r="CP438">
        <v>1.6100000000000003</v>
      </c>
      <c r="CQ438">
        <v>4.1100000000000003</v>
      </c>
    </row>
    <row r="439" spans="1:95">
      <c r="A439" s="424">
        <v>45717</v>
      </c>
      <c r="B439" t="s">
        <v>252</v>
      </c>
    </row>
    <row r="440" spans="1:95">
      <c r="A440" s="424">
        <v>45718</v>
      </c>
      <c r="B440" t="s">
        <v>253</v>
      </c>
    </row>
    <row r="441" spans="1:95">
      <c r="A441" s="424">
        <v>45719</v>
      </c>
      <c r="B441" t="s">
        <v>247</v>
      </c>
      <c r="C441">
        <v>151.56</v>
      </c>
      <c r="D441">
        <v>149.56</v>
      </c>
      <c r="E441">
        <v>150.56</v>
      </c>
      <c r="F441">
        <v>158.22999999999999</v>
      </c>
      <c r="G441">
        <v>155.22999999999999</v>
      </c>
      <c r="H441">
        <v>156.72999999999999</v>
      </c>
      <c r="I441">
        <v>105.85</v>
      </c>
      <c r="J441">
        <v>102.64999999999999</v>
      </c>
      <c r="K441">
        <v>104.25</v>
      </c>
      <c r="L441">
        <v>193.78</v>
      </c>
      <c r="M441">
        <v>185.78</v>
      </c>
      <c r="N441">
        <v>189.78</v>
      </c>
      <c r="O441">
        <v>167.74</v>
      </c>
      <c r="P441">
        <v>165.94</v>
      </c>
      <c r="Q441">
        <v>166.84</v>
      </c>
      <c r="R441">
        <v>21.32</v>
      </c>
      <c r="S441">
        <v>20.72</v>
      </c>
      <c r="T441">
        <v>21.02</v>
      </c>
      <c r="U441">
        <v>13.7</v>
      </c>
      <c r="V441">
        <v>13.1</v>
      </c>
      <c r="W441">
        <v>13.399999999999999</v>
      </c>
      <c r="X441">
        <v>14.42</v>
      </c>
      <c r="Y441">
        <v>13.62</v>
      </c>
      <c r="Z441">
        <v>14.02</v>
      </c>
      <c r="AA441">
        <v>95.63</v>
      </c>
      <c r="AB441">
        <v>91.63</v>
      </c>
      <c r="AC441">
        <v>93.63</v>
      </c>
      <c r="AD441">
        <v>86.42</v>
      </c>
      <c r="AE441">
        <v>82.42</v>
      </c>
      <c r="AF441">
        <v>84.42</v>
      </c>
      <c r="AG441">
        <v>19.79</v>
      </c>
      <c r="AH441">
        <v>18.93</v>
      </c>
      <c r="AI441">
        <v>19.36</v>
      </c>
      <c r="AM441">
        <v>112.41</v>
      </c>
      <c r="AN441">
        <v>110.75</v>
      </c>
      <c r="AO441">
        <v>111.58</v>
      </c>
      <c r="AP441">
        <v>40.89</v>
      </c>
      <c r="AQ441">
        <v>39.29</v>
      </c>
      <c r="AR441">
        <v>40.090000000000003</v>
      </c>
      <c r="AS441">
        <v>41.6</v>
      </c>
      <c r="AT441">
        <v>40.24</v>
      </c>
      <c r="AU441">
        <v>40.92</v>
      </c>
      <c r="AV441">
        <v>20.96</v>
      </c>
      <c r="AW441">
        <v>20.36</v>
      </c>
      <c r="AX441">
        <v>20.66</v>
      </c>
      <c r="AY441">
        <v>4.4800000000000004</v>
      </c>
      <c r="AZ441">
        <v>4.32</v>
      </c>
      <c r="BA441">
        <v>4.4000000000000004</v>
      </c>
      <c r="BB441">
        <v>1.88</v>
      </c>
      <c r="BC441">
        <v>1.5799999999999998</v>
      </c>
      <c r="BD441">
        <v>1.73</v>
      </c>
      <c r="BE441">
        <v>0.69</v>
      </c>
      <c r="BF441">
        <v>0.38999999999999996</v>
      </c>
      <c r="BG441">
        <v>0.53999999999999992</v>
      </c>
      <c r="BH441">
        <v>496.36</v>
      </c>
      <c r="BI441">
        <v>480.36</v>
      </c>
      <c r="BJ441">
        <v>488.36</v>
      </c>
      <c r="BK441">
        <v>42.04</v>
      </c>
      <c r="BL441">
        <v>40.68</v>
      </c>
      <c r="BM441">
        <v>41.36</v>
      </c>
      <c r="BN441">
        <v>1.03</v>
      </c>
      <c r="BO441">
        <v>0.79</v>
      </c>
      <c r="BP441">
        <v>0.91</v>
      </c>
      <c r="BQ441">
        <v>8.35</v>
      </c>
      <c r="BR441">
        <v>6.35</v>
      </c>
      <c r="BS441">
        <v>7.35</v>
      </c>
      <c r="BT441">
        <v>10.52</v>
      </c>
      <c r="BU441">
        <v>10.119999999999999</v>
      </c>
      <c r="BV441">
        <v>10.32</v>
      </c>
      <c r="BW441">
        <v>2.75</v>
      </c>
      <c r="BX441">
        <v>2.4699999999999998</v>
      </c>
      <c r="BY441">
        <v>2.61</v>
      </c>
      <c r="BZ441">
        <v>9.58</v>
      </c>
      <c r="CA441">
        <v>6.58</v>
      </c>
      <c r="CB441">
        <v>8.08</v>
      </c>
      <c r="CC441">
        <v>6.38</v>
      </c>
      <c r="CD441">
        <v>6.14</v>
      </c>
      <c r="CE441">
        <v>6.26</v>
      </c>
      <c r="CF441">
        <v>1.94</v>
      </c>
      <c r="CG441">
        <v>1.44</v>
      </c>
      <c r="CH441">
        <v>1.69</v>
      </c>
      <c r="CI441">
        <v>0.41</v>
      </c>
      <c r="CJ441">
        <v>0.37</v>
      </c>
      <c r="CK441">
        <v>0.39</v>
      </c>
      <c r="CL441">
        <v>38.75</v>
      </c>
      <c r="CM441">
        <v>36.35</v>
      </c>
      <c r="CN441">
        <v>37.549999999999997</v>
      </c>
      <c r="CO441">
        <v>6.63</v>
      </c>
      <c r="CP441">
        <v>1.63</v>
      </c>
      <c r="CQ441">
        <v>4.13</v>
      </c>
    </row>
    <row r="442" spans="1:95">
      <c r="A442" s="424">
        <v>45720</v>
      </c>
      <c r="B442" t="s">
        <v>248</v>
      </c>
      <c r="C442">
        <v>150.26</v>
      </c>
      <c r="D442">
        <v>148.26</v>
      </c>
      <c r="E442">
        <v>149.26</v>
      </c>
      <c r="F442">
        <v>158</v>
      </c>
      <c r="G442">
        <v>155</v>
      </c>
      <c r="H442">
        <v>156.5</v>
      </c>
      <c r="I442">
        <v>104.59</v>
      </c>
      <c r="J442">
        <v>101.39</v>
      </c>
      <c r="K442">
        <v>102.99000000000001</v>
      </c>
      <c r="L442">
        <v>193.52</v>
      </c>
      <c r="M442">
        <v>185.52</v>
      </c>
      <c r="N442">
        <v>189.52</v>
      </c>
      <c r="O442">
        <v>167.35</v>
      </c>
      <c r="P442">
        <v>165.54999999999998</v>
      </c>
      <c r="Q442">
        <v>166.45</v>
      </c>
      <c r="R442">
        <v>21.28</v>
      </c>
      <c r="S442">
        <v>20.68</v>
      </c>
      <c r="T442">
        <v>20.98</v>
      </c>
      <c r="U442">
        <v>13.65</v>
      </c>
      <c r="V442">
        <v>13.05</v>
      </c>
      <c r="W442">
        <v>13.350000000000001</v>
      </c>
      <c r="X442">
        <v>14.61</v>
      </c>
      <c r="Y442">
        <v>13.809999999999999</v>
      </c>
      <c r="Z442">
        <v>14.209999999999999</v>
      </c>
      <c r="AA442">
        <v>94.69</v>
      </c>
      <c r="AB442">
        <v>90.69</v>
      </c>
      <c r="AC442">
        <v>92.69</v>
      </c>
      <c r="AD442">
        <v>85.69</v>
      </c>
      <c r="AE442">
        <v>81.69</v>
      </c>
      <c r="AF442">
        <v>83.69</v>
      </c>
      <c r="AG442">
        <v>19.62</v>
      </c>
      <c r="AH442">
        <v>18.760000000000002</v>
      </c>
      <c r="AI442">
        <v>19.190000000000001</v>
      </c>
      <c r="AM442">
        <v>111.71</v>
      </c>
      <c r="AN442">
        <v>110.05</v>
      </c>
      <c r="AO442">
        <v>110.88</v>
      </c>
      <c r="AP442">
        <v>40.659999999999997</v>
      </c>
      <c r="AQ442">
        <v>39.059999999999995</v>
      </c>
      <c r="AR442">
        <v>39.86</v>
      </c>
      <c r="AS442">
        <v>41.39</v>
      </c>
      <c r="AT442">
        <v>40.03</v>
      </c>
      <c r="AU442">
        <v>40.71</v>
      </c>
      <c r="AV442">
        <v>20.74</v>
      </c>
      <c r="AW442">
        <v>20.139999999999997</v>
      </c>
      <c r="AX442">
        <v>20.439999999999998</v>
      </c>
      <c r="AY442">
        <v>4.46</v>
      </c>
      <c r="AZ442">
        <v>4.3</v>
      </c>
      <c r="BA442">
        <v>4.38</v>
      </c>
      <c r="BB442">
        <v>1.87</v>
      </c>
      <c r="BC442">
        <v>1.57</v>
      </c>
      <c r="BD442">
        <v>1.7200000000000002</v>
      </c>
      <c r="BE442">
        <v>0.69</v>
      </c>
      <c r="BF442">
        <v>0.38999999999999996</v>
      </c>
      <c r="BG442">
        <v>0.53999999999999992</v>
      </c>
      <c r="BH442">
        <v>492.93</v>
      </c>
      <c r="BI442">
        <v>476.93</v>
      </c>
      <c r="BJ442">
        <v>484.93</v>
      </c>
      <c r="BK442">
        <v>41.7</v>
      </c>
      <c r="BL442">
        <v>40.340000000000003</v>
      </c>
      <c r="BM442">
        <v>41.02</v>
      </c>
      <c r="BN442">
        <v>1.03</v>
      </c>
      <c r="BO442">
        <v>0.79</v>
      </c>
      <c r="BP442">
        <v>0.91</v>
      </c>
      <c r="BQ442">
        <v>8.1999999999999993</v>
      </c>
      <c r="BR442">
        <v>6.1999999999999993</v>
      </c>
      <c r="BS442">
        <v>7.1999999999999993</v>
      </c>
      <c r="BT442">
        <v>10.45</v>
      </c>
      <c r="BU442">
        <v>10.049999999999999</v>
      </c>
      <c r="BV442">
        <v>10.25</v>
      </c>
      <c r="BW442">
        <v>2.74</v>
      </c>
      <c r="BX442">
        <v>2.46</v>
      </c>
      <c r="BY442">
        <v>2.6</v>
      </c>
      <c r="BZ442">
        <v>9.52</v>
      </c>
      <c r="CA442">
        <v>6.52</v>
      </c>
      <c r="CB442">
        <v>8.02</v>
      </c>
      <c r="CC442">
        <v>6.38</v>
      </c>
      <c r="CD442">
        <v>6.14</v>
      </c>
      <c r="CE442">
        <v>6.26</v>
      </c>
      <c r="CF442">
        <v>1.92</v>
      </c>
      <c r="CG442">
        <v>1.42</v>
      </c>
      <c r="CH442">
        <v>1.67</v>
      </c>
      <c r="CI442">
        <v>0.41</v>
      </c>
      <c r="CJ442">
        <v>0.37</v>
      </c>
      <c r="CK442">
        <v>0.39</v>
      </c>
      <c r="CL442">
        <v>38.83</v>
      </c>
      <c r="CM442">
        <v>36.43</v>
      </c>
      <c r="CN442">
        <v>37.629999999999995</v>
      </c>
      <c r="CO442">
        <v>6.6</v>
      </c>
      <c r="CP442">
        <v>1.5999999999999996</v>
      </c>
      <c r="CQ442">
        <v>4.0999999999999996</v>
      </c>
    </row>
    <row r="443" spans="1:95">
      <c r="A443" s="424">
        <v>45721</v>
      </c>
      <c r="B443" t="s">
        <v>249</v>
      </c>
      <c r="C443">
        <v>150.87</v>
      </c>
      <c r="D443">
        <v>148.87</v>
      </c>
      <c r="E443">
        <v>149.87</v>
      </c>
      <c r="F443">
        <v>160.77000000000001</v>
      </c>
      <c r="G443">
        <v>157.77000000000001</v>
      </c>
      <c r="H443">
        <v>159.27000000000001</v>
      </c>
      <c r="I443">
        <v>105.6</v>
      </c>
      <c r="J443">
        <v>102.39999999999999</v>
      </c>
      <c r="K443">
        <v>104</v>
      </c>
      <c r="L443">
        <v>195.79</v>
      </c>
      <c r="M443">
        <v>187.79</v>
      </c>
      <c r="N443">
        <v>191.79</v>
      </c>
      <c r="O443">
        <v>169.33</v>
      </c>
      <c r="P443">
        <v>167.53</v>
      </c>
      <c r="Q443">
        <v>168.43</v>
      </c>
      <c r="R443">
        <v>21.65</v>
      </c>
      <c r="S443">
        <v>21.049999999999997</v>
      </c>
      <c r="T443">
        <v>21.349999999999998</v>
      </c>
      <c r="U443">
        <v>13.8</v>
      </c>
      <c r="V443">
        <v>13.200000000000001</v>
      </c>
      <c r="W443">
        <v>13.5</v>
      </c>
      <c r="X443">
        <v>14.79</v>
      </c>
      <c r="Y443">
        <v>13.989999999999998</v>
      </c>
      <c r="Z443">
        <v>14.389999999999999</v>
      </c>
      <c r="AA443">
        <v>95.82</v>
      </c>
      <c r="AB443">
        <v>91.82</v>
      </c>
      <c r="AC443">
        <v>93.82</v>
      </c>
      <c r="AD443">
        <v>86.77</v>
      </c>
      <c r="AE443">
        <v>82.77</v>
      </c>
      <c r="AF443">
        <v>84.77</v>
      </c>
      <c r="AG443">
        <v>19.71</v>
      </c>
      <c r="AH443">
        <v>18.850000000000001</v>
      </c>
      <c r="AI443">
        <v>19.28</v>
      </c>
      <c r="AM443">
        <v>112.79</v>
      </c>
      <c r="AN443">
        <v>111.13000000000001</v>
      </c>
      <c r="AO443">
        <v>111.96000000000001</v>
      </c>
      <c r="AP443">
        <v>40.83</v>
      </c>
      <c r="AQ443">
        <v>39.229999999999997</v>
      </c>
      <c r="AR443">
        <v>40.03</v>
      </c>
      <c r="AS443">
        <v>41.42</v>
      </c>
      <c r="AT443">
        <v>40.06</v>
      </c>
      <c r="AU443">
        <v>40.74</v>
      </c>
      <c r="AV443">
        <v>20.94</v>
      </c>
      <c r="AW443">
        <v>20.34</v>
      </c>
      <c r="AX443">
        <v>20.64</v>
      </c>
      <c r="AY443">
        <v>4.53</v>
      </c>
      <c r="AZ443">
        <v>4.37</v>
      </c>
      <c r="BA443">
        <v>4.45</v>
      </c>
      <c r="BB443">
        <v>1.88</v>
      </c>
      <c r="BC443">
        <v>1.5799999999999998</v>
      </c>
      <c r="BD443">
        <v>1.73</v>
      </c>
      <c r="BE443">
        <v>0.69</v>
      </c>
      <c r="BF443">
        <v>0.38999999999999996</v>
      </c>
      <c r="BG443">
        <v>0.53999999999999992</v>
      </c>
      <c r="BH443">
        <v>494.59</v>
      </c>
      <c r="BI443">
        <v>478.59</v>
      </c>
      <c r="BJ443">
        <v>486.59</v>
      </c>
      <c r="BK443">
        <v>41.86</v>
      </c>
      <c r="BL443">
        <v>40.5</v>
      </c>
      <c r="BM443">
        <v>41.18</v>
      </c>
      <c r="BN443">
        <v>1.03</v>
      </c>
      <c r="BO443">
        <v>0.79</v>
      </c>
      <c r="BP443">
        <v>0.91</v>
      </c>
      <c r="BQ443">
        <v>8.2899999999999991</v>
      </c>
      <c r="BR443">
        <v>6.2899999999999991</v>
      </c>
      <c r="BS443">
        <v>7.2899999999999991</v>
      </c>
      <c r="BT443">
        <v>10.51</v>
      </c>
      <c r="BU443">
        <v>10.11</v>
      </c>
      <c r="BV443">
        <v>10.309999999999999</v>
      </c>
      <c r="BW443">
        <v>2.75</v>
      </c>
      <c r="BX443">
        <v>2.4699999999999998</v>
      </c>
      <c r="BY443">
        <v>2.61</v>
      </c>
      <c r="BZ443">
        <v>9.6</v>
      </c>
      <c r="CA443">
        <v>6.6</v>
      </c>
      <c r="CB443">
        <v>8.1</v>
      </c>
      <c r="CC443">
        <v>6.47</v>
      </c>
      <c r="CD443">
        <v>6.2299999999999995</v>
      </c>
      <c r="CE443">
        <v>6.35</v>
      </c>
      <c r="CF443">
        <v>1.92</v>
      </c>
      <c r="CG443">
        <v>1.42</v>
      </c>
      <c r="CH443">
        <v>1.67</v>
      </c>
      <c r="CI443">
        <v>0.42</v>
      </c>
      <c r="CJ443">
        <v>0.38</v>
      </c>
      <c r="CK443">
        <v>0.4</v>
      </c>
      <c r="CL443">
        <v>39.4</v>
      </c>
      <c r="CM443">
        <v>37</v>
      </c>
      <c r="CN443">
        <v>38.200000000000003</v>
      </c>
      <c r="CO443">
        <v>6.61</v>
      </c>
      <c r="CP443">
        <v>1.6100000000000003</v>
      </c>
      <c r="CQ443">
        <v>4.1100000000000003</v>
      </c>
    </row>
    <row r="444" spans="1:95">
      <c r="A444" s="424">
        <v>45722</v>
      </c>
      <c r="B444" t="s">
        <v>250</v>
      </c>
      <c r="C444">
        <v>150.25</v>
      </c>
      <c r="D444">
        <v>148.25</v>
      </c>
      <c r="E444">
        <v>149.25</v>
      </c>
      <c r="F444">
        <v>162.72</v>
      </c>
      <c r="G444">
        <v>159.72</v>
      </c>
      <c r="H444">
        <v>161.22</v>
      </c>
      <c r="I444">
        <v>105.61</v>
      </c>
      <c r="J444">
        <v>102.41</v>
      </c>
      <c r="K444">
        <v>104.00999999999999</v>
      </c>
      <c r="L444">
        <v>196.52</v>
      </c>
      <c r="M444">
        <v>188.52</v>
      </c>
      <c r="N444">
        <v>192.52</v>
      </c>
      <c r="O444">
        <v>168.41</v>
      </c>
      <c r="P444">
        <v>166.60999999999999</v>
      </c>
      <c r="Q444">
        <v>167.51</v>
      </c>
      <c r="R444">
        <v>21.91</v>
      </c>
      <c r="S444">
        <v>21.31</v>
      </c>
      <c r="T444">
        <v>21.61</v>
      </c>
      <c r="U444">
        <v>13.99</v>
      </c>
      <c r="V444">
        <v>13.39</v>
      </c>
      <c r="W444">
        <v>13.690000000000001</v>
      </c>
      <c r="X444">
        <v>15.05</v>
      </c>
      <c r="Y444">
        <v>14.25</v>
      </c>
      <c r="Z444">
        <v>14.65</v>
      </c>
      <c r="AA444">
        <v>96.52</v>
      </c>
      <c r="AB444">
        <v>92.52</v>
      </c>
      <c r="AC444">
        <v>94.52</v>
      </c>
      <c r="AD444">
        <v>87.43</v>
      </c>
      <c r="AE444">
        <v>83.43</v>
      </c>
      <c r="AF444">
        <v>85.43</v>
      </c>
      <c r="AG444">
        <v>19.63</v>
      </c>
      <c r="AH444">
        <v>18.77</v>
      </c>
      <c r="AI444">
        <v>19.2</v>
      </c>
      <c r="AM444">
        <v>112.96</v>
      </c>
      <c r="AN444">
        <v>111.3</v>
      </c>
      <c r="AO444">
        <v>112.13</v>
      </c>
      <c r="AP444">
        <v>40.65</v>
      </c>
      <c r="AQ444">
        <v>39.049999999999997</v>
      </c>
      <c r="AR444">
        <v>39.849999999999994</v>
      </c>
      <c r="AS444">
        <v>41.39</v>
      </c>
      <c r="AT444">
        <v>40.03</v>
      </c>
      <c r="AU444">
        <v>40.71</v>
      </c>
      <c r="AV444">
        <v>20.91</v>
      </c>
      <c r="AW444">
        <v>20.309999999999999</v>
      </c>
      <c r="AX444">
        <v>20.61</v>
      </c>
      <c r="AY444">
        <v>4.5199999999999996</v>
      </c>
      <c r="AZ444">
        <v>4.3599999999999994</v>
      </c>
      <c r="BA444">
        <v>4.4399999999999995</v>
      </c>
      <c r="BB444">
        <v>1.88</v>
      </c>
      <c r="BC444">
        <v>1.5799999999999998</v>
      </c>
      <c r="BD444">
        <v>1.73</v>
      </c>
      <c r="BE444">
        <v>0.69</v>
      </c>
      <c r="BF444">
        <v>0.38999999999999996</v>
      </c>
      <c r="BG444">
        <v>0.53999999999999992</v>
      </c>
      <c r="BH444">
        <v>492.58</v>
      </c>
      <c r="BI444">
        <v>476.58</v>
      </c>
      <c r="BJ444">
        <v>484.58</v>
      </c>
      <c r="BK444">
        <v>41.69</v>
      </c>
      <c r="BL444">
        <v>40.33</v>
      </c>
      <c r="BM444">
        <v>41.01</v>
      </c>
      <c r="BN444">
        <v>1.03</v>
      </c>
      <c r="BO444">
        <v>0.79</v>
      </c>
      <c r="BP444">
        <v>0.91</v>
      </c>
      <c r="BQ444">
        <v>8.32</v>
      </c>
      <c r="BR444">
        <v>6.32</v>
      </c>
      <c r="BS444">
        <v>7.32</v>
      </c>
      <c r="BT444">
        <v>10.57</v>
      </c>
      <c r="BU444">
        <v>10.17</v>
      </c>
      <c r="BV444">
        <v>10.370000000000001</v>
      </c>
      <c r="BW444">
        <v>2.76</v>
      </c>
      <c r="BX444">
        <v>2.4799999999999995</v>
      </c>
      <c r="BY444">
        <v>2.6199999999999997</v>
      </c>
      <c r="BZ444">
        <v>9.65</v>
      </c>
      <c r="CA444">
        <v>6.65</v>
      </c>
      <c r="CB444">
        <v>8.15</v>
      </c>
      <c r="CC444">
        <v>6.57</v>
      </c>
      <c r="CD444">
        <v>6.33</v>
      </c>
      <c r="CE444">
        <v>6.45</v>
      </c>
      <c r="CF444">
        <v>1.9</v>
      </c>
      <c r="CG444">
        <v>1.4</v>
      </c>
      <c r="CH444">
        <v>1.65</v>
      </c>
      <c r="CI444">
        <v>0.43</v>
      </c>
      <c r="CJ444">
        <v>0.39</v>
      </c>
      <c r="CK444">
        <v>0.41000000000000003</v>
      </c>
      <c r="CL444">
        <v>40.03</v>
      </c>
      <c r="CM444">
        <v>37.630000000000003</v>
      </c>
      <c r="CN444">
        <v>38.83</v>
      </c>
      <c r="CO444">
        <v>6.59</v>
      </c>
      <c r="CP444">
        <v>1.5899999999999999</v>
      </c>
      <c r="CQ444">
        <v>4.09</v>
      </c>
    </row>
    <row r="445" spans="1:95">
      <c r="A445" s="424">
        <v>45723</v>
      </c>
      <c r="B445" t="s">
        <v>251</v>
      </c>
      <c r="C445">
        <v>149.07</v>
      </c>
      <c r="D445">
        <v>147.07</v>
      </c>
      <c r="E445">
        <v>148.07</v>
      </c>
      <c r="F445">
        <v>161.21</v>
      </c>
      <c r="G445">
        <v>158.21</v>
      </c>
      <c r="H445">
        <v>159.71</v>
      </c>
      <c r="I445">
        <v>105.15</v>
      </c>
      <c r="J445">
        <v>101.95</v>
      </c>
      <c r="K445">
        <v>103.55000000000001</v>
      </c>
      <c r="L445">
        <v>194.79</v>
      </c>
      <c r="M445">
        <v>186.79</v>
      </c>
      <c r="N445">
        <v>190.79</v>
      </c>
      <c r="O445">
        <v>168.65</v>
      </c>
      <c r="P445">
        <v>166.85</v>
      </c>
      <c r="Q445">
        <v>167.75</v>
      </c>
      <c r="R445">
        <v>21.71</v>
      </c>
      <c r="S445">
        <v>21.11</v>
      </c>
      <c r="T445">
        <v>21.41</v>
      </c>
      <c r="U445">
        <v>13.91</v>
      </c>
      <c r="V445">
        <v>13.31</v>
      </c>
      <c r="W445">
        <v>13.61</v>
      </c>
      <c r="X445">
        <v>14.96</v>
      </c>
      <c r="Y445">
        <v>14.16</v>
      </c>
      <c r="Z445">
        <v>14.56</v>
      </c>
      <c r="AA445">
        <v>95.67</v>
      </c>
      <c r="AB445">
        <v>91.67</v>
      </c>
      <c r="AC445">
        <v>93.67</v>
      </c>
      <c r="AD445">
        <v>86.9</v>
      </c>
      <c r="AE445">
        <v>82.9</v>
      </c>
      <c r="AF445">
        <v>84.9</v>
      </c>
      <c r="AG445">
        <v>19.48</v>
      </c>
      <c r="AH445">
        <v>18.62</v>
      </c>
      <c r="AI445">
        <v>19.05</v>
      </c>
      <c r="AM445">
        <v>111.94</v>
      </c>
      <c r="AN445">
        <v>110.28</v>
      </c>
      <c r="AO445">
        <v>111.11</v>
      </c>
      <c r="AP445">
        <v>40.35</v>
      </c>
      <c r="AQ445">
        <v>38.75</v>
      </c>
      <c r="AR445">
        <v>39.549999999999997</v>
      </c>
      <c r="AS445">
        <v>40.93</v>
      </c>
      <c r="AT445">
        <v>39.57</v>
      </c>
      <c r="AU445">
        <v>40.25</v>
      </c>
      <c r="AV445">
        <v>20.73</v>
      </c>
      <c r="AW445">
        <v>20.13</v>
      </c>
      <c r="AX445">
        <v>20.43</v>
      </c>
      <c r="AY445">
        <v>4.46</v>
      </c>
      <c r="AZ445">
        <v>4.3</v>
      </c>
      <c r="BA445">
        <v>4.38</v>
      </c>
      <c r="BB445">
        <v>1.86</v>
      </c>
      <c r="BC445">
        <v>1.56</v>
      </c>
      <c r="BD445">
        <v>1.71</v>
      </c>
      <c r="BE445">
        <v>0.68</v>
      </c>
      <c r="BF445">
        <v>0.38000000000000006</v>
      </c>
      <c r="BG445">
        <v>0.53</v>
      </c>
      <c r="BH445">
        <v>489.37</v>
      </c>
      <c r="BI445">
        <v>473.37</v>
      </c>
      <c r="BJ445">
        <v>481.37</v>
      </c>
      <c r="BK445">
        <v>41.37</v>
      </c>
      <c r="BL445">
        <v>40.01</v>
      </c>
      <c r="BM445">
        <v>40.69</v>
      </c>
      <c r="BN445">
        <v>1.03</v>
      </c>
      <c r="BO445">
        <v>0.79</v>
      </c>
      <c r="BP445">
        <v>0.91</v>
      </c>
      <c r="BQ445">
        <v>8.3000000000000007</v>
      </c>
      <c r="BR445">
        <v>6.3000000000000007</v>
      </c>
      <c r="BS445">
        <v>7.3000000000000007</v>
      </c>
      <c r="BT445">
        <v>10.45</v>
      </c>
      <c r="BU445">
        <v>10.049999999999999</v>
      </c>
      <c r="BV445">
        <v>10.25</v>
      </c>
      <c r="BW445">
        <v>2.74</v>
      </c>
      <c r="BX445">
        <v>2.46</v>
      </c>
      <c r="BY445">
        <v>2.6</v>
      </c>
      <c r="BZ445">
        <v>9.66</v>
      </c>
      <c r="CA445">
        <v>6.66</v>
      </c>
      <c r="CB445">
        <v>8.16</v>
      </c>
      <c r="CC445">
        <v>6.51</v>
      </c>
      <c r="CD445">
        <v>6.27</v>
      </c>
      <c r="CE445">
        <v>6.39</v>
      </c>
      <c r="CF445">
        <v>1.92</v>
      </c>
      <c r="CG445">
        <v>1.42</v>
      </c>
      <c r="CH445">
        <v>1.67</v>
      </c>
      <c r="CI445">
        <v>0.42</v>
      </c>
      <c r="CJ445">
        <v>0.38</v>
      </c>
      <c r="CK445">
        <v>0.4</v>
      </c>
      <c r="CL445">
        <v>39.450000000000003</v>
      </c>
      <c r="CM445">
        <v>37.050000000000004</v>
      </c>
      <c r="CN445">
        <v>38.25</v>
      </c>
      <c r="CO445">
        <v>6.57</v>
      </c>
      <c r="CP445">
        <v>1.5700000000000003</v>
      </c>
      <c r="CQ445">
        <v>4.07</v>
      </c>
    </row>
    <row r="446" spans="1:95">
      <c r="A446" s="424">
        <v>45724</v>
      </c>
      <c r="B446" t="s">
        <v>252</v>
      </c>
    </row>
    <row r="447" spans="1:95">
      <c r="A447" s="424">
        <v>45725</v>
      </c>
      <c r="B447" t="s">
        <v>253</v>
      </c>
    </row>
    <row r="448" spans="1:95">
      <c r="A448" s="424">
        <v>45726</v>
      </c>
      <c r="B448" t="s">
        <v>247</v>
      </c>
      <c r="C448">
        <v>148.38</v>
      </c>
      <c r="D448">
        <v>146.38</v>
      </c>
      <c r="E448">
        <v>147.38</v>
      </c>
      <c r="F448">
        <v>161.63999999999999</v>
      </c>
      <c r="G448">
        <v>158.63999999999999</v>
      </c>
      <c r="H448">
        <v>160.13999999999999</v>
      </c>
      <c r="I448">
        <v>104.2</v>
      </c>
      <c r="J448">
        <v>101</v>
      </c>
      <c r="K448">
        <v>102.6</v>
      </c>
      <c r="L448">
        <v>194.69</v>
      </c>
      <c r="M448">
        <v>186.69</v>
      </c>
      <c r="N448">
        <v>190.69</v>
      </c>
      <c r="O448">
        <v>168.99</v>
      </c>
      <c r="P448">
        <v>167.19</v>
      </c>
      <c r="Q448">
        <v>168.09</v>
      </c>
      <c r="R448">
        <v>21.77</v>
      </c>
      <c r="S448">
        <v>21.169999999999998</v>
      </c>
      <c r="T448">
        <v>21.47</v>
      </c>
      <c r="U448">
        <v>13.9</v>
      </c>
      <c r="V448">
        <v>13.3</v>
      </c>
      <c r="W448">
        <v>13.600000000000001</v>
      </c>
      <c r="X448">
        <v>15.03</v>
      </c>
      <c r="Y448">
        <v>14.229999999999999</v>
      </c>
      <c r="Z448">
        <v>14.629999999999999</v>
      </c>
      <c r="AA448">
        <v>95</v>
      </c>
      <c r="AB448">
        <v>91</v>
      </c>
      <c r="AC448">
        <v>93</v>
      </c>
      <c r="AD448">
        <v>86.26</v>
      </c>
      <c r="AE448">
        <v>82.26</v>
      </c>
      <c r="AF448">
        <v>84.26</v>
      </c>
      <c r="AG448">
        <v>19.399999999999999</v>
      </c>
      <c r="AH448">
        <v>18.54</v>
      </c>
      <c r="AI448">
        <v>18.97</v>
      </c>
      <c r="AM448">
        <v>111.76</v>
      </c>
      <c r="AN448">
        <v>110.10000000000001</v>
      </c>
      <c r="AO448">
        <v>110.93</v>
      </c>
      <c r="AP448">
        <v>40.14</v>
      </c>
      <c r="AQ448">
        <v>38.54</v>
      </c>
      <c r="AR448">
        <v>39.340000000000003</v>
      </c>
      <c r="AS448">
        <v>40.880000000000003</v>
      </c>
      <c r="AT448">
        <v>39.520000000000003</v>
      </c>
      <c r="AU448">
        <v>40.200000000000003</v>
      </c>
      <c r="AV448">
        <v>20.66</v>
      </c>
      <c r="AW448">
        <v>20.059999999999999</v>
      </c>
      <c r="AX448">
        <v>20.36</v>
      </c>
      <c r="AY448">
        <v>4.45</v>
      </c>
      <c r="AZ448">
        <v>4.29</v>
      </c>
      <c r="BA448">
        <v>4.37</v>
      </c>
      <c r="BB448">
        <v>1.85</v>
      </c>
      <c r="BC448">
        <v>1.55</v>
      </c>
      <c r="BD448">
        <v>1.7000000000000002</v>
      </c>
      <c r="BE448">
        <v>0.68</v>
      </c>
      <c r="BF448">
        <v>0.38000000000000006</v>
      </c>
      <c r="BG448">
        <v>0.53</v>
      </c>
      <c r="BH448">
        <v>487.44</v>
      </c>
      <c r="BI448">
        <v>471.44</v>
      </c>
      <c r="BJ448">
        <v>479.44</v>
      </c>
      <c r="BK448">
        <v>41.18</v>
      </c>
      <c r="BL448">
        <v>39.82</v>
      </c>
      <c r="BM448">
        <v>40.5</v>
      </c>
      <c r="BN448">
        <v>1.03</v>
      </c>
      <c r="BO448">
        <v>0.79</v>
      </c>
      <c r="BP448">
        <v>0.91</v>
      </c>
      <c r="BQ448">
        <v>8.2799999999999994</v>
      </c>
      <c r="BR448">
        <v>6.2799999999999994</v>
      </c>
      <c r="BS448">
        <v>7.2799999999999994</v>
      </c>
      <c r="BT448">
        <v>10.4</v>
      </c>
      <c r="BU448">
        <v>10</v>
      </c>
      <c r="BV448">
        <v>10.199999999999999</v>
      </c>
      <c r="BW448">
        <v>2.74</v>
      </c>
      <c r="BX448">
        <v>2.46</v>
      </c>
      <c r="BY448">
        <v>2.6</v>
      </c>
      <c r="BZ448">
        <v>9.56</v>
      </c>
      <c r="CA448">
        <v>6.5600000000000005</v>
      </c>
      <c r="CB448">
        <v>8.06</v>
      </c>
      <c r="CC448">
        <v>6.54</v>
      </c>
      <c r="CD448">
        <v>6.3</v>
      </c>
      <c r="CE448">
        <v>6.42</v>
      </c>
      <c r="CF448">
        <v>1.89</v>
      </c>
      <c r="CG448">
        <v>1.39</v>
      </c>
      <c r="CH448">
        <v>1.64</v>
      </c>
      <c r="CI448">
        <v>0.42</v>
      </c>
      <c r="CJ448">
        <v>0.38</v>
      </c>
      <c r="CK448">
        <v>0.4</v>
      </c>
      <c r="CL448">
        <v>39.58</v>
      </c>
      <c r="CM448">
        <v>37.18</v>
      </c>
      <c r="CN448">
        <v>38.379999999999995</v>
      </c>
      <c r="CO448">
        <v>6.54</v>
      </c>
      <c r="CP448">
        <v>1.54</v>
      </c>
      <c r="CQ448">
        <v>4.04</v>
      </c>
    </row>
    <row r="449" spans="1:95">
      <c r="A449" s="424">
        <v>45727</v>
      </c>
      <c r="B449" t="s">
        <v>248</v>
      </c>
      <c r="C449">
        <v>147.68</v>
      </c>
      <c r="D449">
        <v>145.68</v>
      </c>
      <c r="E449">
        <v>146.68</v>
      </c>
      <c r="F449">
        <v>160.59</v>
      </c>
      <c r="G449">
        <v>157.59</v>
      </c>
      <c r="H449">
        <v>159.09</v>
      </c>
      <c r="I449">
        <v>103.22</v>
      </c>
      <c r="J449">
        <v>100.02</v>
      </c>
      <c r="K449">
        <v>101.62</v>
      </c>
      <c r="L449">
        <v>193.03</v>
      </c>
      <c r="M449">
        <v>185.03</v>
      </c>
      <c r="N449">
        <v>189.03</v>
      </c>
      <c r="O449">
        <v>167.94</v>
      </c>
      <c r="P449">
        <v>166.14</v>
      </c>
      <c r="Q449">
        <v>167.04</v>
      </c>
      <c r="R449">
        <v>21.63</v>
      </c>
      <c r="S449">
        <v>21.029999999999998</v>
      </c>
      <c r="T449">
        <v>21.33</v>
      </c>
      <c r="U449">
        <v>13.93</v>
      </c>
      <c r="V449">
        <v>13.33</v>
      </c>
      <c r="W449">
        <v>13.629999999999999</v>
      </c>
      <c r="X449">
        <v>14.9</v>
      </c>
      <c r="Y449">
        <v>14.1</v>
      </c>
      <c r="Z449">
        <v>14.5</v>
      </c>
      <c r="AA449">
        <v>94.07</v>
      </c>
      <c r="AB449">
        <v>90.07</v>
      </c>
      <c r="AC449">
        <v>92.07</v>
      </c>
      <c r="AD449">
        <v>85.49</v>
      </c>
      <c r="AE449">
        <v>81.489999999999995</v>
      </c>
      <c r="AF449">
        <v>83.49</v>
      </c>
      <c r="AG449">
        <v>19.309999999999999</v>
      </c>
      <c r="AH449">
        <v>18.45</v>
      </c>
      <c r="AI449">
        <v>18.88</v>
      </c>
      <c r="AM449">
        <v>110.94</v>
      </c>
      <c r="AN449">
        <v>109.28</v>
      </c>
      <c r="AO449">
        <v>110.11</v>
      </c>
      <c r="AP449">
        <v>39.96</v>
      </c>
      <c r="AQ449">
        <v>38.36</v>
      </c>
      <c r="AR449">
        <v>39.159999999999997</v>
      </c>
      <c r="AS449">
        <v>40.68</v>
      </c>
      <c r="AT449">
        <v>39.32</v>
      </c>
      <c r="AU449">
        <v>40</v>
      </c>
      <c r="AV449">
        <v>20.52</v>
      </c>
      <c r="AW449">
        <v>19.919999999999998</v>
      </c>
      <c r="AX449">
        <v>20.22</v>
      </c>
      <c r="AY449">
        <v>4.4000000000000004</v>
      </c>
      <c r="AZ449">
        <v>4.24</v>
      </c>
      <c r="BA449">
        <v>4.32</v>
      </c>
      <c r="BB449">
        <v>1.84</v>
      </c>
      <c r="BC449">
        <v>1.54</v>
      </c>
      <c r="BD449">
        <v>1.69</v>
      </c>
      <c r="BE449">
        <v>0.68</v>
      </c>
      <c r="BF449">
        <v>0.38000000000000006</v>
      </c>
      <c r="BG449">
        <v>0.53</v>
      </c>
      <c r="BH449">
        <v>485.01</v>
      </c>
      <c r="BI449">
        <v>469.01</v>
      </c>
      <c r="BJ449">
        <v>477.01</v>
      </c>
      <c r="BK449">
        <v>40.99</v>
      </c>
      <c r="BL449">
        <v>39.630000000000003</v>
      </c>
      <c r="BM449">
        <v>40.31</v>
      </c>
      <c r="BN449">
        <v>1.02</v>
      </c>
      <c r="BO449">
        <v>0.78</v>
      </c>
      <c r="BP449">
        <v>0.9</v>
      </c>
      <c r="BQ449">
        <v>8.2100000000000009</v>
      </c>
      <c r="BR449">
        <v>6.2100000000000009</v>
      </c>
      <c r="BS449">
        <v>7.2100000000000009</v>
      </c>
      <c r="BT449">
        <v>10.28</v>
      </c>
      <c r="BU449">
        <v>9.879999999999999</v>
      </c>
      <c r="BV449">
        <v>10.079999999999998</v>
      </c>
      <c r="BW449">
        <v>2.71</v>
      </c>
      <c r="BX449">
        <v>2.4299999999999997</v>
      </c>
      <c r="BY449">
        <v>2.57</v>
      </c>
      <c r="BZ449">
        <v>9.49</v>
      </c>
      <c r="CA449">
        <v>6.49</v>
      </c>
      <c r="CB449">
        <v>7.99</v>
      </c>
      <c r="CC449">
        <v>6.48</v>
      </c>
      <c r="CD449">
        <v>6.24</v>
      </c>
      <c r="CE449">
        <v>6.36</v>
      </c>
      <c r="CF449">
        <v>1.93</v>
      </c>
      <c r="CG449">
        <v>1.43</v>
      </c>
      <c r="CH449">
        <v>1.68</v>
      </c>
      <c r="CI449">
        <v>0.42</v>
      </c>
      <c r="CJ449">
        <v>0.38</v>
      </c>
      <c r="CK449">
        <v>0.4</v>
      </c>
      <c r="CL449">
        <v>39.1</v>
      </c>
      <c r="CM449">
        <v>36.700000000000003</v>
      </c>
      <c r="CN449">
        <v>37.900000000000006</v>
      </c>
      <c r="CO449">
        <v>6.51</v>
      </c>
      <c r="CP449">
        <v>1.5099999999999998</v>
      </c>
      <c r="CQ449">
        <v>4.01</v>
      </c>
    </row>
    <row r="450" spans="1:95">
      <c r="A450" s="424">
        <v>45728</v>
      </c>
      <c r="B450" t="s">
        <v>249</v>
      </c>
      <c r="C450">
        <v>149.08000000000001</v>
      </c>
      <c r="D450">
        <v>147.08000000000001</v>
      </c>
      <c r="E450">
        <v>148.08000000000001</v>
      </c>
      <c r="F450">
        <v>163.03</v>
      </c>
      <c r="G450">
        <v>160.03</v>
      </c>
      <c r="H450">
        <v>161.53</v>
      </c>
      <c r="I450">
        <v>104.18</v>
      </c>
      <c r="J450">
        <v>100.98</v>
      </c>
      <c r="K450">
        <v>102.58000000000001</v>
      </c>
      <c r="L450">
        <v>195.53</v>
      </c>
      <c r="M450">
        <v>187.53</v>
      </c>
      <c r="N450">
        <v>191.53</v>
      </c>
      <c r="O450">
        <v>168.47</v>
      </c>
      <c r="P450">
        <v>166.67</v>
      </c>
      <c r="Q450">
        <v>167.57</v>
      </c>
      <c r="R450">
        <v>21.96</v>
      </c>
      <c r="S450">
        <v>21.36</v>
      </c>
      <c r="T450">
        <v>21.66</v>
      </c>
      <c r="U450">
        <v>14.19</v>
      </c>
      <c r="V450">
        <v>13.59</v>
      </c>
      <c r="W450">
        <v>13.89</v>
      </c>
      <c r="X450">
        <v>15.19</v>
      </c>
      <c r="Y450">
        <v>14.389999999999999</v>
      </c>
      <c r="Z450">
        <v>14.79</v>
      </c>
      <c r="AA450">
        <v>95.16</v>
      </c>
      <c r="AB450">
        <v>91.16</v>
      </c>
      <c r="AC450">
        <v>93.16</v>
      </c>
      <c r="AD450">
        <v>86.49</v>
      </c>
      <c r="AE450">
        <v>82.49</v>
      </c>
      <c r="AF450">
        <v>84.49</v>
      </c>
      <c r="AG450">
        <v>19.489999999999998</v>
      </c>
      <c r="AH450">
        <v>18.63</v>
      </c>
      <c r="AI450">
        <v>19.059999999999999</v>
      </c>
      <c r="AM450">
        <v>112.03</v>
      </c>
      <c r="AN450">
        <v>110.37</v>
      </c>
      <c r="AO450">
        <v>111.2</v>
      </c>
      <c r="AP450">
        <v>40.35</v>
      </c>
      <c r="AQ450">
        <v>38.75</v>
      </c>
      <c r="AR450">
        <v>39.549999999999997</v>
      </c>
      <c r="AS450">
        <v>41.06</v>
      </c>
      <c r="AT450">
        <v>39.700000000000003</v>
      </c>
      <c r="AU450">
        <v>40.380000000000003</v>
      </c>
      <c r="AV450">
        <v>20.77</v>
      </c>
      <c r="AW450">
        <v>20.169999999999998</v>
      </c>
      <c r="AX450">
        <v>20.47</v>
      </c>
      <c r="AY450">
        <v>4.46</v>
      </c>
      <c r="AZ450">
        <v>4.3</v>
      </c>
      <c r="BA450">
        <v>4.38</v>
      </c>
      <c r="BB450">
        <v>1.86</v>
      </c>
      <c r="BC450">
        <v>1.56</v>
      </c>
      <c r="BD450">
        <v>1.71</v>
      </c>
      <c r="BE450">
        <v>0.68</v>
      </c>
      <c r="BF450">
        <v>0.38000000000000006</v>
      </c>
      <c r="BG450">
        <v>0.53</v>
      </c>
      <c r="BH450">
        <v>489.56</v>
      </c>
      <c r="BI450">
        <v>473.56</v>
      </c>
      <c r="BJ450">
        <v>481.56</v>
      </c>
      <c r="BK450">
        <v>41.37</v>
      </c>
      <c r="BL450">
        <v>40.01</v>
      </c>
      <c r="BM450">
        <v>40.69</v>
      </c>
      <c r="BN450">
        <v>1.03</v>
      </c>
      <c r="BO450">
        <v>0.79</v>
      </c>
      <c r="BP450">
        <v>0.91</v>
      </c>
      <c r="BQ450">
        <v>8.31</v>
      </c>
      <c r="BR450">
        <v>6.3100000000000005</v>
      </c>
      <c r="BS450">
        <v>7.3100000000000005</v>
      </c>
      <c r="BT450">
        <v>10.39</v>
      </c>
      <c r="BU450">
        <v>9.99</v>
      </c>
      <c r="BV450">
        <v>10.190000000000001</v>
      </c>
      <c r="BW450">
        <v>2.75</v>
      </c>
      <c r="BX450">
        <v>2.4699999999999998</v>
      </c>
      <c r="BY450">
        <v>2.61</v>
      </c>
      <c r="BZ450">
        <v>9.6199999999999992</v>
      </c>
      <c r="CA450">
        <v>6.6199999999999992</v>
      </c>
      <c r="CB450">
        <v>8.1199999999999992</v>
      </c>
      <c r="CC450">
        <v>6.59</v>
      </c>
      <c r="CD450">
        <v>6.35</v>
      </c>
      <c r="CE450">
        <v>6.47</v>
      </c>
      <c r="CF450">
        <v>1.98</v>
      </c>
      <c r="CG450">
        <v>1.48</v>
      </c>
      <c r="CH450">
        <v>1.73</v>
      </c>
      <c r="CI450">
        <v>0.42</v>
      </c>
      <c r="CJ450">
        <v>0.38</v>
      </c>
      <c r="CK450">
        <v>0.4</v>
      </c>
      <c r="CL450">
        <v>39.700000000000003</v>
      </c>
      <c r="CM450">
        <v>37.300000000000004</v>
      </c>
      <c r="CN450">
        <v>38.5</v>
      </c>
      <c r="CO450">
        <v>6.55</v>
      </c>
      <c r="CP450">
        <v>1.5499999999999998</v>
      </c>
      <c r="CQ450">
        <v>4.05</v>
      </c>
    </row>
    <row r="451" spans="1:95">
      <c r="A451" s="424">
        <v>45729</v>
      </c>
      <c r="B451" t="s">
        <v>250</v>
      </c>
      <c r="C451">
        <v>149.31</v>
      </c>
      <c r="D451">
        <v>147.31</v>
      </c>
      <c r="E451">
        <v>148.31</v>
      </c>
      <c r="F451">
        <v>162.97</v>
      </c>
      <c r="G451">
        <v>159.97</v>
      </c>
      <c r="H451">
        <v>161.47</v>
      </c>
      <c r="I451">
        <v>104.87</v>
      </c>
      <c r="J451">
        <v>101.67</v>
      </c>
      <c r="K451">
        <v>103.27000000000001</v>
      </c>
      <c r="L451">
        <v>196.34</v>
      </c>
      <c r="M451">
        <v>188.34</v>
      </c>
      <c r="N451">
        <v>192.34</v>
      </c>
      <c r="O451">
        <v>169.09</v>
      </c>
      <c r="P451">
        <v>167.29</v>
      </c>
      <c r="Q451">
        <v>168.19</v>
      </c>
      <c r="R451">
        <v>21.94</v>
      </c>
      <c r="S451">
        <v>21.34</v>
      </c>
      <c r="T451">
        <v>21.64</v>
      </c>
      <c r="U451">
        <v>14.26</v>
      </c>
      <c r="V451">
        <v>13.66</v>
      </c>
      <c r="W451">
        <v>13.96</v>
      </c>
      <c r="X451">
        <v>15.12</v>
      </c>
      <c r="Y451">
        <v>14.319999999999999</v>
      </c>
      <c r="Z451">
        <v>14.719999999999999</v>
      </c>
      <c r="AA451">
        <v>95.84</v>
      </c>
      <c r="AB451">
        <v>91.84</v>
      </c>
      <c r="AC451">
        <v>93.84</v>
      </c>
      <c r="AD451">
        <v>87.07</v>
      </c>
      <c r="AE451">
        <v>83.07</v>
      </c>
      <c r="AF451">
        <v>85.07</v>
      </c>
      <c r="AG451">
        <v>19.52</v>
      </c>
      <c r="AH451">
        <v>18.66</v>
      </c>
      <c r="AI451">
        <v>19.09</v>
      </c>
      <c r="AM451">
        <v>112.15</v>
      </c>
      <c r="AN451">
        <v>110.49000000000001</v>
      </c>
      <c r="AO451">
        <v>111.32000000000001</v>
      </c>
      <c r="AP451">
        <v>40.42</v>
      </c>
      <c r="AQ451">
        <v>38.82</v>
      </c>
      <c r="AR451">
        <v>39.620000000000005</v>
      </c>
      <c r="AS451">
        <v>41.03</v>
      </c>
      <c r="AT451">
        <v>39.67</v>
      </c>
      <c r="AU451">
        <v>40.35</v>
      </c>
      <c r="AV451">
        <v>20.78</v>
      </c>
      <c r="AW451">
        <v>20.18</v>
      </c>
      <c r="AX451">
        <v>20.48</v>
      </c>
      <c r="AY451">
        <v>4.47</v>
      </c>
      <c r="AZ451">
        <v>4.3099999999999996</v>
      </c>
      <c r="BA451">
        <v>4.3899999999999997</v>
      </c>
      <c r="BB451">
        <v>1.86</v>
      </c>
      <c r="BC451">
        <v>1.56</v>
      </c>
      <c r="BD451">
        <v>1.71</v>
      </c>
      <c r="BE451">
        <v>0.68</v>
      </c>
      <c r="BF451">
        <v>0.38000000000000006</v>
      </c>
      <c r="BG451">
        <v>0.53</v>
      </c>
      <c r="BH451">
        <v>490.31</v>
      </c>
      <c r="BI451">
        <v>474.31</v>
      </c>
      <c r="BJ451">
        <v>482.31</v>
      </c>
      <c r="BK451">
        <v>41.45</v>
      </c>
      <c r="BL451">
        <v>40.090000000000003</v>
      </c>
      <c r="BM451">
        <v>40.770000000000003</v>
      </c>
      <c r="BN451">
        <v>1.03</v>
      </c>
      <c r="BO451">
        <v>0.79</v>
      </c>
      <c r="BP451">
        <v>0.91</v>
      </c>
      <c r="BQ451">
        <v>8.36</v>
      </c>
      <c r="BR451">
        <v>6.3599999999999994</v>
      </c>
      <c r="BS451">
        <v>7.3599999999999994</v>
      </c>
      <c r="BT451">
        <v>10.45</v>
      </c>
      <c r="BU451">
        <v>10.049999999999999</v>
      </c>
      <c r="BV451">
        <v>10.25</v>
      </c>
      <c r="BW451">
        <v>2.74</v>
      </c>
      <c r="BX451">
        <v>2.46</v>
      </c>
      <c r="BY451">
        <v>2.6</v>
      </c>
      <c r="BZ451">
        <v>9.59</v>
      </c>
      <c r="CA451">
        <v>6.59</v>
      </c>
      <c r="CB451">
        <v>8.09</v>
      </c>
      <c r="CC451">
        <v>6.58</v>
      </c>
      <c r="CD451">
        <v>6.34</v>
      </c>
      <c r="CE451">
        <v>6.46</v>
      </c>
      <c r="CF451">
        <v>1.95</v>
      </c>
      <c r="CG451">
        <v>1.45</v>
      </c>
      <c r="CH451">
        <v>1.7</v>
      </c>
      <c r="CI451">
        <v>0.43</v>
      </c>
      <c r="CJ451">
        <v>0.39</v>
      </c>
      <c r="CK451">
        <v>0.41000000000000003</v>
      </c>
      <c r="CL451">
        <v>39.72</v>
      </c>
      <c r="CM451">
        <v>37.32</v>
      </c>
      <c r="CN451">
        <v>38.519999999999996</v>
      </c>
      <c r="CO451">
        <v>6.56</v>
      </c>
      <c r="CP451">
        <v>1.5599999999999996</v>
      </c>
      <c r="CQ451">
        <v>4.0599999999999996</v>
      </c>
    </row>
    <row r="452" spans="1:95">
      <c r="A452" s="424">
        <v>45730</v>
      </c>
      <c r="B452" t="s">
        <v>251</v>
      </c>
      <c r="C452">
        <v>149.35</v>
      </c>
      <c r="D452">
        <v>147.35</v>
      </c>
      <c r="E452">
        <v>148.35</v>
      </c>
      <c r="F452">
        <v>162.52000000000001</v>
      </c>
      <c r="G452">
        <v>159.52000000000001</v>
      </c>
      <c r="H452">
        <v>161.02000000000001</v>
      </c>
      <c r="I452">
        <v>104.42</v>
      </c>
      <c r="J452">
        <v>101.22</v>
      </c>
      <c r="K452">
        <v>102.82</v>
      </c>
      <c r="L452">
        <v>196.23</v>
      </c>
      <c r="M452">
        <v>188.23</v>
      </c>
      <c r="N452">
        <v>192.23</v>
      </c>
      <c r="O452">
        <v>168.94</v>
      </c>
      <c r="P452">
        <v>167.14</v>
      </c>
      <c r="Q452">
        <v>168.04</v>
      </c>
      <c r="R452">
        <v>21.88</v>
      </c>
      <c r="S452">
        <v>21.279999999999998</v>
      </c>
      <c r="T452">
        <v>21.58</v>
      </c>
      <c r="U452">
        <v>14.19</v>
      </c>
      <c r="V452">
        <v>13.59</v>
      </c>
      <c r="W452">
        <v>13.89</v>
      </c>
      <c r="X452">
        <v>14.95</v>
      </c>
      <c r="Y452">
        <v>14.149999999999999</v>
      </c>
      <c r="Z452">
        <v>14.549999999999999</v>
      </c>
      <c r="AA452">
        <v>95.28</v>
      </c>
      <c r="AB452">
        <v>91.28</v>
      </c>
      <c r="AC452">
        <v>93.28</v>
      </c>
      <c r="AD452">
        <v>86.62</v>
      </c>
      <c r="AE452">
        <v>82.62</v>
      </c>
      <c r="AF452">
        <v>84.62</v>
      </c>
      <c r="AG452">
        <v>19.52</v>
      </c>
      <c r="AH452">
        <v>18.66</v>
      </c>
      <c r="AI452">
        <v>19.09</v>
      </c>
      <c r="AM452">
        <v>111.88</v>
      </c>
      <c r="AN452">
        <v>110.22</v>
      </c>
      <c r="AO452">
        <v>111.05</v>
      </c>
      <c r="AP452">
        <v>40.43</v>
      </c>
      <c r="AQ452">
        <v>38.83</v>
      </c>
      <c r="AR452">
        <v>39.629999999999995</v>
      </c>
      <c r="AS452">
        <v>41.15</v>
      </c>
      <c r="AT452">
        <v>39.79</v>
      </c>
      <c r="AU452">
        <v>40.47</v>
      </c>
      <c r="AV452">
        <v>20.76</v>
      </c>
      <c r="AW452">
        <v>20.16</v>
      </c>
      <c r="AX452">
        <v>20.46</v>
      </c>
      <c r="AY452">
        <v>4.49</v>
      </c>
      <c r="AZ452">
        <v>4.33</v>
      </c>
      <c r="BA452">
        <v>4.41</v>
      </c>
      <c r="BB452">
        <v>1.87</v>
      </c>
      <c r="BC452">
        <v>1.57</v>
      </c>
      <c r="BD452">
        <v>1.7200000000000002</v>
      </c>
      <c r="BE452">
        <v>0.68</v>
      </c>
      <c r="BF452">
        <v>0.38000000000000006</v>
      </c>
      <c r="BG452">
        <v>0.53</v>
      </c>
      <c r="BH452">
        <v>490.28</v>
      </c>
      <c r="BI452">
        <v>474.28</v>
      </c>
      <c r="BJ452">
        <v>482.28</v>
      </c>
      <c r="BK452">
        <v>41.33</v>
      </c>
      <c r="BL452">
        <v>39.97</v>
      </c>
      <c r="BM452">
        <v>40.65</v>
      </c>
      <c r="BN452">
        <v>1.03</v>
      </c>
      <c r="BO452">
        <v>0.79</v>
      </c>
      <c r="BP452">
        <v>0.91</v>
      </c>
      <c r="BQ452">
        <v>8.39</v>
      </c>
      <c r="BR452">
        <v>6.3900000000000006</v>
      </c>
      <c r="BS452">
        <v>7.3900000000000006</v>
      </c>
      <c r="BT452">
        <v>10.41</v>
      </c>
      <c r="BU452">
        <v>10.01</v>
      </c>
      <c r="BV452">
        <v>10.210000000000001</v>
      </c>
      <c r="BW452">
        <v>2.75</v>
      </c>
      <c r="BX452">
        <v>2.4699999999999998</v>
      </c>
      <c r="BY452">
        <v>2.61</v>
      </c>
      <c r="BZ452">
        <v>9.6</v>
      </c>
      <c r="CA452">
        <v>6.6</v>
      </c>
      <c r="CB452">
        <v>8.1</v>
      </c>
      <c r="CC452">
        <v>6.56</v>
      </c>
      <c r="CD452">
        <v>6.3199999999999994</v>
      </c>
      <c r="CE452">
        <v>6.4399999999999995</v>
      </c>
      <c r="CF452">
        <v>1.98</v>
      </c>
      <c r="CG452">
        <v>1.48</v>
      </c>
      <c r="CH452">
        <v>1.73</v>
      </c>
      <c r="CI452">
        <v>0.42</v>
      </c>
      <c r="CJ452">
        <v>0.38</v>
      </c>
      <c r="CK452">
        <v>0.4</v>
      </c>
      <c r="CL452">
        <v>39.729999999999997</v>
      </c>
      <c r="CM452">
        <v>37.33</v>
      </c>
      <c r="CN452">
        <v>38.53</v>
      </c>
      <c r="CO452">
        <v>6.56</v>
      </c>
      <c r="CP452">
        <v>1.5599999999999996</v>
      </c>
      <c r="CQ452">
        <v>4.0599999999999996</v>
      </c>
    </row>
    <row r="453" spans="1:95">
      <c r="A453" s="424">
        <v>45731</v>
      </c>
      <c r="B453" t="s">
        <v>252</v>
      </c>
    </row>
    <row r="454" spans="1:95">
      <c r="A454" s="424">
        <v>45732</v>
      </c>
      <c r="B454" t="s">
        <v>253</v>
      </c>
    </row>
    <row r="455" spans="1:95">
      <c r="A455" s="424">
        <v>45733</v>
      </c>
      <c r="B455" t="s">
        <v>247</v>
      </c>
      <c r="C455">
        <v>149.84</v>
      </c>
      <c r="D455">
        <v>147.84</v>
      </c>
      <c r="E455">
        <v>148.84</v>
      </c>
      <c r="F455">
        <v>163.38999999999999</v>
      </c>
      <c r="G455">
        <v>160.38999999999999</v>
      </c>
      <c r="H455">
        <v>161.88999999999999</v>
      </c>
      <c r="I455">
        <v>105.16</v>
      </c>
      <c r="J455">
        <v>101.96</v>
      </c>
      <c r="K455">
        <v>103.56</v>
      </c>
      <c r="L455">
        <v>196.48</v>
      </c>
      <c r="M455">
        <v>188.48</v>
      </c>
      <c r="N455">
        <v>192.48</v>
      </c>
      <c r="O455">
        <v>169.16</v>
      </c>
      <c r="P455">
        <v>167.35999999999999</v>
      </c>
      <c r="Q455">
        <v>168.26</v>
      </c>
      <c r="R455">
        <v>22</v>
      </c>
      <c r="S455">
        <v>21.4</v>
      </c>
      <c r="T455">
        <v>21.7</v>
      </c>
      <c r="U455">
        <v>14.3</v>
      </c>
      <c r="V455">
        <v>13.700000000000001</v>
      </c>
      <c r="W455">
        <v>14</v>
      </c>
      <c r="X455">
        <v>15.1</v>
      </c>
      <c r="Y455">
        <v>14.299999999999999</v>
      </c>
      <c r="Z455">
        <v>14.7</v>
      </c>
      <c r="AA455">
        <v>96.22</v>
      </c>
      <c r="AB455">
        <v>92.22</v>
      </c>
      <c r="AC455">
        <v>94.22</v>
      </c>
      <c r="AD455">
        <v>87.61</v>
      </c>
      <c r="AE455">
        <v>83.61</v>
      </c>
      <c r="AF455">
        <v>85.61</v>
      </c>
      <c r="AG455">
        <v>19.579999999999998</v>
      </c>
      <c r="AH455">
        <v>18.72</v>
      </c>
      <c r="AI455">
        <v>19.149999999999999</v>
      </c>
      <c r="AM455">
        <v>112.47</v>
      </c>
      <c r="AN455">
        <v>110.81</v>
      </c>
      <c r="AO455">
        <v>111.64</v>
      </c>
      <c r="AP455">
        <v>40.54</v>
      </c>
      <c r="AQ455">
        <v>38.94</v>
      </c>
      <c r="AR455">
        <v>39.739999999999995</v>
      </c>
      <c r="AS455">
        <v>41.27</v>
      </c>
      <c r="AT455">
        <v>39.910000000000004</v>
      </c>
      <c r="AU455">
        <v>40.590000000000003</v>
      </c>
      <c r="AV455">
        <v>20.89</v>
      </c>
      <c r="AW455">
        <v>20.29</v>
      </c>
      <c r="AX455">
        <v>20.59</v>
      </c>
      <c r="AY455">
        <v>4.5</v>
      </c>
      <c r="AZ455">
        <v>4.34</v>
      </c>
      <c r="BA455">
        <v>4.42</v>
      </c>
      <c r="BB455">
        <v>1.87</v>
      </c>
      <c r="BC455">
        <v>1.57</v>
      </c>
      <c r="BD455">
        <v>1.7200000000000002</v>
      </c>
      <c r="BE455">
        <v>0.68</v>
      </c>
      <c r="BF455">
        <v>0.38000000000000006</v>
      </c>
      <c r="BG455">
        <v>0.53</v>
      </c>
      <c r="BH455">
        <v>492.03</v>
      </c>
      <c r="BI455">
        <v>476.03</v>
      </c>
      <c r="BJ455">
        <v>484.03</v>
      </c>
      <c r="BK455">
        <v>41.58</v>
      </c>
      <c r="BL455">
        <v>40.22</v>
      </c>
      <c r="BM455">
        <v>40.9</v>
      </c>
      <c r="BN455">
        <v>1.03</v>
      </c>
      <c r="BO455">
        <v>0.79</v>
      </c>
      <c r="BP455">
        <v>0.91</v>
      </c>
      <c r="BQ455">
        <v>8.4700000000000006</v>
      </c>
      <c r="BR455">
        <v>6.4700000000000006</v>
      </c>
      <c r="BS455">
        <v>7.4700000000000006</v>
      </c>
      <c r="BT455">
        <v>10.47</v>
      </c>
      <c r="BU455">
        <v>10.07</v>
      </c>
      <c r="BV455">
        <v>10.27</v>
      </c>
      <c r="BW455">
        <v>2.76</v>
      </c>
      <c r="BX455">
        <v>2.4799999999999995</v>
      </c>
      <c r="BY455">
        <v>2.6199999999999997</v>
      </c>
      <c r="BZ455">
        <v>9.67</v>
      </c>
      <c r="CA455">
        <v>6.67</v>
      </c>
      <c r="CB455">
        <v>8.17</v>
      </c>
      <c r="CC455">
        <v>6.6</v>
      </c>
      <c r="CD455">
        <v>6.3599999999999994</v>
      </c>
      <c r="CE455">
        <v>6.4799999999999995</v>
      </c>
      <c r="CF455">
        <v>1.99</v>
      </c>
      <c r="CG455">
        <v>1.49</v>
      </c>
      <c r="CH455">
        <v>1.74</v>
      </c>
      <c r="CI455">
        <v>0.43</v>
      </c>
      <c r="CJ455">
        <v>0.39</v>
      </c>
      <c r="CK455">
        <v>0.41000000000000003</v>
      </c>
      <c r="CL455">
        <v>39.86</v>
      </c>
      <c r="CM455">
        <v>37.46</v>
      </c>
      <c r="CN455">
        <v>38.659999999999997</v>
      </c>
      <c r="CO455">
        <v>6.56</v>
      </c>
      <c r="CP455">
        <v>1.5599999999999996</v>
      </c>
      <c r="CQ455">
        <v>4.0599999999999996</v>
      </c>
    </row>
    <row r="456" spans="1:95">
      <c r="A456" s="424">
        <v>45734</v>
      </c>
      <c r="B456" t="s">
        <v>248</v>
      </c>
      <c r="C456">
        <v>150.53</v>
      </c>
      <c r="D456">
        <v>148.53</v>
      </c>
      <c r="E456">
        <v>149.53</v>
      </c>
      <c r="F456">
        <v>164.7</v>
      </c>
      <c r="G456">
        <v>161.69999999999999</v>
      </c>
      <c r="H456">
        <v>163.19999999999999</v>
      </c>
      <c r="I456">
        <v>106.21</v>
      </c>
      <c r="J456">
        <v>103.00999999999999</v>
      </c>
      <c r="K456">
        <v>104.60999999999999</v>
      </c>
      <c r="L456">
        <v>198.19</v>
      </c>
      <c r="M456">
        <v>190.19</v>
      </c>
      <c r="N456">
        <v>194.19</v>
      </c>
      <c r="O456">
        <v>170.55</v>
      </c>
      <c r="P456">
        <v>168.75</v>
      </c>
      <c r="Q456">
        <v>169.65</v>
      </c>
      <c r="R456">
        <v>22.18</v>
      </c>
      <c r="S456">
        <v>21.58</v>
      </c>
      <c r="T456">
        <v>21.88</v>
      </c>
      <c r="U456">
        <v>14.47</v>
      </c>
      <c r="V456">
        <v>13.870000000000001</v>
      </c>
      <c r="W456">
        <v>14.170000000000002</v>
      </c>
      <c r="X456">
        <v>15.22</v>
      </c>
      <c r="Y456">
        <v>14.42</v>
      </c>
      <c r="Z456">
        <v>14.82</v>
      </c>
      <c r="AA456">
        <v>97.43</v>
      </c>
      <c r="AB456">
        <v>93.43</v>
      </c>
      <c r="AC456">
        <v>95.43</v>
      </c>
      <c r="AD456">
        <v>89.09</v>
      </c>
      <c r="AE456">
        <v>85.09</v>
      </c>
      <c r="AF456">
        <v>87.09</v>
      </c>
      <c r="AG456">
        <v>19.670000000000002</v>
      </c>
      <c r="AH456">
        <v>18.810000000000002</v>
      </c>
      <c r="AI456">
        <v>19.240000000000002</v>
      </c>
      <c r="AM456">
        <v>113.26</v>
      </c>
      <c r="AN456">
        <v>111.60000000000001</v>
      </c>
      <c r="AO456">
        <v>112.43</v>
      </c>
      <c r="AP456">
        <v>40.729999999999997</v>
      </c>
      <c r="AQ456">
        <v>39.129999999999995</v>
      </c>
      <c r="AR456">
        <v>39.929999999999993</v>
      </c>
      <c r="AS456">
        <v>41.46</v>
      </c>
      <c r="AT456">
        <v>40.1</v>
      </c>
      <c r="AU456">
        <v>40.78</v>
      </c>
      <c r="AV456">
        <v>20.99</v>
      </c>
      <c r="AW456">
        <v>20.389999999999997</v>
      </c>
      <c r="AX456">
        <v>20.689999999999998</v>
      </c>
      <c r="AY456">
        <v>4.53</v>
      </c>
      <c r="AZ456">
        <v>4.37</v>
      </c>
      <c r="BA456">
        <v>4.45</v>
      </c>
      <c r="BB456">
        <v>1.88</v>
      </c>
      <c r="BC456">
        <v>1.5799999999999998</v>
      </c>
      <c r="BD456">
        <v>1.73</v>
      </c>
      <c r="BE456">
        <v>0.69</v>
      </c>
      <c r="BF456">
        <v>0.38999999999999996</v>
      </c>
      <c r="BG456">
        <v>0.53999999999999992</v>
      </c>
      <c r="BH456">
        <v>492.39</v>
      </c>
      <c r="BI456">
        <v>476.39</v>
      </c>
      <c r="BJ456">
        <v>484.39</v>
      </c>
      <c r="BK456">
        <v>41.77</v>
      </c>
      <c r="BL456">
        <v>40.410000000000004</v>
      </c>
      <c r="BM456">
        <v>41.09</v>
      </c>
      <c r="BN456">
        <v>1.03</v>
      </c>
      <c r="BO456">
        <v>0.79</v>
      </c>
      <c r="BP456">
        <v>0.91</v>
      </c>
      <c r="BQ456">
        <v>8.5</v>
      </c>
      <c r="BR456">
        <v>6.5</v>
      </c>
      <c r="BS456">
        <v>7.5</v>
      </c>
      <c r="BT456">
        <v>10.57</v>
      </c>
      <c r="BU456">
        <v>10.17</v>
      </c>
      <c r="BV456">
        <v>10.370000000000001</v>
      </c>
      <c r="BW456">
        <v>2.77</v>
      </c>
      <c r="BX456">
        <v>2.4900000000000002</v>
      </c>
      <c r="BY456">
        <v>2.63</v>
      </c>
      <c r="BZ456">
        <v>9.76</v>
      </c>
      <c r="CA456">
        <v>6.76</v>
      </c>
      <c r="CB456">
        <v>8.26</v>
      </c>
      <c r="CC456">
        <v>6.64</v>
      </c>
      <c r="CD456">
        <v>6.3999999999999995</v>
      </c>
      <c r="CE456">
        <v>6.52</v>
      </c>
      <c r="CF456">
        <v>2.04</v>
      </c>
      <c r="CG456">
        <v>1.54</v>
      </c>
      <c r="CH456">
        <v>1.79</v>
      </c>
      <c r="CI456">
        <v>0.43</v>
      </c>
      <c r="CJ456">
        <v>0.39</v>
      </c>
      <c r="CK456">
        <v>0.41000000000000003</v>
      </c>
      <c r="CL456">
        <v>40.21</v>
      </c>
      <c r="CM456">
        <v>37.81</v>
      </c>
      <c r="CN456">
        <v>39.010000000000005</v>
      </c>
      <c r="CO456">
        <v>6.58</v>
      </c>
      <c r="CP456">
        <v>1.58</v>
      </c>
      <c r="CQ456">
        <v>4.08</v>
      </c>
    </row>
    <row r="457" spans="1:95">
      <c r="A457" s="424">
        <v>45735</v>
      </c>
      <c r="B457" t="s">
        <v>249</v>
      </c>
      <c r="C457">
        <v>150.69</v>
      </c>
      <c r="D457">
        <v>148.69</v>
      </c>
      <c r="E457">
        <v>149.69</v>
      </c>
      <c r="F457">
        <v>165.22</v>
      </c>
      <c r="G457">
        <v>162.22</v>
      </c>
      <c r="H457">
        <v>163.72</v>
      </c>
      <c r="I457">
        <v>106.28</v>
      </c>
      <c r="J457">
        <v>103.08</v>
      </c>
      <c r="K457">
        <v>104.68</v>
      </c>
      <c r="L457">
        <v>198.6</v>
      </c>
      <c r="M457">
        <v>190.6</v>
      </c>
      <c r="N457">
        <v>194.6</v>
      </c>
      <c r="O457">
        <v>171.47</v>
      </c>
      <c r="P457">
        <v>169.67</v>
      </c>
      <c r="Q457">
        <v>170.57</v>
      </c>
      <c r="R457">
        <v>22.25</v>
      </c>
      <c r="S457">
        <v>21.65</v>
      </c>
      <c r="T457">
        <v>21.95</v>
      </c>
      <c r="U457">
        <v>14.46</v>
      </c>
      <c r="V457">
        <v>13.860000000000001</v>
      </c>
      <c r="W457">
        <v>14.16</v>
      </c>
      <c r="X457">
        <v>15.3</v>
      </c>
      <c r="Y457">
        <v>14.5</v>
      </c>
      <c r="Z457">
        <v>14.9</v>
      </c>
      <c r="AA457">
        <v>97.25</v>
      </c>
      <c r="AB457">
        <v>93.25</v>
      </c>
      <c r="AC457">
        <v>95.25</v>
      </c>
      <c r="AD457">
        <v>89.09</v>
      </c>
      <c r="AE457">
        <v>85.09</v>
      </c>
      <c r="AF457">
        <v>87.09</v>
      </c>
      <c r="AG457">
        <v>19.7</v>
      </c>
      <c r="AH457">
        <v>18.84</v>
      </c>
      <c r="AI457">
        <v>19.27</v>
      </c>
      <c r="AM457">
        <v>113.29</v>
      </c>
      <c r="AN457">
        <v>111.63000000000001</v>
      </c>
      <c r="AO457">
        <v>112.46000000000001</v>
      </c>
      <c r="AP457">
        <v>40.79</v>
      </c>
      <c r="AQ457">
        <v>39.19</v>
      </c>
      <c r="AR457">
        <v>39.989999999999995</v>
      </c>
      <c r="AS457">
        <v>41.5</v>
      </c>
      <c r="AT457">
        <v>40.14</v>
      </c>
      <c r="AU457">
        <v>40.82</v>
      </c>
      <c r="AV457">
        <v>21</v>
      </c>
      <c r="AW457">
        <v>20.399999999999999</v>
      </c>
      <c r="AX457">
        <v>20.7</v>
      </c>
      <c r="AY457">
        <v>4.53</v>
      </c>
      <c r="AZ457">
        <v>4.37</v>
      </c>
      <c r="BA457">
        <v>4.45</v>
      </c>
      <c r="BB457">
        <v>1.89</v>
      </c>
      <c r="BC457">
        <v>1.5899999999999999</v>
      </c>
      <c r="BD457">
        <v>1.7399999999999998</v>
      </c>
      <c r="BE457">
        <v>0.69</v>
      </c>
      <c r="BF457">
        <v>0.38999999999999996</v>
      </c>
      <c r="BG457">
        <v>0.53999999999999992</v>
      </c>
      <c r="BH457">
        <v>494.96</v>
      </c>
      <c r="BI457">
        <v>478.96</v>
      </c>
      <c r="BJ457">
        <v>486.96</v>
      </c>
      <c r="BK457">
        <v>41.7</v>
      </c>
      <c r="BL457">
        <v>40.340000000000003</v>
      </c>
      <c r="BM457">
        <v>41.02</v>
      </c>
      <c r="BN457">
        <v>1.03</v>
      </c>
      <c r="BO457">
        <v>0.79</v>
      </c>
      <c r="BP457">
        <v>0.91</v>
      </c>
      <c r="BQ457">
        <v>8.52</v>
      </c>
      <c r="BR457">
        <v>6.52</v>
      </c>
      <c r="BS457">
        <v>7.52</v>
      </c>
      <c r="BT457">
        <v>10.53</v>
      </c>
      <c r="BU457">
        <v>10.129999999999999</v>
      </c>
      <c r="BV457">
        <v>10.329999999999998</v>
      </c>
      <c r="BW457">
        <v>2.77</v>
      </c>
      <c r="BX457">
        <v>2.4900000000000002</v>
      </c>
      <c r="BY457">
        <v>2.63</v>
      </c>
      <c r="BZ457">
        <v>9.76</v>
      </c>
      <c r="CA457">
        <v>6.76</v>
      </c>
      <c r="CB457">
        <v>8.26</v>
      </c>
      <c r="CC457">
        <v>6.67</v>
      </c>
      <c r="CD457">
        <v>6.43</v>
      </c>
      <c r="CE457">
        <v>6.55</v>
      </c>
      <c r="CF457">
        <v>2.08</v>
      </c>
      <c r="CG457">
        <v>1.58</v>
      </c>
      <c r="CH457">
        <v>1.83</v>
      </c>
      <c r="CI457">
        <v>0.43</v>
      </c>
      <c r="CJ457">
        <v>0.39</v>
      </c>
      <c r="CK457">
        <v>0.41000000000000003</v>
      </c>
      <c r="CL457">
        <v>40.299999999999997</v>
      </c>
      <c r="CM457">
        <v>37.9</v>
      </c>
      <c r="CN457">
        <v>39.099999999999994</v>
      </c>
      <c r="CO457">
        <v>6.58</v>
      </c>
      <c r="CP457">
        <v>1.58</v>
      </c>
      <c r="CQ457">
        <v>4.08</v>
      </c>
    </row>
    <row r="458" spans="1:95">
      <c r="A458" s="424">
        <v>45736</v>
      </c>
      <c r="B458" t="s">
        <v>250</v>
      </c>
    </row>
    <row r="459" spans="1:95">
      <c r="A459" s="424">
        <v>45737</v>
      </c>
      <c r="B459" t="s">
        <v>251</v>
      </c>
      <c r="C459">
        <v>150.06</v>
      </c>
      <c r="D459">
        <v>148.06</v>
      </c>
      <c r="E459">
        <v>149.06</v>
      </c>
      <c r="F459">
        <v>163.25</v>
      </c>
      <c r="G459">
        <v>160.25</v>
      </c>
      <c r="H459">
        <v>161.75</v>
      </c>
      <c r="I459">
        <v>105.68</v>
      </c>
      <c r="J459">
        <v>102.48</v>
      </c>
      <c r="K459">
        <v>104.08000000000001</v>
      </c>
      <c r="L459">
        <v>197.21</v>
      </c>
      <c r="M459">
        <v>189.21</v>
      </c>
      <c r="N459">
        <v>193.21</v>
      </c>
      <c r="O459">
        <v>169.83</v>
      </c>
      <c r="P459">
        <v>168.03</v>
      </c>
      <c r="Q459">
        <v>168.93</v>
      </c>
      <c r="R459">
        <v>21.98</v>
      </c>
      <c r="S459">
        <v>21.38</v>
      </c>
      <c r="T459">
        <v>21.68</v>
      </c>
      <c r="U459">
        <v>14.44</v>
      </c>
      <c r="V459">
        <v>13.84</v>
      </c>
      <c r="W459">
        <v>14.14</v>
      </c>
      <c r="X459">
        <v>15.12</v>
      </c>
      <c r="Y459">
        <v>14.319999999999999</v>
      </c>
      <c r="Z459">
        <v>14.719999999999999</v>
      </c>
      <c r="AA459">
        <v>95.94</v>
      </c>
      <c r="AB459">
        <v>91.94</v>
      </c>
      <c r="AC459">
        <v>93.94</v>
      </c>
      <c r="AD459">
        <v>87.89</v>
      </c>
      <c r="AE459">
        <v>83.89</v>
      </c>
      <c r="AF459">
        <v>85.89</v>
      </c>
      <c r="AG459">
        <v>19.61</v>
      </c>
      <c r="AH459">
        <v>18.75</v>
      </c>
      <c r="AI459">
        <v>19.18</v>
      </c>
      <c r="AM459">
        <v>112.48</v>
      </c>
      <c r="AN459">
        <v>110.82000000000001</v>
      </c>
      <c r="AO459">
        <v>111.65</v>
      </c>
      <c r="AP459">
        <v>40.6</v>
      </c>
      <c r="AQ459">
        <v>39</v>
      </c>
      <c r="AR459">
        <v>39.799999999999997</v>
      </c>
      <c r="AS459">
        <v>41.33</v>
      </c>
      <c r="AT459">
        <v>39.97</v>
      </c>
      <c r="AU459">
        <v>40.65</v>
      </c>
      <c r="AV459">
        <v>20.84</v>
      </c>
      <c r="AW459">
        <v>20.239999999999998</v>
      </c>
      <c r="AX459">
        <v>20.54</v>
      </c>
      <c r="AY459">
        <v>4.5</v>
      </c>
      <c r="AZ459">
        <v>4.34</v>
      </c>
      <c r="BA459">
        <v>4.42</v>
      </c>
      <c r="BB459">
        <v>1.89</v>
      </c>
      <c r="BC459">
        <v>1.5899999999999999</v>
      </c>
      <c r="BD459">
        <v>1.7399999999999998</v>
      </c>
      <c r="BE459">
        <v>0.69</v>
      </c>
      <c r="BF459">
        <v>0.38999999999999996</v>
      </c>
      <c r="BG459">
        <v>0.53999999999999992</v>
      </c>
      <c r="BH459">
        <v>490.86</v>
      </c>
      <c r="BI459">
        <v>474.86</v>
      </c>
      <c r="BJ459">
        <v>482.86</v>
      </c>
      <c r="BK459">
        <v>41.64</v>
      </c>
      <c r="BL459">
        <v>40.28</v>
      </c>
      <c r="BM459">
        <v>40.96</v>
      </c>
      <c r="BN459">
        <v>1.03</v>
      </c>
      <c r="BO459">
        <v>0.79</v>
      </c>
      <c r="BP459">
        <v>0.91</v>
      </c>
      <c r="BQ459">
        <v>8.4</v>
      </c>
      <c r="BR459">
        <v>6.4</v>
      </c>
      <c r="BS459">
        <v>7.4</v>
      </c>
      <c r="BT459">
        <v>10.37</v>
      </c>
      <c r="BU459">
        <v>9.9699999999999989</v>
      </c>
      <c r="BV459">
        <v>10.169999999999998</v>
      </c>
      <c r="BW459">
        <v>2.77</v>
      </c>
      <c r="BX459">
        <v>2.4900000000000002</v>
      </c>
      <c r="BY459">
        <v>2.63</v>
      </c>
      <c r="BZ459">
        <v>9.7200000000000006</v>
      </c>
      <c r="CA459">
        <v>6.7200000000000006</v>
      </c>
      <c r="CB459">
        <v>8.2200000000000006</v>
      </c>
      <c r="CC459">
        <v>6.59</v>
      </c>
      <c r="CD459">
        <v>6.35</v>
      </c>
      <c r="CE459">
        <v>6.47</v>
      </c>
      <c r="CF459">
        <v>2.0099999999999998</v>
      </c>
      <c r="CG459">
        <v>1.5099999999999998</v>
      </c>
      <c r="CH459">
        <v>1.7599999999999998</v>
      </c>
      <c r="CI459">
        <v>0.43</v>
      </c>
      <c r="CJ459">
        <v>0.39</v>
      </c>
      <c r="CK459">
        <v>0.41000000000000003</v>
      </c>
      <c r="CL459">
        <v>39.81</v>
      </c>
      <c r="CM459">
        <v>37.410000000000004</v>
      </c>
      <c r="CN459">
        <v>38.61</v>
      </c>
      <c r="CO459">
        <v>6.45</v>
      </c>
      <c r="CP459">
        <v>1.4500000000000002</v>
      </c>
      <c r="CQ459">
        <v>3.95</v>
      </c>
    </row>
    <row r="460" spans="1:95">
      <c r="A460" s="424">
        <v>45738</v>
      </c>
      <c r="B460" t="s">
        <v>252</v>
      </c>
    </row>
    <row r="461" spans="1:95">
      <c r="A461" s="424">
        <v>45739</v>
      </c>
      <c r="B461" t="s">
        <v>253</v>
      </c>
    </row>
    <row r="462" spans="1:95">
      <c r="A462" s="424">
        <v>45740</v>
      </c>
      <c r="B462" t="s">
        <v>247</v>
      </c>
      <c r="C462">
        <v>150.80000000000001</v>
      </c>
      <c r="D462">
        <v>148.80000000000001</v>
      </c>
      <c r="E462">
        <v>149.80000000000001</v>
      </c>
      <c r="F462">
        <v>163.79</v>
      </c>
      <c r="G462">
        <v>160.79</v>
      </c>
      <c r="H462">
        <v>162.29</v>
      </c>
      <c r="I462">
        <v>106.12</v>
      </c>
      <c r="J462">
        <v>102.92</v>
      </c>
      <c r="K462">
        <v>104.52000000000001</v>
      </c>
      <c r="L462">
        <v>197.74</v>
      </c>
      <c r="M462">
        <v>189.74</v>
      </c>
      <c r="N462">
        <v>193.74</v>
      </c>
      <c r="O462">
        <v>170.49</v>
      </c>
      <c r="P462">
        <v>168.69</v>
      </c>
      <c r="Q462">
        <v>169.59</v>
      </c>
      <c r="R462">
        <v>22.05</v>
      </c>
      <c r="S462">
        <v>21.45</v>
      </c>
      <c r="T462">
        <v>21.75</v>
      </c>
      <c r="U462">
        <v>14.52</v>
      </c>
      <c r="V462">
        <v>13.92</v>
      </c>
      <c r="W462">
        <v>14.219999999999999</v>
      </c>
      <c r="X462">
        <v>15.22</v>
      </c>
      <c r="Y462">
        <v>14.42</v>
      </c>
      <c r="Z462">
        <v>14.82</v>
      </c>
      <c r="AA462">
        <v>96.21</v>
      </c>
      <c r="AB462">
        <v>92.21</v>
      </c>
      <c r="AC462">
        <v>94.21</v>
      </c>
      <c r="AD462">
        <v>88.05</v>
      </c>
      <c r="AE462">
        <v>84.05</v>
      </c>
      <c r="AF462">
        <v>86.05</v>
      </c>
      <c r="AG462">
        <v>19.7</v>
      </c>
      <c r="AH462">
        <v>18.84</v>
      </c>
      <c r="AI462">
        <v>19.27</v>
      </c>
      <c r="AM462">
        <v>113.02</v>
      </c>
      <c r="AN462">
        <v>111.36</v>
      </c>
      <c r="AO462">
        <v>112.19</v>
      </c>
      <c r="AP462">
        <v>40.799999999999997</v>
      </c>
      <c r="AQ462">
        <v>39.199999999999996</v>
      </c>
      <c r="AR462">
        <v>40</v>
      </c>
      <c r="AS462">
        <v>41.53</v>
      </c>
      <c r="AT462">
        <v>40.17</v>
      </c>
      <c r="AU462">
        <v>40.85</v>
      </c>
      <c r="AV462">
        <v>20.95</v>
      </c>
      <c r="AW462">
        <v>20.349999999999998</v>
      </c>
      <c r="AX462">
        <v>20.65</v>
      </c>
      <c r="AY462">
        <v>4.49</v>
      </c>
      <c r="AZ462">
        <v>4.33</v>
      </c>
      <c r="BA462">
        <v>4.41</v>
      </c>
      <c r="BB462">
        <v>1.9</v>
      </c>
      <c r="BC462">
        <v>1.5999999999999999</v>
      </c>
      <c r="BD462">
        <v>1.75</v>
      </c>
      <c r="BE462">
        <v>0.69</v>
      </c>
      <c r="BF462">
        <v>0.38999999999999996</v>
      </c>
      <c r="BG462">
        <v>0.53999999999999992</v>
      </c>
      <c r="BH462">
        <v>494.84</v>
      </c>
      <c r="BI462">
        <v>478.84</v>
      </c>
      <c r="BJ462">
        <v>486.84</v>
      </c>
      <c r="BK462">
        <v>41.85</v>
      </c>
      <c r="BL462">
        <v>40.49</v>
      </c>
      <c r="BM462">
        <v>41.17</v>
      </c>
      <c r="BN462">
        <v>1.03</v>
      </c>
      <c r="BO462">
        <v>0.79</v>
      </c>
      <c r="BP462">
        <v>0.91</v>
      </c>
      <c r="BQ462">
        <v>8.41</v>
      </c>
      <c r="BR462">
        <v>6.41</v>
      </c>
      <c r="BS462">
        <v>7.41</v>
      </c>
      <c r="BT462">
        <v>10.43</v>
      </c>
      <c r="BU462">
        <v>10.029999999999999</v>
      </c>
      <c r="BV462">
        <v>10.23</v>
      </c>
      <c r="BW462">
        <v>2.77</v>
      </c>
      <c r="BX462">
        <v>2.4900000000000002</v>
      </c>
      <c r="BY462">
        <v>2.63</v>
      </c>
      <c r="BZ462">
        <v>9.73</v>
      </c>
      <c r="CA462">
        <v>6.73</v>
      </c>
      <c r="CB462">
        <v>8.23</v>
      </c>
      <c r="CC462">
        <v>6.63</v>
      </c>
      <c r="CD462">
        <v>6.39</v>
      </c>
      <c r="CE462">
        <v>6.51</v>
      </c>
      <c r="CF462">
        <v>2.0299999999999998</v>
      </c>
      <c r="CG462">
        <v>1.5299999999999998</v>
      </c>
      <c r="CH462">
        <v>1.7799999999999998</v>
      </c>
      <c r="CI462">
        <v>0.43</v>
      </c>
      <c r="CJ462">
        <v>0.39</v>
      </c>
      <c r="CK462">
        <v>0.41000000000000003</v>
      </c>
      <c r="CL462">
        <v>39.9</v>
      </c>
      <c r="CM462">
        <v>37.5</v>
      </c>
      <c r="CN462">
        <v>38.700000000000003</v>
      </c>
      <c r="CO462">
        <v>6.45</v>
      </c>
      <c r="CP462">
        <v>1.4500000000000002</v>
      </c>
      <c r="CQ462">
        <v>3.95</v>
      </c>
    </row>
    <row r="463" spans="1:95">
      <c r="A463" s="424">
        <v>45741</v>
      </c>
      <c r="B463" t="s">
        <v>248</v>
      </c>
      <c r="C463">
        <v>151.94999999999999</v>
      </c>
      <c r="D463">
        <v>149.94999999999999</v>
      </c>
      <c r="E463">
        <v>150.94999999999999</v>
      </c>
      <c r="F463">
        <v>164.57</v>
      </c>
      <c r="G463">
        <v>161.57</v>
      </c>
      <c r="H463">
        <v>163.07</v>
      </c>
      <c r="I463">
        <v>107</v>
      </c>
      <c r="J463">
        <v>103.8</v>
      </c>
      <c r="K463">
        <v>105.4</v>
      </c>
      <c r="L463">
        <v>198.98</v>
      </c>
      <c r="M463">
        <v>190.98</v>
      </c>
      <c r="N463">
        <v>194.98</v>
      </c>
      <c r="O463">
        <v>171.89</v>
      </c>
      <c r="P463">
        <v>170.08999999999997</v>
      </c>
      <c r="Q463">
        <v>170.98999999999998</v>
      </c>
      <c r="R463">
        <v>22.16</v>
      </c>
      <c r="S463">
        <v>21.56</v>
      </c>
      <c r="T463">
        <v>21.86</v>
      </c>
      <c r="U463">
        <v>14.64</v>
      </c>
      <c r="V463">
        <v>14.040000000000001</v>
      </c>
      <c r="W463">
        <v>14.34</v>
      </c>
      <c r="X463">
        <v>15.36</v>
      </c>
      <c r="Y463">
        <v>14.559999999999999</v>
      </c>
      <c r="Z463">
        <v>14.959999999999999</v>
      </c>
      <c r="AA463">
        <v>96.86</v>
      </c>
      <c r="AB463">
        <v>92.86</v>
      </c>
      <c r="AC463">
        <v>94.86</v>
      </c>
      <c r="AD463">
        <v>88.39</v>
      </c>
      <c r="AE463">
        <v>84.39</v>
      </c>
      <c r="AF463">
        <v>86.39</v>
      </c>
      <c r="AG463">
        <v>19.850000000000001</v>
      </c>
      <c r="AH463">
        <v>18.990000000000002</v>
      </c>
      <c r="AI463">
        <v>19.420000000000002</v>
      </c>
      <c r="AM463">
        <v>113.57</v>
      </c>
      <c r="AN463">
        <v>111.91</v>
      </c>
      <c r="AO463">
        <v>112.74</v>
      </c>
      <c r="AP463">
        <v>41.11</v>
      </c>
      <c r="AQ463">
        <v>39.51</v>
      </c>
      <c r="AR463">
        <v>40.31</v>
      </c>
      <c r="AS463">
        <v>41.84</v>
      </c>
      <c r="AT463">
        <v>40.480000000000004</v>
      </c>
      <c r="AU463">
        <v>41.160000000000004</v>
      </c>
      <c r="AV463">
        <v>21.07</v>
      </c>
      <c r="AW463">
        <v>20.47</v>
      </c>
      <c r="AX463">
        <v>20.77</v>
      </c>
      <c r="AY463">
        <v>4.53</v>
      </c>
      <c r="AZ463">
        <v>4.37</v>
      </c>
      <c r="BA463">
        <v>4.45</v>
      </c>
      <c r="BB463">
        <v>1.92</v>
      </c>
      <c r="BC463">
        <v>1.6199999999999999</v>
      </c>
      <c r="BD463">
        <v>1.77</v>
      </c>
      <c r="BE463">
        <v>0.69</v>
      </c>
      <c r="BF463">
        <v>0.38999999999999996</v>
      </c>
      <c r="BG463">
        <v>0.53999999999999992</v>
      </c>
      <c r="BH463">
        <v>498.26</v>
      </c>
      <c r="BI463">
        <v>482.26</v>
      </c>
      <c r="BJ463">
        <v>490.26</v>
      </c>
      <c r="BK463">
        <v>42.16</v>
      </c>
      <c r="BL463">
        <v>40.799999999999997</v>
      </c>
      <c r="BM463">
        <v>41.48</v>
      </c>
      <c r="BN463">
        <v>1.03</v>
      </c>
      <c r="BO463">
        <v>0.79</v>
      </c>
      <c r="BP463">
        <v>0.91</v>
      </c>
      <c r="BQ463">
        <v>8.5399999999999991</v>
      </c>
      <c r="BR463">
        <v>6.5399999999999991</v>
      </c>
      <c r="BS463">
        <v>7.5399999999999991</v>
      </c>
      <c r="BT463">
        <v>10.48</v>
      </c>
      <c r="BU463">
        <v>10.08</v>
      </c>
      <c r="BV463">
        <v>10.280000000000001</v>
      </c>
      <c r="BW463">
        <v>2.79</v>
      </c>
      <c r="BX463">
        <v>2.5099999999999998</v>
      </c>
      <c r="BY463">
        <v>2.65</v>
      </c>
      <c r="BZ463">
        <v>9.77</v>
      </c>
      <c r="CA463">
        <v>6.77</v>
      </c>
      <c r="CB463">
        <v>8.27</v>
      </c>
      <c r="CC463">
        <v>6.67</v>
      </c>
      <c r="CD463">
        <v>6.43</v>
      </c>
      <c r="CE463">
        <v>6.55</v>
      </c>
      <c r="CF463">
        <v>2.0499999999999998</v>
      </c>
      <c r="CG463">
        <v>1.5499999999999998</v>
      </c>
      <c r="CH463">
        <v>1.7999999999999998</v>
      </c>
      <c r="CI463">
        <v>0.43</v>
      </c>
      <c r="CJ463">
        <v>0.39</v>
      </c>
      <c r="CK463">
        <v>0.41000000000000003</v>
      </c>
      <c r="CL463">
        <v>40.24</v>
      </c>
      <c r="CM463">
        <v>37.840000000000003</v>
      </c>
      <c r="CN463">
        <v>39.040000000000006</v>
      </c>
      <c r="CO463">
        <v>6.49</v>
      </c>
      <c r="CP463">
        <v>1.4900000000000002</v>
      </c>
      <c r="CQ463">
        <v>3.99</v>
      </c>
    </row>
    <row r="464" spans="1:95">
      <c r="A464" s="424">
        <v>45742</v>
      </c>
      <c r="B464" t="s">
        <v>249</v>
      </c>
      <c r="C464">
        <v>151.19999999999999</v>
      </c>
      <c r="D464">
        <v>149.19999999999999</v>
      </c>
      <c r="E464">
        <v>150.19999999999999</v>
      </c>
      <c r="F464">
        <v>163.49</v>
      </c>
      <c r="G464">
        <v>160.49</v>
      </c>
      <c r="H464">
        <v>161.99</v>
      </c>
      <c r="I464">
        <v>106.77</v>
      </c>
      <c r="J464">
        <v>103.57</v>
      </c>
      <c r="K464">
        <v>105.16999999999999</v>
      </c>
      <c r="L464">
        <v>198.36</v>
      </c>
      <c r="M464">
        <v>190.36</v>
      </c>
      <c r="N464">
        <v>194.36</v>
      </c>
      <c r="O464">
        <v>170.98</v>
      </c>
      <c r="P464">
        <v>169.17999999999998</v>
      </c>
      <c r="Q464">
        <v>170.07999999999998</v>
      </c>
      <c r="R464">
        <v>22.02</v>
      </c>
      <c r="S464">
        <v>21.419999999999998</v>
      </c>
      <c r="T464">
        <v>21.72</v>
      </c>
      <c r="U464">
        <v>14.59</v>
      </c>
      <c r="V464">
        <v>13.99</v>
      </c>
      <c r="W464">
        <v>14.29</v>
      </c>
      <c r="X464">
        <v>15.37</v>
      </c>
      <c r="Y464">
        <v>14.569999999999999</v>
      </c>
      <c r="Z464">
        <v>14.969999999999999</v>
      </c>
      <c r="AA464">
        <v>96.55</v>
      </c>
      <c r="AB464">
        <v>92.55</v>
      </c>
      <c r="AC464">
        <v>94.55</v>
      </c>
      <c r="AD464">
        <v>87.96</v>
      </c>
      <c r="AE464">
        <v>83.96</v>
      </c>
      <c r="AF464">
        <v>85.96</v>
      </c>
      <c r="AG464">
        <v>19.75</v>
      </c>
      <c r="AH464">
        <v>18.89</v>
      </c>
      <c r="AI464">
        <v>19.32</v>
      </c>
      <c r="AM464">
        <v>113.19</v>
      </c>
      <c r="AN464">
        <v>111.53</v>
      </c>
      <c r="AO464">
        <v>112.36</v>
      </c>
      <c r="AP464">
        <v>40.909999999999997</v>
      </c>
      <c r="AQ464">
        <v>39.309999999999995</v>
      </c>
      <c r="AR464">
        <v>40.11</v>
      </c>
      <c r="AS464">
        <v>41.64</v>
      </c>
      <c r="AT464">
        <v>40.28</v>
      </c>
      <c r="AU464">
        <v>40.96</v>
      </c>
      <c r="AV464">
        <v>20.96</v>
      </c>
      <c r="AW464">
        <v>20.36</v>
      </c>
      <c r="AX464">
        <v>20.66</v>
      </c>
      <c r="AY464">
        <v>4.5199999999999996</v>
      </c>
      <c r="AZ464">
        <v>4.3599999999999994</v>
      </c>
      <c r="BA464">
        <v>4.4399999999999995</v>
      </c>
      <c r="BB464">
        <v>1.91</v>
      </c>
      <c r="BC464">
        <v>1.6099999999999999</v>
      </c>
      <c r="BD464">
        <v>1.7599999999999998</v>
      </c>
      <c r="BE464">
        <v>0.69</v>
      </c>
      <c r="BF464">
        <v>0.38999999999999996</v>
      </c>
      <c r="BG464">
        <v>0.53999999999999992</v>
      </c>
      <c r="BH464">
        <v>495.98</v>
      </c>
      <c r="BI464">
        <v>479.98</v>
      </c>
      <c r="BJ464">
        <v>487.98</v>
      </c>
      <c r="BK464">
        <v>41.84</v>
      </c>
      <c r="BL464">
        <v>40.480000000000004</v>
      </c>
      <c r="BM464">
        <v>41.160000000000004</v>
      </c>
      <c r="BN464">
        <v>1.03</v>
      </c>
      <c r="BO464">
        <v>0.79</v>
      </c>
      <c r="BP464">
        <v>0.91</v>
      </c>
      <c r="BQ464">
        <v>8.49</v>
      </c>
      <c r="BR464">
        <v>6.49</v>
      </c>
      <c r="BS464">
        <v>7.49</v>
      </c>
      <c r="BT464">
        <v>10.46</v>
      </c>
      <c r="BU464">
        <v>10.06</v>
      </c>
      <c r="BV464">
        <v>10.260000000000002</v>
      </c>
      <c r="BW464">
        <v>2.77</v>
      </c>
      <c r="BX464">
        <v>2.4900000000000002</v>
      </c>
      <c r="BY464">
        <v>2.63</v>
      </c>
      <c r="BZ464">
        <v>9.7200000000000006</v>
      </c>
      <c r="CA464">
        <v>6.7200000000000006</v>
      </c>
      <c r="CB464">
        <v>8.2200000000000006</v>
      </c>
      <c r="CC464">
        <v>6.63</v>
      </c>
      <c r="CD464">
        <v>6.39</v>
      </c>
      <c r="CE464">
        <v>6.51</v>
      </c>
      <c r="CF464">
        <v>2.0299999999999998</v>
      </c>
      <c r="CG464">
        <v>1.5299999999999998</v>
      </c>
      <c r="CH464">
        <v>1.7799999999999998</v>
      </c>
      <c r="CI464">
        <v>0.43</v>
      </c>
      <c r="CJ464">
        <v>0.39</v>
      </c>
      <c r="CK464">
        <v>0.41000000000000003</v>
      </c>
      <c r="CL464">
        <v>40.14</v>
      </c>
      <c r="CM464">
        <v>37.74</v>
      </c>
      <c r="CN464">
        <v>38.94</v>
      </c>
      <c r="CO464">
        <v>6.46</v>
      </c>
      <c r="CP464">
        <v>1.46</v>
      </c>
      <c r="CQ464">
        <v>3.96</v>
      </c>
    </row>
    <row r="465" spans="1:95">
      <c r="A465" s="424">
        <v>45743</v>
      </c>
      <c r="B465" t="s">
        <v>250</v>
      </c>
      <c r="C465">
        <v>151.58000000000001</v>
      </c>
      <c r="D465">
        <v>149.58000000000001</v>
      </c>
      <c r="E465">
        <v>150.58000000000001</v>
      </c>
      <c r="F465">
        <v>163.41999999999999</v>
      </c>
      <c r="G465">
        <v>160.41999999999999</v>
      </c>
      <c r="H465">
        <v>161.91999999999999</v>
      </c>
      <c r="I465">
        <v>106.99</v>
      </c>
      <c r="J465">
        <v>103.78999999999999</v>
      </c>
      <c r="K465">
        <v>105.38999999999999</v>
      </c>
      <c r="L465">
        <v>198.11</v>
      </c>
      <c r="M465">
        <v>190.11</v>
      </c>
      <c r="N465">
        <v>194.11</v>
      </c>
      <c r="O465">
        <v>171.28</v>
      </c>
      <c r="P465">
        <v>169.48</v>
      </c>
      <c r="Q465">
        <v>170.38</v>
      </c>
      <c r="R465">
        <v>22</v>
      </c>
      <c r="S465">
        <v>21.4</v>
      </c>
      <c r="T465">
        <v>21.7</v>
      </c>
      <c r="U465">
        <v>14.56</v>
      </c>
      <c r="V465">
        <v>13.96</v>
      </c>
      <c r="W465">
        <v>14.260000000000002</v>
      </c>
      <c r="X465">
        <v>15.35</v>
      </c>
      <c r="Y465">
        <v>14.549999999999999</v>
      </c>
      <c r="Z465">
        <v>14.95</v>
      </c>
      <c r="AA465">
        <v>96.7</v>
      </c>
      <c r="AB465">
        <v>92.7</v>
      </c>
      <c r="AC465">
        <v>94.7</v>
      </c>
      <c r="AD465">
        <v>88.19</v>
      </c>
      <c r="AE465">
        <v>84.19</v>
      </c>
      <c r="AF465">
        <v>86.19</v>
      </c>
      <c r="AG465">
        <v>19.79</v>
      </c>
      <c r="AH465">
        <v>18.93</v>
      </c>
      <c r="AI465">
        <v>19.36</v>
      </c>
      <c r="AM465">
        <v>113.21</v>
      </c>
      <c r="AN465">
        <v>111.55</v>
      </c>
      <c r="AO465">
        <v>112.38</v>
      </c>
      <c r="AP465">
        <v>41.01</v>
      </c>
      <c r="AQ465">
        <v>39.409999999999997</v>
      </c>
      <c r="AR465">
        <v>40.209999999999994</v>
      </c>
      <c r="AS465">
        <v>41.74</v>
      </c>
      <c r="AT465">
        <v>40.380000000000003</v>
      </c>
      <c r="AU465">
        <v>41.06</v>
      </c>
      <c r="AV465">
        <v>20.99</v>
      </c>
      <c r="AW465">
        <v>20.389999999999997</v>
      </c>
      <c r="AX465">
        <v>20.689999999999998</v>
      </c>
      <c r="AY465">
        <v>4.5199999999999996</v>
      </c>
      <c r="AZ465">
        <v>4.3599999999999994</v>
      </c>
      <c r="BA465">
        <v>4.4399999999999995</v>
      </c>
      <c r="BB465">
        <v>1.92</v>
      </c>
      <c r="BC465">
        <v>1.6199999999999999</v>
      </c>
      <c r="BD465">
        <v>1.77</v>
      </c>
      <c r="BE465">
        <v>0.69</v>
      </c>
      <c r="BF465">
        <v>0.38999999999999996</v>
      </c>
      <c r="BG465">
        <v>0.53999999999999992</v>
      </c>
      <c r="BH465">
        <v>497.05</v>
      </c>
      <c r="BI465">
        <v>481.05</v>
      </c>
      <c r="BJ465">
        <v>489.05</v>
      </c>
      <c r="BK465">
        <v>42.07</v>
      </c>
      <c r="BL465">
        <v>40.71</v>
      </c>
      <c r="BM465">
        <v>41.39</v>
      </c>
      <c r="BN465">
        <v>1.03</v>
      </c>
      <c r="BO465">
        <v>0.79</v>
      </c>
      <c r="BP465">
        <v>0.91</v>
      </c>
      <c r="BQ465">
        <v>8.4499999999999993</v>
      </c>
      <c r="BR465">
        <v>6.4499999999999993</v>
      </c>
      <c r="BS465">
        <v>7.4499999999999993</v>
      </c>
      <c r="BT465">
        <v>10.47</v>
      </c>
      <c r="BU465">
        <v>10.07</v>
      </c>
      <c r="BV465">
        <v>10.27</v>
      </c>
      <c r="BW465">
        <v>2.77</v>
      </c>
      <c r="BX465">
        <v>2.4900000000000002</v>
      </c>
      <c r="BY465">
        <v>2.63</v>
      </c>
      <c r="BZ465">
        <v>9.74</v>
      </c>
      <c r="CA465">
        <v>6.74</v>
      </c>
      <c r="CB465">
        <v>8.24</v>
      </c>
      <c r="CC465">
        <v>6.62</v>
      </c>
      <c r="CD465">
        <v>6.38</v>
      </c>
      <c r="CE465">
        <v>6.5</v>
      </c>
      <c r="CF465">
        <v>2.04</v>
      </c>
      <c r="CG465">
        <v>1.54</v>
      </c>
      <c r="CH465">
        <v>1.79</v>
      </c>
      <c r="CI465">
        <v>0.42</v>
      </c>
      <c r="CJ465">
        <v>0.38</v>
      </c>
      <c r="CK465">
        <v>0.4</v>
      </c>
      <c r="CL465">
        <v>39.92</v>
      </c>
      <c r="CM465">
        <v>37.520000000000003</v>
      </c>
      <c r="CN465">
        <v>38.72</v>
      </c>
      <c r="CO465">
        <v>6.47</v>
      </c>
      <c r="CP465">
        <v>1.4699999999999998</v>
      </c>
      <c r="CQ465">
        <v>3.9699999999999998</v>
      </c>
    </row>
    <row r="466" spans="1:95">
      <c r="A466" s="424">
        <v>45744</v>
      </c>
      <c r="B466" t="s">
        <v>251</v>
      </c>
      <c r="C466">
        <v>152.11000000000001</v>
      </c>
      <c r="D466">
        <v>150.11000000000001</v>
      </c>
      <c r="E466">
        <v>151.11000000000001</v>
      </c>
      <c r="F466">
        <v>164.53</v>
      </c>
      <c r="G466">
        <v>161.53</v>
      </c>
      <c r="H466">
        <v>163.03</v>
      </c>
      <c r="I466">
        <v>107.16</v>
      </c>
      <c r="J466">
        <v>103.96</v>
      </c>
      <c r="K466">
        <v>105.56</v>
      </c>
      <c r="L466">
        <v>199.66</v>
      </c>
      <c r="M466">
        <v>191.66</v>
      </c>
      <c r="N466">
        <v>195.66</v>
      </c>
      <c r="O466">
        <v>172.11</v>
      </c>
      <c r="P466">
        <v>170.31</v>
      </c>
      <c r="Q466">
        <v>171.21</v>
      </c>
      <c r="R466">
        <v>22.15</v>
      </c>
      <c r="S466">
        <v>21.549999999999997</v>
      </c>
      <c r="T466">
        <v>21.849999999999998</v>
      </c>
      <c r="U466">
        <v>14.7</v>
      </c>
      <c r="V466">
        <v>14.1</v>
      </c>
      <c r="W466">
        <v>14.399999999999999</v>
      </c>
      <c r="X466">
        <v>15.5</v>
      </c>
      <c r="Y466">
        <v>14.7</v>
      </c>
      <c r="Z466">
        <v>15.1</v>
      </c>
      <c r="AA466">
        <v>97.15</v>
      </c>
      <c r="AB466">
        <v>93.15</v>
      </c>
      <c r="AC466">
        <v>95.15</v>
      </c>
      <c r="AD466">
        <v>88.59</v>
      </c>
      <c r="AE466">
        <v>84.59</v>
      </c>
      <c r="AF466">
        <v>86.59</v>
      </c>
      <c r="AG466">
        <v>19.86</v>
      </c>
      <c r="AH466">
        <v>19</v>
      </c>
      <c r="AI466">
        <v>19.43</v>
      </c>
      <c r="AM466">
        <v>113.62</v>
      </c>
      <c r="AN466">
        <v>111.96000000000001</v>
      </c>
      <c r="AO466">
        <v>112.79</v>
      </c>
      <c r="AP466">
        <v>41.15</v>
      </c>
      <c r="AQ466">
        <v>39.549999999999997</v>
      </c>
      <c r="AR466">
        <v>40.349999999999994</v>
      </c>
      <c r="AS466">
        <v>41.89</v>
      </c>
      <c r="AT466">
        <v>40.53</v>
      </c>
      <c r="AU466">
        <v>41.21</v>
      </c>
      <c r="AV466">
        <v>21.07</v>
      </c>
      <c r="AW466">
        <v>20.47</v>
      </c>
      <c r="AX466">
        <v>20.77</v>
      </c>
      <c r="AY466">
        <v>4.54</v>
      </c>
      <c r="AZ466">
        <v>4.38</v>
      </c>
      <c r="BA466">
        <v>4.46</v>
      </c>
      <c r="BB466">
        <v>1.92</v>
      </c>
      <c r="BC466">
        <v>1.6199999999999999</v>
      </c>
      <c r="BD466">
        <v>1.77</v>
      </c>
      <c r="BE466">
        <v>0.69</v>
      </c>
      <c r="BF466">
        <v>0.38999999999999996</v>
      </c>
      <c r="BG466">
        <v>0.53999999999999992</v>
      </c>
      <c r="BH466">
        <v>498.94</v>
      </c>
      <c r="BI466">
        <v>482.94</v>
      </c>
      <c r="BJ466">
        <v>490.94</v>
      </c>
      <c r="BK466">
        <v>42.21</v>
      </c>
      <c r="BL466">
        <v>40.85</v>
      </c>
      <c r="BM466">
        <v>41.53</v>
      </c>
      <c r="BN466">
        <v>1.04</v>
      </c>
      <c r="BO466">
        <v>0.8</v>
      </c>
      <c r="BP466">
        <v>0.92</v>
      </c>
      <c r="BQ466">
        <v>8.4499999999999993</v>
      </c>
      <c r="BR466">
        <v>6.4499999999999993</v>
      </c>
      <c r="BS466">
        <v>7.4499999999999993</v>
      </c>
      <c r="BT466">
        <v>10.52</v>
      </c>
      <c r="BU466">
        <v>10.119999999999999</v>
      </c>
      <c r="BV466">
        <v>10.32</v>
      </c>
      <c r="BW466">
        <v>2.79</v>
      </c>
      <c r="BX466">
        <v>2.5099999999999998</v>
      </c>
      <c r="BY466">
        <v>2.65</v>
      </c>
      <c r="BZ466">
        <v>9.7799999999999994</v>
      </c>
      <c r="CA466">
        <v>6.7799999999999994</v>
      </c>
      <c r="CB466">
        <v>8.2799999999999994</v>
      </c>
      <c r="CC466">
        <v>6.66</v>
      </c>
      <c r="CD466">
        <v>6.42</v>
      </c>
      <c r="CE466">
        <v>6.54</v>
      </c>
      <c r="CF466">
        <v>2.04</v>
      </c>
      <c r="CG466">
        <v>1.54</v>
      </c>
      <c r="CH466">
        <v>1.79</v>
      </c>
      <c r="CI466">
        <v>0.43</v>
      </c>
      <c r="CJ466">
        <v>0.39</v>
      </c>
      <c r="CK466">
        <v>0.41000000000000003</v>
      </c>
      <c r="CL466">
        <v>40.21</v>
      </c>
      <c r="CM466">
        <v>37.81</v>
      </c>
      <c r="CN466">
        <v>39.010000000000005</v>
      </c>
      <c r="CO466">
        <v>6.49</v>
      </c>
      <c r="CP466">
        <v>1.4900000000000002</v>
      </c>
      <c r="CQ466">
        <v>3.99</v>
      </c>
    </row>
    <row r="467" spans="1:95">
      <c r="A467" s="424">
        <v>45745</v>
      </c>
      <c r="B467" t="s">
        <v>252</v>
      </c>
    </row>
    <row r="468" spans="1:95">
      <c r="A468" s="424">
        <v>45746</v>
      </c>
      <c r="B468" t="s">
        <v>253</v>
      </c>
    </row>
    <row r="469" spans="1:95">
      <c r="A469" s="424">
        <v>45747</v>
      </c>
      <c r="B469" t="s">
        <v>247</v>
      </c>
      <c r="C469">
        <v>150.52000000000001</v>
      </c>
      <c r="D469">
        <v>148.52000000000001</v>
      </c>
      <c r="E469">
        <v>149.52000000000001</v>
      </c>
      <c r="F469">
        <v>163.58000000000001</v>
      </c>
      <c r="G469">
        <v>160.58000000000001</v>
      </c>
      <c r="H469">
        <v>162.08000000000001</v>
      </c>
      <c r="I469">
        <v>106.12</v>
      </c>
      <c r="J469">
        <v>102.92</v>
      </c>
      <c r="K469">
        <v>104.52000000000001</v>
      </c>
      <c r="L469">
        <v>197.82</v>
      </c>
      <c r="M469">
        <v>189.82</v>
      </c>
      <c r="N469">
        <v>193.82</v>
      </c>
      <c r="O469">
        <v>170.94</v>
      </c>
      <c r="P469">
        <v>169.14</v>
      </c>
      <c r="Q469">
        <v>170.04</v>
      </c>
      <c r="R469">
        <v>22.02</v>
      </c>
      <c r="S469">
        <v>21.419999999999998</v>
      </c>
      <c r="T469">
        <v>21.72</v>
      </c>
      <c r="U469">
        <v>14.57</v>
      </c>
      <c r="V469">
        <v>13.97</v>
      </c>
      <c r="W469">
        <v>14.27</v>
      </c>
      <c r="X469">
        <v>15.37</v>
      </c>
      <c r="Y469">
        <v>14.569999999999999</v>
      </c>
      <c r="Z469">
        <v>14.969999999999999</v>
      </c>
      <c r="AA469">
        <v>95.97</v>
      </c>
      <c r="AB469">
        <v>91.97</v>
      </c>
      <c r="AC469">
        <v>93.97</v>
      </c>
      <c r="AD469">
        <v>87.26</v>
      </c>
      <c r="AE469">
        <v>83.26</v>
      </c>
      <c r="AF469">
        <v>85.26</v>
      </c>
      <c r="AG469">
        <v>19.649999999999999</v>
      </c>
      <c r="AH469">
        <v>18.79</v>
      </c>
      <c r="AI469">
        <v>19.22</v>
      </c>
      <c r="AM469">
        <v>112.31</v>
      </c>
      <c r="AN469">
        <v>110.65</v>
      </c>
      <c r="AO469">
        <v>111.48</v>
      </c>
      <c r="AP469">
        <v>40.619999999999997</v>
      </c>
      <c r="AQ469">
        <v>39.019999999999996</v>
      </c>
      <c r="AR469">
        <v>39.819999999999993</v>
      </c>
      <c r="AS469">
        <v>41.45</v>
      </c>
      <c r="AT469">
        <v>40.090000000000003</v>
      </c>
      <c r="AU469">
        <v>40.770000000000003</v>
      </c>
      <c r="AV469">
        <v>20.89</v>
      </c>
      <c r="AW469">
        <v>20.29</v>
      </c>
      <c r="AX469">
        <v>20.59</v>
      </c>
      <c r="AY469">
        <v>4.4800000000000004</v>
      </c>
      <c r="AZ469">
        <v>4.32</v>
      </c>
      <c r="BA469">
        <v>4.4000000000000004</v>
      </c>
      <c r="BB469">
        <v>1.91</v>
      </c>
      <c r="BC469">
        <v>1.6099999999999999</v>
      </c>
      <c r="BD469">
        <v>1.7599999999999998</v>
      </c>
      <c r="BE469">
        <v>0.69</v>
      </c>
      <c r="BF469">
        <v>0.38999999999999996</v>
      </c>
      <c r="BG469">
        <v>0.53999999999999992</v>
      </c>
      <c r="BH469">
        <v>494.24</v>
      </c>
      <c r="BI469">
        <v>478.24</v>
      </c>
      <c r="BJ469">
        <v>486.24</v>
      </c>
      <c r="BK469">
        <v>41.77</v>
      </c>
      <c r="BL469">
        <v>40.410000000000004</v>
      </c>
      <c r="BM469">
        <v>41.09</v>
      </c>
      <c r="BN469">
        <v>1.03</v>
      </c>
      <c r="BO469">
        <v>0.79</v>
      </c>
      <c r="BP469">
        <v>0.91</v>
      </c>
      <c r="BQ469">
        <v>8.33</v>
      </c>
      <c r="BR469">
        <v>6.33</v>
      </c>
      <c r="BS469">
        <v>7.33</v>
      </c>
      <c r="BT469">
        <v>10.37</v>
      </c>
      <c r="BU469">
        <v>9.9699999999999989</v>
      </c>
      <c r="BV469">
        <v>10.169999999999998</v>
      </c>
      <c r="BW469">
        <v>2.77</v>
      </c>
      <c r="BX469">
        <v>2.4900000000000002</v>
      </c>
      <c r="BY469">
        <v>2.63</v>
      </c>
      <c r="BZ469">
        <v>9.61</v>
      </c>
      <c r="CA469">
        <v>6.6099999999999994</v>
      </c>
      <c r="CB469">
        <v>8.11</v>
      </c>
      <c r="CC469">
        <v>6.63</v>
      </c>
      <c r="CD469">
        <v>6.39</v>
      </c>
      <c r="CE469">
        <v>6.51</v>
      </c>
      <c r="CF469">
        <v>2.0099999999999998</v>
      </c>
      <c r="CG469">
        <v>1.5099999999999998</v>
      </c>
      <c r="CH469">
        <v>1.7599999999999998</v>
      </c>
      <c r="CI469">
        <v>0.42</v>
      </c>
      <c r="CJ469">
        <v>0.38</v>
      </c>
      <c r="CK469">
        <v>0.4</v>
      </c>
      <c r="CL469">
        <v>40.020000000000003</v>
      </c>
      <c r="CM469">
        <v>37.620000000000005</v>
      </c>
      <c r="CN469">
        <v>38.820000000000007</v>
      </c>
      <c r="CO469">
        <v>6.45</v>
      </c>
      <c r="CP469">
        <v>1.4500000000000002</v>
      </c>
      <c r="CQ469">
        <v>3.95</v>
      </c>
    </row>
    <row r="470" spans="1:95">
      <c r="A470" s="424">
        <v>45748</v>
      </c>
      <c r="B470" t="s">
        <v>248</v>
      </c>
      <c r="C470">
        <v>150.82</v>
      </c>
      <c r="D470">
        <v>148.82</v>
      </c>
      <c r="E470">
        <v>149.82</v>
      </c>
      <c r="F470">
        <v>163.66999999999999</v>
      </c>
      <c r="G470">
        <v>160.66999999999999</v>
      </c>
      <c r="H470">
        <v>162.16999999999999</v>
      </c>
      <c r="I470">
        <v>105.69</v>
      </c>
      <c r="J470">
        <v>102.49</v>
      </c>
      <c r="K470">
        <v>104.09</v>
      </c>
      <c r="L470">
        <v>197.69</v>
      </c>
      <c r="M470">
        <v>189.69</v>
      </c>
      <c r="N470">
        <v>193.69</v>
      </c>
      <c r="O470">
        <v>170.46</v>
      </c>
      <c r="P470">
        <v>168.66</v>
      </c>
      <c r="Q470">
        <v>169.56</v>
      </c>
      <c r="R470">
        <v>22.04</v>
      </c>
      <c r="S470">
        <v>21.439999999999998</v>
      </c>
      <c r="T470">
        <v>21.74</v>
      </c>
      <c r="U470">
        <v>14.57</v>
      </c>
      <c r="V470">
        <v>13.97</v>
      </c>
      <c r="W470">
        <v>14.27</v>
      </c>
      <c r="X470">
        <v>15.33</v>
      </c>
      <c r="Y470">
        <v>14.53</v>
      </c>
      <c r="Z470">
        <v>14.93</v>
      </c>
      <c r="AA470">
        <v>95.46</v>
      </c>
      <c r="AB470">
        <v>91.46</v>
      </c>
      <c r="AC470">
        <v>93.46</v>
      </c>
      <c r="AD470">
        <v>86.93</v>
      </c>
      <c r="AE470">
        <v>82.93</v>
      </c>
      <c r="AF470">
        <v>84.93</v>
      </c>
      <c r="AG470">
        <v>19.690000000000001</v>
      </c>
      <c r="AH470">
        <v>18.830000000000002</v>
      </c>
      <c r="AI470">
        <v>19.260000000000002</v>
      </c>
      <c r="AM470">
        <v>112.39</v>
      </c>
      <c r="AN470">
        <v>110.73</v>
      </c>
      <c r="AO470">
        <v>111.56</v>
      </c>
      <c r="AP470">
        <v>40.71</v>
      </c>
      <c r="AQ470">
        <v>39.11</v>
      </c>
      <c r="AR470">
        <v>39.909999999999997</v>
      </c>
      <c r="AS470">
        <v>41.54</v>
      </c>
      <c r="AT470">
        <v>40.18</v>
      </c>
      <c r="AU470">
        <v>40.86</v>
      </c>
      <c r="AV470">
        <v>20.92</v>
      </c>
      <c r="AW470">
        <v>20.32</v>
      </c>
      <c r="AX470">
        <v>20.62</v>
      </c>
      <c r="AY470">
        <v>4.49</v>
      </c>
      <c r="AZ470">
        <v>4.33</v>
      </c>
      <c r="BA470">
        <v>4.41</v>
      </c>
      <c r="BB470">
        <v>1.91</v>
      </c>
      <c r="BC470">
        <v>1.6099999999999999</v>
      </c>
      <c r="BD470">
        <v>1.7599999999999998</v>
      </c>
      <c r="BE470">
        <v>0.69</v>
      </c>
      <c r="BF470">
        <v>0.38999999999999996</v>
      </c>
      <c r="BG470">
        <v>0.53999999999999992</v>
      </c>
      <c r="BH470">
        <v>494.74</v>
      </c>
      <c r="BI470">
        <v>478.74</v>
      </c>
      <c r="BJ470">
        <v>486.74</v>
      </c>
      <c r="BK470">
        <v>41.85</v>
      </c>
      <c r="BL470">
        <v>40.49</v>
      </c>
      <c r="BM470">
        <v>41.17</v>
      </c>
      <c r="BN470">
        <v>1.03</v>
      </c>
      <c r="BO470">
        <v>0.79</v>
      </c>
      <c r="BP470">
        <v>0.91</v>
      </c>
      <c r="BQ470">
        <v>8.32</v>
      </c>
      <c r="BR470">
        <v>6.32</v>
      </c>
      <c r="BS470">
        <v>7.32</v>
      </c>
      <c r="BT470">
        <v>10.36</v>
      </c>
      <c r="BU470">
        <v>9.9599999999999991</v>
      </c>
      <c r="BV470">
        <v>10.16</v>
      </c>
      <c r="BW470">
        <v>2.78</v>
      </c>
      <c r="BX470">
        <v>2.5</v>
      </c>
      <c r="BY470">
        <v>2.6399999999999997</v>
      </c>
      <c r="BZ470">
        <v>9.68</v>
      </c>
      <c r="CA470">
        <v>6.68</v>
      </c>
      <c r="CB470">
        <v>8.18</v>
      </c>
      <c r="CC470">
        <v>6.63</v>
      </c>
      <c r="CD470">
        <v>6.39</v>
      </c>
      <c r="CE470">
        <v>6.51</v>
      </c>
      <c r="CF470">
        <v>2.06</v>
      </c>
      <c r="CG470">
        <v>1.56</v>
      </c>
      <c r="CH470">
        <v>1.81</v>
      </c>
      <c r="CI470">
        <v>0.42</v>
      </c>
      <c r="CJ470">
        <v>0.38</v>
      </c>
      <c r="CK470">
        <v>0.4</v>
      </c>
      <c r="CL470">
        <v>39.979999999999997</v>
      </c>
      <c r="CM470">
        <v>37.58</v>
      </c>
      <c r="CN470">
        <v>38.78</v>
      </c>
      <c r="CO470">
        <v>6.46</v>
      </c>
      <c r="CP470">
        <v>1.46</v>
      </c>
      <c r="CQ470">
        <v>3.96</v>
      </c>
    </row>
    <row r="471" spans="1:95">
      <c r="A471" s="424">
        <v>45749</v>
      </c>
      <c r="B471" t="s">
        <v>249</v>
      </c>
      <c r="C471">
        <v>150.84</v>
      </c>
      <c r="D471">
        <v>148.84</v>
      </c>
      <c r="E471">
        <v>149.84</v>
      </c>
      <c r="F471">
        <v>163.21</v>
      </c>
      <c r="G471">
        <v>160.21</v>
      </c>
      <c r="H471">
        <v>161.71</v>
      </c>
      <c r="I471">
        <v>106.37</v>
      </c>
      <c r="J471">
        <v>103.17</v>
      </c>
      <c r="K471">
        <v>104.77000000000001</v>
      </c>
      <c r="L471">
        <v>197.52</v>
      </c>
      <c r="M471">
        <v>189.52</v>
      </c>
      <c r="N471">
        <v>193.52</v>
      </c>
      <c r="O471">
        <v>170.44</v>
      </c>
      <c r="P471">
        <v>168.64</v>
      </c>
      <c r="Q471">
        <v>169.54</v>
      </c>
      <c r="R471">
        <v>21.97</v>
      </c>
      <c r="S471">
        <v>21.369999999999997</v>
      </c>
      <c r="T471">
        <v>21.669999999999998</v>
      </c>
      <c r="U471">
        <v>14.62</v>
      </c>
      <c r="V471">
        <v>14.02</v>
      </c>
      <c r="W471">
        <v>14.32</v>
      </c>
      <c r="X471">
        <v>15.36</v>
      </c>
      <c r="Y471">
        <v>14.559999999999999</v>
      </c>
      <c r="Z471">
        <v>14.959999999999999</v>
      </c>
      <c r="AA471">
        <v>96.07</v>
      </c>
      <c r="AB471">
        <v>92.07</v>
      </c>
      <c r="AC471">
        <v>94.07</v>
      </c>
      <c r="AD471">
        <v>87.53</v>
      </c>
      <c r="AE471">
        <v>83.53</v>
      </c>
      <c r="AF471">
        <v>85.53</v>
      </c>
      <c r="AG471">
        <v>19.690000000000001</v>
      </c>
      <c r="AH471">
        <v>18.830000000000002</v>
      </c>
      <c r="AI471">
        <v>19.260000000000002</v>
      </c>
      <c r="AM471">
        <v>112.28</v>
      </c>
      <c r="AN471">
        <v>110.62</v>
      </c>
      <c r="AO471">
        <v>111.45</v>
      </c>
      <c r="AP471">
        <v>40.81</v>
      </c>
      <c r="AQ471">
        <v>39.21</v>
      </c>
      <c r="AR471">
        <v>40.010000000000005</v>
      </c>
      <c r="AS471">
        <v>41.54</v>
      </c>
      <c r="AT471">
        <v>40.18</v>
      </c>
      <c r="AU471">
        <v>40.86</v>
      </c>
      <c r="AV471">
        <v>20.88</v>
      </c>
      <c r="AW471">
        <v>20.279999999999998</v>
      </c>
      <c r="AX471">
        <v>20.58</v>
      </c>
      <c r="AY471">
        <v>4.46</v>
      </c>
      <c r="AZ471">
        <v>4.3</v>
      </c>
      <c r="BA471">
        <v>4.38</v>
      </c>
      <c r="BB471">
        <v>1.91</v>
      </c>
      <c r="BC471">
        <v>1.6099999999999999</v>
      </c>
      <c r="BD471">
        <v>1.7599999999999998</v>
      </c>
      <c r="BE471">
        <v>0.69</v>
      </c>
      <c r="BF471">
        <v>0.38999999999999996</v>
      </c>
      <c r="BG471">
        <v>0.53999999999999992</v>
      </c>
      <c r="BH471">
        <v>494.81</v>
      </c>
      <c r="BI471">
        <v>478.81</v>
      </c>
      <c r="BJ471">
        <v>486.81</v>
      </c>
      <c r="BK471">
        <v>41.86</v>
      </c>
      <c r="BL471">
        <v>40.5</v>
      </c>
      <c r="BM471">
        <v>41.18</v>
      </c>
      <c r="BN471">
        <v>1.03</v>
      </c>
      <c r="BO471">
        <v>0.79</v>
      </c>
      <c r="BP471">
        <v>0.91</v>
      </c>
      <c r="BQ471">
        <v>8.36</v>
      </c>
      <c r="BR471">
        <v>6.3599999999999994</v>
      </c>
      <c r="BS471">
        <v>7.3599999999999994</v>
      </c>
      <c r="BT471">
        <v>10.4</v>
      </c>
      <c r="BU471">
        <v>10</v>
      </c>
      <c r="BV471">
        <v>10.199999999999999</v>
      </c>
      <c r="BW471">
        <v>2.78</v>
      </c>
      <c r="BX471">
        <v>2.5</v>
      </c>
      <c r="BY471">
        <v>2.6399999999999997</v>
      </c>
      <c r="BZ471">
        <v>9.59</v>
      </c>
      <c r="CA471">
        <v>6.59</v>
      </c>
      <c r="CB471">
        <v>8.09</v>
      </c>
      <c r="CC471">
        <v>6.61</v>
      </c>
      <c r="CD471">
        <v>6.37</v>
      </c>
      <c r="CE471">
        <v>6.49</v>
      </c>
      <c r="CF471">
        <v>2.0299999999999998</v>
      </c>
      <c r="CG471">
        <v>1.5299999999999998</v>
      </c>
      <c r="CH471">
        <v>1.7799999999999998</v>
      </c>
      <c r="CI471">
        <v>0.42</v>
      </c>
      <c r="CJ471">
        <v>0.38</v>
      </c>
      <c r="CK471">
        <v>0.4</v>
      </c>
      <c r="CL471">
        <v>39.83</v>
      </c>
      <c r="CM471">
        <v>37.43</v>
      </c>
      <c r="CN471">
        <v>38.629999999999995</v>
      </c>
      <c r="CO471">
        <v>6.46</v>
      </c>
      <c r="CP471">
        <v>1.46</v>
      </c>
      <c r="CQ471">
        <v>3.96</v>
      </c>
    </row>
    <row r="472" spans="1:95">
      <c r="A472" s="424">
        <v>45750</v>
      </c>
      <c r="B472" t="s">
        <v>250</v>
      </c>
      <c r="C472">
        <v>148.83000000000001</v>
      </c>
      <c r="D472">
        <v>146.83000000000001</v>
      </c>
      <c r="E472">
        <v>147.83000000000001</v>
      </c>
      <c r="F472">
        <v>162.56</v>
      </c>
      <c r="G472">
        <v>159.56</v>
      </c>
      <c r="H472">
        <v>161.06</v>
      </c>
      <c r="I472">
        <v>105.32</v>
      </c>
      <c r="J472">
        <v>102.11999999999999</v>
      </c>
      <c r="K472">
        <v>103.72</v>
      </c>
      <c r="L472">
        <v>196.84</v>
      </c>
      <c r="M472">
        <v>188.84</v>
      </c>
      <c r="N472">
        <v>192.84</v>
      </c>
      <c r="O472">
        <v>169.31</v>
      </c>
      <c r="P472">
        <v>167.51</v>
      </c>
      <c r="Q472">
        <v>168.41</v>
      </c>
      <c r="R472">
        <v>21.89</v>
      </c>
      <c r="S472">
        <v>21.29</v>
      </c>
      <c r="T472">
        <v>21.59</v>
      </c>
      <c r="U472">
        <v>14.51</v>
      </c>
      <c r="V472">
        <v>13.91</v>
      </c>
      <c r="W472">
        <v>14.21</v>
      </c>
      <c r="X472">
        <v>15.38</v>
      </c>
      <c r="Y472">
        <v>14.58</v>
      </c>
      <c r="Z472">
        <v>14.98</v>
      </c>
      <c r="AA472">
        <v>94.65</v>
      </c>
      <c r="AB472">
        <v>90.65</v>
      </c>
      <c r="AC472">
        <v>92.65</v>
      </c>
      <c r="AD472">
        <v>86.78</v>
      </c>
      <c r="AE472">
        <v>82.78</v>
      </c>
      <c r="AF472">
        <v>84.78</v>
      </c>
      <c r="AG472">
        <v>19.420000000000002</v>
      </c>
      <c r="AH472">
        <v>18.560000000000002</v>
      </c>
      <c r="AI472">
        <v>18.990000000000002</v>
      </c>
      <c r="AM472">
        <v>110.66</v>
      </c>
      <c r="AN472">
        <v>109</v>
      </c>
      <c r="AO472">
        <v>109.83</v>
      </c>
      <c r="AP472">
        <v>40.31</v>
      </c>
      <c r="AQ472">
        <v>38.71</v>
      </c>
      <c r="AR472">
        <v>39.510000000000005</v>
      </c>
      <c r="AS472">
        <v>40.86</v>
      </c>
      <c r="AT472">
        <v>39.5</v>
      </c>
      <c r="AU472">
        <v>40.18</v>
      </c>
      <c r="AV472">
        <v>20.5</v>
      </c>
      <c r="AW472">
        <v>19.899999999999999</v>
      </c>
      <c r="AX472">
        <v>20.2</v>
      </c>
      <c r="AY472">
        <v>4.38</v>
      </c>
      <c r="AZ472">
        <v>4.22</v>
      </c>
      <c r="BA472">
        <v>4.3</v>
      </c>
      <c r="BB472">
        <v>1.89</v>
      </c>
      <c r="BC472">
        <v>1.5899999999999999</v>
      </c>
      <c r="BD472">
        <v>1.7399999999999998</v>
      </c>
      <c r="BE472">
        <v>0.68</v>
      </c>
      <c r="BF472">
        <v>0.38000000000000006</v>
      </c>
      <c r="BG472">
        <v>0.53</v>
      </c>
      <c r="BH472">
        <v>490.16</v>
      </c>
      <c r="BI472">
        <v>474.16</v>
      </c>
      <c r="BJ472">
        <v>482.16</v>
      </c>
      <c r="BK472">
        <v>41.36</v>
      </c>
      <c r="BL472">
        <v>40</v>
      </c>
      <c r="BM472">
        <v>40.68</v>
      </c>
      <c r="BN472">
        <v>1.02</v>
      </c>
      <c r="BO472">
        <v>0.78</v>
      </c>
      <c r="BP472">
        <v>0.9</v>
      </c>
      <c r="BQ472">
        <v>8.31</v>
      </c>
      <c r="BR472">
        <v>6.3100000000000005</v>
      </c>
      <c r="BS472">
        <v>7.3100000000000005</v>
      </c>
      <c r="BT472">
        <v>10.29</v>
      </c>
      <c r="BU472">
        <v>9.8899999999999988</v>
      </c>
      <c r="BV472">
        <v>10.09</v>
      </c>
      <c r="BW472">
        <v>2.75</v>
      </c>
      <c r="BX472">
        <v>2.4699999999999998</v>
      </c>
      <c r="BY472">
        <v>2.61</v>
      </c>
      <c r="BZ472">
        <v>9.33</v>
      </c>
      <c r="CA472">
        <v>6.33</v>
      </c>
      <c r="CB472">
        <v>7.83</v>
      </c>
      <c r="CC472">
        <v>6.57</v>
      </c>
      <c r="CD472">
        <v>6.33</v>
      </c>
      <c r="CE472">
        <v>6.45</v>
      </c>
      <c r="CF472">
        <v>2.0099999999999998</v>
      </c>
      <c r="CG472">
        <v>1.5099999999999998</v>
      </c>
      <c r="CH472">
        <v>1.7599999999999998</v>
      </c>
      <c r="CI472">
        <v>0.42</v>
      </c>
      <c r="CJ472">
        <v>0.38</v>
      </c>
      <c r="CK472">
        <v>0.4</v>
      </c>
      <c r="CL472">
        <v>39.76</v>
      </c>
      <c r="CM472">
        <v>37.36</v>
      </c>
      <c r="CN472">
        <v>38.56</v>
      </c>
      <c r="CO472">
        <v>6.4</v>
      </c>
      <c r="CP472">
        <v>1.4000000000000004</v>
      </c>
      <c r="CQ472">
        <v>3.9000000000000004</v>
      </c>
    </row>
    <row r="473" spans="1:95">
      <c r="A473" s="424">
        <v>45751</v>
      </c>
      <c r="B473" t="s">
        <v>251</v>
      </c>
      <c r="C473">
        <v>147.03</v>
      </c>
      <c r="D473">
        <v>145.03</v>
      </c>
      <c r="E473">
        <v>146.03</v>
      </c>
      <c r="F473">
        <v>163.01</v>
      </c>
      <c r="G473">
        <v>160.01</v>
      </c>
      <c r="H473">
        <v>161.51</v>
      </c>
      <c r="I473">
        <v>105.4</v>
      </c>
      <c r="J473">
        <v>102.2</v>
      </c>
      <c r="K473">
        <v>103.80000000000001</v>
      </c>
      <c r="L473">
        <v>195.36</v>
      </c>
      <c r="M473">
        <v>187.36</v>
      </c>
      <c r="N473">
        <v>191.36</v>
      </c>
      <c r="O473">
        <v>171.16</v>
      </c>
      <c r="P473">
        <v>169.35999999999999</v>
      </c>
      <c r="Q473">
        <v>170.26</v>
      </c>
      <c r="R473">
        <v>21.94</v>
      </c>
      <c r="S473">
        <v>21.34</v>
      </c>
      <c r="T473">
        <v>21.64</v>
      </c>
      <c r="U473">
        <v>14.46</v>
      </c>
      <c r="V473">
        <v>13.860000000000001</v>
      </c>
      <c r="W473">
        <v>14.16</v>
      </c>
      <c r="X473">
        <v>15.33</v>
      </c>
      <c r="Y473">
        <v>14.53</v>
      </c>
      <c r="Z473">
        <v>14.93</v>
      </c>
      <c r="AA473">
        <v>94.41</v>
      </c>
      <c r="AB473">
        <v>90.41</v>
      </c>
      <c r="AC473">
        <v>92.41</v>
      </c>
      <c r="AD473">
        <v>86.55</v>
      </c>
      <c r="AE473">
        <v>82.55</v>
      </c>
      <c r="AF473">
        <v>84.55</v>
      </c>
      <c r="AG473">
        <v>19.2</v>
      </c>
      <c r="AH473">
        <v>18.34</v>
      </c>
      <c r="AI473">
        <v>18.77</v>
      </c>
      <c r="AM473">
        <v>110.31</v>
      </c>
      <c r="AN473">
        <v>108.65</v>
      </c>
      <c r="AO473">
        <v>109.48</v>
      </c>
      <c r="AP473">
        <v>39.82</v>
      </c>
      <c r="AQ473">
        <v>38.22</v>
      </c>
      <c r="AR473">
        <v>39.019999999999996</v>
      </c>
      <c r="AS473">
        <v>40.5</v>
      </c>
      <c r="AT473">
        <v>39.14</v>
      </c>
      <c r="AU473">
        <v>39.82</v>
      </c>
      <c r="AV473">
        <v>20.38</v>
      </c>
      <c r="AW473">
        <v>19.779999999999998</v>
      </c>
      <c r="AX473">
        <v>20.079999999999998</v>
      </c>
      <c r="AY473">
        <v>4.3600000000000003</v>
      </c>
      <c r="AZ473">
        <v>4.2</v>
      </c>
      <c r="BA473">
        <v>4.28</v>
      </c>
      <c r="BB473">
        <v>1.87</v>
      </c>
      <c r="BC473">
        <v>1.57</v>
      </c>
      <c r="BD473">
        <v>1.7200000000000002</v>
      </c>
      <c r="BE473">
        <v>0.68</v>
      </c>
      <c r="BF473">
        <v>0.38000000000000006</v>
      </c>
      <c r="BG473">
        <v>0.53</v>
      </c>
      <c r="BH473">
        <v>485.22</v>
      </c>
      <c r="BI473">
        <v>469.22</v>
      </c>
      <c r="BJ473">
        <v>477.22</v>
      </c>
      <c r="BK473">
        <v>40.86</v>
      </c>
      <c r="BL473">
        <v>39.5</v>
      </c>
      <c r="BM473">
        <v>40.18</v>
      </c>
      <c r="BN473">
        <v>1.01</v>
      </c>
      <c r="BO473">
        <v>0.77</v>
      </c>
      <c r="BP473">
        <v>0.89</v>
      </c>
      <c r="BQ473">
        <v>8.33</v>
      </c>
      <c r="BR473">
        <v>6.33</v>
      </c>
      <c r="BS473">
        <v>7.33</v>
      </c>
      <c r="BT473">
        <v>10.34</v>
      </c>
      <c r="BU473">
        <v>9.94</v>
      </c>
      <c r="BV473">
        <v>10.14</v>
      </c>
      <c r="BW473">
        <v>2.73</v>
      </c>
      <c r="BX473">
        <v>2.4500000000000002</v>
      </c>
      <c r="BY473">
        <v>2.59</v>
      </c>
      <c r="BZ473">
        <v>9.2899999999999991</v>
      </c>
      <c r="CA473">
        <v>6.2899999999999991</v>
      </c>
      <c r="CB473">
        <v>7.7899999999999991</v>
      </c>
      <c r="CC473">
        <v>6.57</v>
      </c>
      <c r="CD473">
        <v>6.33</v>
      </c>
      <c r="CE473">
        <v>6.45</v>
      </c>
      <c r="CF473">
        <v>1.99</v>
      </c>
      <c r="CG473">
        <v>1.49</v>
      </c>
      <c r="CH473">
        <v>1.74</v>
      </c>
      <c r="CI473">
        <v>0.42</v>
      </c>
      <c r="CJ473">
        <v>0.38</v>
      </c>
      <c r="CK473">
        <v>0.4</v>
      </c>
      <c r="CL473">
        <v>39.49</v>
      </c>
      <c r="CM473">
        <v>37.090000000000003</v>
      </c>
      <c r="CN473">
        <v>38.290000000000006</v>
      </c>
      <c r="CO473">
        <v>6.36</v>
      </c>
      <c r="CP473">
        <v>1.3600000000000003</v>
      </c>
      <c r="CQ473">
        <v>3.8600000000000003</v>
      </c>
    </row>
    <row r="474" spans="1:95">
      <c r="A474" s="424">
        <v>45752</v>
      </c>
      <c r="B474" t="s">
        <v>252</v>
      </c>
    </row>
    <row r="475" spans="1:95">
      <c r="A475" s="424">
        <v>45753</v>
      </c>
      <c r="B475" t="s">
        <v>253</v>
      </c>
    </row>
    <row r="476" spans="1:95">
      <c r="A476" s="424">
        <v>45754</v>
      </c>
      <c r="B476" t="s">
        <v>247</v>
      </c>
      <c r="C476">
        <v>146.78</v>
      </c>
      <c r="D476">
        <v>144.78</v>
      </c>
      <c r="E476">
        <v>145.78</v>
      </c>
      <c r="F476">
        <v>161.35</v>
      </c>
      <c r="G476">
        <v>158.35</v>
      </c>
      <c r="H476">
        <v>159.85</v>
      </c>
      <c r="I476">
        <v>103.99</v>
      </c>
      <c r="J476">
        <v>100.78999999999999</v>
      </c>
      <c r="K476">
        <v>102.38999999999999</v>
      </c>
      <c r="L476">
        <v>192.22</v>
      </c>
      <c r="M476">
        <v>184.22</v>
      </c>
      <c r="N476">
        <v>188.22</v>
      </c>
      <c r="O476">
        <v>171.62</v>
      </c>
      <c r="P476">
        <v>169.82</v>
      </c>
      <c r="Q476">
        <v>170.72</v>
      </c>
      <c r="R476">
        <v>21.72</v>
      </c>
      <c r="S476">
        <v>21.119999999999997</v>
      </c>
      <c r="T476">
        <v>21.419999999999998</v>
      </c>
      <c r="U476">
        <v>13.73</v>
      </c>
      <c r="V476">
        <v>13.13</v>
      </c>
      <c r="W476">
        <v>13.43</v>
      </c>
      <c r="X476">
        <v>14.84</v>
      </c>
      <c r="Y476">
        <v>14.04</v>
      </c>
      <c r="Z476">
        <v>14.44</v>
      </c>
      <c r="AA476">
        <v>89.37</v>
      </c>
      <c r="AB476">
        <v>85.37</v>
      </c>
      <c r="AC476">
        <v>87.37</v>
      </c>
      <c r="AD476">
        <v>82.81</v>
      </c>
      <c r="AE476">
        <v>78.81</v>
      </c>
      <c r="AF476">
        <v>80.81</v>
      </c>
      <c r="AG476">
        <v>19.190000000000001</v>
      </c>
      <c r="AH476">
        <v>18.330000000000002</v>
      </c>
      <c r="AI476">
        <v>18.760000000000002</v>
      </c>
      <c r="AM476">
        <v>109.01</v>
      </c>
      <c r="AN476">
        <v>107.35000000000001</v>
      </c>
      <c r="AO476">
        <v>108.18</v>
      </c>
      <c r="AP476">
        <v>39.729999999999997</v>
      </c>
      <c r="AQ476">
        <v>38.129999999999995</v>
      </c>
      <c r="AR476">
        <v>38.929999999999993</v>
      </c>
      <c r="AS476">
        <v>40.43</v>
      </c>
      <c r="AT476">
        <v>39.07</v>
      </c>
      <c r="AU476">
        <v>39.75</v>
      </c>
      <c r="AV476">
        <v>20.25</v>
      </c>
      <c r="AW476">
        <v>19.649999999999999</v>
      </c>
      <c r="AX476">
        <v>19.95</v>
      </c>
      <c r="AY476">
        <v>4.29</v>
      </c>
      <c r="AZ476">
        <v>4.13</v>
      </c>
      <c r="BA476">
        <v>4.21</v>
      </c>
      <c r="BB476">
        <v>1.86</v>
      </c>
      <c r="BC476">
        <v>1.56</v>
      </c>
      <c r="BD476">
        <v>1.71</v>
      </c>
      <c r="BE476">
        <v>0.67</v>
      </c>
      <c r="BF476">
        <v>0.37000000000000005</v>
      </c>
      <c r="BG476">
        <v>0.52</v>
      </c>
      <c r="BH476">
        <v>484.41</v>
      </c>
      <c r="BI476">
        <v>468.41</v>
      </c>
      <c r="BJ476">
        <v>476.41</v>
      </c>
      <c r="BK476">
        <v>40.799999999999997</v>
      </c>
      <c r="BL476">
        <v>39.44</v>
      </c>
      <c r="BM476">
        <v>40.119999999999997</v>
      </c>
      <c r="BN476">
        <v>1</v>
      </c>
      <c r="BO476">
        <v>0.76</v>
      </c>
      <c r="BP476">
        <v>0.88</v>
      </c>
      <c r="BQ476">
        <v>8.0500000000000007</v>
      </c>
      <c r="BR476">
        <v>6.0500000000000007</v>
      </c>
      <c r="BS476">
        <v>7.0500000000000007</v>
      </c>
      <c r="BT476">
        <v>10.130000000000001</v>
      </c>
      <c r="BU476">
        <v>9.73</v>
      </c>
      <c r="BV476">
        <v>9.93</v>
      </c>
      <c r="BW476">
        <v>2.73</v>
      </c>
      <c r="BX476">
        <v>2.4500000000000002</v>
      </c>
      <c r="BY476">
        <v>2.59</v>
      </c>
      <c r="BZ476">
        <v>9.0500000000000007</v>
      </c>
      <c r="CA476">
        <v>6.0500000000000007</v>
      </c>
      <c r="CB476">
        <v>7.5500000000000007</v>
      </c>
      <c r="CC476">
        <v>6.44</v>
      </c>
      <c r="CD476">
        <v>6.2</v>
      </c>
      <c r="CE476">
        <v>6.32</v>
      </c>
      <c r="CF476">
        <v>1.98</v>
      </c>
      <c r="CG476">
        <v>1.48</v>
      </c>
      <c r="CH476">
        <v>1.73</v>
      </c>
      <c r="CI476">
        <v>0.41</v>
      </c>
      <c r="CJ476">
        <v>0.37</v>
      </c>
      <c r="CK476">
        <v>0.39</v>
      </c>
      <c r="CL476">
        <v>38.61</v>
      </c>
      <c r="CM476">
        <v>36.21</v>
      </c>
      <c r="CN476">
        <v>37.409999999999997</v>
      </c>
      <c r="CO476">
        <v>6.34</v>
      </c>
      <c r="CP476">
        <v>1.3399999999999999</v>
      </c>
      <c r="CQ476">
        <v>3.84</v>
      </c>
    </row>
    <row r="477" spans="1:95">
      <c r="A477" s="424">
        <v>45755</v>
      </c>
      <c r="B477" t="s">
        <v>248</v>
      </c>
      <c r="C477">
        <v>148.77000000000001</v>
      </c>
      <c r="D477">
        <v>146.77000000000001</v>
      </c>
      <c r="E477">
        <v>147.77000000000001</v>
      </c>
      <c r="F477">
        <v>163.31</v>
      </c>
      <c r="G477">
        <v>160.31</v>
      </c>
      <c r="H477">
        <v>161.81</v>
      </c>
      <c r="I477">
        <v>105.64</v>
      </c>
      <c r="J477">
        <v>102.44</v>
      </c>
      <c r="K477">
        <v>104.03999999999999</v>
      </c>
      <c r="L477">
        <v>192.6</v>
      </c>
      <c r="M477">
        <v>184.6</v>
      </c>
      <c r="N477">
        <v>188.6</v>
      </c>
      <c r="O477">
        <v>173.13</v>
      </c>
      <c r="P477">
        <v>171.32999999999998</v>
      </c>
      <c r="Q477">
        <v>172.23</v>
      </c>
      <c r="R477">
        <v>21.97</v>
      </c>
      <c r="S477">
        <v>21.369999999999997</v>
      </c>
      <c r="T477">
        <v>21.669999999999998</v>
      </c>
      <c r="U477">
        <v>13.83</v>
      </c>
      <c r="V477">
        <v>13.23</v>
      </c>
      <c r="W477">
        <v>13.530000000000001</v>
      </c>
      <c r="X477">
        <v>15.13</v>
      </c>
      <c r="Y477">
        <v>14.33</v>
      </c>
      <c r="Z477">
        <v>14.73</v>
      </c>
      <c r="AA477">
        <v>90.82</v>
      </c>
      <c r="AB477">
        <v>86.82</v>
      </c>
      <c r="AC477">
        <v>88.82</v>
      </c>
      <c r="AD477">
        <v>84.06</v>
      </c>
      <c r="AE477">
        <v>80.06</v>
      </c>
      <c r="AF477">
        <v>82.06</v>
      </c>
      <c r="AG477">
        <v>19.45</v>
      </c>
      <c r="AH477">
        <v>18.59</v>
      </c>
      <c r="AI477">
        <v>19.02</v>
      </c>
      <c r="AM477">
        <v>110.22</v>
      </c>
      <c r="AN477">
        <v>108.56</v>
      </c>
      <c r="AO477">
        <v>109.39</v>
      </c>
      <c r="AP477">
        <v>40.24</v>
      </c>
      <c r="AQ477">
        <v>38.64</v>
      </c>
      <c r="AR477">
        <v>39.44</v>
      </c>
      <c r="AS477">
        <v>40.98</v>
      </c>
      <c r="AT477">
        <v>39.619999999999997</v>
      </c>
      <c r="AU477">
        <v>40.299999999999997</v>
      </c>
      <c r="AV477">
        <v>20.420000000000002</v>
      </c>
      <c r="AW477">
        <v>19.82</v>
      </c>
      <c r="AX477">
        <v>20.12</v>
      </c>
      <c r="AY477">
        <v>4.3499999999999996</v>
      </c>
      <c r="AZ477">
        <v>4.1899999999999995</v>
      </c>
      <c r="BA477">
        <v>4.2699999999999996</v>
      </c>
      <c r="BB477">
        <v>1.88</v>
      </c>
      <c r="BC477">
        <v>1.5799999999999998</v>
      </c>
      <c r="BD477">
        <v>1.73</v>
      </c>
      <c r="BE477">
        <v>0.68</v>
      </c>
      <c r="BF477">
        <v>0.38000000000000006</v>
      </c>
      <c r="BG477">
        <v>0.53</v>
      </c>
      <c r="BH477">
        <v>485.45</v>
      </c>
      <c r="BI477">
        <v>469.45</v>
      </c>
      <c r="BJ477">
        <v>477.45</v>
      </c>
      <c r="BK477">
        <v>41.34</v>
      </c>
      <c r="BL477">
        <v>39.980000000000004</v>
      </c>
      <c r="BM477">
        <v>40.660000000000004</v>
      </c>
      <c r="BN477">
        <v>0.99</v>
      </c>
      <c r="BO477">
        <v>0.75</v>
      </c>
      <c r="BP477">
        <v>0.87</v>
      </c>
      <c r="BQ477">
        <v>8.16</v>
      </c>
      <c r="BR477">
        <v>6.16</v>
      </c>
      <c r="BS477">
        <v>7.16</v>
      </c>
      <c r="BT477">
        <v>10.26</v>
      </c>
      <c r="BU477">
        <v>9.86</v>
      </c>
      <c r="BV477">
        <v>10.059999999999999</v>
      </c>
      <c r="BW477">
        <v>2.74</v>
      </c>
      <c r="BX477">
        <v>2.46</v>
      </c>
      <c r="BY477">
        <v>2.6</v>
      </c>
      <c r="BZ477">
        <v>9.06</v>
      </c>
      <c r="CA477">
        <v>6.0600000000000005</v>
      </c>
      <c r="CB477">
        <v>7.5600000000000005</v>
      </c>
      <c r="CC477">
        <v>6.54</v>
      </c>
      <c r="CD477">
        <v>6.3</v>
      </c>
      <c r="CE477">
        <v>6.42</v>
      </c>
      <c r="CF477">
        <v>1.97</v>
      </c>
      <c r="CG477">
        <v>1.47</v>
      </c>
      <c r="CH477">
        <v>1.72</v>
      </c>
      <c r="CI477">
        <v>0.42</v>
      </c>
      <c r="CJ477">
        <v>0.38</v>
      </c>
      <c r="CK477">
        <v>0.4</v>
      </c>
      <c r="CL477">
        <v>38.869999999999997</v>
      </c>
      <c r="CM477">
        <v>36.47</v>
      </c>
      <c r="CN477">
        <v>37.67</v>
      </c>
      <c r="CO477">
        <v>6.39</v>
      </c>
      <c r="CP477">
        <v>1.3899999999999997</v>
      </c>
      <c r="CQ477">
        <v>3.8899999999999997</v>
      </c>
    </row>
    <row r="478" spans="1:95">
      <c r="A478" s="424">
        <v>45756</v>
      </c>
      <c r="B478" t="s">
        <v>249</v>
      </c>
      <c r="C478">
        <v>146.38</v>
      </c>
      <c r="D478">
        <v>144.38</v>
      </c>
      <c r="E478">
        <v>145.38</v>
      </c>
      <c r="F478">
        <v>161.51</v>
      </c>
      <c r="G478">
        <v>158.51</v>
      </c>
      <c r="H478">
        <v>160.01</v>
      </c>
      <c r="I478">
        <v>103.65</v>
      </c>
      <c r="J478">
        <v>100.45</v>
      </c>
      <c r="K478">
        <v>102.05000000000001</v>
      </c>
      <c r="L478">
        <v>190.28</v>
      </c>
      <c r="M478">
        <v>182.28</v>
      </c>
      <c r="N478">
        <v>186.28</v>
      </c>
      <c r="O478">
        <v>173.25</v>
      </c>
      <c r="P478">
        <v>171.45</v>
      </c>
      <c r="Q478">
        <v>172.35</v>
      </c>
      <c r="R478">
        <v>21.73</v>
      </c>
      <c r="S478">
        <v>21.13</v>
      </c>
      <c r="T478">
        <v>21.43</v>
      </c>
      <c r="U478">
        <v>13.6</v>
      </c>
      <c r="V478">
        <v>13</v>
      </c>
      <c r="W478">
        <v>13.3</v>
      </c>
      <c r="X478">
        <v>14.93</v>
      </c>
      <c r="Y478">
        <v>14.129999999999999</v>
      </c>
      <c r="Z478">
        <v>14.53</v>
      </c>
      <c r="AA478">
        <v>88.6</v>
      </c>
      <c r="AB478">
        <v>84.6</v>
      </c>
      <c r="AC478">
        <v>86.6</v>
      </c>
      <c r="AD478">
        <v>82.29</v>
      </c>
      <c r="AE478">
        <v>78.290000000000006</v>
      </c>
      <c r="AF478">
        <v>80.290000000000006</v>
      </c>
      <c r="AG478">
        <v>19.149999999999999</v>
      </c>
      <c r="AH478">
        <v>18.29</v>
      </c>
      <c r="AI478">
        <v>18.72</v>
      </c>
      <c r="AM478">
        <v>108.41</v>
      </c>
      <c r="AN478">
        <v>106.75</v>
      </c>
      <c r="AO478">
        <v>107.58</v>
      </c>
      <c r="AP478">
        <v>39.61</v>
      </c>
      <c r="AQ478">
        <v>38.01</v>
      </c>
      <c r="AR478">
        <v>38.81</v>
      </c>
      <c r="AS478">
        <v>40.33</v>
      </c>
      <c r="AT478">
        <v>38.97</v>
      </c>
      <c r="AU478">
        <v>39.65</v>
      </c>
      <c r="AV478">
        <v>19.95</v>
      </c>
      <c r="AW478">
        <v>19.349999999999998</v>
      </c>
      <c r="AX478">
        <v>19.649999999999999</v>
      </c>
      <c r="AY478">
        <v>4.24</v>
      </c>
      <c r="AZ478">
        <v>4.08</v>
      </c>
      <c r="BA478">
        <v>4.16</v>
      </c>
      <c r="BB478">
        <v>1.85</v>
      </c>
      <c r="BC478">
        <v>1.55</v>
      </c>
      <c r="BD478">
        <v>1.7000000000000002</v>
      </c>
      <c r="BE478">
        <v>0.67</v>
      </c>
      <c r="BF478">
        <v>0.37000000000000005</v>
      </c>
      <c r="BG478">
        <v>0.52</v>
      </c>
      <c r="BH478">
        <v>482.32</v>
      </c>
      <c r="BI478">
        <v>466.32</v>
      </c>
      <c r="BJ478">
        <v>474.32</v>
      </c>
      <c r="BK478">
        <v>40.69</v>
      </c>
      <c r="BL478">
        <v>39.33</v>
      </c>
      <c r="BM478">
        <v>40.01</v>
      </c>
      <c r="BN478">
        <v>0.98</v>
      </c>
      <c r="BO478">
        <v>0.74</v>
      </c>
      <c r="BP478">
        <v>0.86</v>
      </c>
      <c r="BQ478">
        <v>7.97</v>
      </c>
      <c r="BR478">
        <v>5.97</v>
      </c>
      <c r="BS478">
        <v>6.97</v>
      </c>
      <c r="BT478">
        <v>10.01</v>
      </c>
      <c r="BU478">
        <v>9.61</v>
      </c>
      <c r="BV478">
        <v>9.8099999999999987</v>
      </c>
      <c r="BW478">
        <v>2.7</v>
      </c>
      <c r="BX478">
        <v>2.42</v>
      </c>
      <c r="BY478">
        <v>2.56</v>
      </c>
      <c r="BZ478">
        <v>8.85</v>
      </c>
      <c r="CA478">
        <v>5.85</v>
      </c>
      <c r="CB478">
        <v>7.35</v>
      </c>
      <c r="CC478">
        <v>6.48</v>
      </c>
      <c r="CD478">
        <v>6.24</v>
      </c>
      <c r="CE478">
        <v>6.36</v>
      </c>
      <c r="CF478">
        <v>1.95</v>
      </c>
      <c r="CG478">
        <v>1.45</v>
      </c>
      <c r="CH478">
        <v>1.7</v>
      </c>
      <c r="CI478">
        <v>0.41</v>
      </c>
      <c r="CJ478">
        <v>0.37</v>
      </c>
      <c r="CK478">
        <v>0.39</v>
      </c>
      <c r="CL478">
        <v>38.630000000000003</v>
      </c>
      <c r="CM478">
        <v>36.230000000000004</v>
      </c>
      <c r="CN478">
        <v>37.430000000000007</v>
      </c>
      <c r="CO478">
        <v>6.33</v>
      </c>
      <c r="CP478">
        <v>1.33</v>
      </c>
      <c r="CQ478">
        <v>3.83</v>
      </c>
    </row>
    <row r="479" spans="1:95">
      <c r="A479" s="424">
        <v>45757</v>
      </c>
      <c r="B479" t="s">
        <v>250</v>
      </c>
      <c r="C479">
        <v>147.91</v>
      </c>
      <c r="D479">
        <v>145.91</v>
      </c>
      <c r="E479">
        <v>146.91</v>
      </c>
      <c r="F479">
        <v>162.85</v>
      </c>
      <c r="G479">
        <v>159.85</v>
      </c>
      <c r="H479">
        <v>161.35</v>
      </c>
      <c r="I479">
        <v>105.82</v>
      </c>
      <c r="J479">
        <v>102.61999999999999</v>
      </c>
      <c r="K479">
        <v>104.22</v>
      </c>
      <c r="L479">
        <v>192.66</v>
      </c>
      <c r="M479">
        <v>184.66</v>
      </c>
      <c r="N479">
        <v>188.66</v>
      </c>
      <c r="O479">
        <v>173.23</v>
      </c>
      <c r="P479">
        <v>171.42999999999998</v>
      </c>
      <c r="Q479">
        <v>172.32999999999998</v>
      </c>
      <c r="R479">
        <v>21.91</v>
      </c>
      <c r="S479">
        <v>21.31</v>
      </c>
      <c r="T479">
        <v>21.61</v>
      </c>
      <c r="U479">
        <v>13.93</v>
      </c>
      <c r="V479">
        <v>13.33</v>
      </c>
      <c r="W479">
        <v>13.629999999999999</v>
      </c>
      <c r="X479">
        <v>15.12</v>
      </c>
      <c r="Y479">
        <v>14.319999999999999</v>
      </c>
      <c r="Z479">
        <v>14.719999999999999</v>
      </c>
      <c r="AA479">
        <v>92.03</v>
      </c>
      <c r="AB479">
        <v>88.03</v>
      </c>
      <c r="AC479">
        <v>90.03</v>
      </c>
      <c r="AD479">
        <v>84.92</v>
      </c>
      <c r="AE479">
        <v>80.92</v>
      </c>
      <c r="AF479">
        <v>82.92</v>
      </c>
      <c r="AG479">
        <v>19.36</v>
      </c>
      <c r="AH479">
        <v>18.5</v>
      </c>
      <c r="AI479">
        <v>18.93</v>
      </c>
      <c r="AM479">
        <v>110.26</v>
      </c>
      <c r="AN479">
        <v>108.60000000000001</v>
      </c>
      <c r="AO479">
        <v>109.43</v>
      </c>
      <c r="AP479">
        <v>40.020000000000003</v>
      </c>
      <c r="AQ479">
        <v>38.42</v>
      </c>
      <c r="AR479">
        <v>39.22</v>
      </c>
      <c r="AS479">
        <v>40.74</v>
      </c>
      <c r="AT479">
        <v>39.380000000000003</v>
      </c>
      <c r="AU479">
        <v>40.06</v>
      </c>
      <c r="AV479">
        <v>20.28</v>
      </c>
      <c r="AW479">
        <v>19.68</v>
      </c>
      <c r="AX479">
        <v>19.98</v>
      </c>
      <c r="AY479">
        <v>4.38</v>
      </c>
      <c r="AZ479">
        <v>4.22</v>
      </c>
      <c r="BA479">
        <v>4.3</v>
      </c>
      <c r="BB479">
        <v>1.86</v>
      </c>
      <c r="BC479">
        <v>1.56</v>
      </c>
      <c r="BD479">
        <v>1.71</v>
      </c>
      <c r="BE479">
        <v>0.68</v>
      </c>
      <c r="BF479">
        <v>0.38000000000000006</v>
      </c>
      <c r="BG479">
        <v>0.53</v>
      </c>
      <c r="BH479">
        <v>488.1</v>
      </c>
      <c r="BI479">
        <v>472.1</v>
      </c>
      <c r="BJ479">
        <v>480.1</v>
      </c>
      <c r="BK479">
        <v>41.11</v>
      </c>
      <c r="BL479">
        <v>39.75</v>
      </c>
      <c r="BM479">
        <v>40.43</v>
      </c>
      <c r="BN479">
        <v>0.99</v>
      </c>
      <c r="BO479">
        <v>0.75</v>
      </c>
      <c r="BP479">
        <v>0.87</v>
      </c>
      <c r="BQ479">
        <v>8.23</v>
      </c>
      <c r="BR479">
        <v>6.23</v>
      </c>
      <c r="BS479">
        <v>7.23</v>
      </c>
      <c r="BT479">
        <v>10.29</v>
      </c>
      <c r="BU479">
        <v>9.8899999999999988</v>
      </c>
      <c r="BV479">
        <v>10.09</v>
      </c>
      <c r="BW479">
        <v>2.73</v>
      </c>
      <c r="BX479">
        <v>2.4500000000000002</v>
      </c>
      <c r="BY479">
        <v>2.59</v>
      </c>
      <c r="BZ479">
        <v>9.09</v>
      </c>
      <c r="CA479">
        <v>6.09</v>
      </c>
      <c r="CB479">
        <v>7.59</v>
      </c>
      <c r="CC479">
        <v>6.57</v>
      </c>
      <c r="CD479">
        <v>6.33</v>
      </c>
      <c r="CE479">
        <v>6.45</v>
      </c>
      <c r="CF479">
        <v>1.96</v>
      </c>
      <c r="CG479">
        <v>1.46</v>
      </c>
      <c r="CH479">
        <v>1.71</v>
      </c>
      <c r="CI479">
        <v>0.42</v>
      </c>
      <c r="CJ479">
        <v>0.38</v>
      </c>
      <c r="CK479">
        <v>0.4</v>
      </c>
      <c r="CL479">
        <v>39.229999999999997</v>
      </c>
      <c r="CM479">
        <v>36.83</v>
      </c>
      <c r="CN479">
        <v>38.03</v>
      </c>
      <c r="CO479">
        <v>6.38</v>
      </c>
      <c r="CP479">
        <v>1.38</v>
      </c>
      <c r="CQ479">
        <v>3.88</v>
      </c>
    </row>
    <row r="480" spans="1:95">
      <c r="A480" s="424">
        <v>45758</v>
      </c>
      <c r="B480" t="s">
        <v>251</v>
      </c>
      <c r="C480">
        <v>144.54</v>
      </c>
      <c r="D480">
        <v>142.54</v>
      </c>
      <c r="E480">
        <v>143.54</v>
      </c>
      <c r="F480">
        <v>163.80000000000001</v>
      </c>
      <c r="G480">
        <v>160.80000000000001</v>
      </c>
      <c r="H480">
        <v>162.30000000000001</v>
      </c>
      <c r="I480">
        <v>104.5</v>
      </c>
      <c r="J480">
        <v>101.3</v>
      </c>
      <c r="K480">
        <v>102.9</v>
      </c>
      <c r="L480">
        <v>190.87</v>
      </c>
      <c r="M480">
        <v>182.87</v>
      </c>
      <c r="N480">
        <v>186.87</v>
      </c>
      <c r="O480">
        <v>176.31</v>
      </c>
      <c r="P480">
        <v>174.51</v>
      </c>
      <c r="Q480">
        <v>175.41</v>
      </c>
      <c r="R480">
        <v>22.03</v>
      </c>
      <c r="S480">
        <v>21.43</v>
      </c>
      <c r="T480">
        <v>21.73</v>
      </c>
      <c r="U480">
        <v>13.66</v>
      </c>
      <c r="V480">
        <v>13.06</v>
      </c>
      <c r="W480">
        <v>13.36</v>
      </c>
      <c r="X480">
        <v>15.06</v>
      </c>
      <c r="Y480">
        <v>14.26</v>
      </c>
      <c r="Z480">
        <v>14.66</v>
      </c>
      <c r="AA480">
        <v>91.17</v>
      </c>
      <c r="AB480">
        <v>87.17</v>
      </c>
      <c r="AC480">
        <v>89.17</v>
      </c>
      <c r="AD480">
        <v>84.51</v>
      </c>
      <c r="AE480">
        <v>80.510000000000005</v>
      </c>
      <c r="AF480">
        <v>82.51</v>
      </c>
      <c r="AG480">
        <v>18.93</v>
      </c>
      <c r="AH480">
        <v>18.07</v>
      </c>
      <c r="AI480">
        <v>18.5</v>
      </c>
      <c r="AM480">
        <v>108.97</v>
      </c>
      <c r="AN480">
        <v>107.31</v>
      </c>
      <c r="AO480">
        <v>108.14</v>
      </c>
      <c r="AP480">
        <v>39.119999999999997</v>
      </c>
      <c r="AQ480">
        <v>37.519999999999996</v>
      </c>
      <c r="AR480">
        <v>38.319999999999993</v>
      </c>
      <c r="AS480">
        <v>39.82</v>
      </c>
      <c r="AT480">
        <v>38.46</v>
      </c>
      <c r="AU480">
        <v>39.14</v>
      </c>
      <c r="AV480">
        <v>19.97</v>
      </c>
      <c r="AW480">
        <v>19.369999999999997</v>
      </c>
      <c r="AX480">
        <v>19.669999999999998</v>
      </c>
      <c r="AY480">
        <v>4.33</v>
      </c>
      <c r="AZ480">
        <v>4.17</v>
      </c>
      <c r="BA480">
        <v>4.25</v>
      </c>
      <c r="BB480">
        <v>1.83</v>
      </c>
      <c r="BC480">
        <v>1.53</v>
      </c>
      <c r="BD480">
        <v>1.6800000000000002</v>
      </c>
      <c r="BE480">
        <v>0.67</v>
      </c>
      <c r="BF480">
        <v>0.37000000000000005</v>
      </c>
      <c r="BG480">
        <v>0.52</v>
      </c>
      <c r="BH480">
        <v>473.28</v>
      </c>
      <c r="BI480">
        <v>457.28</v>
      </c>
      <c r="BJ480">
        <v>465.28</v>
      </c>
      <c r="BK480">
        <v>40.18</v>
      </c>
      <c r="BL480">
        <v>38.82</v>
      </c>
      <c r="BM480">
        <v>39.5</v>
      </c>
      <c r="BN480">
        <v>0.98</v>
      </c>
      <c r="BO480">
        <v>0.74</v>
      </c>
      <c r="BP480">
        <v>0.86</v>
      </c>
      <c r="BQ480">
        <v>7.98</v>
      </c>
      <c r="BR480">
        <v>5.98</v>
      </c>
      <c r="BS480">
        <v>6.98</v>
      </c>
      <c r="BT480">
        <v>10.11</v>
      </c>
      <c r="BU480">
        <v>9.7099999999999991</v>
      </c>
      <c r="BV480">
        <v>9.91</v>
      </c>
      <c r="BW480">
        <v>2.67</v>
      </c>
      <c r="BX480">
        <v>2.3899999999999997</v>
      </c>
      <c r="BY480">
        <v>2.5299999999999998</v>
      </c>
      <c r="BZ480">
        <v>8.89</v>
      </c>
      <c r="CA480">
        <v>5.8900000000000006</v>
      </c>
      <c r="CB480">
        <v>7.3900000000000006</v>
      </c>
      <c r="CC480">
        <v>6.6</v>
      </c>
      <c r="CD480">
        <v>6.3599999999999994</v>
      </c>
      <c r="CE480">
        <v>6.4799999999999995</v>
      </c>
      <c r="CF480">
        <v>1.97</v>
      </c>
      <c r="CG480">
        <v>1.47</v>
      </c>
      <c r="CH480">
        <v>1.72</v>
      </c>
      <c r="CI480">
        <v>0.42</v>
      </c>
      <c r="CJ480">
        <v>0.38</v>
      </c>
      <c r="CK480">
        <v>0.4</v>
      </c>
      <c r="CL480">
        <v>39.28</v>
      </c>
      <c r="CM480">
        <v>36.880000000000003</v>
      </c>
      <c r="CN480">
        <v>38.08</v>
      </c>
      <c r="CO480">
        <v>6.29</v>
      </c>
      <c r="CP480">
        <v>1.29</v>
      </c>
      <c r="CQ480">
        <v>3.79</v>
      </c>
    </row>
    <row r="481" spans="1:95">
      <c r="A481" s="424">
        <v>45759</v>
      </c>
      <c r="B481" t="s">
        <v>252</v>
      </c>
    </row>
    <row r="482" spans="1:95">
      <c r="A482" s="424">
        <v>45760</v>
      </c>
      <c r="B482" t="s">
        <v>253</v>
      </c>
    </row>
    <row r="483" spans="1:95">
      <c r="A483" s="424">
        <v>45761</v>
      </c>
      <c r="B483" t="s">
        <v>247</v>
      </c>
      <c r="C483">
        <v>144.22999999999999</v>
      </c>
      <c r="D483">
        <v>142.22999999999999</v>
      </c>
      <c r="E483">
        <v>143.22999999999999</v>
      </c>
      <c r="F483">
        <v>164.11</v>
      </c>
      <c r="G483">
        <v>161.11000000000001</v>
      </c>
      <c r="H483">
        <v>162.61000000000001</v>
      </c>
      <c r="I483">
        <v>104.83</v>
      </c>
      <c r="J483">
        <v>101.63</v>
      </c>
      <c r="K483">
        <v>103.22999999999999</v>
      </c>
      <c r="L483">
        <v>191.5</v>
      </c>
      <c r="M483">
        <v>183.5</v>
      </c>
      <c r="N483">
        <v>187.5</v>
      </c>
      <c r="O483">
        <v>176.15</v>
      </c>
      <c r="P483">
        <v>174.35</v>
      </c>
      <c r="Q483">
        <v>175.25</v>
      </c>
      <c r="R483">
        <v>22.08</v>
      </c>
      <c r="S483">
        <v>21.479999999999997</v>
      </c>
      <c r="T483">
        <v>21.779999999999998</v>
      </c>
      <c r="U483">
        <v>13.75</v>
      </c>
      <c r="V483">
        <v>13.15</v>
      </c>
      <c r="W483">
        <v>13.45</v>
      </c>
      <c r="X483">
        <v>15.03</v>
      </c>
      <c r="Y483">
        <v>14.229999999999999</v>
      </c>
      <c r="Z483">
        <v>14.629999999999999</v>
      </c>
      <c r="AA483">
        <v>92.13</v>
      </c>
      <c r="AB483">
        <v>88.13</v>
      </c>
      <c r="AC483">
        <v>90.13</v>
      </c>
      <c r="AD483">
        <v>85.65</v>
      </c>
      <c r="AE483">
        <v>81.650000000000006</v>
      </c>
      <c r="AF483">
        <v>83.65</v>
      </c>
      <c r="AG483">
        <v>18.89</v>
      </c>
      <c r="AH483">
        <v>18.03</v>
      </c>
      <c r="AI483">
        <v>18.46</v>
      </c>
      <c r="AM483">
        <v>109.52</v>
      </c>
      <c r="AN483">
        <v>107.86</v>
      </c>
      <c r="AO483">
        <v>108.69</v>
      </c>
      <c r="AP483">
        <v>39.049999999999997</v>
      </c>
      <c r="AQ483">
        <v>37.449999999999996</v>
      </c>
      <c r="AR483">
        <v>38.25</v>
      </c>
      <c r="AS483">
        <v>39.74</v>
      </c>
      <c r="AT483">
        <v>38.380000000000003</v>
      </c>
      <c r="AU483">
        <v>39.06</v>
      </c>
      <c r="AV483">
        <v>19.93</v>
      </c>
      <c r="AW483">
        <v>19.329999999999998</v>
      </c>
      <c r="AX483">
        <v>19.63</v>
      </c>
      <c r="AY483">
        <v>4.34</v>
      </c>
      <c r="AZ483">
        <v>4.18</v>
      </c>
      <c r="BA483">
        <v>4.26</v>
      </c>
      <c r="BB483">
        <v>1.82</v>
      </c>
      <c r="BC483">
        <v>1.52</v>
      </c>
      <c r="BD483">
        <v>1.67</v>
      </c>
      <c r="BE483">
        <v>0.67</v>
      </c>
      <c r="BF483">
        <v>0.37000000000000005</v>
      </c>
      <c r="BG483">
        <v>0.52</v>
      </c>
      <c r="BH483">
        <v>477.15</v>
      </c>
      <c r="BI483">
        <v>461.15</v>
      </c>
      <c r="BJ483">
        <v>469.15</v>
      </c>
      <c r="BK483">
        <v>40.090000000000003</v>
      </c>
      <c r="BL483">
        <v>38.730000000000004</v>
      </c>
      <c r="BM483">
        <v>39.410000000000004</v>
      </c>
      <c r="BN483">
        <v>0.98</v>
      </c>
      <c r="BO483">
        <v>0.74</v>
      </c>
      <c r="BP483">
        <v>0.86</v>
      </c>
      <c r="BQ483">
        <v>8.06</v>
      </c>
      <c r="BR483">
        <v>6.0600000000000005</v>
      </c>
      <c r="BS483">
        <v>7.0600000000000005</v>
      </c>
      <c r="BT483">
        <v>10.23</v>
      </c>
      <c r="BU483">
        <v>9.83</v>
      </c>
      <c r="BV483">
        <v>10.030000000000001</v>
      </c>
      <c r="BW483">
        <v>2.68</v>
      </c>
      <c r="BX483">
        <v>2.4000000000000004</v>
      </c>
      <c r="BY483">
        <v>2.54</v>
      </c>
      <c r="BZ483">
        <v>9</v>
      </c>
      <c r="CA483">
        <v>6</v>
      </c>
      <c r="CB483">
        <v>7.5</v>
      </c>
      <c r="CC483">
        <v>6.61</v>
      </c>
      <c r="CD483">
        <v>6.37</v>
      </c>
      <c r="CE483">
        <v>6.49</v>
      </c>
      <c r="CF483">
        <v>1.97</v>
      </c>
      <c r="CG483">
        <v>1.47</v>
      </c>
      <c r="CH483">
        <v>1.72</v>
      </c>
      <c r="CI483">
        <v>0.42</v>
      </c>
      <c r="CJ483">
        <v>0.38</v>
      </c>
      <c r="CK483">
        <v>0.4</v>
      </c>
      <c r="CL483">
        <v>39.21</v>
      </c>
      <c r="CM483">
        <v>36.81</v>
      </c>
      <c r="CN483">
        <v>38.010000000000005</v>
      </c>
      <c r="CO483">
        <v>6.28</v>
      </c>
      <c r="CP483">
        <v>1.2800000000000002</v>
      </c>
      <c r="CQ483">
        <v>3.7800000000000002</v>
      </c>
    </row>
    <row r="484" spans="1:95">
      <c r="A484" s="424">
        <v>45762</v>
      </c>
      <c r="B484" t="s">
        <v>248</v>
      </c>
      <c r="C484">
        <v>144.63999999999999</v>
      </c>
      <c r="D484">
        <v>142.63999999999999</v>
      </c>
      <c r="E484">
        <v>143.63999999999999</v>
      </c>
      <c r="F484">
        <v>164.16</v>
      </c>
      <c r="G484">
        <v>161.16</v>
      </c>
      <c r="H484">
        <v>162.66</v>
      </c>
      <c r="I484">
        <v>104.98</v>
      </c>
      <c r="J484">
        <v>101.78</v>
      </c>
      <c r="K484">
        <v>103.38</v>
      </c>
      <c r="L484">
        <v>193.23</v>
      </c>
      <c r="M484">
        <v>185.23</v>
      </c>
      <c r="N484">
        <v>189.23</v>
      </c>
      <c r="O484">
        <v>176.56</v>
      </c>
      <c r="P484">
        <v>174.76</v>
      </c>
      <c r="Q484">
        <v>175.66</v>
      </c>
      <c r="R484">
        <v>22.08</v>
      </c>
      <c r="S484">
        <v>21.479999999999997</v>
      </c>
      <c r="T484">
        <v>21.779999999999998</v>
      </c>
      <c r="U484">
        <v>13.85</v>
      </c>
      <c r="V484">
        <v>13.25</v>
      </c>
      <c r="W484">
        <v>13.55</v>
      </c>
      <c r="X484">
        <v>15.08</v>
      </c>
      <c r="Y484">
        <v>14.28</v>
      </c>
      <c r="Z484">
        <v>14.68</v>
      </c>
      <c r="AA484">
        <v>92.9</v>
      </c>
      <c r="AB484">
        <v>88.9</v>
      </c>
      <c r="AC484">
        <v>90.9</v>
      </c>
      <c r="AD484">
        <v>86.49</v>
      </c>
      <c r="AE484">
        <v>82.49</v>
      </c>
      <c r="AF484">
        <v>84.49</v>
      </c>
      <c r="AG484">
        <v>18.95</v>
      </c>
      <c r="AH484">
        <v>18.09</v>
      </c>
      <c r="AI484">
        <v>18.52</v>
      </c>
      <c r="AM484">
        <v>109.94</v>
      </c>
      <c r="AN484">
        <v>108.28</v>
      </c>
      <c r="AO484">
        <v>109.11</v>
      </c>
      <c r="AP484">
        <v>39.159999999999997</v>
      </c>
      <c r="AQ484">
        <v>37.559999999999995</v>
      </c>
      <c r="AR484">
        <v>38.36</v>
      </c>
      <c r="AS484">
        <v>39.85</v>
      </c>
      <c r="AT484">
        <v>38.49</v>
      </c>
      <c r="AU484">
        <v>39.17</v>
      </c>
      <c r="AV484">
        <v>19.940000000000001</v>
      </c>
      <c r="AW484">
        <v>19.34</v>
      </c>
      <c r="AX484">
        <v>19.64</v>
      </c>
      <c r="AY484">
        <v>4.3499999999999996</v>
      </c>
      <c r="AZ484">
        <v>4.1899999999999995</v>
      </c>
      <c r="BA484">
        <v>4.2699999999999996</v>
      </c>
      <c r="BB484">
        <v>1.83</v>
      </c>
      <c r="BC484">
        <v>1.53</v>
      </c>
      <c r="BD484">
        <v>1.6800000000000002</v>
      </c>
      <c r="BE484">
        <v>0.67</v>
      </c>
      <c r="BF484">
        <v>0.37000000000000005</v>
      </c>
      <c r="BG484">
        <v>0.52</v>
      </c>
      <c r="BH484">
        <v>478.8</v>
      </c>
      <c r="BI484">
        <v>462.8</v>
      </c>
      <c r="BJ484">
        <v>470.8</v>
      </c>
      <c r="BK484">
        <v>40.21</v>
      </c>
      <c r="BL484">
        <v>38.85</v>
      </c>
      <c r="BM484">
        <v>39.53</v>
      </c>
      <c r="BN484">
        <v>0.98</v>
      </c>
      <c r="BO484">
        <v>0.74</v>
      </c>
      <c r="BP484">
        <v>0.86</v>
      </c>
      <c r="BQ484">
        <v>8.16</v>
      </c>
      <c r="BR484">
        <v>6.16</v>
      </c>
      <c r="BS484">
        <v>7.16</v>
      </c>
      <c r="BT484">
        <v>10.28</v>
      </c>
      <c r="BU484">
        <v>9.879999999999999</v>
      </c>
      <c r="BV484">
        <v>10.079999999999998</v>
      </c>
      <c r="BW484">
        <v>2.68</v>
      </c>
      <c r="BX484">
        <v>2.4000000000000004</v>
      </c>
      <c r="BY484">
        <v>2.54</v>
      </c>
      <c r="BZ484">
        <v>9.09</v>
      </c>
      <c r="CA484">
        <v>6.09</v>
      </c>
      <c r="CB484">
        <v>7.59</v>
      </c>
      <c r="CC484">
        <v>6.61</v>
      </c>
      <c r="CD484">
        <v>6.37</v>
      </c>
      <c r="CE484">
        <v>6.49</v>
      </c>
      <c r="CF484">
        <v>2</v>
      </c>
      <c r="CG484">
        <v>1.5</v>
      </c>
      <c r="CH484">
        <v>1.75</v>
      </c>
      <c r="CI484">
        <v>0.42</v>
      </c>
      <c r="CJ484">
        <v>0.38</v>
      </c>
      <c r="CK484">
        <v>0.4</v>
      </c>
      <c r="CL484">
        <v>39.229999999999997</v>
      </c>
      <c r="CM484">
        <v>36.83</v>
      </c>
      <c r="CN484">
        <v>38.03</v>
      </c>
      <c r="CO484">
        <v>6.28</v>
      </c>
      <c r="CP484">
        <v>1.2800000000000002</v>
      </c>
      <c r="CQ484">
        <v>3.7800000000000002</v>
      </c>
    </row>
    <row r="485" spans="1:95">
      <c r="A485" s="424">
        <v>45763</v>
      </c>
      <c r="B485" t="s">
        <v>249</v>
      </c>
      <c r="C485">
        <v>143.93</v>
      </c>
      <c r="D485">
        <v>141.93</v>
      </c>
      <c r="E485">
        <v>142.93</v>
      </c>
      <c r="F485">
        <v>163.19999999999999</v>
      </c>
      <c r="G485">
        <v>160.19999999999999</v>
      </c>
      <c r="H485">
        <v>161.69999999999999</v>
      </c>
      <c r="I485">
        <v>104.04</v>
      </c>
      <c r="J485">
        <v>100.84</v>
      </c>
      <c r="K485">
        <v>102.44</v>
      </c>
      <c r="L485">
        <v>193.37</v>
      </c>
      <c r="M485">
        <v>185.37</v>
      </c>
      <c r="N485">
        <v>189.37</v>
      </c>
      <c r="O485">
        <v>175.48</v>
      </c>
      <c r="P485">
        <v>173.67999999999998</v>
      </c>
      <c r="Q485">
        <v>174.57999999999998</v>
      </c>
      <c r="R485">
        <v>21.95</v>
      </c>
      <c r="S485">
        <v>21.349999999999998</v>
      </c>
      <c r="T485">
        <v>21.65</v>
      </c>
      <c r="U485">
        <v>13.74</v>
      </c>
      <c r="V485">
        <v>13.14</v>
      </c>
      <c r="W485">
        <v>13.440000000000001</v>
      </c>
      <c r="X485">
        <v>14.9</v>
      </c>
      <c r="Y485">
        <v>14.1</v>
      </c>
      <c r="Z485">
        <v>14.5</v>
      </c>
      <c r="AA485">
        <v>92.5</v>
      </c>
      <c r="AB485">
        <v>88.5</v>
      </c>
      <c r="AC485">
        <v>90.5</v>
      </c>
      <c r="AD485">
        <v>86.23</v>
      </c>
      <c r="AE485">
        <v>82.23</v>
      </c>
      <c r="AF485">
        <v>84.23</v>
      </c>
      <c r="AG485">
        <v>18.850000000000001</v>
      </c>
      <c r="AH485">
        <v>17.990000000000002</v>
      </c>
      <c r="AI485">
        <v>18.420000000000002</v>
      </c>
      <c r="AM485">
        <v>109.36</v>
      </c>
      <c r="AN485">
        <v>107.7</v>
      </c>
      <c r="AO485">
        <v>108.53</v>
      </c>
      <c r="AP485">
        <v>38.979999999999997</v>
      </c>
      <c r="AQ485">
        <v>37.379999999999995</v>
      </c>
      <c r="AR485">
        <v>38.179999999999993</v>
      </c>
      <c r="AS485">
        <v>39.659999999999997</v>
      </c>
      <c r="AT485">
        <v>38.299999999999997</v>
      </c>
      <c r="AU485">
        <v>38.979999999999997</v>
      </c>
      <c r="AV485">
        <v>19.809999999999999</v>
      </c>
      <c r="AW485">
        <v>19.209999999999997</v>
      </c>
      <c r="AX485">
        <v>19.509999999999998</v>
      </c>
      <c r="AY485">
        <v>4.3499999999999996</v>
      </c>
      <c r="AZ485">
        <v>4.1899999999999995</v>
      </c>
      <c r="BA485">
        <v>4.2699999999999996</v>
      </c>
      <c r="BB485">
        <v>1.83</v>
      </c>
      <c r="BC485">
        <v>1.53</v>
      </c>
      <c r="BD485">
        <v>1.6800000000000002</v>
      </c>
      <c r="BE485">
        <v>0.66</v>
      </c>
      <c r="BF485">
        <v>0.36000000000000004</v>
      </c>
      <c r="BG485">
        <v>0.51</v>
      </c>
      <c r="BH485">
        <v>476.32</v>
      </c>
      <c r="BI485">
        <v>460.32</v>
      </c>
      <c r="BJ485">
        <v>468.32</v>
      </c>
      <c r="BK485">
        <v>40.01</v>
      </c>
      <c r="BL485">
        <v>38.65</v>
      </c>
      <c r="BM485">
        <v>39.33</v>
      </c>
      <c r="BN485">
        <v>0.97</v>
      </c>
      <c r="BO485">
        <v>0.73</v>
      </c>
      <c r="BP485">
        <v>0.85</v>
      </c>
      <c r="BQ485">
        <v>8.11</v>
      </c>
      <c r="BR485">
        <v>6.1099999999999994</v>
      </c>
      <c r="BS485">
        <v>7.1099999999999994</v>
      </c>
      <c r="BT485">
        <v>10.210000000000001</v>
      </c>
      <c r="BU485">
        <v>9.81</v>
      </c>
      <c r="BV485">
        <v>10.010000000000002</v>
      </c>
      <c r="BW485">
        <v>2.69</v>
      </c>
      <c r="BX485">
        <v>2.41</v>
      </c>
      <c r="BY485">
        <v>2.5499999999999998</v>
      </c>
      <c r="BZ485">
        <v>9.01</v>
      </c>
      <c r="CA485">
        <v>6.01</v>
      </c>
      <c r="CB485">
        <v>7.51</v>
      </c>
      <c r="CC485">
        <v>6.56</v>
      </c>
      <c r="CD485">
        <v>6.3199999999999994</v>
      </c>
      <c r="CE485">
        <v>6.4399999999999995</v>
      </c>
      <c r="CF485">
        <v>1.96</v>
      </c>
      <c r="CG485">
        <v>1.46</v>
      </c>
      <c r="CH485">
        <v>1.71</v>
      </c>
      <c r="CI485">
        <v>0.42</v>
      </c>
      <c r="CJ485">
        <v>0.38</v>
      </c>
      <c r="CK485">
        <v>0.4</v>
      </c>
      <c r="CL485">
        <v>38.79</v>
      </c>
      <c r="CM485">
        <v>36.39</v>
      </c>
      <c r="CN485">
        <v>37.590000000000003</v>
      </c>
      <c r="CO485">
        <v>6.26</v>
      </c>
      <c r="CP485">
        <v>1.2599999999999998</v>
      </c>
      <c r="CQ485">
        <v>3.76</v>
      </c>
    </row>
    <row r="486" spans="1:95">
      <c r="A486" s="424">
        <v>45764</v>
      </c>
      <c r="B486" t="s">
        <v>250</v>
      </c>
      <c r="C486">
        <v>143.53</v>
      </c>
      <c r="D486">
        <v>141.53</v>
      </c>
      <c r="E486">
        <v>142.53</v>
      </c>
      <c r="F486">
        <v>163.57</v>
      </c>
      <c r="G486">
        <v>160.57</v>
      </c>
      <c r="H486">
        <v>162.07</v>
      </c>
      <c r="I486">
        <v>104.38</v>
      </c>
      <c r="J486">
        <v>101.17999999999999</v>
      </c>
      <c r="K486">
        <v>102.78</v>
      </c>
      <c r="L486">
        <v>192.38</v>
      </c>
      <c r="M486">
        <v>184.38</v>
      </c>
      <c r="N486">
        <v>188.38</v>
      </c>
      <c r="O486">
        <v>175.68</v>
      </c>
      <c r="P486">
        <v>173.88</v>
      </c>
      <c r="Q486">
        <v>174.78</v>
      </c>
      <c r="R486">
        <v>22</v>
      </c>
      <c r="S486">
        <v>21.4</v>
      </c>
      <c r="T486">
        <v>21.7</v>
      </c>
      <c r="U486">
        <v>13.78</v>
      </c>
      <c r="V486">
        <v>13.18</v>
      </c>
      <c r="W486">
        <v>13.48</v>
      </c>
      <c r="X486">
        <v>15</v>
      </c>
      <c r="Y486">
        <v>14.2</v>
      </c>
      <c r="Z486">
        <v>14.6</v>
      </c>
      <c r="AA486">
        <v>92.71</v>
      </c>
      <c r="AB486">
        <v>88.71</v>
      </c>
      <c r="AC486">
        <v>90.71</v>
      </c>
      <c r="AD486">
        <v>86.43</v>
      </c>
      <c r="AE486">
        <v>82.43</v>
      </c>
      <c r="AF486">
        <v>84.43</v>
      </c>
      <c r="AG486">
        <v>18.79</v>
      </c>
      <c r="AH486">
        <v>17.93</v>
      </c>
      <c r="AI486">
        <v>18.36</v>
      </c>
      <c r="AM486">
        <v>109.38</v>
      </c>
      <c r="AN486">
        <v>107.72</v>
      </c>
      <c r="AO486">
        <v>108.55</v>
      </c>
      <c r="AP486">
        <v>38.869999999999997</v>
      </c>
      <c r="AQ486">
        <v>37.269999999999996</v>
      </c>
      <c r="AR486">
        <v>38.069999999999993</v>
      </c>
      <c r="AS486">
        <v>39.549999999999997</v>
      </c>
      <c r="AT486">
        <v>38.19</v>
      </c>
      <c r="AU486">
        <v>38.869999999999997</v>
      </c>
      <c r="AV486">
        <v>19.8</v>
      </c>
      <c r="AW486">
        <v>19.2</v>
      </c>
      <c r="AX486">
        <v>19.5</v>
      </c>
      <c r="AY486">
        <v>4.38</v>
      </c>
      <c r="AZ486">
        <v>4.22</v>
      </c>
      <c r="BA486">
        <v>4.3</v>
      </c>
      <c r="BB486">
        <v>1.83</v>
      </c>
      <c r="BC486">
        <v>1.53</v>
      </c>
      <c r="BD486">
        <v>1.6800000000000002</v>
      </c>
      <c r="BE486">
        <v>0.66</v>
      </c>
      <c r="BF486">
        <v>0.36000000000000004</v>
      </c>
      <c r="BG486">
        <v>0.51</v>
      </c>
      <c r="BH486">
        <v>470.46</v>
      </c>
      <c r="BI486">
        <v>454.46</v>
      </c>
      <c r="BJ486">
        <v>462.46</v>
      </c>
      <c r="BK486">
        <v>39.9</v>
      </c>
      <c r="BL486">
        <v>38.54</v>
      </c>
      <c r="BM486">
        <v>39.22</v>
      </c>
      <c r="BN486">
        <v>0.97</v>
      </c>
      <c r="BO486">
        <v>0.73</v>
      </c>
      <c r="BP486">
        <v>0.85</v>
      </c>
      <c r="BQ486">
        <v>8.15</v>
      </c>
      <c r="BR486">
        <v>6.15</v>
      </c>
      <c r="BS486">
        <v>7.15</v>
      </c>
      <c r="BT486">
        <v>10.25</v>
      </c>
      <c r="BU486">
        <v>9.85</v>
      </c>
      <c r="BV486">
        <v>10.050000000000001</v>
      </c>
      <c r="BW486">
        <v>2.68</v>
      </c>
      <c r="BX486">
        <v>2.4000000000000004</v>
      </c>
      <c r="BY486">
        <v>2.54</v>
      </c>
      <c r="BZ486">
        <v>9.06</v>
      </c>
      <c r="CA486">
        <v>6.0600000000000005</v>
      </c>
      <c r="CB486">
        <v>7.5600000000000005</v>
      </c>
      <c r="CC486">
        <v>6.6</v>
      </c>
      <c r="CD486">
        <v>6.3599999999999994</v>
      </c>
      <c r="CE486">
        <v>6.4799999999999995</v>
      </c>
      <c r="CF486">
        <v>1.97</v>
      </c>
      <c r="CG486">
        <v>1.47</v>
      </c>
      <c r="CH486">
        <v>1.72</v>
      </c>
      <c r="CI486">
        <v>0.42</v>
      </c>
      <c r="CJ486">
        <v>0.38</v>
      </c>
      <c r="CK486">
        <v>0.4</v>
      </c>
      <c r="CL486">
        <v>39.11</v>
      </c>
      <c r="CM486">
        <v>36.71</v>
      </c>
      <c r="CN486">
        <v>37.909999999999997</v>
      </c>
      <c r="CO486">
        <v>6.24</v>
      </c>
      <c r="CP486">
        <v>1.2400000000000002</v>
      </c>
      <c r="CQ486">
        <v>3.74</v>
      </c>
    </row>
    <row r="487" spans="1:95">
      <c r="A487" s="424">
        <v>45765</v>
      </c>
      <c r="B487" t="s">
        <v>251</v>
      </c>
      <c r="C487">
        <v>143.46</v>
      </c>
      <c r="D487">
        <v>141.46</v>
      </c>
      <c r="E487">
        <v>142.46</v>
      </c>
      <c r="F487">
        <v>163.28</v>
      </c>
      <c r="G487">
        <v>160.28</v>
      </c>
      <c r="H487">
        <v>161.78</v>
      </c>
      <c r="I487">
        <v>104.48</v>
      </c>
      <c r="J487">
        <v>101.28</v>
      </c>
      <c r="K487">
        <v>102.88</v>
      </c>
      <c r="L487">
        <v>193.29</v>
      </c>
      <c r="M487">
        <v>185.29</v>
      </c>
      <c r="N487">
        <v>189.29</v>
      </c>
      <c r="O487">
        <v>174.65</v>
      </c>
      <c r="P487">
        <v>172.85</v>
      </c>
      <c r="Q487">
        <v>173.75</v>
      </c>
      <c r="R487">
        <v>21.97</v>
      </c>
      <c r="S487">
        <v>21.369999999999997</v>
      </c>
      <c r="T487">
        <v>21.669999999999998</v>
      </c>
      <c r="U487">
        <v>13.9</v>
      </c>
      <c r="V487">
        <v>13.3</v>
      </c>
      <c r="W487">
        <v>13.600000000000001</v>
      </c>
      <c r="X487">
        <v>15.19</v>
      </c>
      <c r="Y487">
        <v>14.389999999999999</v>
      </c>
      <c r="Z487">
        <v>14.79</v>
      </c>
      <c r="AA487">
        <v>93</v>
      </c>
      <c r="AB487">
        <v>89</v>
      </c>
      <c r="AC487">
        <v>91</v>
      </c>
      <c r="AD487">
        <v>87.06</v>
      </c>
      <c r="AE487">
        <v>83.06</v>
      </c>
      <c r="AF487">
        <v>85.06</v>
      </c>
      <c r="AG487">
        <v>18.78</v>
      </c>
      <c r="AH487">
        <v>17.920000000000002</v>
      </c>
      <c r="AI487">
        <v>18.350000000000001</v>
      </c>
      <c r="AM487">
        <v>109.55</v>
      </c>
      <c r="AN487">
        <v>107.89</v>
      </c>
      <c r="AO487">
        <v>108.72</v>
      </c>
      <c r="AP487">
        <v>38.85</v>
      </c>
      <c r="AQ487">
        <v>37.25</v>
      </c>
      <c r="AR487">
        <v>38.049999999999997</v>
      </c>
      <c r="AS487">
        <v>39.53</v>
      </c>
      <c r="AT487">
        <v>38.17</v>
      </c>
      <c r="AU487">
        <v>38.85</v>
      </c>
      <c r="AV487">
        <v>19.809999999999999</v>
      </c>
      <c r="AW487">
        <v>19.209999999999997</v>
      </c>
      <c r="AX487">
        <v>19.509999999999998</v>
      </c>
      <c r="AY487">
        <v>4.3600000000000003</v>
      </c>
      <c r="AZ487">
        <v>4.2</v>
      </c>
      <c r="BA487">
        <v>4.28</v>
      </c>
      <c r="BB487">
        <v>1.83</v>
      </c>
      <c r="BC487">
        <v>1.53</v>
      </c>
      <c r="BD487">
        <v>1.6800000000000002</v>
      </c>
      <c r="BE487">
        <v>0.66</v>
      </c>
      <c r="BF487">
        <v>0.36000000000000004</v>
      </c>
      <c r="BG487">
        <v>0.51</v>
      </c>
      <c r="BH487">
        <v>475.08</v>
      </c>
      <c r="BI487">
        <v>459.08</v>
      </c>
      <c r="BJ487">
        <v>467.08</v>
      </c>
      <c r="BK487">
        <v>39.89</v>
      </c>
      <c r="BL487">
        <v>38.53</v>
      </c>
      <c r="BM487">
        <v>39.21</v>
      </c>
      <c r="BN487">
        <v>0.97</v>
      </c>
      <c r="BO487">
        <v>0.73</v>
      </c>
      <c r="BP487">
        <v>0.85</v>
      </c>
      <c r="BQ487">
        <v>8.23</v>
      </c>
      <c r="BR487">
        <v>6.23</v>
      </c>
      <c r="BS487">
        <v>7.23</v>
      </c>
      <c r="BT487">
        <v>10.26</v>
      </c>
      <c r="BU487">
        <v>9.86</v>
      </c>
      <c r="BV487">
        <v>10.059999999999999</v>
      </c>
      <c r="BW487">
        <v>2.65</v>
      </c>
      <c r="BX487">
        <v>2.37</v>
      </c>
      <c r="BY487">
        <v>2.5099999999999998</v>
      </c>
      <c r="BZ487">
        <v>9.06</v>
      </c>
      <c r="CA487">
        <v>6.0600000000000005</v>
      </c>
      <c r="CB487">
        <v>7.5600000000000005</v>
      </c>
      <c r="CC487">
        <v>6.58</v>
      </c>
      <c r="CD487">
        <v>6.34</v>
      </c>
      <c r="CE487">
        <v>6.46</v>
      </c>
      <c r="CF487">
        <v>1.99</v>
      </c>
      <c r="CG487">
        <v>1.49</v>
      </c>
      <c r="CH487">
        <v>1.74</v>
      </c>
      <c r="CI487">
        <v>0.42</v>
      </c>
      <c r="CJ487">
        <v>0.38</v>
      </c>
      <c r="CK487">
        <v>0.4</v>
      </c>
      <c r="CL487">
        <v>39.1</v>
      </c>
      <c r="CM487">
        <v>36.700000000000003</v>
      </c>
      <c r="CN487">
        <v>37.900000000000006</v>
      </c>
      <c r="CO487">
        <v>6.26</v>
      </c>
      <c r="CP487">
        <v>1.2599999999999998</v>
      </c>
      <c r="CQ487">
        <v>3.76</v>
      </c>
    </row>
    <row r="488" spans="1:95">
      <c r="A488" s="424">
        <v>45766</v>
      </c>
      <c r="B488" t="s">
        <v>252</v>
      </c>
    </row>
    <row r="489" spans="1:95">
      <c r="A489" s="424">
        <v>45767</v>
      </c>
      <c r="B489" t="s">
        <v>253</v>
      </c>
    </row>
    <row r="490" spans="1:95">
      <c r="A490" s="424">
        <v>45768</v>
      </c>
      <c r="B490" t="s">
        <v>247</v>
      </c>
      <c r="C490">
        <v>142.24</v>
      </c>
      <c r="D490">
        <v>140.24</v>
      </c>
      <c r="E490">
        <v>141.24</v>
      </c>
      <c r="F490">
        <v>163.44999999999999</v>
      </c>
      <c r="G490">
        <v>160.44999999999999</v>
      </c>
      <c r="H490">
        <v>161.94999999999999</v>
      </c>
      <c r="I490">
        <v>103.81</v>
      </c>
      <c r="J490">
        <v>100.61</v>
      </c>
      <c r="K490">
        <v>102.21000000000001</v>
      </c>
      <c r="L490">
        <v>192.53</v>
      </c>
      <c r="M490">
        <v>184.53</v>
      </c>
      <c r="N490">
        <v>188.53</v>
      </c>
      <c r="O490">
        <v>174.91</v>
      </c>
      <c r="P490">
        <v>173.10999999999999</v>
      </c>
      <c r="Q490">
        <v>174.01</v>
      </c>
      <c r="R490">
        <v>21.99</v>
      </c>
      <c r="S490">
        <v>21.389999999999997</v>
      </c>
      <c r="T490">
        <v>21.689999999999998</v>
      </c>
      <c r="U490">
        <v>13.83</v>
      </c>
      <c r="V490">
        <v>13.23</v>
      </c>
      <c r="W490">
        <v>13.530000000000001</v>
      </c>
      <c r="X490">
        <v>15.18</v>
      </c>
      <c r="Y490">
        <v>14.379999999999999</v>
      </c>
      <c r="Z490">
        <v>14.78</v>
      </c>
      <c r="AA490">
        <v>92.17</v>
      </c>
      <c r="AB490">
        <v>88.17</v>
      </c>
      <c r="AC490">
        <v>90.17</v>
      </c>
      <c r="AD490">
        <v>86.15</v>
      </c>
      <c r="AE490">
        <v>82.15</v>
      </c>
      <c r="AF490">
        <v>84.15</v>
      </c>
      <c r="AG490">
        <v>18.63</v>
      </c>
      <c r="AH490">
        <v>17.77</v>
      </c>
      <c r="AI490">
        <v>18.2</v>
      </c>
      <c r="AM490">
        <v>108.96</v>
      </c>
      <c r="AN490">
        <v>107.3</v>
      </c>
      <c r="AO490">
        <v>108.13</v>
      </c>
      <c r="AP490">
        <v>38.520000000000003</v>
      </c>
      <c r="AQ490">
        <v>36.92</v>
      </c>
      <c r="AR490">
        <v>37.72</v>
      </c>
      <c r="AS490">
        <v>39.200000000000003</v>
      </c>
      <c r="AT490">
        <v>37.840000000000003</v>
      </c>
      <c r="AU490">
        <v>38.520000000000003</v>
      </c>
      <c r="AV490">
        <v>19.66</v>
      </c>
      <c r="AW490">
        <v>19.059999999999999</v>
      </c>
      <c r="AX490">
        <v>19.36</v>
      </c>
      <c r="AY490">
        <v>4.34</v>
      </c>
      <c r="AZ490">
        <v>4.18</v>
      </c>
      <c r="BA490">
        <v>4.26</v>
      </c>
      <c r="BB490">
        <v>1.81</v>
      </c>
      <c r="BC490">
        <v>1.51</v>
      </c>
      <c r="BD490">
        <v>1.6600000000000001</v>
      </c>
      <c r="BE490">
        <v>0.66</v>
      </c>
      <c r="BF490">
        <v>0.36000000000000004</v>
      </c>
      <c r="BG490">
        <v>0.51</v>
      </c>
      <c r="BH490">
        <v>471.08</v>
      </c>
      <c r="BI490">
        <v>455.08</v>
      </c>
      <c r="BJ490">
        <v>463.08</v>
      </c>
      <c r="BK490">
        <v>39.549999999999997</v>
      </c>
      <c r="BL490">
        <v>38.19</v>
      </c>
      <c r="BM490">
        <v>38.869999999999997</v>
      </c>
      <c r="BN490">
        <v>0.96</v>
      </c>
      <c r="BO490">
        <v>0.72</v>
      </c>
      <c r="BP490">
        <v>0.84</v>
      </c>
      <c r="BQ490">
        <v>8.17</v>
      </c>
      <c r="BR490">
        <v>6.17</v>
      </c>
      <c r="BS490">
        <v>7.17</v>
      </c>
      <c r="BT490">
        <v>10.16</v>
      </c>
      <c r="BU490">
        <v>9.76</v>
      </c>
      <c r="BV490">
        <v>9.9600000000000009</v>
      </c>
      <c r="BW490">
        <v>2.63</v>
      </c>
      <c r="BX490">
        <v>2.3499999999999996</v>
      </c>
      <c r="BY490">
        <v>2.4899999999999998</v>
      </c>
      <c r="BZ490">
        <v>9.02</v>
      </c>
      <c r="CA490">
        <v>6.02</v>
      </c>
      <c r="CB490">
        <v>7.52</v>
      </c>
      <c r="CC490">
        <v>6.59</v>
      </c>
      <c r="CD490">
        <v>6.35</v>
      </c>
      <c r="CE490">
        <v>6.47</v>
      </c>
      <c r="CF490">
        <v>1.97</v>
      </c>
      <c r="CG490">
        <v>1.47</v>
      </c>
      <c r="CH490">
        <v>1.72</v>
      </c>
      <c r="CI490">
        <v>0.42</v>
      </c>
      <c r="CJ490">
        <v>0.38</v>
      </c>
      <c r="CK490">
        <v>0.4</v>
      </c>
      <c r="CL490">
        <v>39.04</v>
      </c>
      <c r="CM490">
        <v>36.64</v>
      </c>
      <c r="CN490">
        <v>37.840000000000003</v>
      </c>
      <c r="CO490">
        <v>6.22</v>
      </c>
      <c r="CP490">
        <v>1.2199999999999998</v>
      </c>
      <c r="CQ490">
        <v>3.7199999999999998</v>
      </c>
    </row>
    <row r="491" spans="1:95">
      <c r="A491" s="424">
        <v>45769</v>
      </c>
      <c r="B491" t="s">
        <v>248</v>
      </c>
      <c r="C491">
        <v>141.96</v>
      </c>
      <c r="D491">
        <v>139.96</v>
      </c>
      <c r="E491">
        <v>140.96</v>
      </c>
      <c r="F491">
        <v>163.38</v>
      </c>
      <c r="G491">
        <v>160.38</v>
      </c>
      <c r="H491">
        <v>161.88</v>
      </c>
      <c r="I491">
        <v>103.39</v>
      </c>
      <c r="J491">
        <v>100.19</v>
      </c>
      <c r="K491">
        <v>101.78999999999999</v>
      </c>
      <c r="L491">
        <v>192.36</v>
      </c>
      <c r="M491">
        <v>184.36</v>
      </c>
      <c r="N491">
        <v>188.36</v>
      </c>
      <c r="O491">
        <v>174.56</v>
      </c>
      <c r="P491">
        <v>172.76</v>
      </c>
      <c r="Q491">
        <v>173.66</v>
      </c>
      <c r="R491">
        <v>21.98</v>
      </c>
      <c r="S491">
        <v>21.38</v>
      </c>
      <c r="T491">
        <v>21.68</v>
      </c>
      <c r="U491">
        <v>13.88</v>
      </c>
      <c r="V491">
        <v>13.280000000000001</v>
      </c>
      <c r="W491">
        <v>13.580000000000002</v>
      </c>
      <c r="X491">
        <v>15.17</v>
      </c>
      <c r="Y491">
        <v>14.37</v>
      </c>
      <c r="Z491">
        <v>14.77</v>
      </c>
      <c r="AA491">
        <v>92.24</v>
      </c>
      <c r="AB491">
        <v>88.24</v>
      </c>
      <c r="AC491">
        <v>90.24</v>
      </c>
      <c r="AD491">
        <v>86.31</v>
      </c>
      <c r="AE491">
        <v>82.31</v>
      </c>
      <c r="AF491">
        <v>84.31</v>
      </c>
      <c r="AG491">
        <v>18.59</v>
      </c>
      <c r="AH491">
        <v>17.73</v>
      </c>
      <c r="AI491">
        <v>18.16</v>
      </c>
      <c r="AM491">
        <v>108.63</v>
      </c>
      <c r="AN491">
        <v>106.97</v>
      </c>
      <c r="AO491">
        <v>107.8</v>
      </c>
      <c r="AP491">
        <v>38.450000000000003</v>
      </c>
      <c r="AQ491">
        <v>36.85</v>
      </c>
      <c r="AR491">
        <v>37.650000000000006</v>
      </c>
      <c r="AS491">
        <v>39.119999999999997</v>
      </c>
      <c r="AT491">
        <v>37.76</v>
      </c>
      <c r="AU491">
        <v>38.44</v>
      </c>
      <c r="AV491">
        <v>19.61</v>
      </c>
      <c r="AW491">
        <v>19.009999999999998</v>
      </c>
      <c r="AX491">
        <v>19.309999999999999</v>
      </c>
      <c r="AY491">
        <v>4.32</v>
      </c>
      <c r="AZ491">
        <v>4.16</v>
      </c>
      <c r="BA491">
        <v>4.24</v>
      </c>
      <c r="BB491">
        <v>1.82</v>
      </c>
      <c r="BC491">
        <v>1.52</v>
      </c>
      <c r="BD491">
        <v>1.67</v>
      </c>
      <c r="BE491">
        <v>0.66</v>
      </c>
      <c r="BF491">
        <v>0.36000000000000004</v>
      </c>
      <c r="BG491">
        <v>0.51</v>
      </c>
      <c r="BH491">
        <v>470.92</v>
      </c>
      <c r="BI491">
        <v>454.92</v>
      </c>
      <c r="BJ491">
        <v>462.92</v>
      </c>
      <c r="BK491">
        <v>39.47</v>
      </c>
      <c r="BL491">
        <v>38.11</v>
      </c>
      <c r="BM491">
        <v>38.79</v>
      </c>
      <c r="BN491">
        <v>0.96</v>
      </c>
      <c r="BO491">
        <v>0.72</v>
      </c>
      <c r="BP491">
        <v>0.84</v>
      </c>
      <c r="BQ491">
        <v>8.15</v>
      </c>
      <c r="BR491">
        <v>6.15</v>
      </c>
      <c r="BS491">
        <v>7.15</v>
      </c>
      <c r="BT491">
        <v>10.1</v>
      </c>
      <c r="BU491">
        <v>9.6999999999999993</v>
      </c>
      <c r="BV491">
        <v>9.8999999999999986</v>
      </c>
      <c r="BW491">
        <v>2.66</v>
      </c>
      <c r="BX491">
        <v>2.38</v>
      </c>
      <c r="BY491">
        <v>2.52</v>
      </c>
      <c r="BZ491">
        <v>9.02</v>
      </c>
      <c r="CA491">
        <v>6.02</v>
      </c>
      <c r="CB491">
        <v>7.52</v>
      </c>
      <c r="CC491">
        <v>6.59</v>
      </c>
      <c r="CD491">
        <v>6.35</v>
      </c>
      <c r="CE491">
        <v>6.47</v>
      </c>
      <c r="CF491">
        <v>1.99</v>
      </c>
      <c r="CG491">
        <v>1.49</v>
      </c>
      <c r="CH491">
        <v>1.74</v>
      </c>
      <c r="CI491">
        <v>0.42</v>
      </c>
      <c r="CJ491">
        <v>0.38</v>
      </c>
      <c r="CK491">
        <v>0.4</v>
      </c>
      <c r="CL491">
        <v>39.15</v>
      </c>
      <c r="CM491">
        <v>36.75</v>
      </c>
      <c r="CN491">
        <v>37.950000000000003</v>
      </c>
      <c r="CO491">
        <v>6.19</v>
      </c>
      <c r="CP491">
        <v>1.1900000000000004</v>
      </c>
      <c r="CQ491">
        <v>3.6900000000000004</v>
      </c>
    </row>
    <row r="492" spans="1:95">
      <c r="A492" s="424">
        <v>45770</v>
      </c>
      <c r="B492" t="s">
        <v>249</v>
      </c>
      <c r="C492">
        <v>143.1</v>
      </c>
      <c r="D492">
        <v>141.1</v>
      </c>
      <c r="E492">
        <v>142.1</v>
      </c>
      <c r="F492">
        <v>163.32</v>
      </c>
      <c r="G492">
        <v>160.32</v>
      </c>
      <c r="H492">
        <v>161.82</v>
      </c>
      <c r="I492">
        <v>104.36</v>
      </c>
      <c r="J492">
        <v>101.16</v>
      </c>
      <c r="K492">
        <v>102.75999999999999</v>
      </c>
      <c r="L492">
        <v>193.01</v>
      </c>
      <c r="M492">
        <v>185.01</v>
      </c>
      <c r="N492">
        <v>189.01</v>
      </c>
      <c r="O492">
        <v>173.48</v>
      </c>
      <c r="P492">
        <v>171.67999999999998</v>
      </c>
      <c r="Q492">
        <v>172.57999999999998</v>
      </c>
      <c r="R492">
        <v>21.97</v>
      </c>
      <c r="S492">
        <v>21.369999999999997</v>
      </c>
      <c r="T492">
        <v>21.669999999999998</v>
      </c>
      <c r="U492">
        <v>13.97</v>
      </c>
      <c r="V492">
        <v>13.370000000000001</v>
      </c>
      <c r="W492">
        <v>13.670000000000002</v>
      </c>
      <c r="X492">
        <v>15.22</v>
      </c>
      <c r="Y492">
        <v>14.42</v>
      </c>
      <c r="Z492">
        <v>14.82</v>
      </c>
      <c r="AA492">
        <v>92.87</v>
      </c>
      <c r="AB492">
        <v>88.87</v>
      </c>
      <c r="AC492">
        <v>90.87</v>
      </c>
      <c r="AD492">
        <v>86.99</v>
      </c>
      <c r="AE492">
        <v>82.99</v>
      </c>
      <c r="AF492">
        <v>84.99</v>
      </c>
      <c r="AG492">
        <v>18.75</v>
      </c>
      <c r="AH492">
        <v>17.89</v>
      </c>
      <c r="AI492">
        <v>18.32</v>
      </c>
      <c r="AM492">
        <v>109.16</v>
      </c>
      <c r="AN492">
        <v>107.5</v>
      </c>
      <c r="AO492">
        <v>108.33</v>
      </c>
      <c r="AP492">
        <v>38.76</v>
      </c>
      <c r="AQ492">
        <v>37.159999999999997</v>
      </c>
      <c r="AR492">
        <v>37.959999999999994</v>
      </c>
      <c r="AS492">
        <v>39.43</v>
      </c>
      <c r="AT492">
        <v>38.07</v>
      </c>
      <c r="AU492">
        <v>38.75</v>
      </c>
      <c r="AV492">
        <v>19.760000000000002</v>
      </c>
      <c r="AW492">
        <v>19.16</v>
      </c>
      <c r="AX492">
        <v>19.46</v>
      </c>
      <c r="AY492">
        <v>4.32</v>
      </c>
      <c r="AZ492">
        <v>4.16</v>
      </c>
      <c r="BA492">
        <v>4.24</v>
      </c>
      <c r="BB492">
        <v>1.83</v>
      </c>
      <c r="BC492">
        <v>1.53</v>
      </c>
      <c r="BD492">
        <v>1.6800000000000002</v>
      </c>
      <c r="BE492">
        <v>0.66</v>
      </c>
      <c r="BF492">
        <v>0.36000000000000004</v>
      </c>
      <c r="BG492">
        <v>0.51</v>
      </c>
      <c r="BH492">
        <v>475.28</v>
      </c>
      <c r="BI492">
        <v>459.28</v>
      </c>
      <c r="BJ492">
        <v>467.28</v>
      </c>
      <c r="BK492">
        <v>39.78</v>
      </c>
      <c r="BL492">
        <v>38.42</v>
      </c>
      <c r="BM492">
        <v>39.1</v>
      </c>
      <c r="BN492">
        <v>0.97</v>
      </c>
      <c r="BO492">
        <v>0.73</v>
      </c>
      <c r="BP492">
        <v>0.85</v>
      </c>
      <c r="BQ492">
        <v>8.25</v>
      </c>
      <c r="BR492">
        <v>6.25</v>
      </c>
      <c r="BS492">
        <v>7.25</v>
      </c>
      <c r="BT492">
        <v>10.16</v>
      </c>
      <c r="BU492">
        <v>9.76</v>
      </c>
      <c r="BV492">
        <v>9.9600000000000009</v>
      </c>
      <c r="BW492">
        <v>2.67</v>
      </c>
      <c r="BX492">
        <v>2.3899999999999997</v>
      </c>
      <c r="BY492">
        <v>2.5299999999999998</v>
      </c>
      <c r="BZ492">
        <v>9.16</v>
      </c>
      <c r="CA492">
        <v>6.16</v>
      </c>
      <c r="CB492">
        <v>7.66</v>
      </c>
      <c r="CC492">
        <v>6.58</v>
      </c>
      <c r="CD492">
        <v>6.34</v>
      </c>
      <c r="CE492">
        <v>6.46</v>
      </c>
      <c r="CF492">
        <v>2</v>
      </c>
      <c r="CG492">
        <v>1.5</v>
      </c>
      <c r="CH492">
        <v>1.75</v>
      </c>
      <c r="CI492">
        <v>0.42</v>
      </c>
      <c r="CJ492">
        <v>0.38</v>
      </c>
      <c r="CK492">
        <v>0.4</v>
      </c>
      <c r="CL492">
        <v>39.020000000000003</v>
      </c>
      <c r="CM492">
        <v>36.620000000000005</v>
      </c>
      <c r="CN492">
        <v>37.820000000000007</v>
      </c>
      <c r="CO492">
        <v>6.22</v>
      </c>
      <c r="CP492">
        <v>1.2199999999999998</v>
      </c>
      <c r="CQ492">
        <v>3.7199999999999998</v>
      </c>
    </row>
    <row r="493" spans="1:95">
      <c r="A493" s="424">
        <v>45771</v>
      </c>
      <c r="B493" t="s">
        <v>250</v>
      </c>
      <c r="C493">
        <v>143.96</v>
      </c>
      <c r="D493">
        <v>141.96</v>
      </c>
      <c r="E493">
        <v>142.96</v>
      </c>
      <c r="F493">
        <v>163.6</v>
      </c>
      <c r="G493">
        <v>160.6</v>
      </c>
      <c r="H493">
        <v>162.1</v>
      </c>
      <c r="I493">
        <v>104.67</v>
      </c>
      <c r="J493">
        <v>101.47</v>
      </c>
      <c r="K493">
        <v>103.07</v>
      </c>
      <c r="L493">
        <v>193.82</v>
      </c>
      <c r="M493">
        <v>185.82</v>
      </c>
      <c r="N493">
        <v>189.82</v>
      </c>
      <c r="O493">
        <v>173.37</v>
      </c>
      <c r="P493">
        <v>171.57</v>
      </c>
      <c r="Q493">
        <v>172.47</v>
      </c>
      <c r="R493">
        <v>22.01</v>
      </c>
      <c r="S493">
        <v>21.41</v>
      </c>
      <c r="T493">
        <v>21.71</v>
      </c>
      <c r="U493">
        <v>13.89</v>
      </c>
      <c r="V493">
        <v>13.290000000000001</v>
      </c>
      <c r="W493">
        <v>13.59</v>
      </c>
      <c r="X493">
        <v>15.18</v>
      </c>
      <c r="Y493">
        <v>14.379999999999999</v>
      </c>
      <c r="Z493">
        <v>14.78</v>
      </c>
      <c r="AA493">
        <v>92.97</v>
      </c>
      <c r="AB493">
        <v>88.97</v>
      </c>
      <c r="AC493">
        <v>90.97</v>
      </c>
      <c r="AD493">
        <v>87.03</v>
      </c>
      <c r="AE493">
        <v>83.03</v>
      </c>
      <c r="AF493">
        <v>85.03</v>
      </c>
      <c r="AG493">
        <v>18.850000000000001</v>
      </c>
      <c r="AH493">
        <v>17.990000000000002</v>
      </c>
      <c r="AI493">
        <v>18.420000000000002</v>
      </c>
      <c r="AM493">
        <v>109.53</v>
      </c>
      <c r="AN493">
        <v>107.87</v>
      </c>
      <c r="AO493">
        <v>108.7</v>
      </c>
      <c r="AP493">
        <v>38.99</v>
      </c>
      <c r="AQ493">
        <v>37.39</v>
      </c>
      <c r="AR493">
        <v>38.19</v>
      </c>
      <c r="AS493">
        <v>39.67</v>
      </c>
      <c r="AT493">
        <v>38.31</v>
      </c>
      <c r="AU493">
        <v>38.99</v>
      </c>
      <c r="AV493">
        <v>19.89</v>
      </c>
      <c r="AW493">
        <v>19.29</v>
      </c>
      <c r="AX493">
        <v>19.59</v>
      </c>
      <c r="AY493">
        <v>4.3499999999999996</v>
      </c>
      <c r="AZ493">
        <v>4.1899999999999995</v>
      </c>
      <c r="BA493">
        <v>4.2699999999999996</v>
      </c>
      <c r="BB493">
        <v>1.84</v>
      </c>
      <c r="BC493">
        <v>1.54</v>
      </c>
      <c r="BD493">
        <v>1.69</v>
      </c>
      <c r="BE493">
        <v>0.66</v>
      </c>
      <c r="BF493">
        <v>0.36000000000000004</v>
      </c>
      <c r="BG493">
        <v>0.51</v>
      </c>
      <c r="BH493">
        <v>476.72</v>
      </c>
      <c r="BI493">
        <v>460.72</v>
      </c>
      <c r="BJ493">
        <v>468.72</v>
      </c>
      <c r="BK493">
        <v>40.020000000000003</v>
      </c>
      <c r="BL493">
        <v>38.660000000000004</v>
      </c>
      <c r="BM493">
        <v>39.340000000000003</v>
      </c>
      <c r="BN493">
        <v>0.97</v>
      </c>
      <c r="BO493">
        <v>0.73</v>
      </c>
      <c r="BP493">
        <v>0.85</v>
      </c>
      <c r="BQ493">
        <v>8.2899999999999991</v>
      </c>
      <c r="BR493">
        <v>6.2899999999999991</v>
      </c>
      <c r="BS493">
        <v>7.2899999999999991</v>
      </c>
      <c r="BT493">
        <v>10.23</v>
      </c>
      <c r="BU493">
        <v>9.83</v>
      </c>
      <c r="BV493">
        <v>10.030000000000001</v>
      </c>
      <c r="BW493">
        <v>2.7</v>
      </c>
      <c r="BX493">
        <v>2.42</v>
      </c>
      <c r="BY493">
        <v>2.56</v>
      </c>
      <c r="BZ493">
        <v>9.17</v>
      </c>
      <c r="CA493">
        <v>6.17</v>
      </c>
      <c r="CB493">
        <v>7.67</v>
      </c>
      <c r="CC493">
        <v>6.61</v>
      </c>
      <c r="CD493">
        <v>6.37</v>
      </c>
      <c r="CE493">
        <v>6.49</v>
      </c>
      <c r="CF493">
        <v>1.98</v>
      </c>
      <c r="CG493">
        <v>1.48</v>
      </c>
      <c r="CH493">
        <v>1.73</v>
      </c>
      <c r="CI493">
        <v>0.42</v>
      </c>
      <c r="CJ493">
        <v>0.38</v>
      </c>
      <c r="CK493">
        <v>0.4</v>
      </c>
      <c r="CL493">
        <v>39.01</v>
      </c>
      <c r="CM493">
        <v>36.61</v>
      </c>
      <c r="CN493">
        <v>37.81</v>
      </c>
      <c r="CO493">
        <v>6.24</v>
      </c>
      <c r="CP493">
        <v>1.2400000000000002</v>
      </c>
      <c r="CQ493">
        <v>3.74</v>
      </c>
    </row>
    <row r="494" spans="1:95">
      <c r="A494" s="424">
        <v>45772</v>
      </c>
      <c r="B494" t="s">
        <v>251</v>
      </c>
      <c r="C494">
        <v>144.11000000000001</v>
      </c>
      <c r="D494">
        <v>142.11000000000001</v>
      </c>
      <c r="E494">
        <v>143.11000000000001</v>
      </c>
      <c r="F494">
        <v>164.02</v>
      </c>
      <c r="G494">
        <v>161.02000000000001</v>
      </c>
      <c r="H494">
        <v>162.52000000000001</v>
      </c>
      <c r="I494">
        <v>104.8</v>
      </c>
      <c r="J494">
        <v>101.6</v>
      </c>
      <c r="K494">
        <v>103.19999999999999</v>
      </c>
      <c r="L494">
        <v>194.52</v>
      </c>
      <c r="M494">
        <v>186.52</v>
      </c>
      <c r="N494">
        <v>190.52</v>
      </c>
      <c r="O494">
        <v>173.26</v>
      </c>
      <c r="P494">
        <v>171.45999999999998</v>
      </c>
      <c r="Q494">
        <v>172.35999999999999</v>
      </c>
      <c r="R494">
        <v>22.07</v>
      </c>
      <c r="S494">
        <v>21.47</v>
      </c>
      <c r="T494">
        <v>21.77</v>
      </c>
      <c r="U494">
        <v>14.04</v>
      </c>
      <c r="V494">
        <v>13.44</v>
      </c>
      <c r="W494">
        <v>13.739999999999998</v>
      </c>
      <c r="X494">
        <v>15.26</v>
      </c>
      <c r="Y494">
        <v>14.459999999999999</v>
      </c>
      <c r="Z494">
        <v>14.86</v>
      </c>
      <c r="AA494">
        <v>93.62</v>
      </c>
      <c r="AB494">
        <v>89.62</v>
      </c>
      <c r="AC494">
        <v>91.62</v>
      </c>
      <c r="AD494">
        <v>87.67</v>
      </c>
      <c r="AE494">
        <v>83.67</v>
      </c>
      <c r="AF494">
        <v>85.67</v>
      </c>
      <c r="AG494">
        <v>18.87</v>
      </c>
      <c r="AH494">
        <v>18.010000000000002</v>
      </c>
      <c r="AI494">
        <v>18.440000000000001</v>
      </c>
      <c r="AM494">
        <v>109.86</v>
      </c>
      <c r="AN494">
        <v>108.2</v>
      </c>
      <c r="AO494">
        <v>109.03</v>
      </c>
      <c r="AP494">
        <v>39.03</v>
      </c>
      <c r="AQ494">
        <v>37.43</v>
      </c>
      <c r="AR494">
        <v>38.230000000000004</v>
      </c>
      <c r="AS494">
        <v>39.71</v>
      </c>
      <c r="AT494">
        <v>38.35</v>
      </c>
      <c r="AU494">
        <v>39.03</v>
      </c>
      <c r="AV494">
        <v>19.920000000000002</v>
      </c>
      <c r="AW494">
        <v>19.32</v>
      </c>
      <c r="AX494">
        <v>19.62</v>
      </c>
      <c r="AY494">
        <v>4.37</v>
      </c>
      <c r="AZ494">
        <v>4.21</v>
      </c>
      <c r="BA494">
        <v>4.29</v>
      </c>
      <c r="BB494">
        <v>1.84</v>
      </c>
      <c r="BC494">
        <v>1.54</v>
      </c>
      <c r="BD494">
        <v>1.69</v>
      </c>
      <c r="BE494">
        <v>0.66</v>
      </c>
      <c r="BF494">
        <v>0.36000000000000004</v>
      </c>
      <c r="BG494">
        <v>0.51</v>
      </c>
      <c r="BH494">
        <v>477.06</v>
      </c>
      <c r="BI494">
        <v>461.06</v>
      </c>
      <c r="BJ494">
        <v>469.06</v>
      </c>
      <c r="BK494">
        <v>40.06</v>
      </c>
      <c r="BL494">
        <v>38.700000000000003</v>
      </c>
      <c r="BM494">
        <v>39.380000000000003</v>
      </c>
      <c r="BN494">
        <v>0.97</v>
      </c>
      <c r="BO494">
        <v>0.73</v>
      </c>
      <c r="BP494">
        <v>0.85</v>
      </c>
      <c r="BQ494">
        <v>8.31</v>
      </c>
      <c r="BR494">
        <v>6.3100000000000005</v>
      </c>
      <c r="BS494">
        <v>7.3100000000000005</v>
      </c>
      <c r="BT494">
        <v>10.199999999999999</v>
      </c>
      <c r="BU494">
        <v>9.7999999999999989</v>
      </c>
      <c r="BV494">
        <v>10</v>
      </c>
      <c r="BW494">
        <v>2.7</v>
      </c>
      <c r="BX494">
        <v>2.42</v>
      </c>
      <c r="BY494">
        <v>2.56</v>
      </c>
      <c r="BZ494">
        <v>9.11</v>
      </c>
      <c r="CA494">
        <v>6.1099999999999994</v>
      </c>
      <c r="CB494">
        <v>7.6099999999999994</v>
      </c>
      <c r="CC494">
        <v>6.64</v>
      </c>
      <c r="CD494">
        <v>6.3999999999999995</v>
      </c>
      <c r="CE494">
        <v>6.52</v>
      </c>
      <c r="CF494">
        <v>1.98</v>
      </c>
      <c r="CG494">
        <v>1.48</v>
      </c>
      <c r="CH494">
        <v>1.73</v>
      </c>
      <c r="CI494">
        <v>0.42</v>
      </c>
      <c r="CJ494">
        <v>0.38</v>
      </c>
      <c r="CK494">
        <v>0.4</v>
      </c>
      <c r="CL494">
        <v>39.229999999999997</v>
      </c>
      <c r="CM494">
        <v>36.83</v>
      </c>
      <c r="CN494">
        <v>38.03</v>
      </c>
      <c r="CO494">
        <v>6.24</v>
      </c>
      <c r="CP494">
        <v>1.2400000000000002</v>
      </c>
      <c r="CQ494">
        <v>3.74</v>
      </c>
    </row>
    <row r="495" spans="1:95">
      <c r="A495" s="424">
        <v>45773</v>
      </c>
      <c r="B495" t="s">
        <v>252</v>
      </c>
    </row>
    <row r="496" spans="1:95">
      <c r="A496" s="424">
        <v>45774</v>
      </c>
      <c r="B496" t="s">
        <v>253</v>
      </c>
    </row>
    <row r="497" spans="1:95">
      <c r="A497" s="424">
        <v>45775</v>
      </c>
      <c r="B497" t="s">
        <v>247</v>
      </c>
      <c r="C497">
        <v>144.66</v>
      </c>
      <c r="D497">
        <v>142.66</v>
      </c>
      <c r="E497">
        <v>143.66</v>
      </c>
      <c r="F497">
        <v>164.64</v>
      </c>
      <c r="G497">
        <v>161.63999999999999</v>
      </c>
      <c r="H497">
        <v>163.13999999999999</v>
      </c>
      <c r="I497">
        <v>105.12</v>
      </c>
      <c r="J497">
        <v>101.92</v>
      </c>
      <c r="K497">
        <v>103.52000000000001</v>
      </c>
      <c r="L497">
        <v>195.02</v>
      </c>
      <c r="M497">
        <v>187.02</v>
      </c>
      <c r="N497">
        <v>191.02</v>
      </c>
      <c r="O497">
        <v>174.42</v>
      </c>
      <c r="P497">
        <v>172.61999999999998</v>
      </c>
      <c r="Q497">
        <v>173.51999999999998</v>
      </c>
      <c r="R497">
        <v>22.16</v>
      </c>
      <c r="S497">
        <v>21.56</v>
      </c>
      <c r="T497">
        <v>21.86</v>
      </c>
      <c r="U497">
        <v>14.05</v>
      </c>
      <c r="V497">
        <v>13.450000000000001</v>
      </c>
      <c r="W497">
        <v>13.75</v>
      </c>
      <c r="X497">
        <v>15.24</v>
      </c>
      <c r="Y497">
        <v>14.44</v>
      </c>
      <c r="Z497">
        <v>14.84</v>
      </c>
      <c r="AA497">
        <v>93.76</v>
      </c>
      <c r="AB497">
        <v>89.76</v>
      </c>
      <c r="AC497">
        <v>91.76</v>
      </c>
      <c r="AD497">
        <v>87.51</v>
      </c>
      <c r="AE497">
        <v>83.51</v>
      </c>
      <c r="AF497">
        <v>85.51</v>
      </c>
      <c r="AG497">
        <v>18.95</v>
      </c>
      <c r="AH497">
        <v>18.09</v>
      </c>
      <c r="AI497">
        <v>18.52</v>
      </c>
      <c r="AM497">
        <v>110.05</v>
      </c>
      <c r="AN497">
        <v>108.39</v>
      </c>
      <c r="AO497">
        <v>109.22</v>
      </c>
      <c r="AP497">
        <v>39.19</v>
      </c>
      <c r="AQ497">
        <v>37.589999999999996</v>
      </c>
      <c r="AR497">
        <v>38.39</v>
      </c>
      <c r="AS497">
        <v>39.86</v>
      </c>
      <c r="AT497">
        <v>38.5</v>
      </c>
      <c r="AU497">
        <v>39.18</v>
      </c>
      <c r="AV497">
        <v>20</v>
      </c>
      <c r="AW497">
        <v>19.399999999999999</v>
      </c>
      <c r="AX497">
        <v>19.7</v>
      </c>
      <c r="AY497">
        <v>4.3600000000000003</v>
      </c>
      <c r="AZ497">
        <v>4.2</v>
      </c>
      <c r="BA497">
        <v>4.28</v>
      </c>
      <c r="BB497">
        <v>1.84</v>
      </c>
      <c r="BC497">
        <v>1.54</v>
      </c>
      <c r="BD497">
        <v>1.69</v>
      </c>
      <c r="BE497">
        <v>0.67</v>
      </c>
      <c r="BF497">
        <v>0.37000000000000005</v>
      </c>
      <c r="BG497">
        <v>0.52</v>
      </c>
      <c r="BH497">
        <v>478.86</v>
      </c>
      <c r="BI497">
        <v>462.86</v>
      </c>
      <c r="BJ497">
        <v>470.86</v>
      </c>
      <c r="BK497">
        <v>40.21</v>
      </c>
      <c r="BL497">
        <v>38.85</v>
      </c>
      <c r="BM497">
        <v>39.53</v>
      </c>
      <c r="BN497">
        <v>0.98</v>
      </c>
      <c r="BO497">
        <v>0.74</v>
      </c>
      <c r="BP497">
        <v>0.86</v>
      </c>
      <c r="BQ497">
        <v>8.36</v>
      </c>
      <c r="BR497">
        <v>6.3599999999999994</v>
      </c>
      <c r="BS497">
        <v>7.3599999999999994</v>
      </c>
      <c r="BT497">
        <v>10.210000000000001</v>
      </c>
      <c r="BU497">
        <v>9.81</v>
      </c>
      <c r="BV497">
        <v>10.010000000000002</v>
      </c>
      <c r="BW497">
        <v>2.72</v>
      </c>
      <c r="BX497">
        <v>2.4400000000000004</v>
      </c>
      <c r="BY497">
        <v>2.58</v>
      </c>
      <c r="BZ497">
        <v>9.19</v>
      </c>
      <c r="CA497">
        <v>6.1899999999999995</v>
      </c>
      <c r="CB497">
        <v>7.6899999999999995</v>
      </c>
      <c r="CC497">
        <v>6.66</v>
      </c>
      <c r="CD497">
        <v>6.42</v>
      </c>
      <c r="CE497">
        <v>6.54</v>
      </c>
      <c r="CF497">
        <v>1.99</v>
      </c>
      <c r="CG497">
        <v>1.49</v>
      </c>
      <c r="CH497">
        <v>1.74</v>
      </c>
      <c r="CI497">
        <v>0.42</v>
      </c>
      <c r="CJ497">
        <v>0.38</v>
      </c>
      <c r="CK497">
        <v>0.4</v>
      </c>
      <c r="CL497">
        <v>39.42</v>
      </c>
      <c r="CM497">
        <v>37.020000000000003</v>
      </c>
      <c r="CN497">
        <v>38.22</v>
      </c>
      <c r="CO497">
        <v>6.25</v>
      </c>
      <c r="CP497">
        <v>1.25</v>
      </c>
      <c r="CQ497">
        <v>3.75</v>
      </c>
    </row>
    <row r="498" spans="1:95">
      <c r="A498" s="424">
        <v>45776</v>
      </c>
      <c r="B498" t="s">
        <v>248</v>
      </c>
    </row>
    <row r="499" spans="1:95">
      <c r="A499" s="424">
        <v>45777</v>
      </c>
      <c r="B499" t="s">
        <v>249</v>
      </c>
      <c r="C499">
        <v>143.57</v>
      </c>
      <c r="D499">
        <v>141.57</v>
      </c>
      <c r="E499">
        <v>142.57</v>
      </c>
      <c r="F499">
        <v>163.66999999999999</v>
      </c>
      <c r="G499">
        <v>160.66999999999999</v>
      </c>
      <c r="H499">
        <v>162.16999999999999</v>
      </c>
      <c r="I499">
        <v>104.65</v>
      </c>
      <c r="J499">
        <v>101.45</v>
      </c>
      <c r="K499">
        <v>103.05000000000001</v>
      </c>
      <c r="L499">
        <v>195.09</v>
      </c>
      <c r="M499">
        <v>187.09</v>
      </c>
      <c r="N499">
        <v>191.09</v>
      </c>
      <c r="O499">
        <v>173.77</v>
      </c>
      <c r="P499">
        <v>171.97</v>
      </c>
      <c r="Q499">
        <v>172.87</v>
      </c>
      <c r="R499">
        <v>22.03</v>
      </c>
      <c r="S499">
        <v>21.43</v>
      </c>
      <c r="T499">
        <v>21.73</v>
      </c>
      <c r="U499">
        <v>14.02</v>
      </c>
      <c r="V499">
        <v>13.42</v>
      </c>
      <c r="W499">
        <v>13.719999999999999</v>
      </c>
      <c r="X499">
        <v>15.18</v>
      </c>
      <c r="Y499">
        <v>14.379999999999999</v>
      </c>
      <c r="Z499">
        <v>14.78</v>
      </c>
      <c r="AA499">
        <v>92.96</v>
      </c>
      <c r="AB499">
        <v>88.96</v>
      </c>
      <c r="AC499">
        <v>90.96</v>
      </c>
      <c r="AD499">
        <v>86.5</v>
      </c>
      <c r="AE499">
        <v>82.5</v>
      </c>
      <c r="AF499">
        <v>84.5</v>
      </c>
      <c r="AG499">
        <v>18.8</v>
      </c>
      <c r="AH499">
        <v>17.940000000000001</v>
      </c>
      <c r="AI499">
        <v>18.37</v>
      </c>
      <c r="AM499">
        <v>109.78</v>
      </c>
      <c r="AN499">
        <v>108.12</v>
      </c>
      <c r="AO499">
        <v>108.95</v>
      </c>
      <c r="AP499">
        <v>38.89</v>
      </c>
      <c r="AQ499">
        <v>37.29</v>
      </c>
      <c r="AR499">
        <v>38.090000000000003</v>
      </c>
      <c r="AS499">
        <v>39.56</v>
      </c>
      <c r="AT499">
        <v>38.200000000000003</v>
      </c>
      <c r="AU499">
        <v>38.880000000000003</v>
      </c>
      <c r="AV499">
        <v>19.91</v>
      </c>
      <c r="AW499">
        <v>19.309999999999999</v>
      </c>
      <c r="AX499">
        <v>19.61</v>
      </c>
      <c r="AY499">
        <v>4.33</v>
      </c>
      <c r="AZ499">
        <v>4.17</v>
      </c>
      <c r="BA499">
        <v>4.25</v>
      </c>
      <c r="BB499">
        <v>1.83</v>
      </c>
      <c r="BC499">
        <v>1.53</v>
      </c>
      <c r="BD499">
        <v>1.6800000000000002</v>
      </c>
      <c r="BE499">
        <v>0.66</v>
      </c>
      <c r="BF499">
        <v>0.36000000000000004</v>
      </c>
      <c r="BG499">
        <v>0.51</v>
      </c>
      <c r="BH499">
        <v>475.9</v>
      </c>
      <c r="BI499">
        <v>459.9</v>
      </c>
      <c r="BJ499">
        <v>467.9</v>
      </c>
      <c r="BK499">
        <v>39.909999999999997</v>
      </c>
      <c r="BL499">
        <v>38.549999999999997</v>
      </c>
      <c r="BM499">
        <v>39.229999999999997</v>
      </c>
      <c r="BN499">
        <v>0.97</v>
      </c>
      <c r="BO499">
        <v>0.73</v>
      </c>
      <c r="BP499">
        <v>0.85</v>
      </c>
      <c r="BQ499">
        <v>8.2899999999999991</v>
      </c>
      <c r="BR499">
        <v>6.2899999999999991</v>
      </c>
      <c r="BS499">
        <v>7.2899999999999991</v>
      </c>
      <c r="BT499">
        <v>10.210000000000001</v>
      </c>
      <c r="BU499">
        <v>9.81</v>
      </c>
      <c r="BV499">
        <v>10.010000000000002</v>
      </c>
      <c r="BW499">
        <v>2.71</v>
      </c>
      <c r="BX499">
        <v>2.4299999999999997</v>
      </c>
      <c r="BY499">
        <v>2.57</v>
      </c>
      <c r="BZ499">
        <v>9.17</v>
      </c>
      <c r="CA499">
        <v>6.17</v>
      </c>
      <c r="CB499">
        <v>7.67</v>
      </c>
      <c r="CC499">
        <v>6.64</v>
      </c>
      <c r="CD499">
        <v>6.3999999999999995</v>
      </c>
      <c r="CE499">
        <v>6.52</v>
      </c>
      <c r="CF499">
        <v>2</v>
      </c>
      <c r="CG499">
        <v>1.5</v>
      </c>
      <c r="CH499">
        <v>1.75</v>
      </c>
      <c r="CI499">
        <v>0.42</v>
      </c>
      <c r="CJ499">
        <v>0.38</v>
      </c>
      <c r="CK499">
        <v>0.4</v>
      </c>
      <c r="CL499">
        <v>39.229999999999997</v>
      </c>
      <c r="CM499">
        <v>36.83</v>
      </c>
      <c r="CN499">
        <v>38.03</v>
      </c>
      <c r="CO499">
        <v>6.21</v>
      </c>
      <c r="CP499">
        <v>1.21</v>
      </c>
      <c r="CQ499">
        <v>3.71</v>
      </c>
    </row>
    <row r="500" spans="1:95">
      <c r="A500" s="424">
        <v>45778</v>
      </c>
      <c r="B500" t="s">
        <v>250</v>
      </c>
      <c r="C500">
        <v>144.06</v>
      </c>
      <c r="D500">
        <v>142.06</v>
      </c>
      <c r="E500">
        <v>143.06</v>
      </c>
      <c r="F500">
        <v>163.41999999999999</v>
      </c>
      <c r="G500">
        <v>160.41999999999999</v>
      </c>
      <c r="H500">
        <v>161.91999999999999</v>
      </c>
      <c r="I500">
        <v>105.35</v>
      </c>
      <c r="J500">
        <v>102.14999999999999</v>
      </c>
      <c r="K500">
        <v>103.75</v>
      </c>
      <c r="L500">
        <v>194.57</v>
      </c>
      <c r="M500">
        <v>186.57</v>
      </c>
      <c r="N500">
        <v>190.57</v>
      </c>
      <c r="O500">
        <v>173.93</v>
      </c>
      <c r="P500">
        <v>172.13</v>
      </c>
      <c r="Q500">
        <v>173.03</v>
      </c>
      <c r="R500">
        <v>21.99</v>
      </c>
      <c r="S500">
        <v>21.389999999999997</v>
      </c>
      <c r="T500">
        <v>21.689999999999998</v>
      </c>
      <c r="U500">
        <v>14.04</v>
      </c>
      <c r="V500">
        <v>13.44</v>
      </c>
      <c r="W500">
        <v>13.739999999999998</v>
      </c>
      <c r="X500">
        <v>15.19</v>
      </c>
      <c r="Y500">
        <v>14.389999999999999</v>
      </c>
      <c r="Z500">
        <v>14.79</v>
      </c>
      <c r="AA500">
        <v>93.72</v>
      </c>
      <c r="AB500">
        <v>89.72</v>
      </c>
      <c r="AC500">
        <v>91.72</v>
      </c>
      <c r="AD500">
        <v>87.02</v>
      </c>
      <c r="AE500">
        <v>83.02</v>
      </c>
      <c r="AF500">
        <v>85.02</v>
      </c>
      <c r="AG500">
        <v>18.87</v>
      </c>
      <c r="AH500">
        <v>18.010000000000002</v>
      </c>
      <c r="AI500">
        <v>18.440000000000001</v>
      </c>
      <c r="AM500">
        <v>110.31</v>
      </c>
      <c r="AN500">
        <v>108.65</v>
      </c>
      <c r="AO500">
        <v>109.48</v>
      </c>
      <c r="AP500">
        <v>39.03</v>
      </c>
      <c r="AQ500">
        <v>37.43</v>
      </c>
      <c r="AR500">
        <v>38.230000000000004</v>
      </c>
      <c r="AS500">
        <v>39.69</v>
      </c>
      <c r="AT500">
        <v>38.33</v>
      </c>
      <c r="AU500">
        <v>39.01</v>
      </c>
      <c r="AV500">
        <v>19.96</v>
      </c>
      <c r="AW500">
        <v>19.36</v>
      </c>
      <c r="AX500">
        <v>19.66</v>
      </c>
      <c r="AY500">
        <v>4.3499999999999996</v>
      </c>
      <c r="AZ500">
        <v>4.1899999999999995</v>
      </c>
      <c r="BA500">
        <v>4.2699999999999996</v>
      </c>
      <c r="BB500">
        <v>1.85</v>
      </c>
      <c r="BC500">
        <v>1.55</v>
      </c>
      <c r="BD500">
        <v>1.7000000000000002</v>
      </c>
      <c r="BE500">
        <v>0.66</v>
      </c>
      <c r="BF500">
        <v>0.36000000000000004</v>
      </c>
      <c r="BG500">
        <v>0.51</v>
      </c>
      <c r="BH500">
        <v>477.2</v>
      </c>
      <c r="BI500">
        <v>461.2</v>
      </c>
      <c r="BJ500">
        <v>469.2</v>
      </c>
      <c r="BK500">
        <v>40.049999999999997</v>
      </c>
      <c r="BL500">
        <v>38.69</v>
      </c>
      <c r="BM500">
        <v>39.369999999999997</v>
      </c>
      <c r="BN500">
        <v>0.99</v>
      </c>
      <c r="BO500">
        <v>0.75</v>
      </c>
      <c r="BP500">
        <v>0.87</v>
      </c>
      <c r="BQ500">
        <v>8.3000000000000007</v>
      </c>
      <c r="BR500">
        <v>6.3000000000000007</v>
      </c>
      <c r="BS500">
        <v>7.3000000000000007</v>
      </c>
      <c r="BT500">
        <v>10.27</v>
      </c>
      <c r="BU500">
        <v>9.8699999999999992</v>
      </c>
      <c r="BV500">
        <v>10.07</v>
      </c>
      <c r="BW500">
        <v>2.73</v>
      </c>
      <c r="BX500">
        <v>2.4500000000000002</v>
      </c>
      <c r="BY500">
        <v>2.59</v>
      </c>
      <c r="BZ500">
        <v>9.1999999999999993</v>
      </c>
      <c r="CA500">
        <v>6.1999999999999993</v>
      </c>
      <c r="CB500">
        <v>7.6999999999999993</v>
      </c>
      <c r="CC500">
        <v>6.62</v>
      </c>
      <c r="CD500">
        <v>6.38</v>
      </c>
      <c r="CE500">
        <v>6.5</v>
      </c>
      <c r="CF500">
        <v>2</v>
      </c>
      <c r="CG500">
        <v>1.5</v>
      </c>
      <c r="CH500">
        <v>1.75</v>
      </c>
      <c r="CI500">
        <v>0.42</v>
      </c>
      <c r="CJ500">
        <v>0.38</v>
      </c>
      <c r="CK500">
        <v>0.4</v>
      </c>
      <c r="CL500">
        <v>39.01</v>
      </c>
      <c r="CM500">
        <v>36.61</v>
      </c>
      <c r="CN500">
        <v>37.81</v>
      </c>
      <c r="CO500">
        <v>6.22</v>
      </c>
      <c r="CP500">
        <v>1.2199999999999998</v>
      </c>
      <c r="CQ500">
        <v>3.7199999999999998</v>
      </c>
    </row>
    <row r="501" spans="1:95">
      <c r="A501" s="424">
        <v>45779</v>
      </c>
      <c r="B501" t="s">
        <v>251</v>
      </c>
      <c r="C501">
        <v>146.99</v>
      </c>
      <c r="D501">
        <v>144.99</v>
      </c>
      <c r="E501">
        <v>145.99</v>
      </c>
      <c r="F501">
        <v>166.15</v>
      </c>
      <c r="G501">
        <v>163.15</v>
      </c>
      <c r="H501">
        <v>164.65</v>
      </c>
      <c r="I501">
        <v>107.05</v>
      </c>
      <c r="J501">
        <v>103.85</v>
      </c>
      <c r="K501">
        <v>105.44999999999999</v>
      </c>
      <c r="L501">
        <v>197.83</v>
      </c>
      <c r="M501">
        <v>189.83</v>
      </c>
      <c r="N501">
        <v>193.83</v>
      </c>
      <c r="O501">
        <v>176.39</v>
      </c>
      <c r="P501">
        <v>174.58999999999997</v>
      </c>
      <c r="Q501">
        <v>175.48999999999998</v>
      </c>
      <c r="R501">
        <v>22.36</v>
      </c>
      <c r="S501">
        <v>21.759999999999998</v>
      </c>
      <c r="T501">
        <v>22.06</v>
      </c>
      <c r="U501">
        <v>14.3</v>
      </c>
      <c r="V501">
        <v>13.700000000000001</v>
      </c>
      <c r="W501">
        <v>14</v>
      </c>
      <c r="X501">
        <v>15.38</v>
      </c>
      <c r="Y501">
        <v>14.58</v>
      </c>
      <c r="Z501">
        <v>14.98</v>
      </c>
      <c r="AA501">
        <v>95.51</v>
      </c>
      <c r="AB501">
        <v>91.51</v>
      </c>
      <c r="AC501">
        <v>93.51</v>
      </c>
      <c r="AD501">
        <v>88.47</v>
      </c>
      <c r="AE501">
        <v>84.47</v>
      </c>
      <c r="AF501">
        <v>86.47</v>
      </c>
      <c r="AG501">
        <v>19.25</v>
      </c>
      <c r="AH501">
        <v>18.39</v>
      </c>
      <c r="AI501">
        <v>18.82</v>
      </c>
      <c r="AM501">
        <v>112.09</v>
      </c>
      <c r="AN501">
        <v>110.43</v>
      </c>
      <c r="AO501">
        <v>111.26</v>
      </c>
      <c r="AP501">
        <v>39.81</v>
      </c>
      <c r="AQ501">
        <v>38.21</v>
      </c>
      <c r="AR501">
        <v>39.010000000000005</v>
      </c>
      <c r="AS501">
        <v>40.49</v>
      </c>
      <c r="AT501">
        <v>39.130000000000003</v>
      </c>
      <c r="AU501">
        <v>39.81</v>
      </c>
      <c r="AV501">
        <v>20.38</v>
      </c>
      <c r="AW501">
        <v>19.779999999999998</v>
      </c>
      <c r="AX501">
        <v>20.079999999999998</v>
      </c>
      <c r="AY501">
        <v>4.43</v>
      </c>
      <c r="AZ501">
        <v>4.2699999999999996</v>
      </c>
      <c r="BA501">
        <v>4.3499999999999996</v>
      </c>
      <c r="BB501">
        <v>1.89</v>
      </c>
      <c r="BC501">
        <v>1.5899999999999999</v>
      </c>
      <c r="BD501">
        <v>1.7399999999999998</v>
      </c>
      <c r="BE501">
        <v>0.67</v>
      </c>
      <c r="BF501">
        <v>0.37000000000000005</v>
      </c>
      <c r="BG501">
        <v>0.52</v>
      </c>
      <c r="BH501">
        <v>485.87</v>
      </c>
      <c r="BI501">
        <v>469.87</v>
      </c>
      <c r="BJ501">
        <v>477.87</v>
      </c>
      <c r="BK501">
        <v>40.86</v>
      </c>
      <c r="BL501">
        <v>39.5</v>
      </c>
      <c r="BM501">
        <v>40.18</v>
      </c>
      <c r="BN501">
        <v>1</v>
      </c>
      <c r="BO501">
        <v>0.76</v>
      </c>
      <c r="BP501">
        <v>0.88</v>
      </c>
      <c r="BQ501">
        <v>8.4499999999999993</v>
      </c>
      <c r="BR501">
        <v>6.4499999999999993</v>
      </c>
      <c r="BS501">
        <v>7.4499999999999993</v>
      </c>
      <c r="BT501">
        <v>10.38</v>
      </c>
      <c r="BU501">
        <v>9.98</v>
      </c>
      <c r="BV501">
        <v>10.18</v>
      </c>
      <c r="BW501">
        <v>2.75</v>
      </c>
      <c r="BX501">
        <v>2.4699999999999998</v>
      </c>
      <c r="BY501">
        <v>2.61</v>
      </c>
      <c r="BZ501">
        <v>9.3800000000000008</v>
      </c>
      <c r="CA501">
        <v>6.3800000000000008</v>
      </c>
      <c r="CB501">
        <v>7.8800000000000008</v>
      </c>
      <c r="CC501">
        <v>6.73</v>
      </c>
      <c r="CD501">
        <v>6.49</v>
      </c>
      <c r="CE501">
        <v>6.61</v>
      </c>
      <c r="CF501">
        <v>2.04</v>
      </c>
      <c r="CG501">
        <v>1.54</v>
      </c>
      <c r="CH501">
        <v>1.79</v>
      </c>
      <c r="CI501">
        <v>0.43</v>
      </c>
      <c r="CJ501">
        <v>0.39</v>
      </c>
      <c r="CK501">
        <v>0.41000000000000003</v>
      </c>
      <c r="CL501">
        <v>39.68</v>
      </c>
      <c r="CM501">
        <v>37.28</v>
      </c>
      <c r="CN501">
        <v>38.480000000000004</v>
      </c>
      <c r="CO501">
        <v>6.3</v>
      </c>
      <c r="CP501">
        <v>1.2999999999999998</v>
      </c>
      <c r="CQ501">
        <v>3.8</v>
      </c>
    </row>
    <row r="502" spans="1:95">
      <c r="A502" s="424">
        <v>45780</v>
      </c>
      <c r="B502" t="s">
        <v>252</v>
      </c>
    </row>
    <row r="503" spans="1:95">
      <c r="A503" s="424">
        <v>45781</v>
      </c>
      <c r="B503" t="s">
        <v>253</v>
      </c>
    </row>
    <row r="504" spans="1:95">
      <c r="A504" s="424">
        <v>45782</v>
      </c>
      <c r="B504" t="s">
        <v>247</v>
      </c>
    </row>
    <row r="505" spans="1:95">
      <c r="A505" s="424">
        <v>45783</v>
      </c>
      <c r="B505" t="s">
        <v>248</v>
      </c>
    </row>
    <row r="506" spans="1:95">
      <c r="A506" s="424">
        <v>45784</v>
      </c>
      <c r="B506" t="s">
        <v>249</v>
      </c>
      <c r="C506">
        <v>144.03</v>
      </c>
      <c r="D506">
        <v>142.03</v>
      </c>
      <c r="E506">
        <v>143.03</v>
      </c>
      <c r="F506">
        <v>163.68</v>
      </c>
      <c r="G506">
        <v>160.68</v>
      </c>
      <c r="H506">
        <v>162.18</v>
      </c>
      <c r="I506">
        <v>105.43</v>
      </c>
      <c r="J506">
        <v>102.23</v>
      </c>
      <c r="K506">
        <v>103.83000000000001</v>
      </c>
      <c r="L506">
        <v>194.97</v>
      </c>
      <c r="M506">
        <v>186.97</v>
      </c>
      <c r="N506">
        <v>190.97</v>
      </c>
      <c r="O506">
        <v>173.98</v>
      </c>
      <c r="P506">
        <v>172.17999999999998</v>
      </c>
      <c r="Q506">
        <v>173.07999999999998</v>
      </c>
      <c r="R506">
        <v>22.04</v>
      </c>
      <c r="S506">
        <v>21.439999999999998</v>
      </c>
      <c r="T506">
        <v>21.74</v>
      </c>
      <c r="U506">
        <v>14.23</v>
      </c>
      <c r="V506">
        <v>13.63</v>
      </c>
      <c r="W506">
        <v>13.93</v>
      </c>
      <c r="X506">
        <v>15.34</v>
      </c>
      <c r="Y506">
        <v>14.54</v>
      </c>
      <c r="Z506">
        <v>14.94</v>
      </c>
      <c r="AA506">
        <v>94.97</v>
      </c>
      <c r="AB506">
        <v>90.97</v>
      </c>
      <c r="AC506">
        <v>92.97</v>
      </c>
      <c r="AD506">
        <v>88.05</v>
      </c>
      <c r="AE506">
        <v>84.05</v>
      </c>
      <c r="AF506">
        <v>86.05</v>
      </c>
      <c r="AG506">
        <v>18.88</v>
      </c>
      <c r="AH506">
        <v>18.02</v>
      </c>
      <c r="AI506">
        <v>18.45</v>
      </c>
      <c r="AM506">
        <v>111.74</v>
      </c>
      <c r="AN506">
        <v>110.08</v>
      </c>
      <c r="AO506">
        <v>110.91</v>
      </c>
      <c r="AP506">
        <v>39.020000000000003</v>
      </c>
      <c r="AQ506">
        <v>37.42</v>
      </c>
      <c r="AR506">
        <v>38.22</v>
      </c>
      <c r="AS506">
        <v>39.68</v>
      </c>
      <c r="AT506">
        <v>38.32</v>
      </c>
      <c r="AU506">
        <v>39</v>
      </c>
      <c r="AV506">
        <v>20.16</v>
      </c>
      <c r="AW506">
        <v>19.559999999999999</v>
      </c>
      <c r="AX506">
        <v>19.86</v>
      </c>
      <c r="AY506">
        <v>4.4400000000000004</v>
      </c>
      <c r="AZ506">
        <v>4.28</v>
      </c>
      <c r="BA506">
        <v>4.3600000000000003</v>
      </c>
      <c r="BB506">
        <v>1.86</v>
      </c>
      <c r="BC506">
        <v>1.56</v>
      </c>
      <c r="BD506">
        <v>1.71</v>
      </c>
      <c r="BE506">
        <v>0.66</v>
      </c>
      <c r="BF506">
        <v>0.36000000000000004</v>
      </c>
      <c r="BG506">
        <v>0.51</v>
      </c>
      <c r="BH506">
        <v>472.23</v>
      </c>
      <c r="BI506">
        <v>456.23</v>
      </c>
      <c r="BJ506">
        <v>464.23</v>
      </c>
      <c r="BK506">
        <v>40.04</v>
      </c>
      <c r="BL506">
        <v>38.68</v>
      </c>
      <c r="BM506">
        <v>39.36</v>
      </c>
      <c r="BN506">
        <v>0.99</v>
      </c>
      <c r="BO506">
        <v>0.75</v>
      </c>
      <c r="BP506">
        <v>0.87</v>
      </c>
      <c r="BQ506">
        <v>8.2799999999999994</v>
      </c>
      <c r="BR506">
        <v>6.2799999999999994</v>
      </c>
      <c r="BS506">
        <v>7.2799999999999994</v>
      </c>
      <c r="BT506">
        <v>10.53</v>
      </c>
      <c r="BU506">
        <v>10.129999999999999</v>
      </c>
      <c r="BV506">
        <v>10.329999999999998</v>
      </c>
      <c r="BW506">
        <v>2.74</v>
      </c>
      <c r="BX506">
        <v>2.46</v>
      </c>
      <c r="BY506">
        <v>2.6</v>
      </c>
      <c r="BZ506">
        <v>9.36</v>
      </c>
      <c r="CA506">
        <v>6.3599999999999994</v>
      </c>
      <c r="CB506">
        <v>7.8599999999999994</v>
      </c>
      <c r="CC506">
        <v>6.62</v>
      </c>
      <c r="CD506">
        <v>6.38</v>
      </c>
      <c r="CE506">
        <v>6.5</v>
      </c>
      <c r="CF506">
        <v>2.0099999999999998</v>
      </c>
      <c r="CG506">
        <v>1.5099999999999998</v>
      </c>
      <c r="CH506">
        <v>1.7599999999999998</v>
      </c>
      <c r="CI506">
        <v>0.42</v>
      </c>
      <c r="CJ506">
        <v>0.38</v>
      </c>
      <c r="CK506">
        <v>0.4</v>
      </c>
      <c r="CL506">
        <v>39.18</v>
      </c>
      <c r="CM506">
        <v>36.78</v>
      </c>
      <c r="CN506">
        <v>37.980000000000004</v>
      </c>
      <c r="CO506">
        <v>6.21</v>
      </c>
      <c r="CP506">
        <v>1.21</v>
      </c>
      <c r="CQ506">
        <v>3.71</v>
      </c>
    </row>
    <row r="507" spans="1:95">
      <c r="A507" s="424">
        <v>45785</v>
      </c>
      <c r="B507" t="s">
        <v>250</v>
      </c>
      <c r="C507">
        <v>144.63999999999999</v>
      </c>
      <c r="D507">
        <v>142.63999999999999</v>
      </c>
      <c r="E507">
        <v>143.63999999999999</v>
      </c>
      <c r="F507">
        <v>164.07</v>
      </c>
      <c r="G507">
        <v>161.07</v>
      </c>
      <c r="H507">
        <v>162.57</v>
      </c>
      <c r="I507">
        <v>105.49</v>
      </c>
      <c r="J507">
        <v>102.28999999999999</v>
      </c>
      <c r="K507">
        <v>103.88999999999999</v>
      </c>
      <c r="L507">
        <v>195.13</v>
      </c>
      <c r="M507">
        <v>187.13</v>
      </c>
      <c r="N507">
        <v>191.13</v>
      </c>
      <c r="O507">
        <v>175.41</v>
      </c>
      <c r="P507">
        <v>173.60999999999999</v>
      </c>
      <c r="Q507">
        <v>174.51</v>
      </c>
      <c r="R507">
        <v>22.09</v>
      </c>
      <c r="S507">
        <v>21.49</v>
      </c>
      <c r="T507">
        <v>21.79</v>
      </c>
      <c r="U507">
        <v>14.2</v>
      </c>
      <c r="V507">
        <v>13.6</v>
      </c>
      <c r="W507">
        <v>13.899999999999999</v>
      </c>
      <c r="X507">
        <v>15.27</v>
      </c>
      <c r="Y507">
        <v>14.469999999999999</v>
      </c>
      <c r="Z507">
        <v>14.87</v>
      </c>
      <c r="AA507">
        <v>94.46</v>
      </c>
      <c r="AB507">
        <v>90.46</v>
      </c>
      <c r="AC507">
        <v>92.46</v>
      </c>
      <c r="AD507">
        <v>87.41</v>
      </c>
      <c r="AE507">
        <v>83.41</v>
      </c>
      <c r="AF507">
        <v>85.41</v>
      </c>
      <c r="AG507">
        <v>18.940000000000001</v>
      </c>
      <c r="AH507">
        <v>18.080000000000002</v>
      </c>
      <c r="AI507">
        <v>18.510000000000002</v>
      </c>
      <c r="AM507">
        <v>111.89</v>
      </c>
      <c r="AN507">
        <v>110.23</v>
      </c>
      <c r="AO507">
        <v>111.06</v>
      </c>
      <c r="AP507">
        <v>39.18</v>
      </c>
      <c r="AQ507">
        <v>37.58</v>
      </c>
      <c r="AR507">
        <v>38.379999999999995</v>
      </c>
      <c r="AS507">
        <v>39.85</v>
      </c>
      <c r="AT507">
        <v>38.49</v>
      </c>
      <c r="AU507">
        <v>39.17</v>
      </c>
      <c r="AV507">
        <v>20.18</v>
      </c>
      <c r="AW507">
        <v>19.579999999999998</v>
      </c>
      <c r="AX507">
        <v>19.88</v>
      </c>
      <c r="AY507">
        <v>4.46</v>
      </c>
      <c r="AZ507">
        <v>4.3</v>
      </c>
      <c r="BA507">
        <v>4.38</v>
      </c>
      <c r="BB507">
        <v>1.86</v>
      </c>
      <c r="BC507">
        <v>1.56</v>
      </c>
      <c r="BD507">
        <v>1.71</v>
      </c>
      <c r="BE507">
        <v>0.67</v>
      </c>
      <c r="BF507">
        <v>0.37000000000000005</v>
      </c>
      <c r="BG507">
        <v>0.52</v>
      </c>
      <c r="BH507">
        <v>478.8</v>
      </c>
      <c r="BI507">
        <v>462.8</v>
      </c>
      <c r="BJ507">
        <v>470.8</v>
      </c>
      <c r="BK507">
        <v>40.21</v>
      </c>
      <c r="BL507">
        <v>38.85</v>
      </c>
      <c r="BM507">
        <v>39.53</v>
      </c>
      <c r="BN507">
        <v>0.99</v>
      </c>
      <c r="BO507">
        <v>0.75</v>
      </c>
      <c r="BP507">
        <v>0.87</v>
      </c>
      <c r="BQ507">
        <v>8.33</v>
      </c>
      <c r="BR507">
        <v>6.33</v>
      </c>
      <c r="BS507">
        <v>7.33</v>
      </c>
      <c r="BT507">
        <v>10.51</v>
      </c>
      <c r="BU507">
        <v>10.11</v>
      </c>
      <c r="BV507">
        <v>10.309999999999999</v>
      </c>
      <c r="BW507">
        <v>2.76</v>
      </c>
      <c r="BX507">
        <v>2.4799999999999995</v>
      </c>
      <c r="BY507">
        <v>2.6199999999999997</v>
      </c>
      <c r="BZ507">
        <v>9.3699999999999992</v>
      </c>
      <c r="CA507">
        <v>6.3699999999999992</v>
      </c>
      <c r="CB507">
        <v>7.8699999999999992</v>
      </c>
      <c r="CC507">
        <v>6.66</v>
      </c>
      <c r="CD507">
        <v>6.42</v>
      </c>
      <c r="CE507">
        <v>6.54</v>
      </c>
      <c r="CF507">
        <v>2.04</v>
      </c>
      <c r="CG507">
        <v>1.54</v>
      </c>
      <c r="CH507">
        <v>1.79</v>
      </c>
      <c r="CI507">
        <v>0.42</v>
      </c>
      <c r="CJ507">
        <v>0.38</v>
      </c>
      <c r="CK507">
        <v>0.4</v>
      </c>
      <c r="CL507">
        <v>39.299999999999997</v>
      </c>
      <c r="CM507">
        <v>36.9</v>
      </c>
      <c r="CN507">
        <v>38.099999999999994</v>
      </c>
      <c r="CO507">
        <v>6.22</v>
      </c>
      <c r="CP507">
        <v>1.2199999999999998</v>
      </c>
      <c r="CQ507">
        <v>3.7199999999999998</v>
      </c>
    </row>
    <row r="508" spans="1:95">
      <c r="A508" s="424">
        <v>45786</v>
      </c>
      <c r="B508" t="s">
        <v>251</v>
      </c>
      <c r="C508">
        <v>146.82</v>
      </c>
      <c r="D508">
        <v>144.82</v>
      </c>
      <c r="E508">
        <v>145.82</v>
      </c>
      <c r="F508">
        <v>165.12</v>
      </c>
      <c r="G508">
        <v>162.12</v>
      </c>
      <c r="H508">
        <v>163.62</v>
      </c>
      <c r="I508">
        <v>106.29</v>
      </c>
      <c r="J508">
        <v>103.09</v>
      </c>
      <c r="K508">
        <v>104.69</v>
      </c>
      <c r="L508">
        <v>196.98</v>
      </c>
      <c r="M508">
        <v>188.98</v>
      </c>
      <c r="N508">
        <v>192.98</v>
      </c>
      <c r="O508">
        <v>176.31</v>
      </c>
      <c r="P508">
        <v>174.51</v>
      </c>
      <c r="Q508">
        <v>175.41</v>
      </c>
      <c r="R508">
        <v>22.23</v>
      </c>
      <c r="S508">
        <v>21.63</v>
      </c>
      <c r="T508">
        <v>21.93</v>
      </c>
      <c r="U508">
        <v>14.27</v>
      </c>
      <c r="V508">
        <v>13.67</v>
      </c>
      <c r="W508">
        <v>13.969999999999999</v>
      </c>
      <c r="X508">
        <v>15.36</v>
      </c>
      <c r="Y508">
        <v>14.559999999999999</v>
      </c>
      <c r="Z508">
        <v>14.959999999999999</v>
      </c>
      <c r="AA508">
        <v>95.15</v>
      </c>
      <c r="AB508">
        <v>91.15</v>
      </c>
      <c r="AC508">
        <v>93.15</v>
      </c>
      <c r="AD508">
        <v>87.93</v>
      </c>
      <c r="AE508">
        <v>83.93</v>
      </c>
      <c r="AF508">
        <v>85.93</v>
      </c>
      <c r="AG508">
        <v>19.18</v>
      </c>
      <c r="AH508">
        <v>18.32</v>
      </c>
      <c r="AI508">
        <v>18.75</v>
      </c>
      <c r="AM508">
        <v>112.95</v>
      </c>
      <c r="AN508">
        <v>111.29</v>
      </c>
      <c r="AO508">
        <v>112.12</v>
      </c>
      <c r="AP508">
        <v>39.76</v>
      </c>
      <c r="AQ508">
        <v>38.159999999999997</v>
      </c>
      <c r="AR508">
        <v>38.959999999999994</v>
      </c>
      <c r="AS508">
        <v>40.46</v>
      </c>
      <c r="AT508">
        <v>39.1</v>
      </c>
      <c r="AU508">
        <v>39.78</v>
      </c>
      <c r="AV508">
        <v>20.43</v>
      </c>
      <c r="AW508">
        <v>19.829999999999998</v>
      </c>
      <c r="AX508">
        <v>20.13</v>
      </c>
      <c r="AY508">
        <v>4.49</v>
      </c>
      <c r="AZ508">
        <v>4.33</v>
      </c>
      <c r="BA508">
        <v>4.41</v>
      </c>
      <c r="BB508">
        <v>1.87</v>
      </c>
      <c r="BC508">
        <v>1.57</v>
      </c>
      <c r="BD508">
        <v>1.7200000000000002</v>
      </c>
      <c r="BE508">
        <v>0.67</v>
      </c>
      <c r="BF508">
        <v>0.37000000000000005</v>
      </c>
      <c r="BG508">
        <v>0.52</v>
      </c>
      <c r="BH508">
        <v>485.47</v>
      </c>
      <c r="BI508">
        <v>469.47</v>
      </c>
      <c r="BJ508">
        <v>477.47</v>
      </c>
      <c r="BK508">
        <v>40.81</v>
      </c>
      <c r="BL508">
        <v>39.450000000000003</v>
      </c>
      <c r="BM508">
        <v>40.130000000000003</v>
      </c>
      <c r="BN508">
        <v>1.01</v>
      </c>
      <c r="BO508">
        <v>0.77</v>
      </c>
      <c r="BP508">
        <v>0.89</v>
      </c>
      <c r="BQ508">
        <v>8.4700000000000006</v>
      </c>
      <c r="BR508">
        <v>6.4700000000000006</v>
      </c>
      <c r="BS508">
        <v>7.4700000000000006</v>
      </c>
      <c r="BT508">
        <v>10.57</v>
      </c>
      <c r="BU508">
        <v>10.17</v>
      </c>
      <c r="BV508">
        <v>10.370000000000001</v>
      </c>
      <c r="BW508">
        <v>2.79</v>
      </c>
      <c r="BX508">
        <v>2.5099999999999998</v>
      </c>
      <c r="BY508">
        <v>2.65</v>
      </c>
      <c r="BZ508">
        <v>9.5</v>
      </c>
      <c r="CA508">
        <v>6.5</v>
      </c>
      <c r="CB508">
        <v>8</v>
      </c>
      <c r="CC508">
        <v>6.68</v>
      </c>
      <c r="CD508">
        <v>6.4399999999999995</v>
      </c>
      <c r="CE508">
        <v>6.56</v>
      </c>
      <c r="CF508">
        <v>2.0299999999999998</v>
      </c>
      <c r="CG508">
        <v>1.5299999999999998</v>
      </c>
      <c r="CH508">
        <v>1.7799999999999998</v>
      </c>
      <c r="CI508">
        <v>0.42</v>
      </c>
      <c r="CJ508">
        <v>0.38</v>
      </c>
      <c r="CK508">
        <v>0.4</v>
      </c>
      <c r="CL508">
        <v>39.74</v>
      </c>
      <c r="CM508">
        <v>37.340000000000003</v>
      </c>
      <c r="CN508">
        <v>38.540000000000006</v>
      </c>
      <c r="CO508">
        <v>6.29</v>
      </c>
      <c r="CP508">
        <v>1.29</v>
      </c>
      <c r="CQ508">
        <v>3.79</v>
      </c>
    </row>
    <row r="509" spans="1:95">
      <c r="A509" s="424">
        <v>45787</v>
      </c>
      <c r="B509" t="s">
        <v>252</v>
      </c>
    </row>
    <row r="510" spans="1:95">
      <c r="A510" s="424">
        <v>45788</v>
      </c>
      <c r="B510" t="s">
        <v>253</v>
      </c>
    </row>
    <row r="511" spans="1:95">
      <c r="A511" s="424">
        <v>45789</v>
      </c>
      <c r="B511" t="s">
        <v>247</v>
      </c>
      <c r="C511">
        <v>146.96</v>
      </c>
      <c r="D511">
        <v>144.96</v>
      </c>
      <c r="E511">
        <v>145.96</v>
      </c>
      <c r="F511">
        <v>165.43</v>
      </c>
      <c r="G511">
        <v>162.43</v>
      </c>
      <c r="H511">
        <v>163.93</v>
      </c>
      <c r="I511">
        <v>106.31</v>
      </c>
      <c r="J511">
        <v>103.11</v>
      </c>
      <c r="K511">
        <v>104.71000000000001</v>
      </c>
      <c r="L511">
        <v>197.95</v>
      </c>
      <c r="M511">
        <v>189.95</v>
      </c>
      <c r="N511">
        <v>193.95</v>
      </c>
      <c r="O511">
        <v>175.79</v>
      </c>
      <c r="P511">
        <v>173.98999999999998</v>
      </c>
      <c r="Q511">
        <v>174.89</v>
      </c>
      <c r="R511">
        <v>22.27</v>
      </c>
      <c r="S511">
        <v>21.669999999999998</v>
      </c>
      <c r="T511">
        <v>21.97</v>
      </c>
      <c r="U511">
        <v>14.37</v>
      </c>
      <c r="V511">
        <v>13.77</v>
      </c>
      <c r="W511">
        <v>14.07</v>
      </c>
      <c r="X511">
        <v>15.43</v>
      </c>
      <c r="Y511">
        <v>14.629999999999999</v>
      </c>
      <c r="Z511">
        <v>15.03</v>
      </c>
      <c r="AA511">
        <v>95.71</v>
      </c>
      <c r="AB511">
        <v>91.71</v>
      </c>
      <c r="AC511">
        <v>93.71</v>
      </c>
      <c r="AD511">
        <v>88.42</v>
      </c>
      <c r="AE511">
        <v>84.42</v>
      </c>
      <c r="AF511">
        <v>86.42</v>
      </c>
      <c r="AG511">
        <v>19.190000000000001</v>
      </c>
      <c r="AH511">
        <v>18.330000000000002</v>
      </c>
      <c r="AI511">
        <v>18.760000000000002</v>
      </c>
      <c r="AM511">
        <v>113.27</v>
      </c>
      <c r="AN511">
        <v>111.61</v>
      </c>
      <c r="AO511">
        <v>112.44</v>
      </c>
      <c r="AP511">
        <v>39.799999999999997</v>
      </c>
      <c r="AQ511">
        <v>38.199999999999996</v>
      </c>
      <c r="AR511">
        <v>39</v>
      </c>
      <c r="AS511">
        <v>40.479999999999997</v>
      </c>
      <c r="AT511">
        <v>39.119999999999997</v>
      </c>
      <c r="AU511">
        <v>39.799999999999997</v>
      </c>
      <c r="AV511">
        <v>20.5</v>
      </c>
      <c r="AW511">
        <v>19.899999999999999</v>
      </c>
      <c r="AX511">
        <v>20.2</v>
      </c>
      <c r="AY511">
        <v>4.49</v>
      </c>
      <c r="AZ511">
        <v>4.33</v>
      </c>
      <c r="BA511">
        <v>4.41</v>
      </c>
      <c r="BB511">
        <v>1.87</v>
      </c>
      <c r="BC511">
        <v>1.57</v>
      </c>
      <c r="BD511">
        <v>1.7200000000000002</v>
      </c>
      <c r="BE511">
        <v>0.67</v>
      </c>
      <c r="BF511">
        <v>0.37000000000000005</v>
      </c>
      <c r="BG511">
        <v>0.52</v>
      </c>
      <c r="BH511">
        <v>485.77</v>
      </c>
      <c r="BI511">
        <v>469.77</v>
      </c>
      <c r="BJ511">
        <v>477.77</v>
      </c>
      <c r="BK511">
        <v>40.85</v>
      </c>
      <c r="BL511">
        <v>39.49</v>
      </c>
      <c r="BM511">
        <v>40.17</v>
      </c>
      <c r="BN511">
        <v>1.01</v>
      </c>
      <c r="BO511">
        <v>0.77</v>
      </c>
      <c r="BP511">
        <v>0.89</v>
      </c>
      <c r="BQ511">
        <v>8.51</v>
      </c>
      <c r="BR511">
        <v>6.51</v>
      </c>
      <c r="BS511">
        <v>7.51</v>
      </c>
      <c r="BT511">
        <v>10.68</v>
      </c>
      <c r="BU511">
        <v>10.28</v>
      </c>
      <c r="BV511">
        <v>10.48</v>
      </c>
      <c r="BW511">
        <v>2.8</v>
      </c>
      <c r="BX511">
        <v>2.5199999999999996</v>
      </c>
      <c r="BY511">
        <v>2.6599999999999997</v>
      </c>
      <c r="BZ511">
        <v>9.51</v>
      </c>
      <c r="CA511">
        <v>6.51</v>
      </c>
      <c r="CB511">
        <v>8.01</v>
      </c>
      <c r="CC511">
        <v>6.69</v>
      </c>
      <c r="CD511">
        <v>6.45</v>
      </c>
      <c r="CE511">
        <v>6.57</v>
      </c>
      <c r="CF511">
        <v>2.02</v>
      </c>
      <c r="CG511">
        <v>1.52</v>
      </c>
      <c r="CH511">
        <v>1.77</v>
      </c>
      <c r="CI511">
        <v>0.43</v>
      </c>
      <c r="CJ511">
        <v>0.39</v>
      </c>
      <c r="CK511">
        <v>0.41000000000000003</v>
      </c>
      <c r="CL511">
        <v>39.96</v>
      </c>
      <c r="CM511">
        <v>37.56</v>
      </c>
      <c r="CN511">
        <v>38.760000000000005</v>
      </c>
      <c r="CO511">
        <v>6.27</v>
      </c>
      <c r="CP511">
        <v>1.2699999999999996</v>
      </c>
      <c r="CQ511">
        <v>3.7699999999999996</v>
      </c>
    </row>
    <row r="512" spans="1:95">
      <c r="A512" s="424">
        <v>45790</v>
      </c>
      <c r="B512" t="s">
        <v>248</v>
      </c>
      <c r="C512">
        <v>148.9</v>
      </c>
      <c r="D512">
        <v>146.9</v>
      </c>
      <c r="E512">
        <v>147.9</v>
      </c>
      <c r="F512">
        <v>165.68</v>
      </c>
      <c r="G512">
        <v>162.68</v>
      </c>
      <c r="H512">
        <v>164.18</v>
      </c>
      <c r="I512">
        <v>107.39</v>
      </c>
      <c r="J512">
        <v>104.19</v>
      </c>
      <c r="K512">
        <v>105.78999999999999</v>
      </c>
      <c r="L512">
        <v>198.9</v>
      </c>
      <c r="M512">
        <v>190.9</v>
      </c>
      <c r="N512">
        <v>194.9</v>
      </c>
      <c r="O512">
        <v>176.12</v>
      </c>
      <c r="P512">
        <v>174.32</v>
      </c>
      <c r="Q512">
        <v>175.22</v>
      </c>
      <c r="R512">
        <v>22.31</v>
      </c>
      <c r="S512">
        <v>21.709999999999997</v>
      </c>
      <c r="T512">
        <v>22.009999999999998</v>
      </c>
      <c r="U512">
        <v>14.45</v>
      </c>
      <c r="V512">
        <v>13.85</v>
      </c>
      <c r="W512">
        <v>14.149999999999999</v>
      </c>
      <c r="X512">
        <v>15.48</v>
      </c>
      <c r="Y512">
        <v>14.68</v>
      </c>
      <c r="Z512">
        <v>15.08</v>
      </c>
      <c r="AA512">
        <v>96.14</v>
      </c>
      <c r="AB512">
        <v>92.14</v>
      </c>
      <c r="AC512">
        <v>94.14</v>
      </c>
      <c r="AD512">
        <v>88.6</v>
      </c>
      <c r="AE512">
        <v>84.6</v>
      </c>
      <c r="AF512">
        <v>86.6</v>
      </c>
      <c r="AG512">
        <v>19.41</v>
      </c>
      <c r="AH512">
        <v>18.55</v>
      </c>
      <c r="AI512">
        <v>18.98</v>
      </c>
      <c r="AM512">
        <v>114.15</v>
      </c>
      <c r="AN512">
        <v>112.49000000000001</v>
      </c>
      <c r="AO512">
        <v>113.32000000000001</v>
      </c>
      <c r="AP512">
        <v>40.31</v>
      </c>
      <c r="AQ512">
        <v>38.71</v>
      </c>
      <c r="AR512">
        <v>39.510000000000005</v>
      </c>
      <c r="AS512">
        <v>41.01</v>
      </c>
      <c r="AT512">
        <v>39.65</v>
      </c>
      <c r="AU512">
        <v>40.33</v>
      </c>
      <c r="AV512">
        <v>20.83</v>
      </c>
      <c r="AW512">
        <v>20.229999999999997</v>
      </c>
      <c r="AX512">
        <v>20.529999999999998</v>
      </c>
      <c r="AY512">
        <v>4.51</v>
      </c>
      <c r="AZ512">
        <v>4.3499999999999996</v>
      </c>
      <c r="BA512">
        <v>4.43</v>
      </c>
      <c r="BB512">
        <v>1.9</v>
      </c>
      <c r="BC512">
        <v>1.5999999999999999</v>
      </c>
      <c r="BD512">
        <v>1.75</v>
      </c>
      <c r="BE512">
        <v>0.68</v>
      </c>
      <c r="BF512">
        <v>0.38000000000000006</v>
      </c>
      <c r="BG512">
        <v>0.53</v>
      </c>
      <c r="BH512">
        <v>491.49</v>
      </c>
      <c r="BI512">
        <v>475.49</v>
      </c>
      <c r="BJ512">
        <v>483.49</v>
      </c>
      <c r="BK512">
        <v>41.38</v>
      </c>
      <c r="BL512">
        <v>40.020000000000003</v>
      </c>
      <c r="BM512">
        <v>40.700000000000003</v>
      </c>
      <c r="BN512">
        <v>1.02</v>
      </c>
      <c r="BO512">
        <v>0.78</v>
      </c>
      <c r="BP512">
        <v>0.9</v>
      </c>
      <c r="BQ512">
        <v>8.5399999999999991</v>
      </c>
      <c r="BR512">
        <v>6.5399999999999991</v>
      </c>
      <c r="BS512">
        <v>7.5399999999999991</v>
      </c>
      <c r="BT512">
        <v>10.68</v>
      </c>
      <c r="BU512">
        <v>10.28</v>
      </c>
      <c r="BV512">
        <v>10.48</v>
      </c>
      <c r="BW512">
        <v>2.79</v>
      </c>
      <c r="BX512">
        <v>2.5099999999999998</v>
      </c>
      <c r="BY512">
        <v>2.65</v>
      </c>
      <c r="BZ512">
        <v>9.6</v>
      </c>
      <c r="CA512">
        <v>6.6</v>
      </c>
      <c r="CB512">
        <v>8.1</v>
      </c>
      <c r="CC512">
        <v>6.7</v>
      </c>
      <c r="CD512">
        <v>6.46</v>
      </c>
      <c r="CE512">
        <v>6.58</v>
      </c>
      <c r="CF512">
        <v>2.08</v>
      </c>
      <c r="CG512">
        <v>1.58</v>
      </c>
      <c r="CH512">
        <v>1.83</v>
      </c>
      <c r="CI512">
        <v>0.43</v>
      </c>
      <c r="CJ512">
        <v>0.39</v>
      </c>
      <c r="CK512">
        <v>0.41000000000000003</v>
      </c>
      <c r="CL512">
        <v>39.93</v>
      </c>
      <c r="CM512">
        <v>37.53</v>
      </c>
      <c r="CN512">
        <v>38.730000000000004</v>
      </c>
      <c r="CO512">
        <v>6.32</v>
      </c>
      <c r="CP512">
        <v>1.3200000000000003</v>
      </c>
      <c r="CQ512">
        <v>3.8200000000000003</v>
      </c>
    </row>
    <row r="513" spans="1:95">
      <c r="A513" s="424">
        <v>45791</v>
      </c>
      <c r="B513" t="s">
        <v>249</v>
      </c>
      <c r="C513">
        <v>148.33000000000001</v>
      </c>
      <c r="D513">
        <v>146.33000000000001</v>
      </c>
      <c r="E513">
        <v>147.33000000000001</v>
      </c>
      <c r="F513">
        <v>166.42</v>
      </c>
      <c r="G513">
        <v>163.41999999999999</v>
      </c>
      <c r="H513">
        <v>164.92</v>
      </c>
      <c r="I513">
        <v>107.34</v>
      </c>
      <c r="J513">
        <v>104.14</v>
      </c>
      <c r="K513">
        <v>105.74000000000001</v>
      </c>
      <c r="L513">
        <v>200.17</v>
      </c>
      <c r="M513">
        <v>192.17</v>
      </c>
      <c r="N513">
        <v>196.17</v>
      </c>
      <c r="O513">
        <v>176.52</v>
      </c>
      <c r="P513">
        <v>174.72</v>
      </c>
      <c r="Q513">
        <v>175.62</v>
      </c>
      <c r="R513">
        <v>22.41</v>
      </c>
      <c r="S513">
        <v>21.81</v>
      </c>
      <c r="T513">
        <v>22.11</v>
      </c>
      <c r="U513">
        <v>14.52</v>
      </c>
      <c r="V513">
        <v>13.92</v>
      </c>
      <c r="W513">
        <v>14.219999999999999</v>
      </c>
      <c r="X513">
        <v>15.56</v>
      </c>
      <c r="Y513">
        <v>14.76</v>
      </c>
      <c r="Z513">
        <v>15.16</v>
      </c>
      <c r="AA513">
        <v>97.38</v>
      </c>
      <c r="AB513">
        <v>93.38</v>
      </c>
      <c r="AC513">
        <v>95.38</v>
      </c>
      <c r="AD513">
        <v>89.6</v>
      </c>
      <c r="AE513">
        <v>85.6</v>
      </c>
      <c r="AF513">
        <v>87.6</v>
      </c>
      <c r="AG513">
        <v>19.32</v>
      </c>
      <c r="AH513">
        <v>18.46</v>
      </c>
      <c r="AI513">
        <v>18.89</v>
      </c>
      <c r="AM513">
        <v>114.09</v>
      </c>
      <c r="AN513">
        <v>112.43</v>
      </c>
      <c r="AO513">
        <v>113.26</v>
      </c>
      <c r="AP513">
        <v>40.14</v>
      </c>
      <c r="AQ513">
        <v>38.54</v>
      </c>
      <c r="AR513">
        <v>39.340000000000003</v>
      </c>
      <c r="AS513">
        <v>40.86</v>
      </c>
      <c r="AT513">
        <v>39.5</v>
      </c>
      <c r="AU513">
        <v>40.18</v>
      </c>
      <c r="AV513">
        <v>20.78</v>
      </c>
      <c r="AW513">
        <v>20.18</v>
      </c>
      <c r="AX513">
        <v>20.48</v>
      </c>
      <c r="AY513">
        <v>4.51</v>
      </c>
      <c r="AZ513">
        <v>4.3499999999999996</v>
      </c>
      <c r="BA513">
        <v>4.43</v>
      </c>
      <c r="BB513">
        <v>1.89</v>
      </c>
      <c r="BC513">
        <v>1.5899999999999999</v>
      </c>
      <c r="BD513">
        <v>1.7399999999999998</v>
      </c>
      <c r="BE513">
        <v>0.68</v>
      </c>
      <c r="BF513">
        <v>0.38000000000000006</v>
      </c>
      <c r="BG513">
        <v>0.53</v>
      </c>
      <c r="BH513">
        <v>489.94</v>
      </c>
      <c r="BI513">
        <v>473.94</v>
      </c>
      <c r="BJ513">
        <v>481.94</v>
      </c>
      <c r="BK513">
        <v>41.22</v>
      </c>
      <c r="BL513">
        <v>39.86</v>
      </c>
      <c r="BM513">
        <v>40.54</v>
      </c>
      <c r="BN513">
        <v>1.02</v>
      </c>
      <c r="BO513">
        <v>0.78</v>
      </c>
      <c r="BP513">
        <v>0.9</v>
      </c>
      <c r="BQ513">
        <v>8.59</v>
      </c>
      <c r="BR513">
        <v>6.59</v>
      </c>
      <c r="BS513">
        <v>7.59</v>
      </c>
      <c r="BT513">
        <v>10.63</v>
      </c>
      <c r="BU513">
        <v>10.23</v>
      </c>
      <c r="BV513">
        <v>10.43</v>
      </c>
      <c r="BW513">
        <v>2.81</v>
      </c>
      <c r="BX513">
        <v>2.5300000000000002</v>
      </c>
      <c r="BY513">
        <v>2.67</v>
      </c>
      <c r="BZ513">
        <v>9.5399999999999991</v>
      </c>
      <c r="CA513">
        <v>6.5399999999999991</v>
      </c>
      <c r="CB513">
        <v>8.0399999999999991</v>
      </c>
      <c r="CC513">
        <v>6.73</v>
      </c>
      <c r="CD513">
        <v>6.49</v>
      </c>
      <c r="CE513">
        <v>6.61</v>
      </c>
      <c r="CF513">
        <v>2.1</v>
      </c>
      <c r="CG513">
        <v>1.6</v>
      </c>
      <c r="CH513">
        <v>1.85</v>
      </c>
      <c r="CI513">
        <v>0.43</v>
      </c>
      <c r="CJ513">
        <v>0.39</v>
      </c>
      <c r="CK513">
        <v>0.41000000000000003</v>
      </c>
      <c r="CL513">
        <v>40.1</v>
      </c>
      <c r="CM513">
        <v>37.700000000000003</v>
      </c>
      <c r="CN513">
        <v>38.900000000000006</v>
      </c>
      <c r="CO513">
        <v>6.3</v>
      </c>
      <c r="CP513">
        <v>1.2999999999999998</v>
      </c>
      <c r="CQ513">
        <v>3.8</v>
      </c>
    </row>
    <row r="514" spans="1:95">
      <c r="A514" s="424">
        <v>45792</v>
      </c>
      <c r="B514" t="s">
        <v>250</v>
      </c>
      <c r="C514">
        <v>147.28</v>
      </c>
      <c r="D514">
        <v>145.28</v>
      </c>
      <c r="E514">
        <v>146.28</v>
      </c>
      <c r="F514">
        <v>165.17</v>
      </c>
      <c r="G514">
        <v>162.16999999999999</v>
      </c>
      <c r="H514">
        <v>163.66999999999999</v>
      </c>
      <c r="I514">
        <v>106.3</v>
      </c>
      <c r="J514">
        <v>103.1</v>
      </c>
      <c r="K514">
        <v>104.69999999999999</v>
      </c>
      <c r="L514">
        <v>198.17</v>
      </c>
      <c r="M514">
        <v>190.17</v>
      </c>
      <c r="N514">
        <v>194.17</v>
      </c>
      <c r="O514">
        <v>174.9</v>
      </c>
      <c r="P514">
        <v>173.1</v>
      </c>
      <c r="Q514">
        <v>174</v>
      </c>
      <c r="R514">
        <v>22.23</v>
      </c>
      <c r="S514">
        <v>21.63</v>
      </c>
      <c r="T514">
        <v>21.93</v>
      </c>
      <c r="U514">
        <v>14.37</v>
      </c>
      <c r="V514">
        <v>13.77</v>
      </c>
      <c r="W514">
        <v>14.07</v>
      </c>
      <c r="X514">
        <v>15.41</v>
      </c>
      <c r="Y514">
        <v>14.61</v>
      </c>
      <c r="Z514">
        <v>15.01</v>
      </c>
      <c r="AA514">
        <v>96.09</v>
      </c>
      <c r="AB514">
        <v>92.09</v>
      </c>
      <c r="AC514">
        <v>94.09</v>
      </c>
      <c r="AD514">
        <v>88.29</v>
      </c>
      <c r="AE514">
        <v>84.29</v>
      </c>
      <c r="AF514">
        <v>86.29</v>
      </c>
      <c r="AG514">
        <v>19.170000000000002</v>
      </c>
      <c r="AH514">
        <v>18.310000000000002</v>
      </c>
      <c r="AI514">
        <v>18.740000000000002</v>
      </c>
      <c r="AM514">
        <v>113.4</v>
      </c>
      <c r="AN514">
        <v>111.74000000000001</v>
      </c>
      <c r="AO514">
        <v>112.57000000000001</v>
      </c>
      <c r="AP514">
        <v>39.880000000000003</v>
      </c>
      <c r="AQ514">
        <v>38.28</v>
      </c>
      <c r="AR514">
        <v>39.08</v>
      </c>
      <c r="AS514">
        <v>40.57</v>
      </c>
      <c r="AT514">
        <v>39.21</v>
      </c>
      <c r="AU514">
        <v>39.89</v>
      </c>
      <c r="AV514">
        <v>20.59</v>
      </c>
      <c r="AW514">
        <v>19.989999999999998</v>
      </c>
      <c r="AX514">
        <v>20.29</v>
      </c>
      <c r="AY514">
        <v>4.46</v>
      </c>
      <c r="AZ514">
        <v>4.3</v>
      </c>
      <c r="BA514">
        <v>4.38</v>
      </c>
      <c r="BB514">
        <v>1.87</v>
      </c>
      <c r="BC514">
        <v>1.57</v>
      </c>
      <c r="BD514">
        <v>1.7200000000000002</v>
      </c>
      <c r="BE514">
        <v>0.67</v>
      </c>
      <c r="BF514">
        <v>0.37000000000000005</v>
      </c>
      <c r="BG514">
        <v>0.52</v>
      </c>
      <c r="BH514">
        <v>486.2</v>
      </c>
      <c r="BI514">
        <v>470.2</v>
      </c>
      <c r="BJ514">
        <v>478.2</v>
      </c>
      <c r="BK514">
        <v>40.93</v>
      </c>
      <c r="BL514">
        <v>39.57</v>
      </c>
      <c r="BM514">
        <v>40.25</v>
      </c>
      <c r="BN514">
        <v>1.01</v>
      </c>
      <c r="BO514">
        <v>0.77</v>
      </c>
      <c r="BP514">
        <v>0.89</v>
      </c>
      <c r="BQ514">
        <v>8.56</v>
      </c>
      <c r="BR514">
        <v>6.5600000000000005</v>
      </c>
      <c r="BS514">
        <v>7.5600000000000005</v>
      </c>
      <c r="BT514">
        <v>10.65</v>
      </c>
      <c r="BU514">
        <v>10.25</v>
      </c>
      <c r="BV514">
        <v>10.45</v>
      </c>
      <c r="BW514">
        <v>2.79</v>
      </c>
      <c r="BX514">
        <v>2.5099999999999998</v>
      </c>
      <c r="BY514">
        <v>2.65</v>
      </c>
      <c r="BZ514">
        <v>9.5299999999999994</v>
      </c>
      <c r="CA514">
        <v>6.5299999999999994</v>
      </c>
      <c r="CB514">
        <v>8.0299999999999994</v>
      </c>
      <c r="CC514">
        <v>6.69</v>
      </c>
      <c r="CD514">
        <v>6.45</v>
      </c>
      <c r="CE514">
        <v>6.57</v>
      </c>
      <c r="CF514">
        <v>2.0699999999999998</v>
      </c>
      <c r="CG514">
        <v>1.5699999999999998</v>
      </c>
      <c r="CH514">
        <v>1.8199999999999998</v>
      </c>
      <c r="CI514">
        <v>0.43</v>
      </c>
      <c r="CJ514">
        <v>0.39</v>
      </c>
      <c r="CK514">
        <v>0.41000000000000003</v>
      </c>
      <c r="CL514">
        <v>39.880000000000003</v>
      </c>
      <c r="CM514">
        <v>37.480000000000004</v>
      </c>
      <c r="CN514">
        <v>38.680000000000007</v>
      </c>
      <c r="CO514">
        <v>6.27</v>
      </c>
      <c r="CP514">
        <v>1.2699999999999996</v>
      </c>
      <c r="CQ514">
        <v>3.7699999999999996</v>
      </c>
    </row>
    <row r="515" spans="1:95">
      <c r="A515" s="424">
        <v>45793</v>
      </c>
      <c r="B515" t="s">
        <v>251</v>
      </c>
      <c r="C515">
        <v>146.08000000000001</v>
      </c>
      <c r="D515">
        <v>144.08000000000001</v>
      </c>
      <c r="E515">
        <v>145.08000000000001</v>
      </c>
      <c r="F515">
        <v>164.08</v>
      </c>
      <c r="G515">
        <v>161.08000000000001</v>
      </c>
      <c r="H515">
        <v>162.58000000000001</v>
      </c>
      <c r="I515">
        <v>105.57</v>
      </c>
      <c r="J515">
        <v>102.36999999999999</v>
      </c>
      <c r="K515">
        <v>103.97</v>
      </c>
      <c r="L515">
        <v>197.16</v>
      </c>
      <c r="M515">
        <v>189.16</v>
      </c>
      <c r="N515">
        <v>193.16</v>
      </c>
      <c r="O515">
        <v>175</v>
      </c>
      <c r="P515">
        <v>173.2</v>
      </c>
      <c r="Q515">
        <v>174.1</v>
      </c>
      <c r="R515">
        <v>22.09</v>
      </c>
      <c r="S515">
        <v>21.49</v>
      </c>
      <c r="T515">
        <v>21.79</v>
      </c>
      <c r="U515">
        <v>14.25</v>
      </c>
      <c r="V515">
        <v>13.65</v>
      </c>
      <c r="W515">
        <v>13.95</v>
      </c>
      <c r="X515">
        <v>15.34</v>
      </c>
      <c r="Y515">
        <v>14.54</v>
      </c>
      <c r="Z515">
        <v>14.94</v>
      </c>
      <c r="AA515">
        <v>94.85</v>
      </c>
      <c r="AB515">
        <v>90.85</v>
      </c>
      <c r="AC515">
        <v>92.85</v>
      </c>
      <c r="AD515">
        <v>87.15</v>
      </c>
      <c r="AE515">
        <v>83.15</v>
      </c>
      <c r="AF515">
        <v>85.15</v>
      </c>
      <c r="AG515">
        <v>19.010000000000002</v>
      </c>
      <c r="AH515">
        <v>18.150000000000002</v>
      </c>
      <c r="AI515">
        <v>18.580000000000002</v>
      </c>
      <c r="AM515">
        <v>112.76</v>
      </c>
      <c r="AN515">
        <v>111.10000000000001</v>
      </c>
      <c r="AO515">
        <v>111.93</v>
      </c>
      <c r="AP515">
        <v>39.56</v>
      </c>
      <c r="AQ515">
        <v>37.96</v>
      </c>
      <c r="AR515">
        <v>38.760000000000005</v>
      </c>
      <c r="AS515">
        <v>40.24</v>
      </c>
      <c r="AT515">
        <v>38.880000000000003</v>
      </c>
      <c r="AU515">
        <v>39.56</v>
      </c>
      <c r="AV515">
        <v>20.440000000000001</v>
      </c>
      <c r="AW515">
        <v>19.84</v>
      </c>
      <c r="AX515">
        <v>20.14</v>
      </c>
      <c r="AY515">
        <v>4.47</v>
      </c>
      <c r="AZ515">
        <v>4.3099999999999996</v>
      </c>
      <c r="BA515">
        <v>4.3899999999999997</v>
      </c>
      <c r="BB515">
        <v>1.86</v>
      </c>
      <c r="BC515">
        <v>1.56</v>
      </c>
      <c r="BD515">
        <v>1.71</v>
      </c>
      <c r="BE515">
        <v>0.67</v>
      </c>
      <c r="BF515">
        <v>0.37000000000000005</v>
      </c>
      <c r="BG515">
        <v>0.52</v>
      </c>
      <c r="BH515">
        <v>482.74</v>
      </c>
      <c r="BI515">
        <v>466.74</v>
      </c>
      <c r="BJ515">
        <v>474.74</v>
      </c>
      <c r="BK515">
        <v>40.6</v>
      </c>
      <c r="BL515">
        <v>39.24</v>
      </c>
      <c r="BM515">
        <v>39.92</v>
      </c>
      <c r="BN515">
        <v>1</v>
      </c>
      <c r="BO515">
        <v>0.76</v>
      </c>
      <c r="BP515">
        <v>0.88</v>
      </c>
      <c r="BQ515">
        <v>8.4499999999999993</v>
      </c>
      <c r="BR515">
        <v>6.4499999999999993</v>
      </c>
      <c r="BS515">
        <v>7.4499999999999993</v>
      </c>
      <c r="BT515">
        <v>10.61</v>
      </c>
      <c r="BU515">
        <v>10.209999999999999</v>
      </c>
      <c r="BV515">
        <v>10.41</v>
      </c>
      <c r="BW515">
        <v>2.77</v>
      </c>
      <c r="BX515">
        <v>2.4900000000000002</v>
      </c>
      <c r="BY515">
        <v>2.63</v>
      </c>
      <c r="BZ515">
        <v>9.5500000000000007</v>
      </c>
      <c r="CA515">
        <v>6.5500000000000007</v>
      </c>
      <c r="CB515">
        <v>8.0500000000000007</v>
      </c>
      <c r="CC515">
        <v>6.64</v>
      </c>
      <c r="CD515">
        <v>6.3999999999999995</v>
      </c>
      <c r="CE515">
        <v>6.52</v>
      </c>
      <c r="CF515">
        <v>2.0699999999999998</v>
      </c>
      <c r="CG515">
        <v>1.5699999999999998</v>
      </c>
      <c r="CH515">
        <v>1.8199999999999998</v>
      </c>
      <c r="CI515">
        <v>0.42</v>
      </c>
      <c r="CJ515">
        <v>0.38</v>
      </c>
      <c r="CK515">
        <v>0.4</v>
      </c>
      <c r="CL515">
        <v>39.5</v>
      </c>
      <c r="CM515">
        <v>37.1</v>
      </c>
      <c r="CN515">
        <v>38.299999999999997</v>
      </c>
      <c r="CO515">
        <v>6.26</v>
      </c>
      <c r="CP515">
        <v>1.2599999999999998</v>
      </c>
      <c r="CQ515">
        <v>3.76</v>
      </c>
    </row>
    <row r="516" spans="1:95">
      <c r="A516" s="424">
        <v>45794</v>
      </c>
      <c r="B516" t="s">
        <v>252</v>
      </c>
    </row>
    <row r="517" spans="1:95">
      <c r="A517" s="424">
        <v>45795</v>
      </c>
      <c r="B517" t="s">
        <v>253</v>
      </c>
    </row>
    <row r="518" spans="1:95">
      <c r="A518" s="424">
        <v>45796</v>
      </c>
      <c r="B518" t="s">
        <v>247</v>
      </c>
      <c r="C518">
        <v>145.94</v>
      </c>
      <c r="D518">
        <v>143.94</v>
      </c>
      <c r="E518">
        <v>144.94</v>
      </c>
      <c r="F518">
        <v>163.75</v>
      </c>
      <c r="G518">
        <v>160.75</v>
      </c>
      <c r="H518">
        <v>162.25</v>
      </c>
      <c r="I518">
        <v>105.45</v>
      </c>
      <c r="J518">
        <v>102.25</v>
      </c>
      <c r="K518">
        <v>103.85</v>
      </c>
      <c r="L518">
        <v>196.93</v>
      </c>
      <c r="M518">
        <v>188.93</v>
      </c>
      <c r="N518">
        <v>192.93</v>
      </c>
      <c r="O518">
        <v>174.46</v>
      </c>
      <c r="P518">
        <v>172.66</v>
      </c>
      <c r="Q518">
        <v>173.56</v>
      </c>
      <c r="R518">
        <v>22.05</v>
      </c>
      <c r="S518">
        <v>21.45</v>
      </c>
      <c r="T518">
        <v>21.75</v>
      </c>
      <c r="U518">
        <v>14.26</v>
      </c>
      <c r="V518">
        <v>13.66</v>
      </c>
      <c r="W518">
        <v>13.96</v>
      </c>
      <c r="X518">
        <v>15.26</v>
      </c>
      <c r="Y518">
        <v>14.459999999999999</v>
      </c>
      <c r="Z518">
        <v>14.86</v>
      </c>
      <c r="AA518">
        <v>94.95</v>
      </c>
      <c r="AB518">
        <v>90.95</v>
      </c>
      <c r="AC518">
        <v>92.95</v>
      </c>
      <c r="AD518">
        <v>87.38</v>
      </c>
      <c r="AE518">
        <v>83.38</v>
      </c>
      <c r="AF518">
        <v>85.38</v>
      </c>
      <c r="AG518">
        <v>18.97</v>
      </c>
      <c r="AH518">
        <v>18.11</v>
      </c>
      <c r="AI518">
        <v>18.54</v>
      </c>
      <c r="AM518">
        <v>112.55</v>
      </c>
      <c r="AN518">
        <v>110.89</v>
      </c>
      <c r="AO518">
        <v>111.72</v>
      </c>
      <c r="AP518">
        <v>39.520000000000003</v>
      </c>
      <c r="AQ518">
        <v>37.92</v>
      </c>
      <c r="AR518">
        <v>38.72</v>
      </c>
      <c r="AS518">
        <v>40.22</v>
      </c>
      <c r="AT518">
        <v>38.86</v>
      </c>
      <c r="AU518">
        <v>39.54</v>
      </c>
      <c r="AV518">
        <v>20.41</v>
      </c>
      <c r="AW518">
        <v>19.809999999999999</v>
      </c>
      <c r="AX518">
        <v>20.11</v>
      </c>
      <c r="AY518">
        <v>4.45</v>
      </c>
      <c r="AZ518">
        <v>4.29</v>
      </c>
      <c r="BA518">
        <v>4.37</v>
      </c>
      <c r="BB518">
        <v>1.86</v>
      </c>
      <c r="BC518">
        <v>1.56</v>
      </c>
      <c r="BD518">
        <v>1.71</v>
      </c>
      <c r="BE518">
        <v>0.67</v>
      </c>
      <c r="BF518">
        <v>0.37000000000000005</v>
      </c>
      <c r="BG518">
        <v>0.52</v>
      </c>
      <c r="BH518">
        <v>482.28</v>
      </c>
      <c r="BI518">
        <v>466.28</v>
      </c>
      <c r="BJ518">
        <v>474.28</v>
      </c>
      <c r="BK518">
        <v>40.56</v>
      </c>
      <c r="BL518">
        <v>39.200000000000003</v>
      </c>
      <c r="BM518">
        <v>39.880000000000003</v>
      </c>
      <c r="BN518">
        <v>1</v>
      </c>
      <c r="BO518">
        <v>0.76</v>
      </c>
      <c r="BP518">
        <v>0.88</v>
      </c>
      <c r="BQ518">
        <v>8.4600000000000009</v>
      </c>
      <c r="BR518">
        <v>6.4600000000000009</v>
      </c>
      <c r="BS518">
        <v>7.4600000000000009</v>
      </c>
      <c r="BT518">
        <v>10.6</v>
      </c>
      <c r="BU518">
        <v>10.199999999999999</v>
      </c>
      <c r="BV518">
        <v>10.399999999999999</v>
      </c>
      <c r="BW518">
        <v>2.77</v>
      </c>
      <c r="BX518">
        <v>2.4900000000000002</v>
      </c>
      <c r="BY518">
        <v>2.63</v>
      </c>
      <c r="BZ518">
        <v>9.5399999999999991</v>
      </c>
      <c r="CA518">
        <v>6.5399999999999991</v>
      </c>
      <c r="CB518">
        <v>8.0399999999999991</v>
      </c>
      <c r="CC518">
        <v>6.65</v>
      </c>
      <c r="CD518">
        <v>6.41</v>
      </c>
      <c r="CE518">
        <v>6.53</v>
      </c>
      <c r="CF518">
        <v>2.04</v>
      </c>
      <c r="CG518">
        <v>1.54</v>
      </c>
      <c r="CH518">
        <v>1.79</v>
      </c>
      <c r="CI518">
        <v>0.42</v>
      </c>
      <c r="CJ518">
        <v>0.38</v>
      </c>
      <c r="CK518">
        <v>0.4</v>
      </c>
      <c r="CL518">
        <v>39.090000000000003</v>
      </c>
      <c r="CM518">
        <v>36.690000000000005</v>
      </c>
      <c r="CN518">
        <v>37.89</v>
      </c>
      <c r="CO518">
        <v>6.23</v>
      </c>
      <c r="CP518">
        <v>1.2300000000000004</v>
      </c>
      <c r="CQ518">
        <v>3.7300000000000004</v>
      </c>
    </row>
    <row r="519" spans="1:95">
      <c r="A519" s="424">
        <v>45797</v>
      </c>
      <c r="B519" t="s">
        <v>248</v>
      </c>
      <c r="C519">
        <v>146.32</v>
      </c>
      <c r="D519">
        <v>144.32</v>
      </c>
      <c r="E519">
        <v>145.32</v>
      </c>
      <c r="F519">
        <v>164.62</v>
      </c>
      <c r="G519">
        <v>161.62</v>
      </c>
      <c r="H519">
        <v>163.12</v>
      </c>
      <c r="I519">
        <v>105.68</v>
      </c>
      <c r="J519">
        <v>102.48</v>
      </c>
      <c r="K519">
        <v>104.08000000000001</v>
      </c>
      <c r="L519">
        <v>198.09</v>
      </c>
      <c r="M519">
        <v>190.09</v>
      </c>
      <c r="N519">
        <v>194.09</v>
      </c>
      <c r="O519">
        <v>174.85</v>
      </c>
      <c r="P519">
        <v>173.04999999999998</v>
      </c>
      <c r="Q519">
        <v>173.95</v>
      </c>
      <c r="R519">
        <v>22.17</v>
      </c>
      <c r="S519">
        <v>21.57</v>
      </c>
      <c r="T519">
        <v>21.87</v>
      </c>
      <c r="U519">
        <v>14.4</v>
      </c>
      <c r="V519">
        <v>13.8</v>
      </c>
      <c r="W519">
        <v>14.100000000000001</v>
      </c>
      <c r="X519">
        <v>15.39</v>
      </c>
      <c r="Y519">
        <v>14.59</v>
      </c>
      <c r="Z519">
        <v>14.99</v>
      </c>
      <c r="AA519">
        <v>95.72</v>
      </c>
      <c r="AB519">
        <v>91.72</v>
      </c>
      <c r="AC519">
        <v>93.72</v>
      </c>
      <c r="AD519">
        <v>88.12</v>
      </c>
      <c r="AE519">
        <v>84.12</v>
      </c>
      <c r="AF519">
        <v>86.12</v>
      </c>
      <c r="AG519">
        <v>19</v>
      </c>
      <c r="AH519">
        <v>18.14</v>
      </c>
      <c r="AI519">
        <v>18.57</v>
      </c>
      <c r="AM519">
        <v>112.97</v>
      </c>
      <c r="AN519">
        <v>111.31</v>
      </c>
      <c r="AO519">
        <v>112.14</v>
      </c>
      <c r="AP519">
        <v>39.619999999999997</v>
      </c>
      <c r="AQ519">
        <v>38.019999999999996</v>
      </c>
      <c r="AR519">
        <v>38.819999999999993</v>
      </c>
      <c r="AS519">
        <v>40.31</v>
      </c>
      <c r="AT519">
        <v>38.950000000000003</v>
      </c>
      <c r="AU519">
        <v>39.630000000000003</v>
      </c>
      <c r="AV519">
        <v>20.43</v>
      </c>
      <c r="AW519">
        <v>19.829999999999998</v>
      </c>
      <c r="AX519">
        <v>20.13</v>
      </c>
      <c r="AY519">
        <v>4.46</v>
      </c>
      <c r="AZ519">
        <v>4.3</v>
      </c>
      <c r="BA519">
        <v>4.38</v>
      </c>
      <c r="BB519">
        <v>1.86</v>
      </c>
      <c r="BC519">
        <v>1.56</v>
      </c>
      <c r="BD519">
        <v>1.71</v>
      </c>
      <c r="BE519">
        <v>0.67</v>
      </c>
      <c r="BF519">
        <v>0.37000000000000005</v>
      </c>
      <c r="BG519">
        <v>0.52</v>
      </c>
      <c r="BH519">
        <v>483.21</v>
      </c>
      <c r="BI519">
        <v>467.21</v>
      </c>
      <c r="BJ519">
        <v>475.21</v>
      </c>
      <c r="BK519">
        <v>40.67</v>
      </c>
      <c r="BL519">
        <v>39.31</v>
      </c>
      <c r="BM519">
        <v>39.99</v>
      </c>
      <c r="BN519">
        <v>1.01</v>
      </c>
      <c r="BO519">
        <v>0.77</v>
      </c>
      <c r="BP519">
        <v>0.89</v>
      </c>
      <c r="BQ519">
        <v>8.5299999999999994</v>
      </c>
      <c r="BR519">
        <v>6.5299999999999994</v>
      </c>
      <c r="BS519">
        <v>7.5299999999999994</v>
      </c>
      <c r="BT519">
        <v>10.65</v>
      </c>
      <c r="BU519">
        <v>10.25</v>
      </c>
      <c r="BV519">
        <v>10.45</v>
      </c>
      <c r="BW519">
        <v>2.78</v>
      </c>
      <c r="BX519">
        <v>2.5</v>
      </c>
      <c r="BY519">
        <v>2.6399999999999997</v>
      </c>
      <c r="BZ519">
        <v>9.5399999999999991</v>
      </c>
      <c r="CA519">
        <v>6.5399999999999991</v>
      </c>
      <c r="CB519">
        <v>8.0399999999999991</v>
      </c>
      <c r="CC519">
        <v>6.68</v>
      </c>
      <c r="CD519">
        <v>6.4399999999999995</v>
      </c>
      <c r="CE519">
        <v>6.56</v>
      </c>
      <c r="CF519">
        <v>2.0499999999999998</v>
      </c>
      <c r="CG519">
        <v>1.5499999999999998</v>
      </c>
      <c r="CH519">
        <v>1.7999999999999998</v>
      </c>
      <c r="CI519">
        <v>0.43</v>
      </c>
      <c r="CJ519">
        <v>0.39</v>
      </c>
      <c r="CK519">
        <v>0.41000000000000003</v>
      </c>
      <c r="CL519">
        <v>39.6</v>
      </c>
      <c r="CM519">
        <v>37.200000000000003</v>
      </c>
      <c r="CN519">
        <v>38.400000000000006</v>
      </c>
      <c r="CO519">
        <v>6.25</v>
      </c>
      <c r="CP519">
        <v>1.25</v>
      </c>
      <c r="CQ519">
        <v>3.75</v>
      </c>
    </row>
    <row r="520" spans="1:95">
      <c r="A520" s="424">
        <v>45798</v>
      </c>
      <c r="B520" t="s">
        <v>249</v>
      </c>
      <c r="C520">
        <v>145.28</v>
      </c>
      <c r="D520">
        <v>143.28</v>
      </c>
      <c r="E520">
        <v>144.28</v>
      </c>
      <c r="F520">
        <v>164.45</v>
      </c>
      <c r="G520">
        <v>161.44999999999999</v>
      </c>
      <c r="H520">
        <v>162.94999999999999</v>
      </c>
      <c r="I520">
        <v>105.37</v>
      </c>
      <c r="J520">
        <v>102.17</v>
      </c>
      <c r="K520">
        <v>103.77000000000001</v>
      </c>
      <c r="L520">
        <v>197.45</v>
      </c>
      <c r="M520">
        <v>189.45</v>
      </c>
      <c r="N520">
        <v>193.45</v>
      </c>
      <c r="O520">
        <v>175.49</v>
      </c>
      <c r="P520">
        <v>173.69</v>
      </c>
      <c r="Q520">
        <v>174.59</v>
      </c>
      <c r="R520">
        <v>22.15</v>
      </c>
      <c r="S520">
        <v>21.549999999999997</v>
      </c>
      <c r="T520">
        <v>21.849999999999998</v>
      </c>
      <c r="U520">
        <v>14.38</v>
      </c>
      <c r="V520">
        <v>13.780000000000001</v>
      </c>
      <c r="W520">
        <v>14.080000000000002</v>
      </c>
      <c r="X520">
        <v>15.39</v>
      </c>
      <c r="Y520">
        <v>14.59</v>
      </c>
      <c r="Z520">
        <v>14.99</v>
      </c>
      <c r="AA520">
        <v>94.87</v>
      </c>
      <c r="AB520">
        <v>90.87</v>
      </c>
      <c r="AC520">
        <v>92.87</v>
      </c>
      <c r="AD520">
        <v>87.66</v>
      </c>
      <c r="AE520">
        <v>83.66</v>
      </c>
      <c r="AF520">
        <v>85.66</v>
      </c>
      <c r="AG520">
        <v>18.86</v>
      </c>
      <c r="AH520">
        <v>18</v>
      </c>
      <c r="AI520">
        <v>18.43</v>
      </c>
      <c r="AM520">
        <v>112.33</v>
      </c>
      <c r="AN520">
        <v>110.67</v>
      </c>
      <c r="AO520">
        <v>111.5</v>
      </c>
      <c r="AP520">
        <v>39.36</v>
      </c>
      <c r="AQ520">
        <v>37.76</v>
      </c>
      <c r="AR520">
        <v>38.56</v>
      </c>
      <c r="AS520">
        <v>40.03</v>
      </c>
      <c r="AT520">
        <v>38.67</v>
      </c>
      <c r="AU520">
        <v>39.35</v>
      </c>
      <c r="AV520">
        <v>20.29</v>
      </c>
      <c r="AW520">
        <v>19.689999999999998</v>
      </c>
      <c r="AX520">
        <v>19.989999999999998</v>
      </c>
      <c r="AY520">
        <v>4.47</v>
      </c>
      <c r="AZ520">
        <v>4.3099999999999996</v>
      </c>
      <c r="BA520">
        <v>4.3899999999999997</v>
      </c>
      <c r="BB520">
        <v>1.85</v>
      </c>
      <c r="BC520">
        <v>1.55</v>
      </c>
      <c r="BD520">
        <v>1.7000000000000002</v>
      </c>
      <c r="BE520">
        <v>0.67</v>
      </c>
      <c r="BF520">
        <v>0.37000000000000005</v>
      </c>
      <c r="BG520">
        <v>0.52</v>
      </c>
      <c r="BH520">
        <v>480.58</v>
      </c>
      <c r="BI520">
        <v>464.58</v>
      </c>
      <c r="BJ520">
        <v>472.58</v>
      </c>
      <c r="BK520">
        <v>40.380000000000003</v>
      </c>
      <c r="BL520">
        <v>39.020000000000003</v>
      </c>
      <c r="BM520">
        <v>39.700000000000003</v>
      </c>
      <c r="BN520">
        <v>1</v>
      </c>
      <c r="BO520">
        <v>0.76</v>
      </c>
      <c r="BP520">
        <v>0.88</v>
      </c>
      <c r="BQ520">
        <v>8.49</v>
      </c>
      <c r="BR520">
        <v>6.49</v>
      </c>
      <c r="BS520">
        <v>7.49</v>
      </c>
      <c r="BT520">
        <v>10.6</v>
      </c>
      <c r="BU520">
        <v>10.199999999999999</v>
      </c>
      <c r="BV520">
        <v>10.399999999999999</v>
      </c>
      <c r="BW520">
        <v>2.76</v>
      </c>
      <c r="BX520">
        <v>2.4799999999999995</v>
      </c>
      <c r="BY520">
        <v>2.6199999999999997</v>
      </c>
      <c r="BZ520">
        <v>9.56</v>
      </c>
      <c r="CA520">
        <v>6.5600000000000005</v>
      </c>
      <c r="CB520">
        <v>8.06</v>
      </c>
      <c r="CC520">
        <v>6.67</v>
      </c>
      <c r="CD520">
        <v>6.43</v>
      </c>
      <c r="CE520">
        <v>6.55</v>
      </c>
      <c r="CF520">
        <v>2.04</v>
      </c>
      <c r="CG520">
        <v>1.54</v>
      </c>
      <c r="CH520">
        <v>1.79</v>
      </c>
      <c r="CI520">
        <v>0.43</v>
      </c>
      <c r="CJ520">
        <v>0.39</v>
      </c>
      <c r="CK520">
        <v>0.41000000000000003</v>
      </c>
      <c r="CL520">
        <v>39.67</v>
      </c>
      <c r="CM520">
        <v>37.270000000000003</v>
      </c>
      <c r="CN520">
        <v>38.47</v>
      </c>
      <c r="CO520">
        <v>6.22</v>
      </c>
      <c r="CP520">
        <v>1.2199999999999998</v>
      </c>
      <c r="CQ520">
        <v>3.7199999999999998</v>
      </c>
    </row>
    <row r="521" spans="1:95">
      <c r="A521" s="424">
        <v>45799</v>
      </c>
      <c r="B521" t="s">
        <v>250</v>
      </c>
      <c r="C521">
        <v>144.36000000000001</v>
      </c>
      <c r="D521">
        <v>142.36000000000001</v>
      </c>
      <c r="E521">
        <v>143.36000000000001</v>
      </c>
      <c r="F521">
        <v>163.9</v>
      </c>
      <c r="G521">
        <v>160.9</v>
      </c>
      <c r="H521">
        <v>162.4</v>
      </c>
      <c r="I521">
        <v>105.03</v>
      </c>
      <c r="J521">
        <v>101.83</v>
      </c>
      <c r="K521">
        <v>103.43</v>
      </c>
      <c r="L521">
        <v>196.5</v>
      </c>
      <c r="M521">
        <v>188.5</v>
      </c>
      <c r="N521">
        <v>192.5</v>
      </c>
      <c r="O521">
        <v>174.71</v>
      </c>
      <c r="P521">
        <v>172.91</v>
      </c>
      <c r="Q521">
        <v>173.81</v>
      </c>
      <c r="R521">
        <v>22.07</v>
      </c>
      <c r="S521">
        <v>21.47</v>
      </c>
      <c r="T521">
        <v>21.77</v>
      </c>
      <c r="U521">
        <v>14.4</v>
      </c>
      <c r="V521">
        <v>13.8</v>
      </c>
      <c r="W521">
        <v>14.100000000000001</v>
      </c>
      <c r="X521">
        <v>15.39</v>
      </c>
      <c r="Y521">
        <v>14.59</v>
      </c>
      <c r="Z521">
        <v>14.99</v>
      </c>
      <c r="AA521">
        <v>94.28</v>
      </c>
      <c r="AB521">
        <v>90.28</v>
      </c>
      <c r="AC521">
        <v>92.28</v>
      </c>
      <c r="AD521">
        <v>87.1</v>
      </c>
      <c r="AE521">
        <v>83.1</v>
      </c>
      <c r="AF521">
        <v>85.1</v>
      </c>
      <c r="AG521">
        <v>18.73</v>
      </c>
      <c r="AH521">
        <v>17.87</v>
      </c>
      <c r="AI521">
        <v>18.3</v>
      </c>
      <c r="AM521">
        <v>112.04</v>
      </c>
      <c r="AN521">
        <v>110.38000000000001</v>
      </c>
      <c r="AO521">
        <v>111.21000000000001</v>
      </c>
      <c r="AP521">
        <v>39.11</v>
      </c>
      <c r="AQ521">
        <v>37.51</v>
      </c>
      <c r="AR521">
        <v>38.31</v>
      </c>
      <c r="AS521">
        <v>39.770000000000003</v>
      </c>
      <c r="AT521">
        <v>38.410000000000004</v>
      </c>
      <c r="AU521">
        <v>39.090000000000003</v>
      </c>
      <c r="AV521">
        <v>20.2</v>
      </c>
      <c r="AW521">
        <v>19.599999999999998</v>
      </c>
      <c r="AX521">
        <v>19.899999999999999</v>
      </c>
      <c r="AY521">
        <v>4.47</v>
      </c>
      <c r="AZ521">
        <v>4.3099999999999996</v>
      </c>
      <c r="BA521">
        <v>4.3899999999999997</v>
      </c>
      <c r="BB521">
        <v>1.84</v>
      </c>
      <c r="BC521">
        <v>1.54</v>
      </c>
      <c r="BD521">
        <v>1.69</v>
      </c>
      <c r="BE521">
        <v>0.66</v>
      </c>
      <c r="BF521">
        <v>0.36000000000000004</v>
      </c>
      <c r="BG521">
        <v>0.51</v>
      </c>
      <c r="BH521">
        <v>477.72</v>
      </c>
      <c r="BI521">
        <v>461.72</v>
      </c>
      <c r="BJ521">
        <v>469.72</v>
      </c>
      <c r="BK521">
        <v>40.14</v>
      </c>
      <c r="BL521">
        <v>38.78</v>
      </c>
      <c r="BM521">
        <v>39.46</v>
      </c>
      <c r="BN521">
        <v>1</v>
      </c>
      <c r="BO521">
        <v>0.76</v>
      </c>
      <c r="BP521">
        <v>0.88</v>
      </c>
      <c r="BQ521">
        <v>8.41</v>
      </c>
      <c r="BR521">
        <v>6.41</v>
      </c>
      <c r="BS521">
        <v>7.41</v>
      </c>
      <c r="BT521">
        <v>10.63</v>
      </c>
      <c r="BU521">
        <v>10.23</v>
      </c>
      <c r="BV521">
        <v>10.43</v>
      </c>
      <c r="BW521">
        <v>2.74</v>
      </c>
      <c r="BX521">
        <v>2.46</v>
      </c>
      <c r="BY521">
        <v>2.6</v>
      </c>
      <c r="BZ521">
        <v>9.48</v>
      </c>
      <c r="CA521">
        <v>6.48</v>
      </c>
      <c r="CB521">
        <v>7.98</v>
      </c>
      <c r="CC521">
        <v>6.65</v>
      </c>
      <c r="CD521">
        <v>6.41</v>
      </c>
      <c r="CE521">
        <v>6.53</v>
      </c>
      <c r="CF521">
        <v>2.0499999999999998</v>
      </c>
      <c r="CG521">
        <v>1.5499999999999998</v>
      </c>
      <c r="CH521">
        <v>1.7999999999999998</v>
      </c>
      <c r="CI521">
        <v>0.42</v>
      </c>
      <c r="CJ521">
        <v>0.38</v>
      </c>
      <c r="CK521">
        <v>0.4</v>
      </c>
      <c r="CL521">
        <v>39.5</v>
      </c>
      <c r="CM521">
        <v>37.1</v>
      </c>
      <c r="CN521">
        <v>38.299999999999997</v>
      </c>
      <c r="CO521">
        <v>6.2</v>
      </c>
      <c r="CP521">
        <v>1.2000000000000002</v>
      </c>
      <c r="CQ521">
        <v>3.7</v>
      </c>
    </row>
    <row r="522" spans="1:95">
      <c r="A522" s="424">
        <v>45800</v>
      </c>
      <c r="B522" t="s">
        <v>251</v>
      </c>
      <c r="C522">
        <v>144.91</v>
      </c>
      <c r="D522">
        <v>142.91</v>
      </c>
      <c r="E522">
        <v>143.91</v>
      </c>
      <c r="F522">
        <v>164.09</v>
      </c>
      <c r="G522">
        <v>161.09</v>
      </c>
      <c r="H522">
        <v>162.59</v>
      </c>
      <c r="I522">
        <v>105.5</v>
      </c>
      <c r="J522">
        <v>102.3</v>
      </c>
      <c r="K522">
        <v>103.9</v>
      </c>
      <c r="L522">
        <v>197.36</v>
      </c>
      <c r="M522">
        <v>189.36</v>
      </c>
      <c r="N522">
        <v>193.36</v>
      </c>
      <c r="O522">
        <v>174.77</v>
      </c>
      <c r="P522">
        <v>172.97</v>
      </c>
      <c r="Q522">
        <v>173.87</v>
      </c>
      <c r="R522">
        <v>22.09</v>
      </c>
      <c r="S522">
        <v>21.49</v>
      </c>
      <c r="T522">
        <v>21.79</v>
      </c>
      <c r="U522">
        <v>14.43</v>
      </c>
      <c r="V522">
        <v>13.83</v>
      </c>
      <c r="W522">
        <v>14.129999999999999</v>
      </c>
      <c r="X522">
        <v>15.36</v>
      </c>
      <c r="Y522">
        <v>14.559999999999999</v>
      </c>
      <c r="Z522">
        <v>14.959999999999999</v>
      </c>
      <c r="AA522">
        <v>94.36</v>
      </c>
      <c r="AB522">
        <v>90.36</v>
      </c>
      <c r="AC522">
        <v>92.36</v>
      </c>
      <c r="AD522">
        <v>86.95</v>
      </c>
      <c r="AE522">
        <v>82.95</v>
      </c>
      <c r="AF522">
        <v>84.95</v>
      </c>
      <c r="AG522">
        <v>18.809999999999999</v>
      </c>
      <c r="AH522">
        <v>17.95</v>
      </c>
      <c r="AI522">
        <v>18.38</v>
      </c>
      <c r="AM522">
        <v>112.26</v>
      </c>
      <c r="AN522">
        <v>110.60000000000001</v>
      </c>
      <c r="AO522">
        <v>111.43</v>
      </c>
      <c r="AP522">
        <v>39.26</v>
      </c>
      <c r="AQ522">
        <v>37.659999999999997</v>
      </c>
      <c r="AR522">
        <v>38.459999999999994</v>
      </c>
      <c r="AS522">
        <v>39.92</v>
      </c>
      <c r="AT522">
        <v>38.56</v>
      </c>
      <c r="AU522">
        <v>39.24</v>
      </c>
      <c r="AV522">
        <v>20.28</v>
      </c>
      <c r="AW522">
        <v>19.68</v>
      </c>
      <c r="AX522">
        <v>19.98</v>
      </c>
      <c r="AY522">
        <v>4.45</v>
      </c>
      <c r="AZ522">
        <v>4.29</v>
      </c>
      <c r="BA522">
        <v>4.37</v>
      </c>
      <c r="BB522">
        <v>1.83</v>
      </c>
      <c r="BC522">
        <v>1.53</v>
      </c>
      <c r="BD522">
        <v>1.6800000000000002</v>
      </c>
      <c r="BE522">
        <v>0.67</v>
      </c>
      <c r="BF522">
        <v>0.37000000000000005</v>
      </c>
      <c r="BG522">
        <v>0.52</v>
      </c>
      <c r="BH522">
        <v>479.37</v>
      </c>
      <c r="BI522">
        <v>463.37</v>
      </c>
      <c r="BJ522">
        <v>471.37</v>
      </c>
      <c r="BK522">
        <v>40.29</v>
      </c>
      <c r="BL522">
        <v>38.93</v>
      </c>
      <c r="BM522">
        <v>39.61</v>
      </c>
      <c r="BN522">
        <v>1</v>
      </c>
      <c r="BO522">
        <v>0.76</v>
      </c>
      <c r="BP522">
        <v>0.88</v>
      </c>
      <c r="BQ522">
        <v>8.4600000000000009</v>
      </c>
      <c r="BR522">
        <v>6.4600000000000009</v>
      </c>
      <c r="BS522">
        <v>7.4600000000000009</v>
      </c>
      <c r="BT522">
        <v>10.65</v>
      </c>
      <c r="BU522">
        <v>10.25</v>
      </c>
      <c r="BV522">
        <v>10.45</v>
      </c>
      <c r="BW522">
        <v>2.76</v>
      </c>
      <c r="BX522">
        <v>2.4799999999999995</v>
      </c>
      <c r="BY522">
        <v>2.6199999999999997</v>
      </c>
      <c r="BZ522">
        <v>9.51</v>
      </c>
      <c r="CA522">
        <v>6.51</v>
      </c>
      <c r="CB522">
        <v>8.01</v>
      </c>
      <c r="CC522">
        <v>6.66</v>
      </c>
      <c r="CD522">
        <v>6.42</v>
      </c>
      <c r="CE522">
        <v>6.54</v>
      </c>
      <c r="CF522">
        <v>2.06</v>
      </c>
      <c r="CG522">
        <v>1.56</v>
      </c>
      <c r="CH522">
        <v>1.81</v>
      </c>
      <c r="CI522">
        <v>0.42</v>
      </c>
      <c r="CJ522">
        <v>0.38</v>
      </c>
      <c r="CK522">
        <v>0.4</v>
      </c>
      <c r="CL522">
        <v>39.5</v>
      </c>
      <c r="CM522">
        <v>37.1</v>
      </c>
      <c r="CN522">
        <v>38.299999999999997</v>
      </c>
      <c r="CO522">
        <v>6.2</v>
      </c>
      <c r="CP522">
        <v>1.2000000000000002</v>
      </c>
      <c r="CQ522">
        <v>3.7</v>
      </c>
    </row>
    <row r="523" spans="1:95">
      <c r="A523" s="424">
        <v>45801</v>
      </c>
      <c r="B523" t="s">
        <v>252</v>
      </c>
    </row>
    <row r="524" spans="1:95">
      <c r="A524" s="424">
        <v>45802</v>
      </c>
      <c r="B524" t="s">
        <v>253</v>
      </c>
    </row>
    <row r="525" spans="1:95">
      <c r="A525" s="424">
        <v>45803</v>
      </c>
      <c r="B525" t="s">
        <v>247</v>
      </c>
      <c r="C525">
        <v>143.74</v>
      </c>
      <c r="D525">
        <v>141.74</v>
      </c>
      <c r="E525">
        <v>142.74</v>
      </c>
      <c r="F525">
        <v>164.14</v>
      </c>
      <c r="G525">
        <v>161.13999999999999</v>
      </c>
      <c r="H525">
        <v>162.63999999999999</v>
      </c>
      <c r="I525">
        <v>105.64</v>
      </c>
      <c r="J525">
        <v>102.44</v>
      </c>
      <c r="K525">
        <v>104.03999999999999</v>
      </c>
      <c r="L525">
        <v>197.48</v>
      </c>
      <c r="M525">
        <v>189.48</v>
      </c>
      <c r="N525">
        <v>193.48</v>
      </c>
      <c r="O525">
        <v>174.51</v>
      </c>
      <c r="P525">
        <v>172.70999999999998</v>
      </c>
      <c r="Q525">
        <v>173.60999999999999</v>
      </c>
      <c r="R525">
        <v>22.1</v>
      </c>
      <c r="S525">
        <v>21.5</v>
      </c>
      <c r="T525">
        <v>21.8</v>
      </c>
      <c r="U525">
        <v>14.44</v>
      </c>
      <c r="V525">
        <v>13.84</v>
      </c>
      <c r="W525">
        <v>14.14</v>
      </c>
      <c r="X525">
        <v>15.41</v>
      </c>
      <c r="Y525">
        <v>14.61</v>
      </c>
      <c r="Z525">
        <v>15.01</v>
      </c>
      <c r="AA525">
        <v>94.87</v>
      </c>
      <c r="AB525">
        <v>90.87</v>
      </c>
      <c r="AC525">
        <v>92.87</v>
      </c>
      <c r="AD525">
        <v>87.56</v>
      </c>
      <c r="AE525">
        <v>83.56</v>
      </c>
      <c r="AF525">
        <v>85.56</v>
      </c>
      <c r="AG525">
        <v>18.64</v>
      </c>
      <c r="AH525">
        <v>17.78</v>
      </c>
      <c r="AI525">
        <v>18.21</v>
      </c>
      <c r="AM525">
        <v>112.01</v>
      </c>
      <c r="AN525">
        <v>110.35000000000001</v>
      </c>
      <c r="AO525">
        <v>111.18</v>
      </c>
      <c r="AP525">
        <v>38.799999999999997</v>
      </c>
      <c r="AQ525">
        <v>37.199999999999996</v>
      </c>
      <c r="AR525">
        <v>38</v>
      </c>
      <c r="AS525">
        <v>39.61</v>
      </c>
      <c r="AT525">
        <v>38.25</v>
      </c>
      <c r="AU525">
        <v>38.93</v>
      </c>
      <c r="AV525">
        <v>20.18</v>
      </c>
      <c r="AW525">
        <v>19.579999999999998</v>
      </c>
      <c r="AX525">
        <v>19.88</v>
      </c>
      <c r="AY525">
        <v>4.46</v>
      </c>
      <c r="AZ525">
        <v>4.3</v>
      </c>
      <c r="BA525">
        <v>4.38</v>
      </c>
      <c r="BB525">
        <v>1.84</v>
      </c>
      <c r="BC525">
        <v>1.54</v>
      </c>
      <c r="BD525">
        <v>1.69</v>
      </c>
      <c r="BE525">
        <v>0.66</v>
      </c>
      <c r="BF525">
        <v>0.36000000000000004</v>
      </c>
      <c r="BG525">
        <v>0.51</v>
      </c>
      <c r="BH525">
        <v>476.15</v>
      </c>
      <c r="BI525">
        <v>460.15</v>
      </c>
      <c r="BJ525">
        <v>468.15</v>
      </c>
      <c r="BK525">
        <v>39.96</v>
      </c>
      <c r="BL525">
        <v>38.6</v>
      </c>
      <c r="BM525">
        <v>39.28</v>
      </c>
      <c r="BN525">
        <v>1</v>
      </c>
      <c r="BO525">
        <v>0.76</v>
      </c>
      <c r="BP525">
        <v>0.88</v>
      </c>
      <c r="BQ525">
        <v>8.44</v>
      </c>
      <c r="BR525">
        <v>6.4399999999999995</v>
      </c>
      <c r="BS525">
        <v>7.4399999999999995</v>
      </c>
      <c r="BT525">
        <v>10.65</v>
      </c>
      <c r="BU525">
        <v>10.25</v>
      </c>
      <c r="BV525">
        <v>10.45</v>
      </c>
      <c r="BW525">
        <v>2.75</v>
      </c>
      <c r="BX525">
        <v>2.4699999999999998</v>
      </c>
      <c r="BY525">
        <v>2.61</v>
      </c>
      <c r="BZ525">
        <v>9.51</v>
      </c>
      <c r="CA525">
        <v>6.51</v>
      </c>
      <c r="CB525">
        <v>8.01</v>
      </c>
      <c r="CC525">
        <v>6.67</v>
      </c>
      <c r="CD525">
        <v>6.43</v>
      </c>
      <c r="CE525">
        <v>6.55</v>
      </c>
      <c r="CF525">
        <v>2.0499999999999998</v>
      </c>
      <c r="CG525">
        <v>1.5499999999999998</v>
      </c>
      <c r="CH525">
        <v>1.7999999999999998</v>
      </c>
      <c r="CI525">
        <v>0.42</v>
      </c>
      <c r="CJ525">
        <v>0.38</v>
      </c>
      <c r="CK525">
        <v>0.4</v>
      </c>
      <c r="CL525">
        <v>39.4</v>
      </c>
      <c r="CM525">
        <v>37</v>
      </c>
      <c r="CN525">
        <v>38.200000000000003</v>
      </c>
      <c r="CO525">
        <v>6.16</v>
      </c>
      <c r="CP525">
        <v>1.1600000000000001</v>
      </c>
      <c r="CQ525">
        <v>3.66</v>
      </c>
    </row>
    <row r="526" spans="1:95">
      <c r="A526" s="424">
        <v>45804</v>
      </c>
      <c r="B526" t="s">
        <v>248</v>
      </c>
      <c r="C526">
        <v>143.37</v>
      </c>
      <c r="D526">
        <v>141.37</v>
      </c>
      <c r="E526">
        <v>142.37</v>
      </c>
      <c r="F526">
        <v>163.83000000000001</v>
      </c>
      <c r="G526">
        <v>160.83000000000001</v>
      </c>
      <c r="H526">
        <v>162.33000000000001</v>
      </c>
      <c r="I526">
        <v>105.35</v>
      </c>
      <c r="J526">
        <v>102.14999999999999</v>
      </c>
      <c r="K526">
        <v>103.75</v>
      </c>
      <c r="L526">
        <v>197.42</v>
      </c>
      <c r="M526">
        <v>189.42</v>
      </c>
      <c r="N526">
        <v>193.42</v>
      </c>
      <c r="O526">
        <v>174.56</v>
      </c>
      <c r="P526">
        <v>172.76</v>
      </c>
      <c r="Q526">
        <v>173.66</v>
      </c>
      <c r="R526">
        <v>22.06</v>
      </c>
      <c r="S526">
        <v>21.459999999999997</v>
      </c>
      <c r="T526">
        <v>21.759999999999998</v>
      </c>
      <c r="U526">
        <v>14.42</v>
      </c>
      <c r="V526">
        <v>13.82</v>
      </c>
      <c r="W526">
        <v>14.120000000000001</v>
      </c>
      <c r="X526">
        <v>15.38</v>
      </c>
      <c r="Y526">
        <v>14.58</v>
      </c>
      <c r="Z526">
        <v>14.98</v>
      </c>
      <c r="AA526">
        <v>94.46</v>
      </c>
      <c r="AB526">
        <v>90.46</v>
      </c>
      <c r="AC526">
        <v>92.46</v>
      </c>
      <c r="AD526">
        <v>87.46</v>
      </c>
      <c r="AE526">
        <v>83.46</v>
      </c>
      <c r="AF526">
        <v>85.46</v>
      </c>
      <c r="AG526">
        <v>18.600000000000001</v>
      </c>
      <c r="AH526">
        <v>17.740000000000002</v>
      </c>
      <c r="AI526">
        <v>18.170000000000002</v>
      </c>
      <c r="AM526">
        <v>111.83</v>
      </c>
      <c r="AN526">
        <v>110.17</v>
      </c>
      <c r="AO526">
        <v>111</v>
      </c>
      <c r="AP526">
        <v>38.840000000000003</v>
      </c>
      <c r="AQ526">
        <v>37.24</v>
      </c>
      <c r="AR526">
        <v>38.040000000000006</v>
      </c>
      <c r="AS526">
        <v>39.5</v>
      </c>
      <c r="AT526">
        <v>38.14</v>
      </c>
      <c r="AU526">
        <v>38.82</v>
      </c>
      <c r="AV526">
        <v>20.149999999999999</v>
      </c>
      <c r="AW526">
        <v>19.549999999999997</v>
      </c>
      <c r="AX526">
        <v>19.849999999999998</v>
      </c>
      <c r="AY526">
        <v>4.46</v>
      </c>
      <c r="AZ526">
        <v>4.3</v>
      </c>
      <c r="BA526">
        <v>4.38</v>
      </c>
      <c r="BB526">
        <v>1.83</v>
      </c>
      <c r="BC526">
        <v>1.53</v>
      </c>
      <c r="BD526">
        <v>1.6800000000000002</v>
      </c>
      <c r="BE526">
        <v>0.66</v>
      </c>
      <c r="BF526">
        <v>0.36000000000000004</v>
      </c>
      <c r="BG526">
        <v>0.51</v>
      </c>
      <c r="BH526">
        <v>470.39</v>
      </c>
      <c r="BI526">
        <v>454.39</v>
      </c>
      <c r="BJ526">
        <v>462.39</v>
      </c>
      <c r="BK526">
        <v>39.86</v>
      </c>
      <c r="BL526">
        <v>38.5</v>
      </c>
      <c r="BM526">
        <v>39.18</v>
      </c>
      <c r="BN526">
        <v>1</v>
      </c>
      <c r="BO526">
        <v>0.76</v>
      </c>
      <c r="BP526">
        <v>0.88</v>
      </c>
      <c r="BQ526">
        <v>8.4</v>
      </c>
      <c r="BR526">
        <v>6.4</v>
      </c>
      <c r="BS526">
        <v>7.4</v>
      </c>
      <c r="BT526">
        <v>10.64</v>
      </c>
      <c r="BU526">
        <v>10.24</v>
      </c>
      <c r="BV526">
        <v>10.440000000000001</v>
      </c>
      <c r="BW526">
        <v>2.74</v>
      </c>
      <c r="BX526">
        <v>2.46</v>
      </c>
      <c r="BY526">
        <v>2.6</v>
      </c>
      <c r="BZ526">
        <v>9.48</v>
      </c>
      <c r="CA526">
        <v>6.48</v>
      </c>
      <c r="CB526">
        <v>7.98</v>
      </c>
      <c r="CC526">
        <v>6.65</v>
      </c>
      <c r="CD526">
        <v>6.41</v>
      </c>
      <c r="CE526">
        <v>6.53</v>
      </c>
      <c r="CF526">
        <v>2.04</v>
      </c>
      <c r="CG526">
        <v>1.54</v>
      </c>
      <c r="CH526">
        <v>1.79</v>
      </c>
      <c r="CI526">
        <v>0.42</v>
      </c>
      <c r="CJ526">
        <v>0.38</v>
      </c>
      <c r="CK526">
        <v>0.4</v>
      </c>
      <c r="CL526">
        <v>39.49</v>
      </c>
      <c r="CM526">
        <v>37.090000000000003</v>
      </c>
      <c r="CN526">
        <v>38.290000000000006</v>
      </c>
      <c r="CO526">
        <v>6.15</v>
      </c>
      <c r="CP526">
        <v>1.1500000000000004</v>
      </c>
      <c r="CQ526">
        <v>3.6500000000000004</v>
      </c>
    </row>
    <row r="527" spans="1:95">
      <c r="A527" s="424">
        <v>45805</v>
      </c>
      <c r="B527" t="s">
        <v>249</v>
      </c>
      <c r="C527">
        <v>145.06</v>
      </c>
      <c r="D527">
        <v>143.06</v>
      </c>
      <c r="E527">
        <v>144.06</v>
      </c>
      <c r="F527">
        <v>164.75</v>
      </c>
      <c r="G527">
        <v>161.75</v>
      </c>
      <c r="H527">
        <v>163.25</v>
      </c>
      <c r="I527">
        <v>105.97</v>
      </c>
      <c r="J527">
        <v>102.77</v>
      </c>
      <c r="K527">
        <v>104.37</v>
      </c>
      <c r="L527">
        <v>198.74</v>
      </c>
      <c r="M527">
        <v>190.74</v>
      </c>
      <c r="N527">
        <v>194.74</v>
      </c>
      <c r="O527">
        <v>174.99</v>
      </c>
      <c r="P527">
        <v>173.19</v>
      </c>
      <c r="Q527">
        <v>174.09</v>
      </c>
      <c r="R527">
        <v>22.18</v>
      </c>
      <c r="S527">
        <v>21.58</v>
      </c>
      <c r="T527">
        <v>21.88</v>
      </c>
      <c r="U527">
        <v>14.49</v>
      </c>
      <c r="V527">
        <v>13.89</v>
      </c>
      <c r="W527">
        <v>14.190000000000001</v>
      </c>
      <c r="X527">
        <v>15.38</v>
      </c>
      <c r="Y527">
        <v>14.58</v>
      </c>
      <c r="Z527">
        <v>14.98</v>
      </c>
      <c r="AA527">
        <v>94.9</v>
      </c>
      <c r="AB527">
        <v>90.9</v>
      </c>
      <c r="AC527">
        <v>92.9</v>
      </c>
      <c r="AD527">
        <v>87.66</v>
      </c>
      <c r="AE527">
        <v>83.66</v>
      </c>
      <c r="AF527">
        <v>85.66</v>
      </c>
      <c r="AG527">
        <v>18.809999999999999</v>
      </c>
      <c r="AH527">
        <v>17.95</v>
      </c>
      <c r="AI527">
        <v>18.38</v>
      </c>
      <c r="AM527">
        <v>112.7</v>
      </c>
      <c r="AN527">
        <v>111.04</v>
      </c>
      <c r="AO527">
        <v>111.87</v>
      </c>
      <c r="AP527">
        <v>39.29</v>
      </c>
      <c r="AQ527">
        <v>37.69</v>
      </c>
      <c r="AR527">
        <v>38.489999999999995</v>
      </c>
      <c r="AS527">
        <v>39.97</v>
      </c>
      <c r="AT527">
        <v>38.61</v>
      </c>
      <c r="AU527">
        <v>39.29</v>
      </c>
      <c r="AV527">
        <v>20.329999999999998</v>
      </c>
      <c r="AW527">
        <v>19.729999999999997</v>
      </c>
      <c r="AX527">
        <v>20.029999999999998</v>
      </c>
      <c r="AY527">
        <v>4.49</v>
      </c>
      <c r="AZ527">
        <v>4.33</v>
      </c>
      <c r="BA527">
        <v>4.41</v>
      </c>
      <c r="BB527">
        <v>1.85</v>
      </c>
      <c r="BC527">
        <v>1.55</v>
      </c>
      <c r="BD527">
        <v>1.7000000000000002</v>
      </c>
      <c r="BE527">
        <v>0.66</v>
      </c>
      <c r="BF527">
        <v>0.36000000000000004</v>
      </c>
      <c r="BG527">
        <v>0.51</v>
      </c>
      <c r="BH527">
        <v>475.73</v>
      </c>
      <c r="BI527">
        <v>459.73</v>
      </c>
      <c r="BJ527">
        <v>467.73</v>
      </c>
      <c r="BK527">
        <v>40.33</v>
      </c>
      <c r="BL527">
        <v>38.97</v>
      </c>
      <c r="BM527">
        <v>39.65</v>
      </c>
      <c r="BN527">
        <v>1.01</v>
      </c>
      <c r="BO527">
        <v>0.77</v>
      </c>
      <c r="BP527">
        <v>0.89</v>
      </c>
      <c r="BQ527">
        <v>8.48</v>
      </c>
      <c r="BR527">
        <v>6.48</v>
      </c>
      <c r="BS527">
        <v>7.48</v>
      </c>
      <c r="BT527">
        <v>10.71</v>
      </c>
      <c r="BU527">
        <v>10.31</v>
      </c>
      <c r="BV527">
        <v>10.510000000000002</v>
      </c>
      <c r="BW527">
        <v>2.76</v>
      </c>
      <c r="BX527">
        <v>2.4799999999999995</v>
      </c>
      <c r="BY527">
        <v>2.6199999999999997</v>
      </c>
      <c r="BZ527">
        <v>9.5399999999999991</v>
      </c>
      <c r="CA527">
        <v>6.5399999999999991</v>
      </c>
      <c r="CB527">
        <v>8.0399999999999991</v>
      </c>
      <c r="CC527">
        <v>6.68</v>
      </c>
      <c r="CD527">
        <v>6.4399999999999995</v>
      </c>
      <c r="CE527">
        <v>6.56</v>
      </c>
      <c r="CF527">
        <v>2.0499999999999998</v>
      </c>
      <c r="CG527">
        <v>1.5499999999999998</v>
      </c>
      <c r="CH527">
        <v>1.7999999999999998</v>
      </c>
      <c r="CI527">
        <v>0.42</v>
      </c>
      <c r="CJ527">
        <v>0.38</v>
      </c>
      <c r="CK527">
        <v>0.4</v>
      </c>
      <c r="CL527">
        <v>39.67</v>
      </c>
      <c r="CM527">
        <v>37.270000000000003</v>
      </c>
      <c r="CN527">
        <v>38.47</v>
      </c>
      <c r="CO527">
        <v>6.19</v>
      </c>
      <c r="CP527">
        <v>1.1900000000000004</v>
      </c>
      <c r="CQ527">
        <v>3.6900000000000004</v>
      </c>
    </row>
    <row r="528" spans="1:95">
      <c r="A528" s="424">
        <v>45806</v>
      </c>
      <c r="B528" t="s">
        <v>250</v>
      </c>
      <c r="C528">
        <v>147.05000000000001</v>
      </c>
      <c r="D528">
        <v>145.05000000000001</v>
      </c>
      <c r="E528">
        <v>146.05000000000001</v>
      </c>
      <c r="F528">
        <v>165.65</v>
      </c>
      <c r="G528">
        <v>162.65</v>
      </c>
      <c r="H528">
        <v>164.15</v>
      </c>
      <c r="I528">
        <v>107.01</v>
      </c>
      <c r="J528">
        <v>103.81</v>
      </c>
      <c r="K528">
        <v>105.41</v>
      </c>
      <c r="L528">
        <v>200.19</v>
      </c>
      <c r="M528">
        <v>192.19</v>
      </c>
      <c r="N528">
        <v>196.19</v>
      </c>
      <c r="O528">
        <v>176.06</v>
      </c>
      <c r="P528">
        <v>174.26</v>
      </c>
      <c r="Q528">
        <v>175.16</v>
      </c>
      <c r="R528">
        <v>22.3</v>
      </c>
      <c r="S528">
        <v>21.7</v>
      </c>
      <c r="T528">
        <v>22</v>
      </c>
      <c r="U528">
        <v>14.6</v>
      </c>
      <c r="V528">
        <v>14</v>
      </c>
      <c r="W528">
        <v>14.3</v>
      </c>
      <c r="X528">
        <v>15.46</v>
      </c>
      <c r="Y528">
        <v>14.66</v>
      </c>
      <c r="Z528">
        <v>15.06</v>
      </c>
      <c r="AA528">
        <v>95.81</v>
      </c>
      <c r="AB528">
        <v>91.81</v>
      </c>
      <c r="AC528">
        <v>93.81</v>
      </c>
      <c r="AD528">
        <v>89.03</v>
      </c>
      <c r="AE528">
        <v>85.03</v>
      </c>
      <c r="AF528">
        <v>87.03</v>
      </c>
      <c r="AG528">
        <v>19.059999999999999</v>
      </c>
      <c r="AH528">
        <v>18.2</v>
      </c>
      <c r="AI528">
        <v>18.63</v>
      </c>
      <c r="AM528">
        <v>113.71</v>
      </c>
      <c r="AN528">
        <v>112.05</v>
      </c>
      <c r="AO528">
        <v>112.88</v>
      </c>
      <c r="AP528">
        <v>39.82</v>
      </c>
      <c r="AQ528">
        <v>38.22</v>
      </c>
      <c r="AR528">
        <v>39.019999999999996</v>
      </c>
      <c r="AS528">
        <v>40.520000000000003</v>
      </c>
      <c r="AT528">
        <v>39.160000000000004</v>
      </c>
      <c r="AU528">
        <v>39.840000000000003</v>
      </c>
      <c r="AV528">
        <v>20.58</v>
      </c>
      <c r="AW528">
        <v>19.979999999999997</v>
      </c>
      <c r="AX528">
        <v>20.279999999999998</v>
      </c>
      <c r="AY528">
        <v>4.5199999999999996</v>
      </c>
      <c r="AZ528">
        <v>4.3599999999999994</v>
      </c>
      <c r="BA528">
        <v>4.4399999999999995</v>
      </c>
      <c r="BB528">
        <v>1.87</v>
      </c>
      <c r="BC528">
        <v>1.57</v>
      </c>
      <c r="BD528">
        <v>1.7200000000000002</v>
      </c>
      <c r="BE528">
        <v>0.67</v>
      </c>
      <c r="BF528">
        <v>0.37000000000000005</v>
      </c>
      <c r="BG528">
        <v>0.52</v>
      </c>
      <c r="BH528">
        <v>486.07</v>
      </c>
      <c r="BI528">
        <v>470.07</v>
      </c>
      <c r="BJ528">
        <v>478.07</v>
      </c>
      <c r="BK528">
        <v>40.880000000000003</v>
      </c>
      <c r="BL528">
        <v>39.520000000000003</v>
      </c>
      <c r="BM528">
        <v>40.200000000000003</v>
      </c>
      <c r="BN528">
        <v>1.02</v>
      </c>
      <c r="BO528">
        <v>0.78</v>
      </c>
      <c r="BP528">
        <v>0.9</v>
      </c>
      <c r="BQ528">
        <v>8.5399999999999991</v>
      </c>
      <c r="BR528">
        <v>6.5399999999999991</v>
      </c>
      <c r="BS528">
        <v>7.5399999999999991</v>
      </c>
      <c r="BT528">
        <v>10.8</v>
      </c>
      <c r="BU528">
        <v>10.4</v>
      </c>
      <c r="BV528">
        <v>10.600000000000001</v>
      </c>
      <c r="BW528">
        <v>2.8</v>
      </c>
      <c r="BX528">
        <v>2.5199999999999996</v>
      </c>
      <c r="BY528">
        <v>2.6599999999999997</v>
      </c>
      <c r="BZ528">
        <v>9.64</v>
      </c>
      <c r="CA528">
        <v>6.6400000000000006</v>
      </c>
      <c r="CB528">
        <v>8.14</v>
      </c>
      <c r="CC528">
        <v>6.71</v>
      </c>
      <c r="CD528">
        <v>6.47</v>
      </c>
      <c r="CE528">
        <v>6.59</v>
      </c>
      <c r="CF528">
        <v>2.08</v>
      </c>
      <c r="CG528">
        <v>1.58</v>
      </c>
      <c r="CH528">
        <v>1.83</v>
      </c>
      <c r="CI528">
        <v>0.43</v>
      </c>
      <c r="CJ528">
        <v>0.39</v>
      </c>
      <c r="CK528">
        <v>0.41000000000000003</v>
      </c>
      <c r="CL528">
        <v>39.979999999999997</v>
      </c>
      <c r="CM528">
        <v>37.58</v>
      </c>
      <c r="CN528">
        <v>38.78</v>
      </c>
      <c r="CO528">
        <v>6.24</v>
      </c>
      <c r="CP528">
        <v>1.2400000000000002</v>
      </c>
      <c r="CQ528">
        <v>3.74</v>
      </c>
    </row>
    <row r="529" spans="1:95">
      <c r="A529" s="424">
        <v>45807</v>
      </c>
      <c r="B529" t="s">
        <v>251</v>
      </c>
      <c r="C529">
        <v>144.87</v>
      </c>
      <c r="D529">
        <v>142.87</v>
      </c>
      <c r="E529">
        <v>143.87</v>
      </c>
      <c r="F529">
        <v>165.07</v>
      </c>
      <c r="G529">
        <v>162.07</v>
      </c>
      <c r="H529">
        <v>163.57</v>
      </c>
      <c r="I529">
        <v>105.69</v>
      </c>
      <c r="J529">
        <v>102.49</v>
      </c>
      <c r="K529">
        <v>104.09</v>
      </c>
      <c r="L529">
        <v>198.12</v>
      </c>
      <c r="M529">
        <v>190.12</v>
      </c>
      <c r="N529">
        <v>194.12</v>
      </c>
      <c r="O529">
        <v>175.9</v>
      </c>
      <c r="P529">
        <v>174.1</v>
      </c>
      <c r="Q529">
        <v>175</v>
      </c>
      <c r="R529">
        <v>22.22</v>
      </c>
      <c r="S529">
        <v>21.619999999999997</v>
      </c>
      <c r="T529">
        <v>21.919999999999998</v>
      </c>
      <c r="U529">
        <v>14.5</v>
      </c>
      <c r="V529">
        <v>13.9</v>
      </c>
      <c r="W529">
        <v>14.2</v>
      </c>
      <c r="X529">
        <v>15.45</v>
      </c>
      <c r="Y529">
        <v>14.649999999999999</v>
      </c>
      <c r="Z529">
        <v>15.049999999999999</v>
      </c>
      <c r="AA529">
        <v>94.58</v>
      </c>
      <c r="AB529">
        <v>90.58</v>
      </c>
      <c r="AC529">
        <v>92.58</v>
      </c>
      <c r="AD529">
        <v>87.96</v>
      </c>
      <c r="AE529">
        <v>83.96</v>
      </c>
      <c r="AF529">
        <v>85.96</v>
      </c>
      <c r="AG529">
        <v>18.77</v>
      </c>
      <c r="AH529">
        <v>17.91</v>
      </c>
      <c r="AI529">
        <v>18.34</v>
      </c>
      <c r="AM529">
        <v>112.58</v>
      </c>
      <c r="AN529">
        <v>110.92</v>
      </c>
      <c r="AO529">
        <v>111.75</v>
      </c>
      <c r="AP529">
        <v>39.25</v>
      </c>
      <c r="AQ529">
        <v>37.65</v>
      </c>
      <c r="AR529">
        <v>38.450000000000003</v>
      </c>
      <c r="AS529">
        <v>39.79</v>
      </c>
      <c r="AT529">
        <v>38.43</v>
      </c>
      <c r="AU529">
        <v>39.11</v>
      </c>
      <c r="AV529">
        <v>20.309999999999999</v>
      </c>
      <c r="AW529">
        <v>19.709999999999997</v>
      </c>
      <c r="AX529">
        <v>20.009999999999998</v>
      </c>
      <c r="AY529">
        <v>4.5</v>
      </c>
      <c r="AZ529">
        <v>4.34</v>
      </c>
      <c r="BA529">
        <v>4.42</v>
      </c>
      <c r="BB529">
        <v>1.85</v>
      </c>
      <c r="BC529">
        <v>1.55</v>
      </c>
      <c r="BD529">
        <v>1.7000000000000002</v>
      </c>
      <c r="BE529">
        <v>0.66</v>
      </c>
      <c r="BF529">
        <v>0.36000000000000004</v>
      </c>
      <c r="BG529">
        <v>0.51</v>
      </c>
      <c r="BH529">
        <v>479.24</v>
      </c>
      <c r="BI529">
        <v>463.24</v>
      </c>
      <c r="BJ529">
        <v>471.24</v>
      </c>
      <c r="BK529">
        <v>40.28</v>
      </c>
      <c r="BL529">
        <v>38.92</v>
      </c>
      <c r="BM529">
        <v>39.6</v>
      </c>
      <c r="BN529">
        <v>1.01</v>
      </c>
      <c r="BO529">
        <v>0.77</v>
      </c>
      <c r="BP529">
        <v>0.89</v>
      </c>
      <c r="BQ529">
        <v>8.4499999999999993</v>
      </c>
      <c r="BR529">
        <v>6.4499999999999993</v>
      </c>
      <c r="BS529">
        <v>7.4499999999999993</v>
      </c>
      <c r="BT529">
        <v>10.71</v>
      </c>
      <c r="BU529">
        <v>10.31</v>
      </c>
      <c r="BV529">
        <v>10.510000000000002</v>
      </c>
      <c r="BW529">
        <v>2.75</v>
      </c>
      <c r="BX529">
        <v>2.4699999999999998</v>
      </c>
      <c r="BY529">
        <v>2.61</v>
      </c>
      <c r="BZ529">
        <v>9.58</v>
      </c>
      <c r="CA529">
        <v>6.58</v>
      </c>
      <c r="CB529">
        <v>8.08</v>
      </c>
      <c r="CC529">
        <v>6.68</v>
      </c>
      <c r="CD529">
        <v>6.4399999999999995</v>
      </c>
      <c r="CE529">
        <v>6.56</v>
      </c>
      <c r="CF529">
        <v>2.13</v>
      </c>
      <c r="CG529">
        <v>1.63</v>
      </c>
      <c r="CH529">
        <v>1.88</v>
      </c>
      <c r="CI529">
        <v>0.43</v>
      </c>
      <c r="CJ529">
        <v>0.39</v>
      </c>
      <c r="CK529">
        <v>0.41000000000000003</v>
      </c>
      <c r="CL529">
        <v>39.79</v>
      </c>
      <c r="CM529">
        <v>37.39</v>
      </c>
      <c r="CN529">
        <v>38.590000000000003</v>
      </c>
      <c r="CO529">
        <v>6.18</v>
      </c>
      <c r="CP529">
        <v>1.1799999999999997</v>
      </c>
      <c r="CQ529">
        <v>3.6799999999999997</v>
      </c>
    </row>
    <row r="530" spans="1:95">
      <c r="A530" s="424">
        <v>45808</v>
      </c>
      <c r="B530" t="s">
        <v>252</v>
      </c>
    </row>
    <row r="531" spans="1:95">
      <c r="A531" s="424">
        <v>45809</v>
      </c>
      <c r="B531" t="s">
        <v>253</v>
      </c>
    </row>
    <row r="532" spans="1:95">
      <c r="A532" s="424">
        <v>45810</v>
      </c>
      <c r="B532" t="s">
        <v>247</v>
      </c>
      <c r="C532">
        <v>144.63</v>
      </c>
      <c r="D532">
        <v>142.63</v>
      </c>
      <c r="E532">
        <v>143.63</v>
      </c>
      <c r="F532">
        <v>164.86</v>
      </c>
      <c r="G532">
        <v>161.86000000000001</v>
      </c>
      <c r="H532">
        <v>163.36000000000001</v>
      </c>
      <c r="I532">
        <v>106.35</v>
      </c>
      <c r="J532">
        <v>103.14999999999999</v>
      </c>
      <c r="K532">
        <v>104.75</v>
      </c>
      <c r="L532">
        <v>197.76</v>
      </c>
      <c r="M532">
        <v>189.76</v>
      </c>
      <c r="N532">
        <v>193.76</v>
      </c>
      <c r="O532">
        <v>175.78</v>
      </c>
      <c r="P532">
        <v>173.98</v>
      </c>
      <c r="Q532">
        <v>174.88</v>
      </c>
      <c r="R532">
        <v>22.2</v>
      </c>
      <c r="S532">
        <v>21.599999999999998</v>
      </c>
      <c r="T532">
        <v>21.9</v>
      </c>
      <c r="U532">
        <v>14.41</v>
      </c>
      <c r="V532">
        <v>13.81</v>
      </c>
      <c r="W532">
        <v>14.11</v>
      </c>
      <c r="X532">
        <v>15.43</v>
      </c>
      <c r="Y532">
        <v>14.629999999999999</v>
      </c>
      <c r="Z532">
        <v>15.03</v>
      </c>
      <c r="AA532">
        <v>94.74</v>
      </c>
      <c r="AB532">
        <v>90.74</v>
      </c>
      <c r="AC532">
        <v>92.74</v>
      </c>
      <c r="AD532">
        <v>88.12</v>
      </c>
      <c r="AE532">
        <v>84.12</v>
      </c>
      <c r="AF532">
        <v>86.12</v>
      </c>
      <c r="AG532">
        <v>18.739999999999998</v>
      </c>
      <c r="AH532">
        <v>17.88</v>
      </c>
      <c r="AI532">
        <v>18.309999999999999</v>
      </c>
      <c r="AM532">
        <v>112.3</v>
      </c>
      <c r="AN532">
        <v>110.64</v>
      </c>
      <c r="AO532">
        <v>111.47</v>
      </c>
      <c r="AP532">
        <v>39.17</v>
      </c>
      <c r="AQ532">
        <v>37.57</v>
      </c>
      <c r="AR532">
        <v>38.370000000000005</v>
      </c>
      <c r="AS532">
        <v>39.86</v>
      </c>
      <c r="AT532">
        <v>38.5</v>
      </c>
      <c r="AU532">
        <v>39.18</v>
      </c>
      <c r="AV532">
        <v>20.23</v>
      </c>
      <c r="AW532">
        <v>19.63</v>
      </c>
      <c r="AX532">
        <v>19.93</v>
      </c>
      <c r="AY532">
        <v>4.46</v>
      </c>
      <c r="AZ532">
        <v>4.3</v>
      </c>
      <c r="BA532">
        <v>4.38</v>
      </c>
      <c r="BB532">
        <v>1.84</v>
      </c>
      <c r="BC532">
        <v>1.54</v>
      </c>
      <c r="BD532">
        <v>1.69</v>
      </c>
      <c r="BE532">
        <v>0.66</v>
      </c>
      <c r="BF532">
        <v>0.36000000000000004</v>
      </c>
      <c r="BG532">
        <v>0.51</v>
      </c>
      <c r="BH532">
        <v>478.46</v>
      </c>
      <c r="BI532">
        <v>462.46</v>
      </c>
      <c r="BJ532">
        <v>470.46</v>
      </c>
      <c r="BK532">
        <v>40.200000000000003</v>
      </c>
      <c r="BL532">
        <v>38.840000000000003</v>
      </c>
      <c r="BM532">
        <v>39.520000000000003</v>
      </c>
      <c r="BN532">
        <v>1</v>
      </c>
      <c r="BO532">
        <v>0.76</v>
      </c>
      <c r="BP532">
        <v>0.88</v>
      </c>
      <c r="BQ532">
        <v>8.4</v>
      </c>
      <c r="BR532">
        <v>6.4</v>
      </c>
      <c r="BS532">
        <v>7.4</v>
      </c>
      <c r="BT532">
        <v>10.64</v>
      </c>
      <c r="BU532">
        <v>10.24</v>
      </c>
      <c r="BV532">
        <v>10.440000000000001</v>
      </c>
      <c r="BW532">
        <v>2.74</v>
      </c>
      <c r="BX532">
        <v>2.46</v>
      </c>
      <c r="BY532">
        <v>2.6</v>
      </c>
      <c r="BZ532">
        <v>9.5</v>
      </c>
      <c r="CA532">
        <v>6.5</v>
      </c>
      <c r="CB532">
        <v>8</v>
      </c>
      <c r="CC532">
        <v>6.68</v>
      </c>
      <c r="CD532">
        <v>6.4399999999999995</v>
      </c>
      <c r="CE532">
        <v>6.56</v>
      </c>
      <c r="CF532">
        <v>2.11</v>
      </c>
      <c r="CG532">
        <v>1.6099999999999999</v>
      </c>
      <c r="CH532">
        <v>1.8599999999999999</v>
      </c>
      <c r="CI532">
        <v>0.42</v>
      </c>
      <c r="CJ532">
        <v>0.38</v>
      </c>
      <c r="CK532">
        <v>0.4</v>
      </c>
      <c r="CL532">
        <v>39.630000000000003</v>
      </c>
      <c r="CM532">
        <v>37.230000000000004</v>
      </c>
      <c r="CN532">
        <v>38.430000000000007</v>
      </c>
      <c r="CO532">
        <v>6.16</v>
      </c>
      <c r="CP532">
        <v>1.1600000000000001</v>
      </c>
      <c r="CQ532">
        <v>3.66</v>
      </c>
    </row>
    <row r="533" spans="1:95">
      <c r="A533" s="424">
        <v>45811</v>
      </c>
      <c r="B533" t="s">
        <v>248</v>
      </c>
      <c r="C533">
        <v>143.83000000000001</v>
      </c>
      <c r="D533">
        <v>141.83000000000001</v>
      </c>
      <c r="E533">
        <v>142.83000000000001</v>
      </c>
      <c r="F533">
        <v>164.88</v>
      </c>
      <c r="G533">
        <v>161.88</v>
      </c>
      <c r="H533">
        <v>163.38</v>
      </c>
      <c r="I533">
        <v>105.7</v>
      </c>
      <c r="J533">
        <v>102.5</v>
      </c>
      <c r="K533">
        <v>104.1</v>
      </c>
      <c r="L533">
        <v>197.51</v>
      </c>
      <c r="M533">
        <v>189.51</v>
      </c>
      <c r="N533">
        <v>193.51</v>
      </c>
      <c r="O533">
        <v>175.7</v>
      </c>
      <c r="P533">
        <v>173.89999999999998</v>
      </c>
      <c r="Q533">
        <v>174.79999999999998</v>
      </c>
      <c r="R533">
        <v>22.2</v>
      </c>
      <c r="S533">
        <v>21.599999999999998</v>
      </c>
      <c r="T533">
        <v>21.9</v>
      </c>
      <c r="U533">
        <v>14.48</v>
      </c>
      <c r="V533">
        <v>13.88</v>
      </c>
      <c r="W533">
        <v>14.18</v>
      </c>
      <c r="X533">
        <v>15.39</v>
      </c>
      <c r="Y533">
        <v>14.59</v>
      </c>
      <c r="Z533">
        <v>14.99</v>
      </c>
      <c r="AA533">
        <v>94.73</v>
      </c>
      <c r="AB533">
        <v>90.73</v>
      </c>
      <c r="AC533">
        <v>92.73</v>
      </c>
      <c r="AD533">
        <v>88.43</v>
      </c>
      <c r="AE533">
        <v>84.43</v>
      </c>
      <c r="AF533">
        <v>86.43</v>
      </c>
      <c r="AG533">
        <v>18.63</v>
      </c>
      <c r="AH533">
        <v>17.77</v>
      </c>
      <c r="AI533">
        <v>18.2</v>
      </c>
      <c r="AM533">
        <v>111.96</v>
      </c>
      <c r="AN533">
        <v>110.3</v>
      </c>
      <c r="AO533">
        <v>111.13</v>
      </c>
      <c r="AP533">
        <v>38.96</v>
      </c>
      <c r="AQ533">
        <v>37.36</v>
      </c>
      <c r="AR533">
        <v>38.159999999999997</v>
      </c>
      <c r="AS533">
        <v>39.64</v>
      </c>
      <c r="AT533">
        <v>38.28</v>
      </c>
      <c r="AU533">
        <v>38.96</v>
      </c>
      <c r="AV533">
        <v>20.12</v>
      </c>
      <c r="AW533">
        <v>19.52</v>
      </c>
      <c r="AX533">
        <v>19.82</v>
      </c>
      <c r="AY533">
        <v>4.46</v>
      </c>
      <c r="AZ533">
        <v>4.3</v>
      </c>
      <c r="BA533">
        <v>4.38</v>
      </c>
      <c r="BB533">
        <v>1.83</v>
      </c>
      <c r="BC533">
        <v>1.53</v>
      </c>
      <c r="BD533">
        <v>1.6800000000000002</v>
      </c>
      <c r="BE533">
        <v>0.66</v>
      </c>
      <c r="BF533">
        <v>0.36000000000000004</v>
      </c>
      <c r="BG533">
        <v>0.51</v>
      </c>
      <c r="BH533">
        <v>476.45</v>
      </c>
      <c r="BI533">
        <v>460.45</v>
      </c>
      <c r="BJ533">
        <v>468.45</v>
      </c>
      <c r="BK533">
        <v>39.99</v>
      </c>
      <c r="BL533">
        <v>38.630000000000003</v>
      </c>
      <c r="BM533">
        <v>39.31</v>
      </c>
      <c r="BN533">
        <v>1</v>
      </c>
      <c r="BO533">
        <v>0.76</v>
      </c>
      <c r="BP533">
        <v>0.88</v>
      </c>
      <c r="BQ533">
        <v>8.44</v>
      </c>
      <c r="BR533">
        <v>6.4399999999999995</v>
      </c>
      <c r="BS533">
        <v>7.4399999999999995</v>
      </c>
      <c r="BT533">
        <v>10.59</v>
      </c>
      <c r="BU533">
        <v>10.19</v>
      </c>
      <c r="BV533">
        <v>10.39</v>
      </c>
      <c r="BW533">
        <v>2.73</v>
      </c>
      <c r="BX533">
        <v>2.4500000000000002</v>
      </c>
      <c r="BY533">
        <v>2.59</v>
      </c>
      <c r="BZ533">
        <v>9.5</v>
      </c>
      <c r="CA533">
        <v>6.5</v>
      </c>
      <c r="CB533">
        <v>8</v>
      </c>
      <c r="CC533">
        <v>6.69</v>
      </c>
      <c r="CD533">
        <v>6.45</v>
      </c>
      <c r="CE533">
        <v>6.57</v>
      </c>
      <c r="CF533">
        <v>2.06</v>
      </c>
      <c r="CG533">
        <v>1.56</v>
      </c>
      <c r="CH533">
        <v>1.81</v>
      </c>
      <c r="CI533">
        <v>0.43</v>
      </c>
      <c r="CJ533">
        <v>0.39</v>
      </c>
      <c r="CK533">
        <v>0.41000000000000003</v>
      </c>
      <c r="CL533">
        <v>39.61</v>
      </c>
      <c r="CM533">
        <v>37.21</v>
      </c>
      <c r="CN533">
        <v>38.409999999999997</v>
      </c>
      <c r="CO533">
        <v>6.15</v>
      </c>
      <c r="CP533">
        <v>1.1500000000000004</v>
      </c>
      <c r="CQ533">
        <v>3.6500000000000004</v>
      </c>
    </row>
    <row r="534" spans="1:95">
      <c r="A534" s="424">
        <v>45812</v>
      </c>
      <c r="B534" t="s">
        <v>249</v>
      </c>
      <c r="C534">
        <v>145</v>
      </c>
      <c r="D534">
        <v>143</v>
      </c>
      <c r="E534">
        <v>144</v>
      </c>
      <c r="F534">
        <v>165.4</v>
      </c>
      <c r="G534">
        <v>162.4</v>
      </c>
      <c r="H534">
        <v>163.9</v>
      </c>
      <c r="I534">
        <v>106.62</v>
      </c>
      <c r="J534">
        <v>103.42</v>
      </c>
      <c r="K534">
        <v>105.02000000000001</v>
      </c>
      <c r="L534">
        <v>198.83</v>
      </c>
      <c r="M534">
        <v>190.83</v>
      </c>
      <c r="N534">
        <v>194.83</v>
      </c>
      <c r="O534">
        <v>175.83</v>
      </c>
      <c r="P534">
        <v>174.03</v>
      </c>
      <c r="Q534">
        <v>174.93</v>
      </c>
      <c r="R534">
        <v>22.26</v>
      </c>
      <c r="S534">
        <v>21.66</v>
      </c>
      <c r="T534">
        <v>21.96</v>
      </c>
      <c r="U534">
        <v>14.5</v>
      </c>
      <c r="V534">
        <v>13.9</v>
      </c>
      <c r="W534">
        <v>14.2</v>
      </c>
      <c r="X534">
        <v>15.38</v>
      </c>
      <c r="Y534">
        <v>14.58</v>
      </c>
      <c r="Z534">
        <v>14.98</v>
      </c>
      <c r="AA534">
        <v>95.1</v>
      </c>
      <c r="AB534">
        <v>91.1</v>
      </c>
      <c r="AC534">
        <v>93.1</v>
      </c>
      <c r="AD534">
        <v>88.46</v>
      </c>
      <c r="AE534">
        <v>84.46</v>
      </c>
      <c r="AF534">
        <v>86.46</v>
      </c>
      <c r="AG534">
        <v>18.78</v>
      </c>
      <c r="AH534">
        <v>17.920000000000002</v>
      </c>
      <c r="AI534">
        <v>18.350000000000001</v>
      </c>
      <c r="AM534">
        <v>112.52</v>
      </c>
      <c r="AN534">
        <v>110.86</v>
      </c>
      <c r="AO534">
        <v>111.69</v>
      </c>
      <c r="AP534">
        <v>39.14</v>
      </c>
      <c r="AQ534">
        <v>37.54</v>
      </c>
      <c r="AR534">
        <v>38.340000000000003</v>
      </c>
      <c r="AS534">
        <v>39.96</v>
      </c>
      <c r="AT534">
        <v>38.6</v>
      </c>
      <c r="AU534">
        <v>39.28</v>
      </c>
      <c r="AV534">
        <v>20.32</v>
      </c>
      <c r="AW534">
        <v>19.72</v>
      </c>
      <c r="AX534">
        <v>20.02</v>
      </c>
      <c r="AY534">
        <v>4.5</v>
      </c>
      <c r="AZ534">
        <v>4.34</v>
      </c>
      <c r="BA534">
        <v>4.42</v>
      </c>
      <c r="BB534">
        <v>1.84</v>
      </c>
      <c r="BC534">
        <v>1.54</v>
      </c>
      <c r="BD534">
        <v>1.69</v>
      </c>
      <c r="BE534">
        <v>0.66</v>
      </c>
      <c r="BF534">
        <v>0.36000000000000004</v>
      </c>
      <c r="BG534">
        <v>0.51</v>
      </c>
      <c r="BH534">
        <v>479.98</v>
      </c>
      <c r="BI534">
        <v>463.98</v>
      </c>
      <c r="BJ534">
        <v>471.98</v>
      </c>
      <c r="BK534">
        <v>40.31</v>
      </c>
      <c r="BL534">
        <v>38.950000000000003</v>
      </c>
      <c r="BM534">
        <v>39.630000000000003</v>
      </c>
      <c r="BN534">
        <v>1.01</v>
      </c>
      <c r="BO534">
        <v>0.77</v>
      </c>
      <c r="BP534">
        <v>0.89</v>
      </c>
      <c r="BQ534">
        <v>8.49</v>
      </c>
      <c r="BR534">
        <v>6.49</v>
      </c>
      <c r="BS534">
        <v>7.49</v>
      </c>
      <c r="BT534">
        <v>10.7</v>
      </c>
      <c r="BU534">
        <v>10.299999999999999</v>
      </c>
      <c r="BV534">
        <v>10.5</v>
      </c>
      <c r="BW534">
        <v>2.75</v>
      </c>
      <c r="BX534">
        <v>2.4699999999999998</v>
      </c>
      <c r="BY534">
        <v>2.61</v>
      </c>
      <c r="BZ534">
        <v>9.56</v>
      </c>
      <c r="CA534">
        <v>6.5600000000000005</v>
      </c>
      <c r="CB534">
        <v>8.06</v>
      </c>
      <c r="CC534">
        <v>6.71</v>
      </c>
      <c r="CD534">
        <v>6.47</v>
      </c>
      <c r="CE534">
        <v>6.59</v>
      </c>
      <c r="CF534">
        <v>2.08</v>
      </c>
      <c r="CG534">
        <v>1.58</v>
      </c>
      <c r="CH534">
        <v>1.83</v>
      </c>
      <c r="CI534">
        <v>0.43</v>
      </c>
      <c r="CJ534">
        <v>0.39</v>
      </c>
      <c r="CK534">
        <v>0.41000000000000003</v>
      </c>
      <c r="CL534">
        <v>39.57</v>
      </c>
      <c r="CM534">
        <v>37.17</v>
      </c>
      <c r="CN534">
        <v>38.370000000000005</v>
      </c>
      <c r="CO534">
        <v>6.19</v>
      </c>
      <c r="CP534">
        <v>1.1900000000000004</v>
      </c>
      <c r="CQ534">
        <v>3.6900000000000004</v>
      </c>
    </row>
    <row r="535" spans="1:95">
      <c r="A535" s="424">
        <v>45813</v>
      </c>
      <c r="B535" t="s">
        <v>250</v>
      </c>
      <c r="C535">
        <v>143.72999999999999</v>
      </c>
      <c r="D535">
        <v>141.72999999999999</v>
      </c>
      <c r="E535">
        <v>142.72999999999999</v>
      </c>
      <c r="F535">
        <v>164.6</v>
      </c>
      <c r="G535">
        <v>161.6</v>
      </c>
      <c r="H535">
        <v>163.1</v>
      </c>
      <c r="I535">
        <v>106</v>
      </c>
      <c r="J535">
        <v>102.8</v>
      </c>
      <c r="K535">
        <v>104.4</v>
      </c>
      <c r="L535">
        <v>197.48</v>
      </c>
      <c r="M535">
        <v>189.48</v>
      </c>
      <c r="N535">
        <v>193.48</v>
      </c>
      <c r="O535">
        <v>175.37</v>
      </c>
      <c r="P535">
        <v>173.57</v>
      </c>
      <c r="Q535">
        <v>174.47</v>
      </c>
      <c r="R535">
        <v>22.16</v>
      </c>
      <c r="S535">
        <v>21.56</v>
      </c>
      <c r="T535">
        <v>21.86</v>
      </c>
      <c r="U535">
        <v>14.43</v>
      </c>
      <c r="V535">
        <v>13.83</v>
      </c>
      <c r="W535">
        <v>14.129999999999999</v>
      </c>
      <c r="X535">
        <v>15.3</v>
      </c>
      <c r="Y535">
        <v>14.5</v>
      </c>
      <c r="Z535">
        <v>14.9</v>
      </c>
      <c r="AA535">
        <v>94.8</v>
      </c>
      <c r="AB535">
        <v>90.8</v>
      </c>
      <c r="AC535">
        <v>92.8</v>
      </c>
      <c r="AD535">
        <v>88.18</v>
      </c>
      <c r="AE535">
        <v>84.18</v>
      </c>
      <c r="AF535">
        <v>86.18</v>
      </c>
      <c r="AG535">
        <v>18.62</v>
      </c>
      <c r="AH535">
        <v>17.760000000000002</v>
      </c>
      <c r="AI535">
        <v>18.190000000000001</v>
      </c>
      <c r="AM535">
        <v>111.86</v>
      </c>
      <c r="AN535">
        <v>110.2</v>
      </c>
      <c r="AO535">
        <v>111.03</v>
      </c>
      <c r="AP535">
        <v>38.94</v>
      </c>
      <c r="AQ535">
        <v>37.339999999999996</v>
      </c>
      <c r="AR535">
        <v>38.14</v>
      </c>
      <c r="AS535">
        <v>39.61</v>
      </c>
      <c r="AT535">
        <v>38.25</v>
      </c>
      <c r="AU535">
        <v>38.93</v>
      </c>
      <c r="AV535">
        <v>20.190000000000001</v>
      </c>
      <c r="AW535">
        <v>19.59</v>
      </c>
      <c r="AX535">
        <v>19.89</v>
      </c>
      <c r="AY535">
        <v>4.47</v>
      </c>
      <c r="AZ535">
        <v>4.3099999999999996</v>
      </c>
      <c r="BA535">
        <v>4.3899999999999997</v>
      </c>
      <c r="BB535">
        <v>1.82</v>
      </c>
      <c r="BC535">
        <v>1.52</v>
      </c>
      <c r="BD535">
        <v>1.67</v>
      </c>
      <c r="BE535">
        <v>0.66</v>
      </c>
      <c r="BF535">
        <v>0.36000000000000004</v>
      </c>
      <c r="BG535">
        <v>0.51</v>
      </c>
      <c r="BH535">
        <v>476.43</v>
      </c>
      <c r="BI535">
        <v>460.43</v>
      </c>
      <c r="BJ535">
        <v>468.43</v>
      </c>
      <c r="BK535">
        <v>39.96</v>
      </c>
      <c r="BL535">
        <v>38.6</v>
      </c>
      <c r="BM535">
        <v>39.28</v>
      </c>
      <c r="BN535">
        <v>1</v>
      </c>
      <c r="BO535">
        <v>0.76</v>
      </c>
      <c r="BP535">
        <v>0.88</v>
      </c>
      <c r="BQ535">
        <v>8.44</v>
      </c>
      <c r="BR535">
        <v>6.4399999999999995</v>
      </c>
      <c r="BS535">
        <v>7.4399999999999995</v>
      </c>
      <c r="BT535">
        <v>10.74</v>
      </c>
      <c r="BU535">
        <v>10.34</v>
      </c>
      <c r="BV535">
        <v>10.54</v>
      </c>
      <c r="BW535">
        <v>2.73</v>
      </c>
      <c r="BX535">
        <v>2.4500000000000002</v>
      </c>
      <c r="BY535">
        <v>2.59</v>
      </c>
      <c r="BZ535">
        <v>9.52</v>
      </c>
      <c r="CA535">
        <v>6.52</v>
      </c>
      <c r="CB535">
        <v>8.02</v>
      </c>
      <c r="CC535">
        <v>6.69</v>
      </c>
      <c r="CD535">
        <v>6.45</v>
      </c>
      <c r="CE535">
        <v>6.57</v>
      </c>
      <c r="CF535">
        <v>2.0499999999999998</v>
      </c>
      <c r="CG535">
        <v>1.5499999999999998</v>
      </c>
      <c r="CH535">
        <v>1.7999999999999998</v>
      </c>
      <c r="CI535">
        <v>0.42</v>
      </c>
      <c r="CJ535">
        <v>0.38</v>
      </c>
      <c r="CK535">
        <v>0.4</v>
      </c>
      <c r="CL535">
        <v>39.31</v>
      </c>
      <c r="CM535">
        <v>36.910000000000004</v>
      </c>
      <c r="CN535">
        <v>38.11</v>
      </c>
      <c r="CO535">
        <v>6.15</v>
      </c>
      <c r="CP535">
        <v>1.1500000000000004</v>
      </c>
      <c r="CQ535">
        <v>3.6500000000000004</v>
      </c>
    </row>
    <row r="536" spans="1:95">
      <c r="A536" s="424">
        <v>45814</v>
      </c>
      <c r="B536" t="s">
        <v>251</v>
      </c>
      <c r="C536">
        <v>144.76</v>
      </c>
      <c r="D536">
        <v>142.76</v>
      </c>
      <c r="E536">
        <v>143.76</v>
      </c>
      <c r="F536">
        <v>166.15</v>
      </c>
      <c r="G536">
        <v>163.15</v>
      </c>
      <c r="H536">
        <v>164.65</v>
      </c>
      <c r="I536">
        <v>106.82</v>
      </c>
      <c r="J536">
        <v>103.61999999999999</v>
      </c>
      <c r="K536">
        <v>105.22</v>
      </c>
      <c r="L536">
        <v>199.28</v>
      </c>
      <c r="M536">
        <v>191.28</v>
      </c>
      <c r="N536">
        <v>195.28</v>
      </c>
      <c r="O536">
        <v>176.15</v>
      </c>
      <c r="P536">
        <v>174.35</v>
      </c>
      <c r="Q536">
        <v>175.25</v>
      </c>
      <c r="R536">
        <v>22.37</v>
      </c>
      <c r="S536">
        <v>21.77</v>
      </c>
      <c r="T536">
        <v>22.07</v>
      </c>
      <c r="U536">
        <v>14.58</v>
      </c>
      <c r="V536">
        <v>13.98</v>
      </c>
      <c r="W536">
        <v>14.280000000000001</v>
      </c>
      <c r="X536">
        <v>15.43</v>
      </c>
      <c r="Y536">
        <v>14.629999999999999</v>
      </c>
      <c r="Z536">
        <v>15.03</v>
      </c>
      <c r="AA536">
        <v>95.62</v>
      </c>
      <c r="AB536">
        <v>91.62</v>
      </c>
      <c r="AC536">
        <v>93.62</v>
      </c>
      <c r="AD536">
        <v>88.93</v>
      </c>
      <c r="AE536">
        <v>84.93</v>
      </c>
      <c r="AF536">
        <v>86.93</v>
      </c>
      <c r="AG536">
        <v>18.75</v>
      </c>
      <c r="AH536">
        <v>17.89</v>
      </c>
      <c r="AI536">
        <v>18.32</v>
      </c>
      <c r="AM536">
        <v>112.66</v>
      </c>
      <c r="AN536">
        <v>111</v>
      </c>
      <c r="AO536">
        <v>111.83</v>
      </c>
      <c r="AP536">
        <v>39.22</v>
      </c>
      <c r="AQ536">
        <v>37.619999999999997</v>
      </c>
      <c r="AR536">
        <v>38.42</v>
      </c>
      <c r="AS536">
        <v>39.89</v>
      </c>
      <c r="AT536">
        <v>38.53</v>
      </c>
      <c r="AU536">
        <v>39.21</v>
      </c>
      <c r="AV536">
        <v>20.329999999999998</v>
      </c>
      <c r="AW536">
        <v>19.729999999999997</v>
      </c>
      <c r="AX536">
        <v>20.029999999999998</v>
      </c>
      <c r="AY536">
        <v>4.4800000000000004</v>
      </c>
      <c r="AZ536">
        <v>4.32</v>
      </c>
      <c r="BA536">
        <v>4.4000000000000004</v>
      </c>
      <c r="BB536">
        <v>1.84</v>
      </c>
      <c r="BC536">
        <v>1.54</v>
      </c>
      <c r="BD536">
        <v>1.69</v>
      </c>
      <c r="BE536">
        <v>0.66</v>
      </c>
      <c r="BF536">
        <v>0.36000000000000004</v>
      </c>
      <c r="BG536">
        <v>0.51</v>
      </c>
      <c r="BH536">
        <v>479.19</v>
      </c>
      <c r="BI536">
        <v>463.19</v>
      </c>
      <c r="BJ536">
        <v>471.19</v>
      </c>
      <c r="BK536">
        <v>40.25</v>
      </c>
      <c r="BL536">
        <v>38.89</v>
      </c>
      <c r="BM536">
        <v>39.57</v>
      </c>
      <c r="BN536">
        <v>1.01</v>
      </c>
      <c r="BO536">
        <v>0.77</v>
      </c>
      <c r="BP536">
        <v>0.89</v>
      </c>
      <c r="BQ536">
        <v>8.51</v>
      </c>
      <c r="BR536">
        <v>6.51</v>
      </c>
      <c r="BS536">
        <v>7.51</v>
      </c>
      <c r="BT536">
        <v>10.83</v>
      </c>
      <c r="BU536">
        <v>10.43</v>
      </c>
      <c r="BV536">
        <v>10.629999999999999</v>
      </c>
      <c r="BW536">
        <v>2.75</v>
      </c>
      <c r="BX536">
        <v>2.4699999999999998</v>
      </c>
      <c r="BY536">
        <v>2.61</v>
      </c>
      <c r="BZ536">
        <v>9.6199999999999992</v>
      </c>
      <c r="CA536">
        <v>6.6199999999999992</v>
      </c>
      <c r="CB536">
        <v>8.1199999999999992</v>
      </c>
      <c r="CC536">
        <v>6.76</v>
      </c>
      <c r="CD536">
        <v>6.52</v>
      </c>
      <c r="CE536">
        <v>6.64</v>
      </c>
      <c r="CF536">
        <v>2.12</v>
      </c>
      <c r="CG536">
        <v>1.62</v>
      </c>
      <c r="CH536">
        <v>1.87</v>
      </c>
      <c r="CI536">
        <v>0.43</v>
      </c>
      <c r="CJ536">
        <v>0.39</v>
      </c>
      <c r="CK536">
        <v>0.41000000000000003</v>
      </c>
      <c r="CL536">
        <v>39.659999999999997</v>
      </c>
      <c r="CM536">
        <v>37.26</v>
      </c>
      <c r="CN536">
        <v>38.459999999999994</v>
      </c>
      <c r="CO536">
        <v>6.18</v>
      </c>
      <c r="CP536">
        <v>1.1799999999999997</v>
      </c>
      <c r="CQ536">
        <v>3.6799999999999997</v>
      </c>
    </row>
    <row r="537" spans="1:95">
      <c r="A537" s="424">
        <v>45815</v>
      </c>
      <c r="B537" t="s">
        <v>252</v>
      </c>
    </row>
    <row r="538" spans="1:95">
      <c r="A538" s="424">
        <v>45816</v>
      </c>
      <c r="B538" t="s">
        <v>253</v>
      </c>
    </row>
    <row r="539" spans="1:95">
      <c r="A539" s="424">
        <v>45817</v>
      </c>
      <c r="B539" t="s">
        <v>247</v>
      </c>
      <c r="C539">
        <v>145.9</v>
      </c>
      <c r="D539">
        <v>143.9</v>
      </c>
      <c r="E539">
        <v>144.9</v>
      </c>
      <c r="F539">
        <v>166.61</v>
      </c>
      <c r="G539">
        <v>163.61000000000001</v>
      </c>
      <c r="H539">
        <v>165.11</v>
      </c>
      <c r="I539">
        <v>107.42</v>
      </c>
      <c r="J539">
        <v>104.22</v>
      </c>
      <c r="K539">
        <v>105.82</v>
      </c>
      <c r="L539">
        <v>200.17</v>
      </c>
      <c r="M539">
        <v>192.17</v>
      </c>
      <c r="N539">
        <v>196.17</v>
      </c>
      <c r="O539">
        <v>177.11</v>
      </c>
      <c r="P539">
        <v>175.31</v>
      </c>
      <c r="Q539">
        <v>176.21</v>
      </c>
      <c r="R539">
        <v>22.44</v>
      </c>
      <c r="S539">
        <v>21.84</v>
      </c>
      <c r="T539">
        <v>22.14</v>
      </c>
      <c r="U539">
        <v>14.64</v>
      </c>
      <c r="V539">
        <v>14.040000000000001</v>
      </c>
      <c r="W539">
        <v>14.34</v>
      </c>
      <c r="X539">
        <v>15.44</v>
      </c>
      <c r="Y539">
        <v>14.639999999999999</v>
      </c>
      <c r="Z539">
        <v>15.04</v>
      </c>
      <c r="AA539">
        <v>96.21</v>
      </c>
      <c r="AB539">
        <v>92.21</v>
      </c>
      <c r="AC539">
        <v>94.21</v>
      </c>
      <c r="AD539">
        <v>89.24</v>
      </c>
      <c r="AE539">
        <v>85.24</v>
      </c>
      <c r="AF539">
        <v>87.24</v>
      </c>
      <c r="AG539">
        <v>18.89</v>
      </c>
      <c r="AH539">
        <v>18.03</v>
      </c>
      <c r="AI539">
        <v>18.46</v>
      </c>
      <c r="AM539">
        <v>113.24</v>
      </c>
      <c r="AN539">
        <v>111.58</v>
      </c>
      <c r="AO539">
        <v>112.41</v>
      </c>
      <c r="AP539">
        <v>39.520000000000003</v>
      </c>
      <c r="AQ539">
        <v>37.92</v>
      </c>
      <c r="AR539">
        <v>38.72</v>
      </c>
      <c r="AS539">
        <v>40.19</v>
      </c>
      <c r="AT539">
        <v>38.83</v>
      </c>
      <c r="AU539">
        <v>39.51</v>
      </c>
      <c r="AV539">
        <v>20.46</v>
      </c>
      <c r="AW539">
        <v>19.86</v>
      </c>
      <c r="AX539">
        <v>20.16</v>
      </c>
      <c r="AY539">
        <v>4.5</v>
      </c>
      <c r="AZ539">
        <v>4.34</v>
      </c>
      <c r="BA539">
        <v>4.42</v>
      </c>
      <c r="BB539">
        <v>1.85</v>
      </c>
      <c r="BC539">
        <v>1.55</v>
      </c>
      <c r="BD539">
        <v>1.7000000000000002</v>
      </c>
      <c r="BE539">
        <v>0.67</v>
      </c>
      <c r="BF539">
        <v>0.37000000000000005</v>
      </c>
      <c r="BG539">
        <v>0.52</v>
      </c>
      <c r="BH539">
        <v>482.62</v>
      </c>
      <c r="BI539">
        <v>466.62</v>
      </c>
      <c r="BJ539">
        <v>474.62</v>
      </c>
      <c r="BK539">
        <v>40.56</v>
      </c>
      <c r="BL539">
        <v>39.200000000000003</v>
      </c>
      <c r="BM539">
        <v>39.880000000000003</v>
      </c>
      <c r="BN539">
        <v>1.01</v>
      </c>
      <c r="BO539">
        <v>0.77</v>
      </c>
      <c r="BP539">
        <v>0.89</v>
      </c>
      <c r="BQ539">
        <v>8.59</v>
      </c>
      <c r="BR539">
        <v>6.59</v>
      </c>
      <c r="BS539">
        <v>7.59</v>
      </c>
      <c r="BT539">
        <v>10.84</v>
      </c>
      <c r="BU539">
        <v>10.44</v>
      </c>
      <c r="BV539">
        <v>10.64</v>
      </c>
      <c r="BW539">
        <v>2.74</v>
      </c>
      <c r="BX539">
        <v>2.46</v>
      </c>
      <c r="BY539">
        <v>2.6</v>
      </c>
      <c r="BZ539">
        <v>9.64</v>
      </c>
      <c r="CA539">
        <v>6.6400000000000006</v>
      </c>
      <c r="CB539">
        <v>8.14</v>
      </c>
      <c r="CC539">
        <v>6.79</v>
      </c>
      <c r="CD539">
        <v>6.55</v>
      </c>
      <c r="CE539">
        <v>6.67</v>
      </c>
      <c r="CF539">
        <v>2.09</v>
      </c>
      <c r="CG539">
        <v>1.5899999999999999</v>
      </c>
      <c r="CH539">
        <v>1.8399999999999999</v>
      </c>
      <c r="CI539">
        <v>0.43</v>
      </c>
      <c r="CJ539">
        <v>0.39</v>
      </c>
      <c r="CK539">
        <v>0.41000000000000003</v>
      </c>
      <c r="CL539">
        <v>39.72</v>
      </c>
      <c r="CM539">
        <v>37.32</v>
      </c>
      <c r="CN539">
        <v>38.519999999999996</v>
      </c>
      <c r="CO539">
        <v>6.2</v>
      </c>
      <c r="CP539">
        <v>1.2000000000000002</v>
      </c>
      <c r="CQ539">
        <v>3.7</v>
      </c>
    </row>
    <row r="540" spans="1:95">
      <c r="A540" s="424">
        <v>45818</v>
      </c>
      <c r="B540" t="s">
        <v>248</v>
      </c>
      <c r="C540">
        <v>145.71</v>
      </c>
      <c r="D540">
        <v>143.71</v>
      </c>
      <c r="E540">
        <v>144.71</v>
      </c>
      <c r="F540">
        <v>166.8</v>
      </c>
      <c r="G540">
        <v>163.80000000000001</v>
      </c>
      <c r="H540">
        <v>165.3</v>
      </c>
      <c r="I540">
        <v>107.24</v>
      </c>
      <c r="J540">
        <v>104.03999999999999</v>
      </c>
      <c r="K540">
        <v>105.63999999999999</v>
      </c>
      <c r="L540">
        <v>200.14</v>
      </c>
      <c r="M540">
        <v>192.14</v>
      </c>
      <c r="N540">
        <v>196.14</v>
      </c>
      <c r="O540">
        <v>177.01</v>
      </c>
      <c r="P540">
        <v>175.20999999999998</v>
      </c>
      <c r="Q540">
        <v>176.10999999999999</v>
      </c>
      <c r="R540">
        <v>22.46</v>
      </c>
      <c r="S540">
        <v>21.86</v>
      </c>
      <c r="T540">
        <v>22.16</v>
      </c>
      <c r="U540">
        <v>14.69</v>
      </c>
      <c r="V540">
        <v>14.09</v>
      </c>
      <c r="W540">
        <v>14.39</v>
      </c>
      <c r="X540">
        <v>15.5</v>
      </c>
      <c r="Y540">
        <v>14.7</v>
      </c>
      <c r="Z540">
        <v>15.1</v>
      </c>
      <c r="AA540">
        <v>96.32</v>
      </c>
      <c r="AB540">
        <v>92.32</v>
      </c>
      <c r="AC540">
        <v>94.32</v>
      </c>
      <c r="AD540">
        <v>89.61</v>
      </c>
      <c r="AE540">
        <v>85.61</v>
      </c>
      <c r="AF540">
        <v>87.61</v>
      </c>
      <c r="AG540">
        <v>18.87</v>
      </c>
      <c r="AH540">
        <v>18.010000000000002</v>
      </c>
      <c r="AI540">
        <v>18.440000000000001</v>
      </c>
      <c r="AM540">
        <v>113.36</v>
      </c>
      <c r="AN540">
        <v>111.7</v>
      </c>
      <c r="AO540">
        <v>112.53</v>
      </c>
      <c r="AP540">
        <v>39.46</v>
      </c>
      <c r="AQ540">
        <v>37.86</v>
      </c>
      <c r="AR540">
        <v>38.659999999999997</v>
      </c>
      <c r="AS540">
        <v>40.049999999999997</v>
      </c>
      <c r="AT540">
        <v>38.69</v>
      </c>
      <c r="AU540">
        <v>39.369999999999997</v>
      </c>
      <c r="AV540">
        <v>20.45</v>
      </c>
      <c r="AW540">
        <v>19.849999999999998</v>
      </c>
      <c r="AX540">
        <v>20.149999999999999</v>
      </c>
      <c r="AY540">
        <v>4.5199999999999996</v>
      </c>
      <c r="AZ540">
        <v>4.3599999999999994</v>
      </c>
      <c r="BA540">
        <v>4.4399999999999995</v>
      </c>
      <c r="BB540">
        <v>1.85</v>
      </c>
      <c r="BC540">
        <v>1.55</v>
      </c>
      <c r="BD540">
        <v>1.7000000000000002</v>
      </c>
      <c r="BE540">
        <v>0.67</v>
      </c>
      <c r="BF540">
        <v>0.37000000000000005</v>
      </c>
      <c r="BG540">
        <v>0.52</v>
      </c>
      <c r="BH540">
        <v>482.61</v>
      </c>
      <c r="BI540">
        <v>466.61</v>
      </c>
      <c r="BJ540">
        <v>474.61</v>
      </c>
      <c r="BK540">
        <v>40.5</v>
      </c>
      <c r="BL540">
        <v>39.14</v>
      </c>
      <c r="BM540">
        <v>39.82</v>
      </c>
      <c r="BN540">
        <v>1.01</v>
      </c>
      <c r="BO540">
        <v>0.77</v>
      </c>
      <c r="BP540">
        <v>0.89</v>
      </c>
      <c r="BQ540">
        <v>8.6</v>
      </c>
      <c r="BR540">
        <v>6.6</v>
      </c>
      <c r="BS540">
        <v>7.6</v>
      </c>
      <c r="BT540">
        <v>10.89</v>
      </c>
      <c r="BU540">
        <v>10.49</v>
      </c>
      <c r="BV540">
        <v>10.690000000000001</v>
      </c>
      <c r="BW540">
        <v>2.76</v>
      </c>
      <c r="BX540">
        <v>2.4799999999999995</v>
      </c>
      <c r="BY540">
        <v>2.6199999999999997</v>
      </c>
      <c r="BZ540">
        <v>9.66</v>
      </c>
      <c r="CA540">
        <v>6.66</v>
      </c>
      <c r="CB540">
        <v>8.16</v>
      </c>
      <c r="CC540">
        <v>6.79</v>
      </c>
      <c r="CD540">
        <v>6.55</v>
      </c>
      <c r="CE540">
        <v>6.67</v>
      </c>
      <c r="CF540">
        <v>2.08</v>
      </c>
      <c r="CG540">
        <v>1.58</v>
      </c>
      <c r="CH540">
        <v>1.83</v>
      </c>
      <c r="CI540">
        <v>0.43</v>
      </c>
      <c r="CJ540">
        <v>0.39</v>
      </c>
      <c r="CK540">
        <v>0.41000000000000003</v>
      </c>
      <c r="CL540">
        <v>39.9</v>
      </c>
      <c r="CM540">
        <v>37.5</v>
      </c>
      <c r="CN540">
        <v>38.700000000000003</v>
      </c>
      <c r="CO540">
        <v>6.19</v>
      </c>
      <c r="CP540">
        <v>1.1900000000000004</v>
      </c>
      <c r="CQ540">
        <v>3.6900000000000004</v>
      </c>
    </row>
    <row r="541" spans="1:95">
      <c r="A541" s="424">
        <v>45819</v>
      </c>
      <c r="B541" t="s">
        <v>249</v>
      </c>
      <c r="C541">
        <v>145.94</v>
      </c>
      <c r="D541">
        <v>143.94</v>
      </c>
      <c r="E541">
        <v>144.94</v>
      </c>
      <c r="F541">
        <v>167.06</v>
      </c>
      <c r="G541">
        <v>164.06</v>
      </c>
      <c r="H541">
        <v>165.56</v>
      </c>
      <c r="I541">
        <v>107.62</v>
      </c>
      <c r="J541">
        <v>104.42</v>
      </c>
      <c r="K541">
        <v>106.02000000000001</v>
      </c>
      <c r="L541">
        <v>199.64</v>
      </c>
      <c r="M541">
        <v>191.64</v>
      </c>
      <c r="N541">
        <v>195.64</v>
      </c>
      <c r="O541">
        <v>177.16</v>
      </c>
      <c r="P541">
        <v>175.35999999999999</v>
      </c>
      <c r="Q541">
        <v>176.26</v>
      </c>
      <c r="R541">
        <v>22.49</v>
      </c>
      <c r="S541">
        <v>21.889999999999997</v>
      </c>
      <c r="T541">
        <v>22.189999999999998</v>
      </c>
      <c r="U541">
        <v>14.64</v>
      </c>
      <c r="V541">
        <v>14.040000000000001</v>
      </c>
      <c r="W541">
        <v>14.34</v>
      </c>
      <c r="X541">
        <v>15.49</v>
      </c>
      <c r="Y541">
        <v>14.69</v>
      </c>
      <c r="Z541">
        <v>15.09</v>
      </c>
      <c r="AA541">
        <v>96.44</v>
      </c>
      <c r="AB541">
        <v>92.44</v>
      </c>
      <c r="AC541">
        <v>94.44</v>
      </c>
      <c r="AD541">
        <v>89.69</v>
      </c>
      <c r="AE541">
        <v>85.69</v>
      </c>
      <c r="AF541">
        <v>87.69</v>
      </c>
      <c r="AG541">
        <v>18.89</v>
      </c>
      <c r="AH541">
        <v>18.03</v>
      </c>
      <c r="AI541">
        <v>18.46</v>
      </c>
      <c r="AM541">
        <v>113.53</v>
      </c>
      <c r="AN541">
        <v>111.87</v>
      </c>
      <c r="AO541">
        <v>112.7</v>
      </c>
      <c r="AP541">
        <v>39.53</v>
      </c>
      <c r="AQ541">
        <v>37.93</v>
      </c>
      <c r="AR541">
        <v>38.730000000000004</v>
      </c>
      <c r="AS541">
        <v>40.22</v>
      </c>
      <c r="AT541">
        <v>38.86</v>
      </c>
      <c r="AU541">
        <v>39.54</v>
      </c>
      <c r="AV541">
        <v>20.47</v>
      </c>
      <c r="AW541">
        <v>19.869999999999997</v>
      </c>
      <c r="AX541">
        <v>20.169999999999998</v>
      </c>
      <c r="AY541">
        <v>4.5199999999999996</v>
      </c>
      <c r="AZ541">
        <v>4.3599999999999994</v>
      </c>
      <c r="BA541">
        <v>4.4399999999999995</v>
      </c>
      <c r="BB541">
        <v>1.85</v>
      </c>
      <c r="BC541">
        <v>1.55</v>
      </c>
      <c r="BD541">
        <v>1.7000000000000002</v>
      </c>
      <c r="BE541">
        <v>0.67</v>
      </c>
      <c r="BF541">
        <v>0.37000000000000005</v>
      </c>
      <c r="BG541">
        <v>0.52</v>
      </c>
      <c r="BH541">
        <v>479.2</v>
      </c>
      <c r="BI541">
        <v>463.2</v>
      </c>
      <c r="BJ541">
        <v>471.2</v>
      </c>
      <c r="BK541">
        <v>40.58</v>
      </c>
      <c r="BL541">
        <v>39.22</v>
      </c>
      <c r="BM541">
        <v>39.9</v>
      </c>
      <c r="BN541">
        <v>1.01</v>
      </c>
      <c r="BO541">
        <v>0.77</v>
      </c>
      <c r="BP541">
        <v>0.89</v>
      </c>
      <c r="BQ541">
        <v>8.6</v>
      </c>
      <c r="BR541">
        <v>6.6</v>
      </c>
      <c r="BS541">
        <v>7.6</v>
      </c>
      <c r="BT541">
        <v>10.84</v>
      </c>
      <c r="BU541">
        <v>10.44</v>
      </c>
      <c r="BV541">
        <v>10.64</v>
      </c>
      <c r="BW541">
        <v>2.76</v>
      </c>
      <c r="BX541">
        <v>2.4799999999999995</v>
      </c>
      <c r="BY541">
        <v>2.6199999999999997</v>
      </c>
      <c r="BZ541">
        <v>9.68</v>
      </c>
      <c r="CA541">
        <v>6.68</v>
      </c>
      <c r="CB541">
        <v>8.18</v>
      </c>
      <c r="CC541">
        <v>6.8</v>
      </c>
      <c r="CD541">
        <v>6.56</v>
      </c>
      <c r="CE541">
        <v>6.68</v>
      </c>
      <c r="CF541">
        <v>2.1</v>
      </c>
      <c r="CG541">
        <v>1.6</v>
      </c>
      <c r="CH541">
        <v>1.85</v>
      </c>
      <c r="CI541">
        <v>0.43</v>
      </c>
      <c r="CJ541">
        <v>0.39</v>
      </c>
      <c r="CK541">
        <v>0.41000000000000003</v>
      </c>
      <c r="CL541">
        <v>40.08</v>
      </c>
      <c r="CM541">
        <v>37.68</v>
      </c>
      <c r="CN541">
        <v>38.879999999999995</v>
      </c>
      <c r="CO541">
        <v>6.21</v>
      </c>
      <c r="CP541">
        <v>1.21</v>
      </c>
      <c r="CQ541">
        <v>3.71</v>
      </c>
    </row>
    <row r="542" spans="1:95">
      <c r="A542" s="424">
        <v>45820</v>
      </c>
      <c r="B542" t="s">
        <v>250</v>
      </c>
      <c r="C542">
        <v>145.12</v>
      </c>
      <c r="D542">
        <v>143.12</v>
      </c>
      <c r="E542">
        <v>144.12</v>
      </c>
      <c r="F542">
        <v>167.56</v>
      </c>
      <c r="G542">
        <v>164.56</v>
      </c>
      <c r="H542">
        <v>166.06</v>
      </c>
      <c r="I542">
        <v>107.08</v>
      </c>
      <c r="J542">
        <v>103.88</v>
      </c>
      <c r="K542">
        <v>105.47999999999999</v>
      </c>
      <c r="L542">
        <v>199.8</v>
      </c>
      <c r="M542">
        <v>191.8</v>
      </c>
      <c r="N542">
        <v>195.8</v>
      </c>
      <c r="O542">
        <v>177.13</v>
      </c>
      <c r="P542">
        <v>175.32999999999998</v>
      </c>
      <c r="Q542">
        <v>176.23</v>
      </c>
      <c r="R542">
        <v>22.56</v>
      </c>
      <c r="S542">
        <v>21.959999999999997</v>
      </c>
      <c r="T542">
        <v>22.259999999999998</v>
      </c>
      <c r="U542">
        <v>14.65</v>
      </c>
      <c r="V542">
        <v>14.05</v>
      </c>
      <c r="W542">
        <v>14.350000000000001</v>
      </c>
      <c r="X542">
        <v>15.5</v>
      </c>
      <c r="Y542">
        <v>14.7</v>
      </c>
      <c r="Z542">
        <v>15.1</v>
      </c>
      <c r="AA542">
        <v>95.74</v>
      </c>
      <c r="AB542">
        <v>91.74</v>
      </c>
      <c r="AC542">
        <v>93.74</v>
      </c>
      <c r="AD542">
        <v>88.98</v>
      </c>
      <c r="AE542">
        <v>84.98</v>
      </c>
      <c r="AF542">
        <v>86.98</v>
      </c>
      <c r="AG542">
        <v>18.78</v>
      </c>
      <c r="AH542">
        <v>17.920000000000002</v>
      </c>
      <c r="AI542">
        <v>18.350000000000001</v>
      </c>
      <c r="AM542">
        <v>113.14</v>
      </c>
      <c r="AN542">
        <v>111.48</v>
      </c>
      <c r="AO542">
        <v>112.31</v>
      </c>
      <c r="AP542">
        <v>39.31</v>
      </c>
      <c r="AQ542">
        <v>37.71</v>
      </c>
      <c r="AR542">
        <v>38.510000000000005</v>
      </c>
      <c r="AS542">
        <v>39.99</v>
      </c>
      <c r="AT542">
        <v>38.630000000000003</v>
      </c>
      <c r="AU542">
        <v>39.31</v>
      </c>
      <c r="AV542">
        <v>20.329999999999998</v>
      </c>
      <c r="AW542">
        <v>19.729999999999997</v>
      </c>
      <c r="AX542">
        <v>20.029999999999998</v>
      </c>
      <c r="AY542">
        <v>4.51</v>
      </c>
      <c r="AZ542">
        <v>4.3499999999999996</v>
      </c>
      <c r="BA542">
        <v>4.43</v>
      </c>
      <c r="BB542">
        <v>1.85</v>
      </c>
      <c r="BC542">
        <v>1.55</v>
      </c>
      <c r="BD542">
        <v>1.7000000000000002</v>
      </c>
      <c r="BE542">
        <v>0.67</v>
      </c>
      <c r="BF542">
        <v>0.37000000000000005</v>
      </c>
      <c r="BG542">
        <v>0.52</v>
      </c>
      <c r="BH542">
        <v>481.77</v>
      </c>
      <c r="BI542">
        <v>465.77</v>
      </c>
      <c r="BJ542">
        <v>473.77</v>
      </c>
      <c r="BK542">
        <v>40.35</v>
      </c>
      <c r="BL542">
        <v>38.99</v>
      </c>
      <c r="BM542">
        <v>39.67</v>
      </c>
      <c r="BN542">
        <v>1.01</v>
      </c>
      <c r="BO542">
        <v>0.77</v>
      </c>
      <c r="BP542">
        <v>0.89</v>
      </c>
      <c r="BQ542">
        <v>8.6300000000000008</v>
      </c>
      <c r="BR542">
        <v>6.6300000000000008</v>
      </c>
      <c r="BS542">
        <v>7.6300000000000008</v>
      </c>
      <c r="BT542">
        <v>10.75</v>
      </c>
      <c r="BU542">
        <v>10.35</v>
      </c>
      <c r="BV542">
        <v>10.55</v>
      </c>
      <c r="BW542">
        <v>2.75</v>
      </c>
      <c r="BX542">
        <v>2.4699999999999998</v>
      </c>
      <c r="BY542">
        <v>2.61</v>
      </c>
      <c r="BZ542">
        <v>9.65</v>
      </c>
      <c r="CA542">
        <v>6.65</v>
      </c>
      <c r="CB542">
        <v>8.15</v>
      </c>
      <c r="CC542">
        <v>6.83</v>
      </c>
      <c r="CD542">
        <v>6.59</v>
      </c>
      <c r="CE542">
        <v>6.71</v>
      </c>
      <c r="CF542">
        <v>2.0699999999999998</v>
      </c>
      <c r="CG542">
        <v>1.5699999999999998</v>
      </c>
      <c r="CH542">
        <v>1.8199999999999998</v>
      </c>
      <c r="CI542">
        <v>0.44</v>
      </c>
      <c r="CJ542">
        <v>0.4</v>
      </c>
      <c r="CK542">
        <v>0.42000000000000004</v>
      </c>
      <c r="CL542">
        <v>40.299999999999997</v>
      </c>
      <c r="CM542">
        <v>37.9</v>
      </c>
      <c r="CN542">
        <v>39.099999999999994</v>
      </c>
      <c r="CO542">
        <v>6.19</v>
      </c>
      <c r="CP542">
        <v>1.1900000000000004</v>
      </c>
      <c r="CQ542">
        <v>3.6900000000000004</v>
      </c>
    </row>
    <row r="543" spans="1:95">
      <c r="A543" s="424">
        <v>45821</v>
      </c>
      <c r="B543" t="s">
        <v>251</v>
      </c>
      <c r="C543">
        <v>144.08000000000001</v>
      </c>
      <c r="D543">
        <v>142.08000000000001</v>
      </c>
      <c r="E543">
        <v>143.08000000000001</v>
      </c>
      <c r="F543">
        <v>166.89</v>
      </c>
      <c r="G543">
        <v>163.89</v>
      </c>
      <c r="H543">
        <v>165.39</v>
      </c>
      <c r="I543">
        <v>106.57</v>
      </c>
      <c r="J543">
        <v>103.36999999999999</v>
      </c>
      <c r="K543">
        <v>104.97</v>
      </c>
      <c r="L543">
        <v>198.16</v>
      </c>
      <c r="M543">
        <v>190.16</v>
      </c>
      <c r="N543">
        <v>194.16</v>
      </c>
      <c r="O543">
        <v>178.22</v>
      </c>
      <c r="P543">
        <v>176.42</v>
      </c>
      <c r="Q543">
        <v>177.32</v>
      </c>
      <c r="R543">
        <v>22.47</v>
      </c>
      <c r="S543">
        <v>21.869999999999997</v>
      </c>
      <c r="T543">
        <v>22.169999999999998</v>
      </c>
      <c r="U543">
        <v>14.69</v>
      </c>
      <c r="V543">
        <v>14.09</v>
      </c>
      <c r="W543">
        <v>14.39</v>
      </c>
      <c r="X543">
        <v>15.49</v>
      </c>
      <c r="Y543">
        <v>14.69</v>
      </c>
      <c r="Z543">
        <v>15.09</v>
      </c>
      <c r="AA543">
        <v>94.69</v>
      </c>
      <c r="AB543">
        <v>90.69</v>
      </c>
      <c r="AC543">
        <v>92.69</v>
      </c>
      <c r="AD543">
        <v>88.08</v>
      </c>
      <c r="AE543">
        <v>84.08</v>
      </c>
      <c r="AF543">
        <v>86.08</v>
      </c>
      <c r="AG543">
        <v>18.649999999999999</v>
      </c>
      <c r="AH543">
        <v>17.79</v>
      </c>
      <c r="AI543">
        <v>18.22</v>
      </c>
      <c r="AM543">
        <v>112.51</v>
      </c>
      <c r="AN543">
        <v>110.85000000000001</v>
      </c>
      <c r="AO543">
        <v>111.68</v>
      </c>
      <c r="AP543">
        <v>39.03</v>
      </c>
      <c r="AQ543">
        <v>37.43</v>
      </c>
      <c r="AR543">
        <v>38.230000000000004</v>
      </c>
      <c r="AS543">
        <v>39.71</v>
      </c>
      <c r="AT543">
        <v>38.35</v>
      </c>
      <c r="AU543">
        <v>39.03</v>
      </c>
      <c r="AV543">
        <v>20.22</v>
      </c>
      <c r="AW543">
        <v>19.619999999999997</v>
      </c>
      <c r="AX543">
        <v>19.919999999999998</v>
      </c>
      <c r="AY543">
        <v>4.5</v>
      </c>
      <c r="AZ543">
        <v>4.34</v>
      </c>
      <c r="BA543">
        <v>4.42</v>
      </c>
      <c r="BB543">
        <v>1.83</v>
      </c>
      <c r="BC543">
        <v>1.53</v>
      </c>
      <c r="BD543">
        <v>1.6800000000000002</v>
      </c>
      <c r="BE543">
        <v>0.66</v>
      </c>
      <c r="BF543">
        <v>0.36000000000000004</v>
      </c>
      <c r="BG543">
        <v>0.51</v>
      </c>
      <c r="BH543">
        <v>477.89</v>
      </c>
      <c r="BI543">
        <v>461.89</v>
      </c>
      <c r="BJ543">
        <v>469.89</v>
      </c>
      <c r="BK543">
        <v>40.049999999999997</v>
      </c>
      <c r="BL543">
        <v>38.69</v>
      </c>
      <c r="BM543">
        <v>39.369999999999997</v>
      </c>
      <c r="BN543">
        <v>1</v>
      </c>
      <c r="BO543">
        <v>0.76</v>
      </c>
      <c r="BP543">
        <v>0.88</v>
      </c>
      <c r="BQ543">
        <v>8.5399999999999991</v>
      </c>
      <c r="BR543">
        <v>6.5399999999999991</v>
      </c>
      <c r="BS543">
        <v>7.5399999999999991</v>
      </c>
      <c r="BT543">
        <v>10.69</v>
      </c>
      <c r="BU543">
        <v>10.29</v>
      </c>
      <c r="BV543">
        <v>10.489999999999998</v>
      </c>
      <c r="BW543">
        <v>2.71</v>
      </c>
      <c r="BX543">
        <v>2.4299999999999997</v>
      </c>
      <c r="BY543">
        <v>2.57</v>
      </c>
      <c r="BZ543">
        <v>9.5</v>
      </c>
      <c r="CA543">
        <v>6.5</v>
      </c>
      <c r="CB543">
        <v>8</v>
      </c>
      <c r="CC543">
        <v>6.8</v>
      </c>
      <c r="CD543">
        <v>6.56</v>
      </c>
      <c r="CE543">
        <v>6.68</v>
      </c>
      <c r="CF543">
        <v>2.04</v>
      </c>
      <c r="CG543">
        <v>1.54</v>
      </c>
      <c r="CH543">
        <v>1.79</v>
      </c>
      <c r="CI543">
        <v>0.43</v>
      </c>
      <c r="CJ543">
        <v>0.39</v>
      </c>
      <c r="CK543">
        <v>0.41000000000000003</v>
      </c>
      <c r="CL543">
        <v>39.979999999999997</v>
      </c>
      <c r="CM543">
        <v>37.58</v>
      </c>
      <c r="CN543">
        <v>38.78</v>
      </c>
      <c r="CO543">
        <v>6.14</v>
      </c>
      <c r="CP543">
        <v>1.1399999999999997</v>
      </c>
      <c r="CQ543">
        <v>3.6399999999999997</v>
      </c>
    </row>
    <row r="544" spans="1:95">
      <c r="A544" s="424">
        <v>45822</v>
      </c>
      <c r="B544" t="s">
        <v>252</v>
      </c>
    </row>
    <row r="545" spans="1:95">
      <c r="A545" s="424">
        <v>45823</v>
      </c>
      <c r="B545" t="s">
        <v>253</v>
      </c>
    </row>
    <row r="546" spans="1:95">
      <c r="A546" s="424">
        <v>45824</v>
      </c>
      <c r="B546" t="s">
        <v>247</v>
      </c>
      <c r="C546">
        <v>145.41999999999999</v>
      </c>
      <c r="D546">
        <v>143.41999999999999</v>
      </c>
      <c r="E546">
        <v>144.41999999999999</v>
      </c>
      <c r="F546">
        <v>168.06</v>
      </c>
      <c r="G546">
        <v>165.06</v>
      </c>
      <c r="H546">
        <v>166.56</v>
      </c>
      <c r="I546">
        <v>107.86</v>
      </c>
      <c r="J546">
        <v>104.66</v>
      </c>
      <c r="K546">
        <v>106.25999999999999</v>
      </c>
      <c r="L546">
        <v>199.63</v>
      </c>
      <c r="M546">
        <v>191.63</v>
      </c>
      <c r="N546">
        <v>195.63</v>
      </c>
      <c r="O546">
        <v>178.71</v>
      </c>
      <c r="P546">
        <v>176.91</v>
      </c>
      <c r="Q546">
        <v>177.81</v>
      </c>
      <c r="R546">
        <v>22.63</v>
      </c>
      <c r="S546">
        <v>22.029999999999998</v>
      </c>
      <c r="T546">
        <v>22.33</v>
      </c>
      <c r="U546">
        <v>14.86</v>
      </c>
      <c r="V546">
        <v>14.26</v>
      </c>
      <c r="W546">
        <v>14.559999999999999</v>
      </c>
      <c r="X546">
        <v>15.59</v>
      </c>
      <c r="Y546">
        <v>14.79</v>
      </c>
      <c r="Z546">
        <v>15.19</v>
      </c>
      <c r="AA546">
        <v>95.77</v>
      </c>
      <c r="AB546">
        <v>91.77</v>
      </c>
      <c r="AC546">
        <v>93.77</v>
      </c>
      <c r="AD546">
        <v>88.98</v>
      </c>
      <c r="AE546">
        <v>84.98</v>
      </c>
      <c r="AF546">
        <v>86.98</v>
      </c>
      <c r="AG546">
        <v>18.82</v>
      </c>
      <c r="AH546">
        <v>17.96</v>
      </c>
      <c r="AI546">
        <v>18.39</v>
      </c>
      <c r="AM546">
        <v>113.38</v>
      </c>
      <c r="AN546">
        <v>111.72</v>
      </c>
      <c r="AO546">
        <v>112.55</v>
      </c>
      <c r="AP546">
        <v>39.36</v>
      </c>
      <c r="AQ546">
        <v>37.76</v>
      </c>
      <c r="AR546">
        <v>38.56</v>
      </c>
      <c r="AS546">
        <v>39.97</v>
      </c>
      <c r="AT546">
        <v>38.61</v>
      </c>
      <c r="AU546">
        <v>39.29</v>
      </c>
      <c r="AV546">
        <v>20.39</v>
      </c>
      <c r="AW546">
        <v>19.79</v>
      </c>
      <c r="AX546">
        <v>20.09</v>
      </c>
      <c r="AY546">
        <v>4.53</v>
      </c>
      <c r="AZ546">
        <v>4.37</v>
      </c>
      <c r="BA546">
        <v>4.45</v>
      </c>
      <c r="BB546">
        <v>1.84</v>
      </c>
      <c r="BC546">
        <v>1.54</v>
      </c>
      <c r="BD546">
        <v>1.69</v>
      </c>
      <c r="BE546">
        <v>0.66</v>
      </c>
      <c r="BF546">
        <v>0.36000000000000004</v>
      </c>
      <c r="BG546">
        <v>0.51</v>
      </c>
      <c r="BH546">
        <v>482.44</v>
      </c>
      <c r="BI546">
        <v>466.44</v>
      </c>
      <c r="BJ546">
        <v>474.44</v>
      </c>
      <c r="BK546">
        <v>40.42</v>
      </c>
      <c r="BL546">
        <v>39.06</v>
      </c>
      <c r="BM546">
        <v>39.74</v>
      </c>
      <c r="BN546">
        <v>1.01</v>
      </c>
      <c r="BO546">
        <v>0.77</v>
      </c>
      <c r="BP546">
        <v>0.89</v>
      </c>
      <c r="BQ546">
        <v>8.6199999999999992</v>
      </c>
      <c r="BR546">
        <v>6.6199999999999992</v>
      </c>
      <c r="BS546">
        <v>7.6199999999999992</v>
      </c>
      <c r="BT546">
        <v>10.77</v>
      </c>
      <c r="BU546">
        <v>10.37</v>
      </c>
      <c r="BV546">
        <v>10.57</v>
      </c>
      <c r="BW546">
        <v>2.74</v>
      </c>
      <c r="BX546">
        <v>2.46</v>
      </c>
      <c r="BY546">
        <v>2.6</v>
      </c>
      <c r="BZ546">
        <v>9.5399999999999991</v>
      </c>
      <c r="CA546">
        <v>6.5399999999999991</v>
      </c>
      <c r="CB546">
        <v>8.0399999999999991</v>
      </c>
      <c r="CC546">
        <v>6.83</v>
      </c>
      <c r="CD546">
        <v>6.59</v>
      </c>
      <c r="CE546">
        <v>6.71</v>
      </c>
      <c r="CF546">
        <v>2.06</v>
      </c>
      <c r="CG546">
        <v>1.56</v>
      </c>
      <c r="CH546">
        <v>1.81</v>
      </c>
      <c r="CI546">
        <v>0.43</v>
      </c>
      <c r="CJ546">
        <v>0.39</v>
      </c>
      <c r="CK546">
        <v>0.41000000000000003</v>
      </c>
      <c r="CL546">
        <v>40.24</v>
      </c>
      <c r="CM546">
        <v>37.840000000000003</v>
      </c>
      <c r="CN546">
        <v>39.040000000000006</v>
      </c>
      <c r="CO546">
        <v>6.16</v>
      </c>
      <c r="CP546">
        <v>1.1600000000000001</v>
      </c>
      <c r="CQ546">
        <v>3.66</v>
      </c>
    </row>
    <row r="547" spans="1:95">
      <c r="A547" s="424">
        <v>45825</v>
      </c>
      <c r="B547" t="s">
        <v>248</v>
      </c>
      <c r="C547">
        <v>146.08000000000001</v>
      </c>
      <c r="D547">
        <v>144.08000000000001</v>
      </c>
      <c r="E547">
        <v>145.08000000000001</v>
      </c>
      <c r="F547">
        <v>169.07</v>
      </c>
      <c r="G547">
        <v>166.07</v>
      </c>
      <c r="H547">
        <v>167.57</v>
      </c>
      <c r="I547">
        <v>108.48</v>
      </c>
      <c r="J547">
        <v>105.28</v>
      </c>
      <c r="K547">
        <v>106.88</v>
      </c>
      <c r="L547">
        <v>200.84</v>
      </c>
      <c r="M547">
        <v>192.84</v>
      </c>
      <c r="N547">
        <v>196.84</v>
      </c>
      <c r="O547">
        <v>179.02</v>
      </c>
      <c r="P547">
        <v>177.22</v>
      </c>
      <c r="Q547">
        <v>178.12</v>
      </c>
      <c r="R547">
        <v>22.77</v>
      </c>
      <c r="S547">
        <v>22.169999999999998</v>
      </c>
      <c r="T547">
        <v>22.47</v>
      </c>
      <c r="U547">
        <v>14.93</v>
      </c>
      <c r="V547">
        <v>14.33</v>
      </c>
      <c r="W547">
        <v>14.629999999999999</v>
      </c>
      <c r="X547">
        <v>15.68</v>
      </c>
      <c r="Y547">
        <v>14.879999999999999</v>
      </c>
      <c r="Z547">
        <v>15.28</v>
      </c>
      <c r="AA547">
        <v>96.51</v>
      </c>
      <c r="AB547">
        <v>92.51</v>
      </c>
      <c r="AC547">
        <v>94.51</v>
      </c>
      <c r="AD547">
        <v>89.8</v>
      </c>
      <c r="AE547">
        <v>85.8</v>
      </c>
      <c r="AF547">
        <v>87.8</v>
      </c>
      <c r="AG547">
        <v>18.91</v>
      </c>
      <c r="AH547">
        <v>18.05</v>
      </c>
      <c r="AI547">
        <v>18.48</v>
      </c>
      <c r="AM547">
        <v>113.96</v>
      </c>
      <c r="AN547">
        <v>112.3</v>
      </c>
      <c r="AO547">
        <v>113.13</v>
      </c>
      <c r="AP547">
        <v>39.549999999999997</v>
      </c>
      <c r="AQ547">
        <v>37.949999999999996</v>
      </c>
      <c r="AR547">
        <v>38.75</v>
      </c>
      <c r="AS547">
        <v>40.11</v>
      </c>
      <c r="AT547">
        <v>38.75</v>
      </c>
      <c r="AU547">
        <v>39.43</v>
      </c>
      <c r="AV547">
        <v>20.49</v>
      </c>
      <c r="AW547">
        <v>19.889999999999997</v>
      </c>
      <c r="AX547">
        <v>20.189999999999998</v>
      </c>
      <c r="AY547">
        <v>4.55</v>
      </c>
      <c r="AZ547">
        <v>4.3899999999999997</v>
      </c>
      <c r="BA547">
        <v>4.47</v>
      </c>
      <c r="BB547">
        <v>1.85</v>
      </c>
      <c r="BC547">
        <v>1.55</v>
      </c>
      <c r="BD547">
        <v>1.7000000000000002</v>
      </c>
      <c r="BE547">
        <v>0.67</v>
      </c>
      <c r="BF547">
        <v>0.37000000000000005</v>
      </c>
      <c r="BG547">
        <v>0.52</v>
      </c>
      <c r="BH547">
        <v>484.45</v>
      </c>
      <c r="BI547">
        <v>468.45</v>
      </c>
      <c r="BJ547">
        <v>476.45</v>
      </c>
      <c r="BK547">
        <v>40.61</v>
      </c>
      <c r="BL547">
        <v>39.25</v>
      </c>
      <c r="BM547">
        <v>39.93</v>
      </c>
      <c r="BN547">
        <v>1.02</v>
      </c>
      <c r="BO547">
        <v>0.78</v>
      </c>
      <c r="BP547">
        <v>0.9</v>
      </c>
      <c r="BQ547">
        <v>8.66</v>
      </c>
      <c r="BR547">
        <v>6.66</v>
      </c>
      <c r="BS547">
        <v>7.66</v>
      </c>
      <c r="BT547">
        <v>10.88</v>
      </c>
      <c r="BU547">
        <v>10.48</v>
      </c>
      <c r="BV547">
        <v>10.68</v>
      </c>
      <c r="BW547">
        <v>2.74</v>
      </c>
      <c r="BX547">
        <v>2.46</v>
      </c>
      <c r="BY547">
        <v>2.6</v>
      </c>
      <c r="BZ547">
        <v>9.64</v>
      </c>
      <c r="CA547">
        <v>6.6400000000000006</v>
      </c>
      <c r="CB547">
        <v>8.14</v>
      </c>
      <c r="CC547">
        <v>6.88</v>
      </c>
      <c r="CD547">
        <v>6.64</v>
      </c>
      <c r="CE547">
        <v>6.76</v>
      </c>
      <c r="CF547">
        <v>2.1</v>
      </c>
      <c r="CG547">
        <v>1.6</v>
      </c>
      <c r="CH547">
        <v>1.85</v>
      </c>
      <c r="CI547">
        <v>0.44</v>
      </c>
      <c r="CJ547">
        <v>0.4</v>
      </c>
      <c r="CK547">
        <v>0.42000000000000004</v>
      </c>
      <c r="CL547">
        <v>40.46</v>
      </c>
      <c r="CM547">
        <v>38.06</v>
      </c>
      <c r="CN547">
        <v>39.260000000000005</v>
      </c>
      <c r="CO547">
        <v>6.19</v>
      </c>
      <c r="CP547">
        <v>1.1900000000000004</v>
      </c>
      <c r="CQ547">
        <v>3.6900000000000004</v>
      </c>
    </row>
    <row r="548" spans="1:95">
      <c r="A548" s="424">
        <v>45826</v>
      </c>
      <c r="B548" t="s">
        <v>249</v>
      </c>
      <c r="C548">
        <v>146.36000000000001</v>
      </c>
      <c r="D548">
        <v>144.36000000000001</v>
      </c>
      <c r="E548">
        <v>145.36000000000001</v>
      </c>
      <c r="F548">
        <v>168.52</v>
      </c>
      <c r="G548">
        <v>165.52</v>
      </c>
      <c r="H548">
        <v>167.02</v>
      </c>
      <c r="I548">
        <v>107.89</v>
      </c>
      <c r="J548">
        <v>104.69</v>
      </c>
      <c r="K548">
        <v>106.28999999999999</v>
      </c>
      <c r="L548">
        <v>199.23</v>
      </c>
      <c r="M548">
        <v>191.23</v>
      </c>
      <c r="N548">
        <v>195.23</v>
      </c>
      <c r="O548">
        <v>178.86</v>
      </c>
      <c r="P548">
        <v>177.06</v>
      </c>
      <c r="Q548">
        <v>177.96</v>
      </c>
      <c r="R548">
        <v>22.69</v>
      </c>
      <c r="S548">
        <v>22.09</v>
      </c>
      <c r="T548">
        <v>22.39</v>
      </c>
      <c r="U548">
        <v>14.93</v>
      </c>
      <c r="V548">
        <v>14.33</v>
      </c>
      <c r="W548">
        <v>14.629999999999999</v>
      </c>
      <c r="X548">
        <v>15.6</v>
      </c>
      <c r="Y548">
        <v>14.799999999999999</v>
      </c>
      <c r="Z548">
        <v>15.2</v>
      </c>
      <c r="AA548">
        <v>96.22</v>
      </c>
      <c r="AB548">
        <v>92.22</v>
      </c>
      <c r="AC548">
        <v>94.22</v>
      </c>
      <c r="AD548">
        <v>89.49</v>
      </c>
      <c r="AE548">
        <v>85.49</v>
      </c>
      <c r="AF548">
        <v>87.49</v>
      </c>
      <c r="AG548">
        <v>18.940000000000001</v>
      </c>
      <c r="AH548">
        <v>18.080000000000002</v>
      </c>
      <c r="AI548">
        <v>18.510000000000002</v>
      </c>
      <c r="AM548">
        <v>113.88</v>
      </c>
      <c r="AN548">
        <v>112.22</v>
      </c>
      <c r="AO548">
        <v>113.05</v>
      </c>
      <c r="AP548">
        <v>39.619999999999997</v>
      </c>
      <c r="AQ548">
        <v>38.019999999999996</v>
      </c>
      <c r="AR548">
        <v>38.819999999999993</v>
      </c>
      <c r="AS548">
        <v>40.33</v>
      </c>
      <c r="AT548">
        <v>38.97</v>
      </c>
      <c r="AU548">
        <v>39.65</v>
      </c>
      <c r="AV548">
        <v>20.52</v>
      </c>
      <c r="AW548">
        <v>19.919999999999998</v>
      </c>
      <c r="AX548">
        <v>20.22</v>
      </c>
      <c r="AY548">
        <v>4.54</v>
      </c>
      <c r="AZ548">
        <v>4.38</v>
      </c>
      <c r="BA548">
        <v>4.46</v>
      </c>
      <c r="BB548">
        <v>1.84</v>
      </c>
      <c r="BC548">
        <v>1.54</v>
      </c>
      <c r="BD548">
        <v>1.69</v>
      </c>
      <c r="BE548">
        <v>0.67</v>
      </c>
      <c r="BF548">
        <v>0.37000000000000005</v>
      </c>
      <c r="BG548">
        <v>0.52</v>
      </c>
      <c r="BH548">
        <v>480.41</v>
      </c>
      <c r="BI548">
        <v>464.41</v>
      </c>
      <c r="BJ548">
        <v>472.41</v>
      </c>
      <c r="BK548">
        <v>40.68</v>
      </c>
      <c r="BL548">
        <v>39.32</v>
      </c>
      <c r="BM548">
        <v>40</v>
      </c>
      <c r="BN548">
        <v>1.02</v>
      </c>
      <c r="BO548">
        <v>0.78</v>
      </c>
      <c r="BP548">
        <v>0.9</v>
      </c>
      <c r="BQ548">
        <v>8.65</v>
      </c>
      <c r="BR548">
        <v>6.65</v>
      </c>
      <c r="BS548">
        <v>7.65</v>
      </c>
      <c r="BT548">
        <v>10.77</v>
      </c>
      <c r="BU548">
        <v>10.37</v>
      </c>
      <c r="BV548">
        <v>10.57</v>
      </c>
      <c r="BW548">
        <v>2.73</v>
      </c>
      <c r="BX548">
        <v>2.4500000000000002</v>
      </c>
      <c r="BY548">
        <v>2.59</v>
      </c>
      <c r="BZ548">
        <v>9.59</v>
      </c>
      <c r="CA548">
        <v>6.59</v>
      </c>
      <c r="CB548">
        <v>8.09</v>
      </c>
      <c r="CC548">
        <v>6.85</v>
      </c>
      <c r="CD548">
        <v>6.6099999999999994</v>
      </c>
      <c r="CE548">
        <v>6.7299999999999995</v>
      </c>
      <c r="CF548">
        <v>2.11</v>
      </c>
      <c r="CG548">
        <v>1.6099999999999999</v>
      </c>
      <c r="CH548">
        <v>1.8599999999999999</v>
      </c>
      <c r="CI548">
        <v>0.43</v>
      </c>
      <c r="CJ548">
        <v>0.39</v>
      </c>
      <c r="CK548">
        <v>0.41000000000000003</v>
      </c>
      <c r="CL548">
        <v>40.24</v>
      </c>
      <c r="CM548">
        <v>37.840000000000003</v>
      </c>
      <c r="CN548">
        <v>39.040000000000006</v>
      </c>
      <c r="CO548">
        <v>6.19</v>
      </c>
      <c r="CP548">
        <v>1.1900000000000004</v>
      </c>
      <c r="CQ548">
        <v>3.6900000000000004</v>
      </c>
    </row>
    <row r="549" spans="1:95">
      <c r="A549" s="424">
        <v>45827</v>
      </c>
      <c r="B549" t="s">
        <v>250</v>
      </c>
      <c r="C549">
        <v>145.91999999999999</v>
      </c>
      <c r="D549">
        <v>143.91999999999999</v>
      </c>
      <c r="E549">
        <v>144.91999999999999</v>
      </c>
      <c r="F549">
        <v>167.84</v>
      </c>
      <c r="G549">
        <v>164.84</v>
      </c>
      <c r="H549">
        <v>166.34</v>
      </c>
      <c r="I549">
        <v>107.39</v>
      </c>
      <c r="J549">
        <v>104.19</v>
      </c>
      <c r="K549">
        <v>105.78999999999999</v>
      </c>
      <c r="L549">
        <v>198.4</v>
      </c>
      <c r="M549">
        <v>190.4</v>
      </c>
      <c r="N549">
        <v>194.4</v>
      </c>
      <c r="O549">
        <v>177.78</v>
      </c>
      <c r="P549">
        <v>175.98</v>
      </c>
      <c r="Q549">
        <v>176.88</v>
      </c>
      <c r="R549">
        <v>22.6</v>
      </c>
      <c r="S549">
        <v>22</v>
      </c>
      <c r="T549">
        <v>22.3</v>
      </c>
      <c r="U549">
        <v>14.83</v>
      </c>
      <c r="V549">
        <v>14.23</v>
      </c>
      <c r="W549">
        <v>14.530000000000001</v>
      </c>
      <c r="X549">
        <v>15.42</v>
      </c>
      <c r="Y549">
        <v>14.62</v>
      </c>
      <c r="Z549">
        <v>15.02</v>
      </c>
      <c r="AA549">
        <v>96.15</v>
      </c>
      <c r="AB549">
        <v>92.15</v>
      </c>
      <c r="AC549">
        <v>94.15</v>
      </c>
      <c r="AD549">
        <v>89.27</v>
      </c>
      <c r="AE549">
        <v>85.27</v>
      </c>
      <c r="AF549">
        <v>87.27</v>
      </c>
      <c r="AG549">
        <v>18.88</v>
      </c>
      <c r="AH549">
        <v>18.02</v>
      </c>
      <c r="AI549">
        <v>18.45</v>
      </c>
      <c r="AM549">
        <v>113.51</v>
      </c>
      <c r="AN549">
        <v>111.85000000000001</v>
      </c>
      <c r="AO549">
        <v>112.68</v>
      </c>
      <c r="AP549">
        <v>39.51</v>
      </c>
      <c r="AQ549">
        <v>37.909999999999997</v>
      </c>
      <c r="AR549">
        <v>38.709999999999994</v>
      </c>
      <c r="AS549">
        <v>40.21</v>
      </c>
      <c r="AT549">
        <v>38.85</v>
      </c>
      <c r="AU549">
        <v>39.53</v>
      </c>
      <c r="AV549">
        <v>20.440000000000001</v>
      </c>
      <c r="AW549">
        <v>19.84</v>
      </c>
      <c r="AX549">
        <v>20.14</v>
      </c>
      <c r="AY549">
        <v>4.5</v>
      </c>
      <c r="AZ549">
        <v>4.34</v>
      </c>
      <c r="BA549">
        <v>4.42</v>
      </c>
      <c r="BB549">
        <v>1.84</v>
      </c>
      <c r="BC549">
        <v>1.54</v>
      </c>
      <c r="BD549">
        <v>1.69</v>
      </c>
      <c r="BE549">
        <v>0.67</v>
      </c>
      <c r="BF549">
        <v>0.37000000000000005</v>
      </c>
      <c r="BG549">
        <v>0.52</v>
      </c>
      <c r="BH549">
        <v>483.46</v>
      </c>
      <c r="BI549">
        <v>467.46</v>
      </c>
      <c r="BJ549">
        <v>475.46</v>
      </c>
      <c r="BK549">
        <v>40.57</v>
      </c>
      <c r="BL549">
        <v>39.21</v>
      </c>
      <c r="BM549">
        <v>39.89</v>
      </c>
      <c r="BN549">
        <v>1.01</v>
      </c>
      <c r="BO549">
        <v>0.77</v>
      </c>
      <c r="BP549">
        <v>0.89</v>
      </c>
      <c r="BQ549">
        <v>8.61</v>
      </c>
      <c r="BR549">
        <v>6.6099999999999994</v>
      </c>
      <c r="BS549">
        <v>7.6099999999999994</v>
      </c>
      <c r="BT549">
        <v>10.75</v>
      </c>
      <c r="BU549">
        <v>10.35</v>
      </c>
      <c r="BV549">
        <v>10.55</v>
      </c>
      <c r="BW549">
        <v>2.71</v>
      </c>
      <c r="BX549">
        <v>2.4299999999999997</v>
      </c>
      <c r="BY549">
        <v>2.57</v>
      </c>
      <c r="BZ549">
        <v>9.5500000000000007</v>
      </c>
      <c r="CA549">
        <v>6.5500000000000007</v>
      </c>
      <c r="CB549">
        <v>8.0500000000000007</v>
      </c>
      <c r="CC549">
        <v>6.83</v>
      </c>
      <c r="CD549">
        <v>6.59</v>
      </c>
      <c r="CE549">
        <v>6.71</v>
      </c>
      <c r="CF549">
        <v>2.1</v>
      </c>
      <c r="CG549">
        <v>1.6</v>
      </c>
      <c r="CH549">
        <v>1.85</v>
      </c>
      <c r="CI549">
        <v>0.43</v>
      </c>
      <c r="CJ549">
        <v>0.39</v>
      </c>
      <c r="CK549">
        <v>0.41000000000000003</v>
      </c>
      <c r="CL549">
        <v>40.15</v>
      </c>
      <c r="CM549">
        <v>37.75</v>
      </c>
      <c r="CN549">
        <v>38.950000000000003</v>
      </c>
      <c r="CO549">
        <v>6.17</v>
      </c>
      <c r="CP549">
        <v>1.17</v>
      </c>
      <c r="CQ549">
        <v>3.67</v>
      </c>
    </row>
    <row r="550" spans="1:95">
      <c r="A550" s="424">
        <v>45828</v>
      </c>
      <c r="B550" t="s">
        <v>251</v>
      </c>
      <c r="C550">
        <v>146.35</v>
      </c>
      <c r="D550">
        <v>144.35</v>
      </c>
      <c r="E550">
        <v>145.35</v>
      </c>
      <c r="F550">
        <v>168.97</v>
      </c>
      <c r="G550">
        <v>165.97</v>
      </c>
      <c r="H550">
        <v>167.47</v>
      </c>
      <c r="I550">
        <v>107.73</v>
      </c>
      <c r="J550">
        <v>104.53</v>
      </c>
      <c r="K550">
        <v>106.13</v>
      </c>
      <c r="L550">
        <v>200.06</v>
      </c>
      <c r="M550">
        <v>192.06</v>
      </c>
      <c r="N550">
        <v>196.06</v>
      </c>
      <c r="O550">
        <v>178.96</v>
      </c>
      <c r="P550">
        <v>177.16</v>
      </c>
      <c r="Q550">
        <v>178.06</v>
      </c>
      <c r="R550">
        <v>22.75</v>
      </c>
      <c r="S550">
        <v>22.15</v>
      </c>
      <c r="T550">
        <v>22.45</v>
      </c>
      <c r="U550">
        <v>14.81</v>
      </c>
      <c r="V550">
        <v>14.21</v>
      </c>
      <c r="W550">
        <v>14.510000000000002</v>
      </c>
      <c r="X550">
        <v>15.5</v>
      </c>
      <c r="Y550">
        <v>14.7</v>
      </c>
      <c r="Z550">
        <v>15.1</v>
      </c>
      <c r="AA550">
        <v>96.27</v>
      </c>
      <c r="AB550">
        <v>92.27</v>
      </c>
      <c r="AC550">
        <v>94.27</v>
      </c>
      <c r="AD550">
        <v>89.24</v>
      </c>
      <c r="AE550">
        <v>85.24</v>
      </c>
      <c r="AF550">
        <v>87.24</v>
      </c>
      <c r="AG550">
        <v>18.940000000000001</v>
      </c>
      <c r="AH550">
        <v>18.080000000000002</v>
      </c>
      <c r="AI550">
        <v>18.510000000000002</v>
      </c>
      <c r="AM550">
        <v>114</v>
      </c>
      <c r="AN550">
        <v>112.34</v>
      </c>
      <c r="AO550">
        <v>113.17</v>
      </c>
      <c r="AP550">
        <v>39.619999999999997</v>
      </c>
      <c r="AQ550">
        <v>38.019999999999996</v>
      </c>
      <c r="AR550">
        <v>38.819999999999993</v>
      </c>
      <c r="AS550">
        <v>40.33</v>
      </c>
      <c r="AT550">
        <v>38.97</v>
      </c>
      <c r="AU550">
        <v>39.65</v>
      </c>
      <c r="AV550">
        <v>20.53</v>
      </c>
      <c r="AW550">
        <v>19.93</v>
      </c>
      <c r="AX550">
        <v>20.23</v>
      </c>
      <c r="AY550">
        <v>4.53</v>
      </c>
      <c r="AZ550">
        <v>4.37</v>
      </c>
      <c r="BA550">
        <v>4.45</v>
      </c>
      <c r="BB550">
        <v>1.84</v>
      </c>
      <c r="BC550">
        <v>1.54</v>
      </c>
      <c r="BD550">
        <v>1.69</v>
      </c>
      <c r="BE550">
        <v>0.67</v>
      </c>
      <c r="BF550">
        <v>0.37000000000000005</v>
      </c>
      <c r="BG550">
        <v>0.52</v>
      </c>
      <c r="BH550">
        <v>484.87</v>
      </c>
      <c r="BI550">
        <v>468.87</v>
      </c>
      <c r="BJ550">
        <v>476.87</v>
      </c>
      <c r="BK550">
        <v>40.68</v>
      </c>
      <c r="BL550">
        <v>39.32</v>
      </c>
      <c r="BM550">
        <v>40</v>
      </c>
      <c r="BN550">
        <v>1.01</v>
      </c>
      <c r="BO550">
        <v>0.77</v>
      </c>
      <c r="BP550">
        <v>0.89</v>
      </c>
      <c r="BQ550">
        <v>8.64</v>
      </c>
      <c r="BR550">
        <v>6.6400000000000006</v>
      </c>
      <c r="BS550">
        <v>7.6400000000000006</v>
      </c>
      <c r="BT550">
        <v>10.83</v>
      </c>
      <c r="BU550">
        <v>10.43</v>
      </c>
      <c r="BV550">
        <v>10.629999999999999</v>
      </c>
      <c r="BW550">
        <v>2.7</v>
      </c>
      <c r="BX550">
        <v>2.42</v>
      </c>
      <c r="BY550">
        <v>2.56</v>
      </c>
      <c r="BZ550">
        <v>9.58</v>
      </c>
      <c r="CA550">
        <v>6.58</v>
      </c>
      <c r="CB550">
        <v>8.08</v>
      </c>
      <c r="CC550">
        <v>6.88</v>
      </c>
      <c r="CD550">
        <v>6.64</v>
      </c>
      <c r="CE550">
        <v>6.76</v>
      </c>
      <c r="CF550">
        <v>2.12</v>
      </c>
      <c r="CG550">
        <v>1.62</v>
      </c>
      <c r="CH550">
        <v>1.87</v>
      </c>
      <c r="CI550">
        <v>0.44</v>
      </c>
      <c r="CJ550">
        <v>0.4</v>
      </c>
      <c r="CK550">
        <v>0.42000000000000004</v>
      </c>
      <c r="CL550">
        <v>40.42</v>
      </c>
      <c r="CM550">
        <v>38.020000000000003</v>
      </c>
      <c r="CN550">
        <v>39.22</v>
      </c>
      <c r="CO550">
        <v>6.18</v>
      </c>
      <c r="CP550">
        <v>1.1799999999999997</v>
      </c>
      <c r="CQ550">
        <v>3.6799999999999997</v>
      </c>
    </row>
    <row r="551" spans="1:95">
      <c r="A551" s="424">
        <v>45829</v>
      </c>
      <c r="B551" t="s">
        <v>252</v>
      </c>
    </row>
    <row r="552" spans="1:95">
      <c r="A552" s="424">
        <v>45830</v>
      </c>
      <c r="B552" t="s">
        <v>253</v>
      </c>
    </row>
    <row r="553" spans="1:95">
      <c r="A553" s="424">
        <v>45831</v>
      </c>
      <c r="B553" t="s">
        <v>247</v>
      </c>
      <c r="C553">
        <v>147.5</v>
      </c>
      <c r="D553">
        <v>145.5</v>
      </c>
      <c r="E553">
        <v>146.5</v>
      </c>
      <c r="F553">
        <v>169.7</v>
      </c>
      <c r="G553">
        <v>166.7</v>
      </c>
      <c r="H553">
        <v>168.2</v>
      </c>
      <c r="I553">
        <v>108.08</v>
      </c>
      <c r="J553">
        <v>104.88</v>
      </c>
      <c r="K553">
        <v>106.47999999999999</v>
      </c>
      <c r="L553">
        <v>200.52</v>
      </c>
      <c r="M553">
        <v>192.52</v>
      </c>
      <c r="N553">
        <v>196.52</v>
      </c>
      <c r="O553">
        <v>179.78</v>
      </c>
      <c r="P553">
        <v>177.98</v>
      </c>
      <c r="Q553">
        <v>178.88</v>
      </c>
      <c r="R553">
        <v>22.85</v>
      </c>
      <c r="S553">
        <v>22.25</v>
      </c>
      <c r="T553">
        <v>22.55</v>
      </c>
      <c r="U553">
        <v>14.74</v>
      </c>
      <c r="V553">
        <v>14.14</v>
      </c>
      <c r="W553">
        <v>14.440000000000001</v>
      </c>
      <c r="X553">
        <v>15.5</v>
      </c>
      <c r="Y553">
        <v>14.7</v>
      </c>
      <c r="Z553">
        <v>15.1</v>
      </c>
      <c r="AA553">
        <v>96.24</v>
      </c>
      <c r="AB553">
        <v>92.24</v>
      </c>
      <c r="AC553">
        <v>94.24</v>
      </c>
      <c r="AD553">
        <v>89.23</v>
      </c>
      <c r="AE553">
        <v>85.23</v>
      </c>
      <c r="AF553">
        <v>87.23</v>
      </c>
      <c r="AG553">
        <v>19.09</v>
      </c>
      <c r="AH553">
        <v>18.23</v>
      </c>
      <c r="AI553">
        <v>18.66</v>
      </c>
      <c r="AM553">
        <v>114.44</v>
      </c>
      <c r="AN553">
        <v>112.78</v>
      </c>
      <c r="AO553">
        <v>113.61</v>
      </c>
      <c r="AP553">
        <v>39.78</v>
      </c>
      <c r="AQ553">
        <v>38.18</v>
      </c>
      <c r="AR553">
        <v>38.980000000000004</v>
      </c>
      <c r="AS553">
        <v>40.64</v>
      </c>
      <c r="AT553">
        <v>39.28</v>
      </c>
      <c r="AU553">
        <v>39.96</v>
      </c>
      <c r="AV553">
        <v>20.68</v>
      </c>
      <c r="AW553">
        <v>20.079999999999998</v>
      </c>
      <c r="AX553">
        <v>20.38</v>
      </c>
      <c r="AY553">
        <v>4.54</v>
      </c>
      <c r="AZ553">
        <v>4.38</v>
      </c>
      <c r="BA553">
        <v>4.46</v>
      </c>
      <c r="BB553">
        <v>1.85</v>
      </c>
      <c r="BC553">
        <v>1.55</v>
      </c>
      <c r="BD553">
        <v>1.7000000000000002</v>
      </c>
      <c r="BE553">
        <v>0.67</v>
      </c>
      <c r="BF553">
        <v>0.37000000000000005</v>
      </c>
      <c r="BG553">
        <v>0.52</v>
      </c>
      <c r="BH553">
        <v>488.64</v>
      </c>
      <c r="BI553">
        <v>472.64</v>
      </c>
      <c r="BJ553">
        <v>480.64</v>
      </c>
      <c r="BK553">
        <v>40.99</v>
      </c>
      <c r="BL553">
        <v>39.630000000000003</v>
      </c>
      <c r="BM553">
        <v>40.31</v>
      </c>
      <c r="BN553">
        <v>1.02</v>
      </c>
      <c r="BO553">
        <v>0.78</v>
      </c>
      <c r="BP553">
        <v>0.9</v>
      </c>
      <c r="BQ553">
        <v>8.61</v>
      </c>
      <c r="BR553">
        <v>6.6099999999999994</v>
      </c>
      <c r="BS553">
        <v>7.6099999999999994</v>
      </c>
      <c r="BT553">
        <v>10.82</v>
      </c>
      <c r="BU553">
        <v>10.42</v>
      </c>
      <c r="BV553">
        <v>10.620000000000001</v>
      </c>
      <c r="BW553">
        <v>2.73</v>
      </c>
      <c r="BX553">
        <v>2.4500000000000002</v>
      </c>
      <c r="BY553">
        <v>2.59</v>
      </c>
      <c r="BZ553">
        <v>9.6</v>
      </c>
      <c r="CA553">
        <v>6.6</v>
      </c>
      <c r="CB553">
        <v>8.1</v>
      </c>
      <c r="CC553">
        <v>6.91</v>
      </c>
      <c r="CD553">
        <v>6.67</v>
      </c>
      <c r="CE553">
        <v>6.79</v>
      </c>
      <c r="CF553">
        <v>2.12</v>
      </c>
      <c r="CG553">
        <v>1.62</v>
      </c>
      <c r="CH553">
        <v>1.87</v>
      </c>
      <c r="CI553">
        <v>0.44</v>
      </c>
      <c r="CJ553">
        <v>0.4</v>
      </c>
      <c r="CK553">
        <v>0.42000000000000004</v>
      </c>
      <c r="CL553">
        <v>40.549999999999997</v>
      </c>
      <c r="CM553">
        <v>38.15</v>
      </c>
      <c r="CN553">
        <v>39.349999999999994</v>
      </c>
      <c r="CO553">
        <v>6.19</v>
      </c>
      <c r="CP553">
        <v>1.1900000000000004</v>
      </c>
      <c r="CQ553">
        <v>3.6900000000000004</v>
      </c>
    </row>
    <row r="554" spans="1:95">
      <c r="A554" s="424">
        <v>45832</v>
      </c>
      <c r="B554" t="s">
        <v>248</v>
      </c>
      <c r="C554">
        <v>146.72</v>
      </c>
      <c r="D554">
        <v>144.72</v>
      </c>
      <c r="E554">
        <v>145.72</v>
      </c>
      <c r="F554">
        <v>170.45</v>
      </c>
      <c r="G554">
        <v>167.45</v>
      </c>
      <c r="H554">
        <v>168.95</v>
      </c>
      <c r="I554">
        <v>107.72</v>
      </c>
      <c r="J554">
        <v>104.52</v>
      </c>
      <c r="K554">
        <v>106.12</v>
      </c>
      <c r="L554">
        <v>201.44</v>
      </c>
      <c r="M554">
        <v>193.44</v>
      </c>
      <c r="N554">
        <v>197.44</v>
      </c>
      <c r="O554">
        <v>180.25</v>
      </c>
      <c r="P554">
        <v>178.45</v>
      </c>
      <c r="Q554">
        <v>179.35</v>
      </c>
      <c r="R554">
        <v>22.95</v>
      </c>
      <c r="S554">
        <v>22.349999999999998</v>
      </c>
      <c r="T554">
        <v>22.65</v>
      </c>
      <c r="U554">
        <v>14.76</v>
      </c>
      <c r="V554">
        <v>14.16</v>
      </c>
      <c r="W554">
        <v>14.46</v>
      </c>
      <c r="X554">
        <v>15.63</v>
      </c>
      <c r="Y554">
        <v>14.83</v>
      </c>
      <c r="Z554">
        <v>15.23</v>
      </c>
      <c r="AA554">
        <v>96.46</v>
      </c>
      <c r="AB554">
        <v>92.46</v>
      </c>
      <c r="AC554">
        <v>94.46</v>
      </c>
      <c r="AD554">
        <v>89.37</v>
      </c>
      <c r="AE554">
        <v>85.37</v>
      </c>
      <c r="AF554">
        <v>87.37</v>
      </c>
      <c r="AG554">
        <v>18.989999999999998</v>
      </c>
      <c r="AH554">
        <v>18.13</v>
      </c>
      <c r="AI554">
        <v>18.559999999999999</v>
      </c>
      <c r="AM554">
        <v>114.43</v>
      </c>
      <c r="AN554">
        <v>112.77000000000001</v>
      </c>
      <c r="AO554">
        <v>113.60000000000001</v>
      </c>
      <c r="AP554">
        <v>39.72</v>
      </c>
      <c r="AQ554">
        <v>38.119999999999997</v>
      </c>
      <c r="AR554">
        <v>38.92</v>
      </c>
      <c r="AS554">
        <v>40.43</v>
      </c>
      <c r="AT554">
        <v>39.07</v>
      </c>
      <c r="AU554">
        <v>39.75</v>
      </c>
      <c r="AV554">
        <v>20.61</v>
      </c>
      <c r="AW554">
        <v>20.009999999999998</v>
      </c>
      <c r="AX554">
        <v>20.309999999999999</v>
      </c>
      <c r="AY554">
        <v>4.53</v>
      </c>
      <c r="AZ554">
        <v>4.37</v>
      </c>
      <c r="BA554">
        <v>4.45</v>
      </c>
      <c r="BB554">
        <v>1.84</v>
      </c>
      <c r="BC554">
        <v>1.54</v>
      </c>
      <c r="BD554">
        <v>1.69</v>
      </c>
      <c r="BE554">
        <v>0.67</v>
      </c>
      <c r="BF554">
        <v>0.37000000000000005</v>
      </c>
      <c r="BG554">
        <v>0.52</v>
      </c>
      <c r="BH554">
        <v>486.87</v>
      </c>
      <c r="BI554">
        <v>470.87</v>
      </c>
      <c r="BJ554">
        <v>478.87</v>
      </c>
      <c r="BK554">
        <v>40.78</v>
      </c>
      <c r="BL554">
        <v>39.42</v>
      </c>
      <c r="BM554">
        <v>40.1</v>
      </c>
      <c r="BN554">
        <v>1.01</v>
      </c>
      <c r="BO554">
        <v>0.77</v>
      </c>
      <c r="BP554">
        <v>0.89</v>
      </c>
      <c r="BQ554">
        <v>8.64</v>
      </c>
      <c r="BR554">
        <v>6.6400000000000006</v>
      </c>
      <c r="BS554">
        <v>7.6400000000000006</v>
      </c>
      <c r="BT554">
        <v>10.88</v>
      </c>
      <c r="BU554">
        <v>10.48</v>
      </c>
      <c r="BV554">
        <v>10.68</v>
      </c>
      <c r="BW554">
        <v>2.7</v>
      </c>
      <c r="BX554">
        <v>2.42</v>
      </c>
      <c r="BY554">
        <v>2.56</v>
      </c>
      <c r="BZ554">
        <v>9.68</v>
      </c>
      <c r="CA554">
        <v>6.68</v>
      </c>
      <c r="CB554">
        <v>8.18</v>
      </c>
      <c r="CC554">
        <v>6.93</v>
      </c>
      <c r="CD554">
        <v>6.6899999999999995</v>
      </c>
      <c r="CE554">
        <v>6.81</v>
      </c>
      <c r="CF554">
        <v>2.11</v>
      </c>
      <c r="CG554">
        <v>1.6099999999999999</v>
      </c>
      <c r="CH554">
        <v>1.8599999999999999</v>
      </c>
      <c r="CI554">
        <v>0.44</v>
      </c>
      <c r="CJ554">
        <v>0.4</v>
      </c>
      <c r="CK554">
        <v>0.42000000000000004</v>
      </c>
      <c r="CL554">
        <v>40.76</v>
      </c>
      <c r="CM554">
        <v>38.36</v>
      </c>
      <c r="CN554">
        <v>39.56</v>
      </c>
      <c r="CO554">
        <v>6.18</v>
      </c>
      <c r="CP554">
        <v>1.1799999999999997</v>
      </c>
      <c r="CQ554">
        <v>3.6799999999999997</v>
      </c>
    </row>
    <row r="555" spans="1:95">
      <c r="A555" s="424">
        <v>45833</v>
      </c>
      <c r="B555" t="s">
        <v>249</v>
      </c>
      <c r="C555">
        <v>146.06</v>
      </c>
      <c r="D555">
        <v>144.06</v>
      </c>
      <c r="E555">
        <v>145.06</v>
      </c>
      <c r="F555">
        <v>170.13</v>
      </c>
      <c r="G555">
        <v>167.13</v>
      </c>
      <c r="H555">
        <v>168.63</v>
      </c>
      <c r="I555">
        <v>107.31</v>
      </c>
      <c r="J555">
        <v>104.11</v>
      </c>
      <c r="K555">
        <v>105.71000000000001</v>
      </c>
      <c r="L555">
        <v>201.53</v>
      </c>
      <c r="M555">
        <v>193.53</v>
      </c>
      <c r="N555">
        <v>197.53</v>
      </c>
      <c r="O555">
        <v>181.19</v>
      </c>
      <c r="P555">
        <v>179.39</v>
      </c>
      <c r="Q555">
        <v>180.29</v>
      </c>
      <c r="R555">
        <v>22.9</v>
      </c>
      <c r="S555">
        <v>22.299999999999997</v>
      </c>
      <c r="T555">
        <v>22.599999999999998</v>
      </c>
      <c r="U555">
        <v>14.66</v>
      </c>
      <c r="V555">
        <v>14.06</v>
      </c>
      <c r="W555">
        <v>14.36</v>
      </c>
      <c r="X555">
        <v>15.66</v>
      </c>
      <c r="Y555">
        <v>14.86</v>
      </c>
      <c r="Z555">
        <v>15.26</v>
      </c>
      <c r="AA555">
        <v>96.26</v>
      </c>
      <c r="AB555">
        <v>92.26</v>
      </c>
      <c r="AC555">
        <v>94.26</v>
      </c>
      <c r="AD555">
        <v>89.3</v>
      </c>
      <c r="AE555">
        <v>85.3</v>
      </c>
      <c r="AF555">
        <v>87.3</v>
      </c>
      <c r="AG555">
        <v>18.91</v>
      </c>
      <c r="AH555">
        <v>18.05</v>
      </c>
      <c r="AI555">
        <v>18.48</v>
      </c>
      <c r="AM555">
        <v>114.23</v>
      </c>
      <c r="AN555">
        <v>112.57000000000001</v>
      </c>
      <c r="AO555">
        <v>113.4</v>
      </c>
      <c r="AP555">
        <v>39.56</v>
      </c>
      <c r="AQ555">
        <v>37.96</v>
      </c>
      <c r="AR555">
        <v>38.760000000000005</v>
      </c>
      <c r="AS555">
        <v>40.25</v>
      </c>
      <c r="AT555">
        <v>38.89</v>
      </c>
      <c r="AU555">
        <v>39.57</v>
      </c>
      <c r="AV555">
        <v>20.55</v>
      </c>
      <c r="AW555">
        <v>19.95</v>
      </c>
      <c r="AX555">
        <v>20.25</v>
      </c>
      <c r="AY555">
        <v>4.53</v>
      </c>
      <c r="AZ555">
        <v>4.37</v>
      </c>
      <c r="BA555">
        <v>4.45</v>
      </c>
      <c r="BB555">
        <v>1.85</v>
      </c>
      <c r="BC555">
        <v>1.55</v>
      </c>
      <c r="BD555">
        <v>1.7000000000000002</v>
      </c>
      <c r="BE555">
        <v>0.67</v>
      </c>
      <c r="BF555">
        <v>0.37000000000000005</v>
      </c>
      <c r="BG555">
        <v>0.52</v>
      </c>
      <c r="BH555">
        <v>485.01</v>
      </c>
      <c r="BI555">
        <v>469.01</v>
      </c>
      <c r="BJ555">
        <v>477.01</v>
      </c>
      <c r="BK555">
        <v>40.619999999999997</v>
      </c>
      <c r="BL555">
        <v>39.26</v>
      </c>
      <c r="BM555">
        <v>39.94</v>
      </c>
      <c r="BN555">
        <v>1.01</v>
      </c>
      <c r="BO555">
        <v>0.77</v>
      </c>
      <c r="BP555">
        <v>0.89</v>
      </c>
      <c r="BQ555">
        <v>8.64</v>
      </c>
      <c r="BR555">
        <v>6.6400000000000006</v>
      </c>
      <c r="BS555">
        <v>7.6400000000000006</v>
      </c>
      <c r="BT555">
        <v>10.89</v>
      </c>
      <c r="BU555">
        <v>10.49</v>
      </c>
      <c r="BV555">
        <v>10.690000000000001</v>
      </c>
      <c r="BW555">
        <v>2.7</v>
      </c>
      <c r="BX555">
        <v>2.42</v>
      </c>
      <c r="BY555">
        <v>2.56</v>
      </c>
      <c r="BZ555">
        <v>9.67</v>
      </c>
      <c r="CA555">
        <v>6.67</v>
      </c>
      <c r="CB555">
        <v>8.17</v>
      </c>
      <c r="CC555">
        <v>6.92</v>
      </c>
      <c r="CD555">
        <v>6.68</v>
      </c>
      <c r="CE555">
        <v>6.8</v>
      </c>
      <c r="CF555">
        <v>2.11</v>
      </c>
      <c r="CG555">
        <v>1.6099999999999999</v>
      </c>
      <c r="CH555">
        <v>1.8599999999999999</v>
      </c>
      <c r="CI555">
        <v>0.44</v>
      </c>
      <c r="CJ555">
        <v>0.4</v>
      </c>
      <c r="CK555">
        <v>0.42000000000000004</v>
      </c>
      <c r="CL555">
        <v>40.880000000000003</v>
      </c>
      <c r="CM555">
        <v>38.480000000000004</v>
      </c>
      <c r="CN555">
        <v>39.680000000000007</v>
      </c>
      <c r="CO555">
        <v>6.17</v>
      </c>
      <c r="CP555">
        <v>1.17</v>
      </c>
      <c r="CQ555">
        <v>3.67</v>
      </c>
    </row>
    <row r="556" spans="1:95">
      <c r="A556" s="424">
        <v>45834</v>
      </c>
      <c r="B556" t="s">
        <v>250</v>
      </c>
      <c r="C556">
        <v>145.80000000000001</v>
      </c>
      <c r="D556">
        <v>143.80000000000001</v>
      </c>
      <c r="E556">
        <v>144.80000000000001</v>
      </c>
      <c r="F556">
        <v>170.57</v>
      </c>
      <c r="G556">
        <v>167.57</v>
      </c>
      <c r="H556">
        <v>169.07</v>
      </c>
      <c r="I556">
        <v>107.16</v>
      </c>
      <c r="J556">
        <v>103.96</v>
      </c>
      <c r="K556">
        <v>105.56</v>
      </c>
      <c r="L556">
        <v>202.16</v>
      </c>
      <c r="M556">
        <v>194.16</v>
      </c>
      <c r="N556">
        <v>198.16</v>
      </c>
      <c r="O556">
        <v>181.02</v>
      </c>
      <c r="P556">
        <v>179.22</v>
      </c>
      <c r="Q556">
        <v>180.12</v>
      </c>
      <c r="R556">
        <v>22.96</v>
      </c>
      <c r="S556">
        <v>22.36</v>
      </c>
      <c r="T556">
        <v>22.66</v>
      </c>
      <c r="U556">
        <v>14.61</v>
      </c>
      <c r="V556">
        <v>14.01</v>
      </c>
      <c r="W556">
        <v>14.309999999999999</v>
      </c>
      <c r="X556">
        <v>15.71</v>
      </c>
      <c r="Y556">
        <v>14.91</v>
      </c>
      <c r="Z556">
        <v>15.31</v>
      </c>
      <c r="AA556">
        <v>96.4</v>
      </c>
      <c r="AB556">
        <v>92.4</v>
      </c>
      <c r="AC556">
        <v>94.4</v>
      </c>
      <c r="AD556">
        <v>89.6</v>
      </c>
      <c r="AE556">
        <v>85.6</v>
      </c>
      <c r="AF556">
        <v>87.6</v>
      </c>
      <c r="AG556">
        <v>18.87</v>
      </c>
      <c r="AH556">
        <v>18.010000000000002</v>
      </c>
      <c r="AI556">
        <v>18.440000000000001</v>
      </c>
      <c r="AM556">
        <v>114.26</v>
      </c>
      <c r="AN556">
        <v>112.60000000000001</v>
      </c>
      <c r="AO556">
        <v>113.43</v>
      </c>
      <c r="AP556">
        <v>39.51</v>
      </c>
      <c r="AQ556">
        <v>37.909999999999997</v>
      </c>
      <c r="AR556">
        <v>38.709999999999994</v>
      </c>
      <c r="AS556">
        <v>40.18</v>
      </c>
      <c r="AT556">
        <v>38.82</v>
      </c>
      <c r="AU556">
        <v>39.5</v>
      </c>
      <c r="AV556">
        <v>20.49</v>
      </c>
      <c r="AW556">
        <v>19.889999999999997</v>
      </c>
      <c r="AX556">
        <v>20.189999999999998</v>
      </c>
      <c r="AY556">
        <v>4.53</v>
      </c>
      <c r="AZ556">
        <v>4.37</v>
      </c>
      <c r="BA556">
        <v>4.45</v>
      </c>
      <c r="BB556">
        <v>1.85</v>
      </c>
      <c r="BC556">
        <v>1.55</v>
      </c>
      <c r="BD556">
        <v>1.7000000000000002</v>
      </c>
      <c r="BE556">
        <v>0.67</v>
      </c>
      <c r="BF556">
        <v>0.37000000000000005</v>
      </c>
      <c r="BG556">
        <v>0.52</v>
      </c>
      <c r="BH556">
        <v>484.47</v>
      </c>
      <c r="BI556">
        <v>468.47</v>
      </c>
      <c r="BJ556">
        <v>476.47</v>
      </c>
      <c r="BK556">
        <v>40.53</v>
      </c>
      <c r="BL556">
        <v>39.17</v>
      </c>
      <c r="BM556">
        <v>39.85</v>
      </c>
      <c r="BN556">
        <v>1.01</v>
      </c>
      <c r="BO556">
        <v>0.77</v>
      </c>
      <c r="BP556">
        <v>0.89</v>
      </c>
      <c r="BQ556">
        <v>8.66</v>
      </c>
      <c r="BR556">
        <v>6.66</v>
      </c>
      <c r="BS556">
        <v>7.66</v>
      </c>
      <c r="BT556">
        <v>10.87</v>
      </c>
      <c r="BU556">
        <v>10.469999999999999</v>
      </c>
      <c r="BV556">
        <v>10.669999999999998</v>
      </c>
      <c r="BW556">
        <v>2.72</v>
      </c>
      <c r="BX556">
        <v>2.4400000000000004</v>
      </c>
      <c r="BY556">
        <v>2.58</v>
      </c>
      <c r="BZ556">
        <v>9.68</v>
      </c>
      <c r="CA556">
        <v>6.68</v>
      </c>
      <c r="CB556">
        <v>8.18</v>
      </c>
      <c r="CC556">
        <v>6.95</v>
      </c>
      <c r="CD556">
        <v>6.71</v>
      </c>
      <c r="CE556">
        <v>6.83</v>
      </c>
      <c r="CF556">
        <v>2.1</v>
      </c>
      <c r="CG556">
        <v>1.6</v>
      </c>
      <c r="CH556">
        <v>1.85</v>
      </c>
      <c r="CI556">
        <v>0.44</v>
      </c>
      <c r="CJ556">
        <v>0.4</v>
      </c>
      <c r="CK556">
        <v>0.42000000000000004</v>
      </c>
      <c r="CL556">
        <v>41.01</v>
      </c>
      <c r="CM556">
        <v>38.61</v>
      </c>
      <c r="CN556">
        <v>39.81</v>
      </c>
      <c r="CO556">
        <v>6.15</v>
      </c>
      <c r="CP556">
        <v>1.1500000000000004</v>
      </c>
      <c r="CQ556">
        <v>3.6500000000000004</v>
      </c>
    </row>
    <row r="557" spans="1:95">
      <c r="A557" s="424">
        <v>45835</v>
      </c>
      <c r="B557" t="s">
        <v>251</v>
      </c>
      <c r="C557">
        <v>145.58000000000001</v>
      </c>
      <c r="D557">
        <v>143.58000000000001</v>
      </c>
      <c r="E557">
        <v>144.58000000000001</v>
      </c>
      <c r="F557">
        <v>170.57</v>
      </c>
      <c r="G557">
        <v>167.57</v>
      </c>
      <c r="H557">
        <v>169.07</v>
      </c>
      <c r="I557">
        <v>107.54</v>
      </c>
      <c r="J557">
        <v>104.34</v>
      </c>
      <c r="K557">
        <v>105.94</v>
      </c>
      <c r="L557">
        <v>202.61</v>
      </c>
      <c r="M557">
        <v>194.61</v>
      </c>
      <c r="N557">
        <v>198.61</v>
      </c>
      <c r="O557">
        <v>181.38</v>
      </c>
      <c r="P557">
        <v>179.57999999999998</v>
      </c>
      <c r="Q557">
        <v>180.48</v>
      </c>
      <c r="R557">
        <v>22.96</v>
      </c>
      <c r="S557">
        <v>22.36</v>
      </c>
      <c r="T557">
        <v>22.66</v>
      </c>
      <c r="U557">
        <v>14.65</v>
      </c>
      <c r="V557">
        <v>14.05</v>
      </c>
      <c r="W557">
        <v>14.350000000000001</v>
      </c>
      <c r="X557">
        <v>15.61</v>
      </c>
      <c r="Y557">
        <v>14.809999999999999</v>
      </c>
      <c r="Z557">
        <v>15.209999999999999</v>
      </c>
      <c r="AA557">
        <v>96.74</v>
      </c>
      <c r="AB557">
        <v>92.74</v>
      </c>
      <c r="AC557">
        <v>94.74</v>
      </c>
      <c r="AD557">
        <v>89.73</v>
      </c>
      <c r="AE557">
        <v>85.73</v>
      </c>
      <c r="AF557">
        <v>87.73</v>
      </c>
      <c r="AG557">
        <v>18.84</v>
      </c>
      <c r="AH557">
        <v>17.98</v>
      </c>
      <c r="AI557">
        <v>18.41</v>
      </c>
      <c r="AM557">
        <v>114.24</v>
      </c>
      <c r="AN557">
        <v>112.58</v>
      </c>
      <c r="AO557">
        <v>113.41</v>
      </c>
      <c r="AP557">
        <v>39.44</v>
      </c>
      <c r="AQ557">
        <v>37.839999999999996</v>
      </c>
      <c r="AR557">
        <v>38.64</v>
      </c>
      <c r="AS557">
        <v>39.979999999999997</v>
      </c>
      <c r="AT557">
        <v>38.619999999999997</v>
      </c>
      <c r="AU557">
        <v>39.299999999999997</v>
      </c>
      <c r="AV557">
        <v>20.47</v>
      </c>
      <c r="AW557">
        <v>19.869999999999997</v>
      </c>
      <c r="AX557">
        <v>20.169999999999998</v>
      </c>
      <c r="AY557">
        <v>4.5199999999999996</v>
      </c>
      <c r="AZ557">
        <v>4.3599999999999994</v>
      </c>
      <c r="BA557">
        <v>4.4399999999999995</v>
      </c>
      <c r="BB557">
        <v>1.85</v>
      </c>
      <c r="BC557">
        <v>1.55</v>
      </c>
      <c r="BD557">
        <v>1.7000000000000002</v>
      </c>
      <c r="BE557">
        <v>0.66</v>
      </c>
      <c r="BF557">
        <v>0.36000000000000004</v>
      </c>
      <c r="BG557">
        <v>0.51</v>
      </c>
      <c r="BH557">
        <v>483.44</v>
      </c>
      <c r="BI557">
        <v>467.44</v>
      </c>
      <c r="BJ557">
        <v>475.44</v>
      </c>
      <c r="BK557">
        <v>40.47</v>
      </c>
      <c r="BL557">
        <v>39.11</v>
      </c>
      <c r="BM557">
        <v>39.79</v>
      </c>
      <c r="BN557">
        <v>1.02</v>
      </c>
      <c r="BO557">
        <v>0.78</v>
      </c>
      <c r="BP557">
        <v>0.9</v>
      </c>
      <c r="BQ557">
        <v>8.67</v>
      </c>
      <c r="BR557">
        <v>6.67</v>
      </c>
      <c r="BS557">
        <v>7.67</v>
      </c>
      <c r="BT557">
        <v>10.88</v>
      </c>
      <c r="BU557">
        <v>10.48</v>
      </c>
      <c r="BV557">
        <v>10.68</v>
      </c>
      <c r="BW557">
        <v>2.72</v>
      </c>
      <c r="BX557">
        <v>2.4400000000000004</v>
      </c>
      <c r="BY557">
        <v>2.58</v>
      </c>
      <c r="BZ557">
        <v>9.59</v>
      </c>
      <c r="CA557">
        <v>6.59</v>
      </c>
      <c r="CB557">
        <v>8.09</v>
      </c>
      <c r="CC557">
        <v>6.96</v>
      </c>
      <c r="CD557">
        <v>6.72</v>
      </c>
      <c r="CE557">
        <v>6.84</v>
      </c>
      <c r="CF557">
        <v>2.09</v>
      </c>
      <c r="CG557">
        <v>1.5899999999999999</v>
      </c>
      <c r="CH557">
        <v>1.8399999999999999</v>
      </c>
      <c r="CI557">
        <v>0.44</v>
      </c>
      <c r="CJ557">
        <v>0.4</v>
      </c>
      <c r="CK557">
        <v>0.42000000000000004</v>
      </c>
      <c r="CL557">
        <v>41.1</v>
      </c>
      <c r="CM557">
        <v>38.700000000000003</v>
      </c>
      <c r="CN557">
        <v>39.900000000000006</v>
      </c>
      <c r="CO557">
        <v>6.15</v>
      </c>
      <c r="CP557">
        <v>1.1500000000000004</v>
      </c>
      <c r="CQ557">
        <v>3.6500000000000004</v>
      </c>
    </row>
    <row r="558" spans="1:95">
      <c r="A558" s="424">
        <v>45836</v>
      </c>
      <c r="B558" t="s">
        <v>252</v>
      </c>
    </row>
    <row r="559" spans="1:95">
      <c r="A559" s="424">
        <v>45837</v>
      </c>
      <c r="B559" t="s">
        <v>253</v>
      </c>
    </row>
    <row r="560" spans="1:95">
      <c r="A560" s="424">
        <v>45838</v>
      </c>
      <c r="B560" t="s">
        <v>247</v>
      </c>
      <c r="C560">
        <v>145.81</v>
      </c>
      <c r="D560">
        <v>143.81</v>
      </c>
      <c r="E560">
        <v>144.81</v>
      </c>
      <c r="F560">
        <v>171.16</v>
      </c>
      <c r="G560">
        <v>168.16</v>
      </c>
      <c r="H560">
        <v>169.66</v>
      </c>
      <c r="I560">
        <v>107.29</v>
      </c>
      <c r="J560">
        <v>104.09</v>
      </c>
      <c r="K560">
        <v>105.69</v>
      </c>
      <c r="L560">
        <v>202.56</v>
      </c>
      <c r="M560">
        <v>194.56</v>
      </c>
      <c r="N560">
        <v>198.56</v>
      </c>
      <c r="O560">
        <v>182.07</v>
      </c>
      <c r="P560">
        <v>180.26999999999998</v>
      </c>
      <c r="Q560">
        <v>181.17</v>
      </c>
      <c r="R560">
        <v>23.04</v>
      </c>
      <c r="S560">
        <v>22.439999999999998</v>
      </c>
      <c r="T560">
        <v>22.74</v>
      </c>
      <c r="U560">
        <v>14.65</v>
      </c>
      <c r="V560">
        <v>14.05</v>
      </c>
      <c r="W560">
        <v>14.350000000000001</v>
      </c>
      <c r="X560">
        <v>15.67</v>
      </c>
      <c r="Y560">
        <v>14.87</v>
      </c>
      <c r="Z560">
        <v>15.27</v>
      </c>
      <c r="AA560">
        <v>96.5</v>
      </c>
      <c r="AB560">
        <v>92.5</v>
      </c>
      <c r="AC560">
        <v>94.5</v>
      </c>
      <c r="AD560">
        <v>89.71</v>
      </c>
      <c r="AE560">
        <v>85.71</v>
      </c>
      <c r="AF560">
        <v>87.71</v>
      </c>
      <c r="AG560">
        <v>18.87</v>
      </c>
      <c r="AH560">
        <v>18.010000000000002</v>
      </c>
      <c r="AI560">
        <v>18.440000000000001</v>
      </c>
      <c r="AM560">
        <v>114.34</v>
      </c>
      <c r="AN560">
        <v>112.68</v>
      </c>
      <c r="AO560">
        <v>113.51</v>
      </c>
      <c r="AP560">
        <v>39.49</v>
      </c>
      <c r="AQ560">
        <v>37.89</v>
      </c>
      <c r="AR560">
        <v>38.69</v>
      </c>
      <c r="AS560">
        <v>40.18</v>
      </c>
      <c r="AT560">
        <v>38.82</v>
      </c>
      <c r="AU560">
        <v>39.5</v>
      </c>
      <c r="AV560">
        <v>20.49</v>
      </c>
      <c r="AW560">
        <v>19.889999999999997</v>
      </c>
      <c r="AX560">
        <v>20.189999999999998</v>
      </c>
      <c r="AY560">
        <v>4.5199999999999996</v>
      </c>
      <c r="AZ560">
        <v>4.3599999999999994</v>
      </c>
      <c r="BA560">
        <v>4.4399999999999995</v>
      </c>
      <c r="BB560">
        <v>1.85</v>
      </c>
      <c r="BC560">
        <v>1.55</v>
      </c>
      <c r="BD560">
        <v>1.7000000000000002</v>
      </c>
      <c r="BE560">
        <v>0.67</v>
      </c>
      <c r="BF560">
        <v>0.37000000000000005</v>
      </c>
      <c r="BG560">
        <v>0.52</v>
      </c>
      <c r="BH560">
        <v>484.51</v>
      </c>
      <c r="BI560">
        <v>468.51</v>
      </c>
      <c r="BJ560">
        <v>476.51</v>
      </c>
      <c r="BK560">
        <v>40.53</v>
      </c>
      <c r="BL560">
        <v>39.17</v>
      </c>
      <c r="BM560">
        <v>39.85</v>
      </c>
      <c r="BN560">
        <v>1.02</v>
      </c>
      <c r="BO560">
        <v>0.78</v>
      </c>
      <c r="BP560">
        <v>0.9</v>
      </c>
      <c r="BQ560">
        <v>8.69</v>
      </c>
      <c r="BR560">
        <v>6.6899999999999995</v>
      </c>
      <c r="BS560">
        <v>7.6899999999999995</v>
      </c>
      <c r="BT560">
        <v>10.87</v>
      </c>
      <c r="BU560">
        <v>10.469999999999999</v>
      </c>
      <c r="BV560">
        <v>10.669999999999998</v>
      </c>
      <c r="BW560">
        <v>2.73</v>
      </c>
      <c r="BX560">
        <v>2.4500000000000002</v>
      </c>
      <c r="BY560">
        <v>2.59</v>
      </c>
      <c r="BZ560">
        <v>9.6300000000000008</v>
      </c>
      <c r="CA560">
        <v>6.6300000000000008</v>
      </c>
      <c r="CB560">
        <v>8.1300000000000008</v>
      </c>
      <c r="CC560">
        <v>6.98</v>
      </c>
      <c r="CD560">
        <v>6.74</v>
      </c>
      <c r="CE560">
        <v>6.86</v>
      </c>
      <c r="CF560">
        <v>2.1</v>
      </c>
      <c r="CG560">
        <v>1.6</v>
      </c>
      <c r="CH560">
        <v>1.85</v>
      </c>
      <c r="CI560">
        <v>0.45</v>
      </c>
      <c r="CJ560">
        <v>0.41000000000000003</v>
      </c>
      <c r="CK560">
        <v>0.43000000000000005</v>
      </c>
      <c r="CL560">
        <v>41.25</v>
      </c>
      <c r="CM560">
        <v>38.85</v>
      </c>
      <c r="CN560">
        <v>40.049999999999997</v>
      </c>
      <c r="CO560">
        <v>6.13</v>
      </c>
      <c r="CP560">
        <v>1.1299999999999999</v>
      </c>
      <c r="CQ560">
        <v>3.63</v>
      </c>
    </row>
    <row r="561" spans="1:35">
      <c r="A561" s="424">
        <v>45839</v>
      </c>
      <c r="B561" t="s">
        <v>248</v>
      </c>
      <c r="C561">
        <v>144.69</v>
      </c>
      <c r="D561">
        <v>142.69</v>
      </c>
      <c r="E561">
        <v>143.69</v>
      </c>
      <c r="F561">
        <v>170.97</v>
      </c>
      <c r="G561">
        <v>167.97</v>
      </c>
      <c r="H561">
        <v>169.47</v>
      </c>
      <c r="I561">
        <v>107.2</v>
      </c>
      <c r="J561">
        <v>104</v>
      </c>
      <c r="K561">
        <v>105.6</v>
      </c>
      <c r="L561">
        <v>201.43</v>
      </c>
      <c r="M561">
        <v>193.43</v>
      </c>
      <c r="N561">
        <v>197.43</v>
      </c>
      <c r="O561">
        <v>182.3</v>
      </c>
      <c r="P561">
        <v>180.5</v>
      </c>
      <c r="Q561">
        <v>181.4</v>
      </c>
      <c r="R561">
        <v>23.02</v>
      </c>
      <c r="S561">
        <v>22.419999999999998</v>
      </c>
      <c r="T561">
        <v>22.72</v>
      </c>
      <c r="U561">
        <v>14.56</v>
      </c>
      <c r="V561">
        <v>13.96</v>
      </c>
      <c r="W561">
        <v>14.260000000000002</v>
      </c>
      <c r="X561">
        <v>15.59</v>
      </c>
      <c r="Y561">
        <v>14.79</v>
      </c>
      <c r="Z561">
        <v>15.19</v>
      </c>
      <c r="AA561">
        <v>96.5</v>
      </c>
      <c r="AB561">
        <v>92.5</v>
      </c>
      <c r="AC561">
        <v>94.5</v>
      </c>
      <c r="AD561">
        <v>89.56</v>
      </c>
      <c r="AE561">
        <v>85.56</v>
      </c>
      <c r="AF561">
        <v>87.56</v>
      </c>
      <c r="AG561">
        <v>18.73</v>
      </c>
      <c r="AH561">
        <v>17.87</v>
      </c>
      <c r="AI561">
        <v>18.3</v>
      </c>
    </row>
    <row r="562" spans="1:35">
      <c r="A562" s="424">
        <v>45840</v>
      </c>
      <c r="B562" t="s">
        <v>249</v>
      </c>
      <c r="C562">
        <v>144.69999999999999</v>
      </c>
      <c r="D562">
        <v>142.69999999999999</v>
      </c>
      <c r="E562">
        <v>143.69999999999999</v>
      </c>
      <c r="F562">
        <v>171.08</v>
      </c>
      <c r="G562">
        <v>168.08</v>
      </c>
      <c r="H562">
        <v>169.58</v>
      </c>
      <c r="I562">
        <v>106.94</v>
      </c>
      <c r="J562">
        <v>103.74</v>
      </c>
      <c r="K562">
        <v>105.34</v>
      </c>
      <c r="L562">
        <v>201.53</v>
      </c>
      <c r="M562">
        <v>193.53</v>
      </c>
      <c r="N562">
        <v>197.53</v>
      </c>
      <c r="O562">
        <v>182.55</v>
      </c>
      <c r="P562">
        <v>180.75</v>
      </c>
      <c r="Q562">
        <v>181.65</v>
      </c>
      <c r="R562">
        <v>23.03</v>
      </c>
      <c r="S562">
        <v>22.43</v>
      </c>
      <c r="T562">
        <v>22.73</v>
      </c>
      <c r="U562">
        <v>14.57</v>
      </c>
      <c r="V562">
        <v>13.97</v>
      </c>
      <c r="W562">
        <v>14.27</v>
      </c>
      <c r="X562">
        <v>15.55</v>
      </c>
      <c r="Y562">
        <v>14.75</v>
      </c>
      <c r="Z562">
        <v>15.15</v>
      </c>
      <c r="AA562">
        <v>96.57</v>
      </c>
      <c r="AB562">
        <v>92.57</v>
      </c>
      <c r="AC562">
        <v>94.57</v>
      </c>
      <c r="AD562">
        <v>89.71</v>
      </c>
      <c r="AE562">
        <v>85.71</v>
      </c>
      <c r="AF562">
        <v>87.71</v>
      </c>
      <c r="AG562">
        <v>18.73</v>
      </c>
      <c r="AH562">
        <v>17.87</v>
      </c>
      <c r="AI562">
        <v>18.3</v>
      </c>
    </row>
    <row r="563" spans="1:35">
      <c r="A563" s="424">
        <v>45841</v>
      </c>
      <c r="B563" t="s">
        <v>250</v>
      </c>
      <c r="C563">
        <v>144.63999999999999</v>
      </c>
      <c r="D563">
        <v>142.63999999999999</v>
      </c>
      <c r="E563">
        <v>143.63999999999999</v>
      </c>
      <c r="F563">
        <v>171.07</v>
      </c>
      <c r="G563">
        <v>168.07</v>
      </c>
      <c r="H563">
        <v>169.57</v>
      </c>
      <c r="I563">
        <v>107.36</v>
      </c>
      <c r="J563">
        <v>104.16</v>
      </c>
      <c r="K563">
        <v>105.75999999999999</v>
      </c>
      <c r="L563">
        <v>200.1</v>
      </c>
      <c r="M563">
        <v>192.1</v>
      </c>
      <c r="N563">
        <v>196.1</v>
      </c>
      <c r="O563">
        <v>182.38</v>
      </c>
      <c r="P563">
        <v>180.57999999999998</v>
      </c>
      <c r="Q563">
        <v>181.48</v>
      </c>
      <c r="R563">
        <v>23.03</v>
      </c>
      <c r="S563">
        <v>22.43</v>
      </c>
      <c r="T563">
        <v>22.73</v>
      </c>
      <c r="U563">
        <v>14.59</v>
      </c>
      <c r="V563">
        <v>13.99</v>
      </c>
      <c r="W563">
        <v>14.29</v>
      </c>
      <c r="X563">
        <v>15.51</v>
      </c>
      <c r="Y563">
        <v>14.709999999999999</v>
      </c>
      <c r="Z563">
        <v>15.11</v>
      </c>
      <c r="AA563">
        <v>96.54</v>
      </c>
      <c r="AB563">
        <v>92.54</v>
      </c>
      <c r="AC563">
        <v>94.54</v>
      </c>
      <c r="AD563">
        <v>89.46</v>
      </c>
      <c r="AE563">
        <v>85.46</v>
      </c>
      <c r="AF563">
        <v>87.46</v>
      </c>
      <c r="AG563">
        <v>18.72</v>
      </c>
      <c r="AH563">
        <v>17.86</v>
      </c>
      <c r="AI563">
        <v>18.29</v>
      </c>
    </row>
    <row r="564" spans="1:35">
      <c r="A564" s="424">
        <v>45842</v>
      </c>
      <c r="B564" t="s">
        <v>251</v>
      </c>
      <c r="C564">
        <v>145.63</v>
      </c>
      <c r="D564">
        <v>143.63</v>
      </c>
      <c r="E564">
        <v>144.63</v>
      </c>
      <c r="F564">
        <v>171.61</v>
      </c>
      <c r="G564">
        <v>168.61</v>
      </c>
      <c r="H564">
        <v>170.11</v>
      </c>
      <c r="I564">
        <v>108.14</v>
      </c>
      <c r="J564">
        <v>104.94</v>
      </c>
      <c r="K564">
        <v>106.53999999999999</v>
      </c>
      <c r="L564">
        <v>201.52</v>
      </c>
      <c r="M564">
        <v>193.52</v>
      </c>
      <c r="N564">
        <v>197.52</v>
      </c>
      <c r="O564">
        <v>182.87</v>
      </c>
      <c r="P564">
        <v>181.07</v>
      </c>
      <c r="Q564">
        <v>181.97</v>
      </c>
      <c r="R564">
        <v>23.1</v>
      </c>
      <c r="S564">
        <v>22.5</v>
      </c>
      <c r="T564">
        <v>22.8</v>
      </c>
      <c r="U564">
        <v>14.69</v>
      </c>
      <c r="V564">
        <v>14.09</v>
      </c>
      <c r="W564">
        <v>14.39</v>
      </c>
      <c r="X564">
        <v>15.51</v>
      </c>
      <c r="Y564">
        <v>14.709999999999999</v>
      </c>
      <c r="Z564">
        <v>15.11</v>
      </c>
      <c r="AA564">
        <v>97.02</v>
      </c>
      <c r="AB564">
        <v>93.02</v>
      </c>
      <c r="AC564">
        <v>95.02</v>
      </c>
      <c r="AD564">
        <v>89.91</v>
      </c>
      <c r="AE564">
        <v>85.91</v>
      </c>
      <c r="AF564">
        <v>87.91</v>
      </c>
      <c r="AG564">
        <v>18.850000000000001</v>
      </c>
      <c r="AH564">
        <v>17.990000000000002</v>
      </c>
      <c r="AI564">
        <v>18.420000000000002</v>
      </c>
    </row>
    <row r="565" spans="1:35">
      <c r="A565" s="424">
        <v>45843</v>
      </c>
      <c r="B565" t="s">
        <v>252</v>
      </c>
    </row>
    <row r="566" spans="1:35">
      <c r="A566" s="424">
        <v>45844</v>
      </c>
      <c r="B566" t="s">
        <v>253</v>
      </c>
    </row>
    <row r="567" spans="1:35">
      <c r="A567" s="424">
        <v>45845</v>
      </c>
      <c r="B567" t="s">
        <v>247</v>
      </c>
      <c r="C567">
        <v>145.41</v>
      </c>
      <c r="D567">
        <v>143.41</v>
      </c>
      <c r="E567">
        <v>144.41</v>
      </c>
      <c r="F567">
        <v>171.61</v>
      </c>
      <c r="G567">
        <v>168.61</v>
      </c>
      <c r="H567">
        <v>170.11</v>
      </c>
      <c r="I567">
        <v>107.71</v>
      </c>
      <c r="J567">
        <v>104.50999999999999</v>
      </c>
      <c r="K567">
        <v>106.10999999999999</v>
      </c>
      <c r="L567">
        <v>201.06</v>
      </c>
      <c r="M567">
        <v>193.06</v>
      </c>
      <c r="N567">
        <v>197.06</v>
      </c>
      <c r="O567">
        <v>182.78</v>
      </c>
      <c r="P567">
        <v>180.98</v>
      </c>
      <c r="Q567">
        <v>181.88</v>
      </c>
      <c r="R567">
        <v>23.1</v>
      </c>
      <c r="S567">
        <v>22.5</v>
      </c>
      <c r="T567">
        <v>22.8</v>
      </c>
      <c r="U567">
        <v>14.63</v>
      </c>
      <c r="V567">
        <v>14.030000000000001</v>
      </c>
      <c r="W567">
        <v>14.330000000000002</v>
      </c>
      <c r="X567">
        <v>15.51</v>
      </c>
      <c r="Y567">
        <v>14.709999999999999</v>
      </c>
      <c r="Z567">
        <v>15.11</v>
      </c>
      <c r="AA567">
        <v>96.43</v>
      </c>
      <c r="AB567">
        <v>92.43</v>
      </c>
      <c r="AC567">
        <v>94.43</v>
      </c>
      <c r="AD567">
        <v>89.22</v>
      </c>
      <c r="AE567">
        <v>85.22</v>
      </c>
      <c r="AF567">
        <v>87.22</v>
      </c>
      <c r="AG567">
        <v>18.82</v>
      </c>
      <c r="AH567">
        <v>17.96</v>
      </c>
      <c r="AI567">
        <v>18.39</v>
      </c>
    </row>
    <row r="568" spans="1:35">
      <c r="A568" s="424">
        <v>45846</v>
      </c>
      <c r="B568" t="s">
        <v>248</v>
      </c>
      <c r="C568">
        <v>147.09</v>
      </c>
      <c r="D568">
        <v>145.09</v>
      </c>
      <c r="E568">
        <v>146.09</v>
      </c>
      <c r="F568">
        <v>173.02</v>
      </c>
      <c r="G568">
        <v>170.02</v>
      </c>
      <c r="H568">
        <v>171.52</v>
      </c>
      <c r="I568">
        <v>108.59</v>
      </c>
      <c r="J568">
        <v>105.39</v>
      </c>
      <c r="K568">
        <v>106.99000000000001</v>
      </c>
      <c r="L568">
        <v>203.12</v>
      </c>
      <c r="M568">
        <v>195.12</v>
      </c>
      <c r="N568">
        <v>199.12</v>
      </c>
      <c r="O568">
        <v>184.22</v>
      </c>
      <c r="P568">
        <v>182.42</v>
      </c>
      <c r="Q568">
        <v>183.32</v>
      </c>
      <c r="R568">
        <v>23.29</v>
      </c>
      <c r="S568">
        <v>22.689999999999998</v>
      </c>
      <c r="T568">
        <v>22.99</v>
      </c>
      <c r="U568">
        <v>14.76</v>
      </c>
      <c r="V568">
        <v>14.16</v>
      </c>
      <c r="W568">
        <v>14.46</v>
      </c>
      <c r="X568">
        <v>15.76</v>
      </c>
      <c r="Y568">
        <v>14.959999999999999</v>
      </c>
      <c r="Z568">
        <v>15.36</v>
      </c>
      <c r="AA568">
        <v>97.19</v>
      </c>
      <c r="AB568">
        <v>93.19</v>
      </c>
      <c r="AC568">
        <v>95.19</v>
      </c>
      <c r="AD568">
        <v>89.81</v>
      </c>
      <c r="AE568">
        <v>85.81</v>
      </c>
      <c r="AF568">
        <v>87.81</v>
      </c>
      <c r="AG568">
        <v>19.04</v>
      </c>
      <c r="AH568">
        <v>18.18</v>
      </c>
      <c r="AI568">
        <v>18.61</v>
      </c>
    </row>
    <row r="569" spans="1:35">
      <c r="A569" s="424">
        <v>45847</v>
      </c>
      <c r="B569" t="s">
        <v>249</v>
      </c>
      <c r="C569">
        <v>147.88999999999999</v>
      </c>
      <c r="D569">
        <v>145.88999999999999</v>
      </c>
      <c r="E569">
        <v>146.88999999999999</v>
      </c>
      <c r="F569">
        <v>173.71</v>
      </c>
      <c r="G569">
        <v>170.71</v>
      </c>
      <c r="H569">
        <v>172.21</v>
      </c>
      <c r="I569">
        <v>109.01</v>
      </c>
      <c r="J569">
        <v>105.81</v>
      </c>
      <c r="K569">
        <v>107.41</v>
      </c>
      <c r="L569">
        <v>203.56</v>
      </c>
      <c r="M569">
        <v>195.56</v>
      </c>
      <c r="N569">
        <v>199.56</v>
      </c>
      <c r="O569">
        <v>185.37</v>
      </c>
      <c r="P569">
        <v>183.57</v>
      </c>
      <c r="Q569">
        <v>184.47</v>
      </c>
      <c r="R569">
        <v>23.38</v>
      </c>
      <c r="S569">
        <v>22.779999999999998</v>
      </c>
      <c r="T569">
        <v>23.08</v>
      </c>
      <c r="U569">
        <v>14.86</v>
      </c>
      <c r="V569">
        <v>14.26</v>
      </c>
      <c r="W569">
        <v>14.559999999999999</v>
      </c>
      <c r="X569">
        <v>15.83</v>
      </c>
      <c r="Y569">
        <v>15.03</v>
      </c>
      <c r="Z569">
        <v>15.43</v>
      </c>
      <c r="AA569">
        <v>97.88</v>
      </c>
      <c r="AB569">
        <v>93.88</v>
      </c>
      <c r="AC569">
        <v>95.88</v>
      </c>
      <c r="AD569">
        <v>90.02</v>
      </c>
      <c r="AE569">
        <v>86.02</v>
      </c>
      <c r="AF569">
        <v>88.02</v>
      </c>
      <c r="AG569">
        <v>19.14</v>
      </c>
      <c r="AH569">
        <v>18.28</v>
      </c>
      <c r="AI569">
        <v>18.71</v>
      </c>
    </row>
    <row r="570" spans="1:35">
      <c r="A570" s="424">
        <v>45848</v>
      </c>
      <c r="B570" t="s">
        <v>250</v>
      </c>
      <c r="C570">
        <v>146.88999999999999</v>
      </c>
      <c r="D570">
        <v>144.88999999999999</v>
      </c>
      <c r="E570">
        <v>145.88999999999999</v>
      </c>
      <c r="F570">
        <v>172.73</v>
      </c>
      <c r="G570">
        <v>169.73</v>
      </c>
      <c r="H570">
        <v>171.23</v>
      </c>
      <c r="I570">
        <v>108.27</v>
      </c>
      <c r="J570">
        <v>105.07</v>
      </c>
      <c r="K570">
        <v>106.66999999999999</v>
      </c>
      <c r="L570">
        <v>202.54</v>
      </c>
      <c r="M570">
        <v>194.54</v>
      </c>
      <c r="N570">
        <v>198.54</v>
      </c>
      <c r="O570">
        <v>184.94</v>
      </c>
      <c r="P570">
        <v>183.14</v>
      </c>
      <c r="Q570">
        <v>184.04</v>
      </c>
      <c r="R570">
        <v>23.25</v>
      </c>
      <c r="S570">
        <v>22.65</v>
      </c>
      <c r="T570">
        <v>22.95</v>
      </c>
      <c r="U570">
        <v>14.76</v>
      </c>
      <c r="V570">
        <v>14.16</v>
      </c>
      <c r="W570">
        <v>14.46</v>
      </c>
      <c r="X570">
        <v>15.75</v>
      </c>
      <c r="Y570">
        <v>14.95</v>
      </c>
      <c r="Z570">
        <v>15.35</v>
      </c>
      <c r="AA570">
        <v>97.53</v>
      </c>
      <c r="AB570">
        <v>93.53</v>
      </c>
      <c r="AC570">
        <v>95.53</v>
      </c>
      <c r="AD570">
        <v>89.65</v>
      </c>
      <c r="AE570">
        <v>85.65</v>
      </c>
      <c r="AF570">
        <v>87.65</v>
      </c>
      <c r="AG570">
        <v>19.010000000000002</v>
      </c>
      <c r="AH570">
        <v>18.150000000000002</v>
      </c>
      <c r="AI570">
        <v>18.580000000000002</v>
      </c>
    </row>
    <row r="571" spans="1:35">
      <c r="A571" s="424">
        <v>45849</v>
      </c>
      <c r="B571" t="s">
        <v>251</v>
      </c>
      <c r="C571">
        <v>147.66</v>
      </c>
      <c r="D571">
        <v>145.66</v>
      </c>
      <c r="E571">
        <v>146.66</v>
      </c>
      <c r="F571">
        <v>172.56</v>
      </c>
      <c r="G571">
        <v>169.56</v>
      </c>
      <c r="H571">
        <v>171.06</v>
      </c>
      <c r="I571">
        <v>108.52</v>
      </c>
      <c r="J571">
        <v>105.32</v>
      </c>
      <c r="K571">
        <v>106.91999999999999</v>
      </c>
      <c r="L571">
        <v>202.74</v>
      </c>
      <c r="M571">
        <v>194.74</v>
      </c>
      <c r="N571">
        <v>198.74</v>
      </c>
      <c r="O571">
        <v>184.68</v>
      </c>
      <c r="P571">
        <v>182.88</v>
      </c>
      <c r="Q571">
        <v>183.78</v>
      </c>
      <c r="R571">
        <v>23.23</v>
      </c>
      <c r="S571">
        <v>22.63</v>
      </c>
      <c r="T571">
        <v>22.93</v>
      </c>
      <c r="U571">
        <v>14.81</v>
      </c>
      <c r="V571">
        <v>14.21</v>
      </c>
      <c r="W571">
        <v>14.510000000000002</v>
      </c>
      <c r="X571">
        <v>15.79</v>
      </c>
      <c r="Y571">
        <v>14.989999999999998</v>
      </c>
      <c r="Z571">
        <v>15.389999999999999</v>
      </c>
      <c r="AA571">
        <v>98.19</v>
      </c>
      <c r="AB571">
        <v>94.19</v>
      </c>
      <c r="AC571">
        <v>96.19</v>
      </c>
      <c r="AD571">
        <v>90.14</v>
      </c>
      <c r="AE571">
        <v>86.14</v>
      </c>
      <c r="AF571">
        <v>88.14</v>
      </c>
      <c r="AG571">
        <v>19.11</v>
      </c>
      <c r="AH571">
        <v>18.25</v>
      </c>
      <c r="AI571">
        <v>18.68</v>
      </c>
    </row>
    <row r="572" spans="1:35">
      <c r="A572" s="424">
        <v>45850</v>
      </c>
      <c r="B572" t="s">
        <v>252</v>
      </c>
    </row>
    <row r="573" spans="1:35">
      <c r="A573" s="424">
        <v>45851</v>
      </c>
      <c r="B573" t="s">
        <v>253</v>
      </c>
    </row>
    <row r="574" spans="1:35">
      <c r="A574" s="424">
        <v>45852</v>
      </c>
      <c r="B574" t="s">
        <v>247</v>
      </c>
      <c r="C574">
        <v>148.02000000000001</v>
      </c>
      <c r="D574">
        <v>146.02000000000001</v>
      </c>
      <c r="E574">
        <v>147.02000000000001</v>
      </c>
      <c r="F574">
        <v>173.35</v>
      </c>
      <c r="G574">
        <v>170.35</v>
      </c>
      <c r="H574">
        <v>171.85</v>
      </c>
      <c r="I574">
        <v>109.04</v>
      </c>
      <c r="J574">
        <v>105.84</v>
      </c>
      <c r="K574">
        <v>107.44</v>
      </c>
      <c r="L574">
        <v>202.48</v>
      </c>
      <c r="M574">
        <v>194.48</v>
      </c>
      <c r="N574">
        <v>198.48</v>
      </c>
      <c r="O574">
        <v>185.55</v>
      </c>
      <c r="P574">
        <v>183.75</v>
      </c>
      <c r="Q574">
        <v>184.65</v>
      </c>
      <c r="R574">
        <v>23.33</v>
      </c>
      <c r="S574">
        <v>22.729999999999997</v>
      </c>
      <c r="T574">
        <v>23.029999999999998</v>
      </c>
      <c r="U574">
        <v>14.8</v>
      </c>
      <c r="V574">
        <v>14.200000000000001</v>
      </c>
      <c r="W574">
        <v>14.5</v>
      </c>
      <c r="X574">
        <v>15.77</v>
      </c>
      <c r="Y574">
        <v>14.969999999999999</v>
      </c>
      <c r="Z574">
        <v>15.37</v>
      </c>
      <c r="AA574">
        <v>98.78</v>
      </c>
      <c r="AB574">
        <v>94.78</v>
      </c>
      <c r="AC574">
        <v>96.78</v>
      </c>
      <c r="AD574">
        <v>90.3</v>
      </c>
      <c r="AE574">
        <v>86.3</v>
      </c>
      <c r="AF574">
        <v>88.3</v>
      </c>
      <c r="AG574">
        <v>19.16</v>
      </c>
      <c r="AH574">
        <v>18.3</v>
      </c>
      <c r="AI574">
        <v>18.73</v>
      </c>
    </row>
    <row r="575" spans="1:35">
      <c r="A575" s="424">
        <v>45853</v>
      </c>
      <c r="B575" t="s">
        <v>248</v>
      </c>
      <c r="C575">
        <v>148.69</v>
      </c>
      <c r="D575">
        <v>146.69</v>
      </c>
      <c r="E575">
        <v>147.69</v>
      </c>
      <c r="F575">
        <v>173.84</v>
      </c>
      <c r="G575">
        <v>170.84</v>
      </c>
      <c r="H575">
        <v>172.34</v>
      </c>
      <c r="I575">
        <v>109.4</v>
      </c>
      <c r="J575">
        <v>106.2</v>
      </c>
      <c r="K575">
        <v>107.80000000000001</v>
      </c>
      <c r="L575">
        <v>202.44</v>
      </c>
      <c r="M575">
        <v>194.44</v>
      </c>
      <c r="N575">
        <v>198.44</v>
      </c>
      <c r="O575">
        <v>186.16</v>
      </c>
      <c r="P575">
        <v>184.35999999999999</v>
      </c>
      <c r="Q575">
        <v>185.26</v>
      </c>
      <c r="R575">
        <v>23.39</v>
      </c>
      <c r="S575">
        <v>22.79</v>
      </c>
      <c r="T575">
        <v>23.09</v>
      </c>
      <c r="U575">
        <v>14.86</v>
      </c>
      <c r="V575">
        <v>14.26</v>
      </c>
      <c r="W575">
        <v>14.559999999999999</v>
      </c>
      <c r="X575">
        <v>15.78</v>
      </c>
      <c r="Y575">
        <v>14.979999999999999</v>
      </c>
      <c r="Z575">
        <v>15.379999999999999</v>
      </c>
      <c r="AA575">
        <v>98.74</v>
      </c>
      <c r="AB575">
        <v>94.74</v>
      </c>
      <c r="AC575">
        <v>96.74</v>
      </c>
      <c r="AD575">
        <v>90.27</v>
      </c>
      <c r="AE575">
        <v>86.27</v>
      </c>
      <c r="AF575">
        <v>88.27</v>
      </c>
      <c r="AG575">
        <v>19.239999999999998</v>
      </c>
      <c r="AH575">
        <v>18.38</v>
      </c>
      <c r="AI575">
        <v>18.809999999999999</v>
      </c>
    </row>
    <row r="576" spans="1:35">
      <c r="A576" s="424">
        <v>45854</v>
      </c>
      <c r="B576" t="s">
        <v>249</v>
      </c>
      <c r="C576">
        <v>150.05000000000001</v>
      </c>
      <c r="D576">
        <v>148.05000000000001</v>
      </c>
      <c r="E576">
        <v>149.05000000000001</v>
      </c>
      <c r="F576">
        <v>174.52</v>
      </c>
      <c r="G576">
        <v>171.52</v>
      </c>
      <c r="H576">
        <v>173.02</v>
      </c>
      <c r="I576">
        <v>110.3</v>
      </c>
      <c r="J576">
        <v>107.1</v>
      </c>
      <c r="K576">
        <v>108.69999999999999</v>
      </c>
      <c r="L576">
        <v>203.64</v>
      </c>
      <c r="M576">
        <v>195.64</v>
      </c>
      <c r="N576">
        <v>199.64</v>
      </c>
      <c r="O576">
        <v>186.82</v>
      </c>
      <c r="P576">
        <v>185.01999999999998</v>
      </c>
      <c r="Q576">
        <v>185.92</v>
      </c>
      <c r="R576">
        <v>23.48</v>
      </c>
      <c r="S576">
        <v>22.88</v>
      </c>
      <c r="T576">
        <v>23.18</v>
      </c>
      <c r="U576">
        <v>14.85</v>
      </c>
      <c r="V576">
        <v>14.25</v>
      </c>
      <c r="W576">
        <v>14.55</v>
      </c>
      <c r="X576">
        <v>15.74</v>
      </c>
      <c r="Y576">
        <v>14.94</v>
      </c>
      <c r="Z576">
        <v>15.34</v>
      </c>
      <c r="AA576">
        <v>99.31</v>
      </c>
      <c r="AB576">
        <v>95.31</v>
      </c>
      <c r="AC576">
        <v>97.31</v>
      </c>
      <c r="AD576">
        <v>90.88</v>
      </c>
      <c r="AE576">
        <v>86.88</v>
      </c>
      <c r="AF576">
        <v>88.88</v>
      </c>
      <c r="AG576">
        <v>19.41</v>
      </c>
      <c r="AH576">
        <v>18.55</v>
      </c>
      <c r="AI576">
        <v>18.98</v>
      </c>
    </row>
    <row r="577" spans="1:35">
      <c r="A577" s="424">
        <v>45855</v>
      </c>
      <c r="B577" t="s">
        <v>250</v>
      </c>
      <c r="C577">
        <v>149.51</v>
      </c>
      <c r="D577">
        <v>147.51</v>
      </c>
      <c r="E577">
        <v>148.51</v>
      </c>
      <c r="F577">
        <v>174.02</v>
      </c>
      <c r="G577">
        <v>171.02</v>
      </c>
      <c r="H577">
        <v>172.52</v>
      </c>
      <c r="I577">
        <v>109.98</v>
      </c>
      <c r="J577">
        <v>106.78</v>
      </c>
      <c r="K577">
        <v>108.38</v>
      </c>
      <c r="L577">
        <v>202.96</v>
      </c>
      <c r="M577">
        <v>194.96</v>
      </c>
      <c r="N577">
        <v>198.96</v>
      </c>
      <c r="O577">
        <v>185.96</v>
      </c>
      <c r="P577">
        <v>184.16</v>
      </c>
      <c r="Q577">
        <v>185.06</v>
      </c>
      <c r="R577">
        <v>23.42</v>
      </c>
      <c r="S577">
        <v>22.82</v>
      </c>
      <c r="T577">
        <v>23.12</v>
      </c>
      <c r="U577">
        <v>14.77</v>
      </c>
      <c r="V577">
        <v>14.17</v>
      </c>
      <c r="W577">
        <v>14.469999999999999</v>
      </c>
      <c r="X577">
        <v>15.66</v>
      </c>
      <c r="Y577">
        <v>14.86</v>
      </c>
      <c r="Z577">
        <v>15.26</v>
      </c>
      <c r="AA577">
        <v>98.68</v>
      </c>
      <c r="AB577">
        <v>94.68</v>
      </c>
      <c r="AC577">
        <v>96.68</v>
      </c>
      <c r="AD577">
        <v>90.05</v>
      </c>
      <c r="AE577">
        <v>86.05</v>
      </c>
      <c r="AF577">
        <v>88.05</v>
      </c>
      <c r="AG577">
        <v>19.34</v>
      </c>
      <c r="AH577">
        <v>18.48</v>
      </c>
      <c r="AI577">
        <v>18.91</v>
      </c>
    </row>
    <row r="578" spans="1:35">
      <c r="A578" s="424">
        <v>45856</v>
      </c>
      <c r="B578" t="s">
        <v>251</v>
      </c>
      <c r="C578">
        <v>149.69</v>
      </c>
      <c r="D578">
        <v>147.69</v>
      </c>
      <c r="E578">
        <v>148.69</v>
      </c>
      <c r="F578">
        <v>174.29</v>
      </c>
      <c r="G578">
        <v>171.29</v>
      </c>
      <c r="H578">
        <v>172.79</v>
      </c>
      <c r="I578">
        <v>109.83</v>
      </c>
      <c r="J578">
        <v>106.63</v>
      </c>
      <c r="K578">
        <v>108.22999999999999</v>
      </c>
      <c r="L578">
        <v>203.72</v>
      </c>
      <c r="M578">
        <v>195.72</v>
      </c>
      <c r="N578">
        <v>199.72</v>
      </c>
      <c r="O578">
        <v>186.05</v>
      </c>
      <c r="P578">
        <v>184.25</v>
      </c>
      <c r="Q578">
        <v>185.15</v>
      </c>
      <c r="R578">
        <v>23.45</v>
      </c>
      <c r="S578">
        <v>22.849999999999998</v>
      </c>
      <c r="T578">
        <v>23.15</v>
      </c>
      <c r="U578">
        <v>14.78</v>
      </c>
      <c r="V578">
        <v>14.18</v>
      </c>
      <c r="W578">
        <v>14.48</v>
      </c>
      <c r="X578">
        <v>15.68</v>
      </c>
      <c r="Y578">
        <v>14.879999999999999</v>
      </c>
      <c r="Z578">
        <v>15.28</v>
      </c>
      <c r="AA578">
        <v>98.72</v>
      </c>
      <c r="AB578">
        <v>94.72</v>
      </c>
      <c r="AC578">
        <v>96.72</v>
      </c>
      <c r="AD578">
        <v>90.5</v>
      </c>
      <c r="AE578">
        <v>86.5</v>
      </c>
      <c r="AF578">
        <v>88.5</v>
      </c>
      <c r="AG578">
        <v>19.37</v>
      </c>
      <c r="AH578">
        <v>18.510000000000002</v>
      </c>
      <c r="AI578">
        <v>18.940000000000001</v>
      </c>
    </row>
    <row r="579" spans="1:35">
      <c r="A579" s="424">
        <v>45857</v>
      </c>
      <c r="B579" t="s">
        <v>252</v>
      </c>
      <c r="C579" s="429">
        <v>149.69</v>
      </c>
      <c r="D579" s="429">
        <v>147.69</v>
      </c>
      <c r="E579" s="429">
        <v>148.69</v>
      </c>
    </row>
    <row r="580" spans="1:35">
      <c r="A580" s="424">
        <v>45858</v>
      </c>
      <c r="B580" t="s">
        <v>253</v>
      </c>
      <c r="C580" s="429">
        <v>149.69</v>
      </c>
      <c r="D580" s="429">
        <v>147.69</v>
      </c>
      <c r="E580" s="429">
        <v>148.69</v>
      </c>
    </row>
    <row r="581" spans="1:35">
      <c r="A581" s="424">
        <v>45859</v>
      </c>
      <c r="B581" t="s">
        <v>247</v>
      </c>
      <c r="C581" s="429">
        <v>149.69</v>
      </c>
      <c r="D581" s="429">
        <v>147.69</v>
      </c>
      <c r="E581" s="429">
        <v>148.69</v>
      </c>
    </row>
    <row r="582" spans="1:35">
      <c r="A582" s="424">
        <v>45860</v>
      </c>
      <c r="B582" t="s">
        <v>248</v>
      </c>
      <c r="C582">
        <v>148.47</v>
      </c>
      <c r="D582">
        <v>146.47</v>
      </c>
      <c r="E582">
        <v>147.47</v>
      </c>
      <c r="F582">
        <v>173.83</v>
      </c>
      <c r="G582">
        <v>170.83</v>
      </c>
      <c r="H582">
        <v>172.33</v>
      </c>
      <c r="I582">
        <v>109.35</v>
      </c>
      <c r="J582">
        <v>106.14999999999999</v>
      </c>
      <c r="K582">
        <v>107.75</v>
      </c>
      <c r="L582">
        <v>202.82</v>
      </c>
      <c r="M582">
        <v>194.82</v>
      </c>
      <c r="N582">
        <v>198.82</v>
      </c>
      <c r="O582">
        <v>185.63</v>
      </c>
      <c r="P582">
        <v>183.82999999999998</v>
      </c>
      <c r="Q582">
        <v>184.73</v>
      </c>
      <c r="R582">
        <v>23.39</v>
      </c>
      <c r="S582">
        <v>22.79</v>
      </c>
      <c r="T582">
        <v>23.09</v>
      </c>
      <c r="U582">
        <v>14.81</v>
      </c>
      <c r="V582">
        <v>14.21</v>
      </c>
      <c r="W582">
        <v>14.510000000000002</v>
      </c>
      <c r="X582">
        <v>15.81</v>
      </c>
      <c r="Y582">
        <v>15.01</v>
      </c>
      <c r="Z582">
        <v>15.41</v>
      </c>
      <c r="AA582">
        <v>98.09</v>
      </c>
      <c r="AB582">
        <v>94.09</v>
      </c>
      <c r="AC582">
        <v>96.09</v>
      </c>
      <c r="AD582">
        <v>89.89</v>
      </c>
      <c r="AE582">
        <v>85.89</v>
      </c>
      <c r="AF582">
        <v>87.89</v>
      </c>
      <c r="AG582">
        <v>19.21</v>
      </c>
      <c r="AH582">
        <v>18.350000000000001</v>
      </c>
      <c r="AI582">
        <v>18.78</v>
      </c>
    </row>
    <row r="583" spans="1:35">
      <c r="A583" s="424">
        <v>45861</v>
      </c>
      <c r="B583" t="s">
        <v>249</v>
      </c>
      <c r="C583">
        <v>147.47999999999999</v>
      </c>
      <c r="D583">
        <v>145.47999999999999</v>
      </c>
      <c r="E583">
        <v>146.47999999999999</v>
      </c>
      <c r="F583">
        <v>173.51</v>
      </c>
      <c r="G583">
        <v>170.51</v>
      </c>
      <c r="H583">
        <v>172.01</v>
      </c>
      <c r="I583">
        <v>109.34</v>
      </c>
      <c r="J583">
        <v>106.14</v>
      </c>
      <c r="K583">
        <v>107.74000000000001</v>
      </c>
      <c r="L583">
        <v>202.1</v>
      </c>
      <c r="M583">
        <v>194.1</v>
      </c>
      <c r="N583">
        <v>198.1</v>
      </c>
      <c r="O583">
        <v>185.55</v>
      </c>
      <c r="P583">
        <v>183.75</v>
      </c>
      <c r="Q583">
        <v>184.65</v>
      </c>
      <c r="R583">
        <v>23.34</v>
      </c>
      <c r="S583">
        <v>22.74</v>
      </c>
      <c r="T583">
        <v>23.04</v>
      </c>
      <c r="U583">
        <v>14.84</v>
      </c>
      <c r="V583">
        <v>14.24</v>
      </c>
      <c r="W583">
        <v>14.54</v>
      </c>
      <c r="X583">
        <v>15.82</v>
      </c>
      <c r="Y583">
        <v>15.02</v>
      </c>
      <c r="Z583">
        <v>15.42</v>
      </c>
      <c r="AA583">
        <v>98.06</v>
      </c>
      <c r="AB583">
        <v>94.06</v>
      </c>
      <c r="AC583">
        <v>96.06</v>
      </c>
      <c r="AD583">
        <v>89.98</v>
      </c>
      <c r="AE583">
        <v>85.98</v>
      </c>
      <c r="AF583">
        <v>87.98</v>
      </c>
      <c r="AG583">
        <v>19.09</v>
      </c>
      <c r="AH583">
        <v>18.23</v>
      </c>
      <c r="AI583">
        <v>18.66</v>
      </c>
    </row>
    <row r="584" spans="1:35">
      <c r="A584" s="424">
        <v>45862</v>
      </c>
      <c r="B584" t="s">
        <v>250</v>
      </c>
      <c r="C584">
        <v>147.5</v>
      </c>
      <c r="D584">
        <v>145.5</v>
      </c>
      <c r="E584">
        <v>146.5</v>
      </c>
      <c r="F584">
        <v>173.89</v>
      </c>
      <c r="G584">
        <v>170.89</v>
      </c>
      <c r="H584">
        <v>172.39</v>
      </c>
      <c r="I584">
        <v>109.27</v>
      </c>
      <c r="J584">
        <v>106.07</v>
      </c>
      <c r="K584">
        <v>107.66999999999999</v>
      </c>
      <c r="L584">
        <v>202.9</v>
      </c>
      <c r="M584">
        <v>194.9</v>
      </c>
      <c r="N584">
        <v>198.9</v>
      </c>
      <c r="O584">
        <v>185.69</v>
      </c>
      <c r="P584">
        <v>183.89</v>
      </c>
      <c r="Q584">
        <v>184.79</v>
      </c>
      <c r="R584">
        <v>23.4</v>
      </c>
      <c r="S584">
        <v>22.799999999999997</v>
      </c>
      <c r="T584">
        <v>23.099999999999998</v>
      </c>
      <c r="U584">
        <v>14.79</v>
      </c>
      <c r="V584">
        <v>14.19</v>
      </c>
      <c r="W584">
        <v>14.489999999999998</v>
      </c>
      <c r="X584">
        <v>15.81</v>
      </c>
      <c r="Y584">
        <v>15.01</v>
      </c>
      <c r="Z584">
        <v>15.41</v>
      </c>
      <c r="AA584">
        <v>98.68</v>
      </c>
      <c r="AB584">
        <v>94.68</v>
      </c>
      <c r="AC584">
        <v>96.68</v>
      </c>
      <c r="AD584">
        <v>90.53</v>
      </c>
      <c r="AE584">
        <v>86.53</v>
      </c>
      <c r="AF584">
        <v>88.53</v>
      </c>
      <c r="AG584">
        <v>19.09</v>
      </c>
      <c r="AH584">
        <v>18.23</v>
      </c>
      <c r="AI584">
        <v>18.66</v>
      </c>
    </row>
    <row r="585" spans="1:35">
      <c r="A585" s="424">
        <v>45863</v>
      </c>
      <c r="B585" t="s">
        <v>251</v>
      </c>
      <c r="C585">
        <v>148.41999999999999</v>
      </c>
      <c r="D585">
        <v>146.41999999999999</v>
      </c>
      <c r="E585">
        <v>147.41999999999999</v>
      </c>
      <c r="F585">
        <v>174.73</v>
      </c>
      <c r="G585">
        <v>171.73</v>
      </c>
      <c r="H585">
        <v>173.23</v>
      </c>
      <c r="I585">
        <v>109.61</v>
      </c>
      <c r="J585">
        <v>106.41</v>
      </c>
      <c r="K585">
        <v>108.00999999999999</v>
      </c>
      <c r="L585">
        <v>203.05</v>
      </c>
      <c r="M585">
        <v>195.05</v>
      </c>
      <c r="N585">
        <v>199.05</v>
      </c>
      <c r="O585">
        <v>186.15</v>
      </c>
      <c r="P585">
        <v>184.35</v>
      </c>
      <c r="Q585">
        <v>185.25</v>
      </c>
      <c r="R585">
        <v>23.51</v>
      </c>
      <c r="S585">
        <v>22.91</v>
      </c>
      <c r="T585">
        <v>23.21</v>
      </c>
      <c r="U585">
        <v>14.87</v>
      </c>
      <c r="V585">
        <v>14.27</v>
      </c>
      <c r="W585">
        <v>14.57</v>
      </c>
      <c r="X585">
        <v>15.87</v>
      </c>
      <c r="Y585">
        <v>15.069999999999999</v>
      </c>
      <c r="Z585">
        <v>15.469999999999999</v>
      </c>
      <c r="AA585">
        <v>99.15</v>
      </c>
      <c r="AB585">
        <v>95.15</v>
      </c>
      <c r="AC585">
        <v>97.15</v>
      </c>
      <c r="AD585">
        <v>90.91</v>
      </c>
      <c r="AE585">
        <v>86.91</v>
      </c>
      <c r="AF585">
        <v>88.91</v>
      </c>
      <c r="AG585">
        <v>19.2</v>
      </c>
      <c r="AH585">
        <v>18.34</v>
      </c>
      <c r="AI585">
        <v>18.77</v>
      </c>
    </row>
    <row r="586" spans="1:35">
      <c r="A586" s="424">
        <v>45864</v>
      </c>
      <c r="B586" t="s">
        <v>252</v>
      </c>
    </row>
    <row r="587" spans="1:35">
      <c r="A587" s="424">
        <v>45865</v>
      </c>
      <c r="B587" t="s">
        <v>253</v>
      </c>
    </row>
    <row r="588" spans="1:35">
      <c r="A588" s="424">
        <v>45866</v>
      </c>
      <c r="B588" t="s">
        <v>247</v>
      </c>
      <c r="C588">
        <v>148.77000000000001</v>
      </c>
      <c r="D588">
        <v>146.77000000000001</v>
      </c>
      <c r="E588">
        <v>147.77000000000001</v>
      </c>
      <c r="F588">
        <v>175.23</v>
      </c>
      <c r="G588">
        <v>172.23</v>
      </c>
      <c r="H588">
        <v>173.73</v>
      </c>
      <c r="I588">
        <v>109.45</v>
      </c>
      <c r="J588">
        <v>106.25</v>
      </c>
      <c r="K588">
        <v>107.85</v>
      </c>
      <c r="L588">
        <v>202.62</v>
      </c>
      <c r="M588">
        <v>194.62</v>
      </c>
      <c r="N588">
        <v>198.62</v>
      </c>
      <c r="O588">
        <v>186.7</v>
      </c>
      <c r="P588">
        <v>184.89999999999998</v>
      </c>
      <c r="Q588">
        <v>185.79999999999998</v>
      </c>
      <c r="R588">
        <v>23.58</v>
      </c>
      <c r="S588">
        <v>22.979999999999997</v>
      </c>
      <c r="T588">
        <v>23.279999999999998</v>
      </c>
      <c r="U588">
        <v>14.86</v>
      </c>
      <c r="V588">
        <v>14.26</v>
      </c>
      <c r="W588">
        <v>14.559999999999999</v>
      </c>
      <c r="X588">
        <v>15.94</v>
      </c>
      <c r="Y588">
        <v>15.139999999999999</v>
      </c>
      <c r="Z588">
        <v>15.54</v>
      </c>
      <c r="AA588">
        <v>99.17</v>
      </c>
      <c r="AB588">
        <v>95.17</v>
      </c>
      <c r="AC588">
        <v>97.17</v>
      </c>
      <c r="AD588">
        <v>91</v>
      </c>
      <c r="AE588">
        <v>87</v>
      </c>
      <c r="AF588">
        <v>89</v>
      </c>
      <c r="AG588">
        <v>19.25</v>
      </c>
      <c r="AH588">
        <v>18.39</v>
      </c>
      <c r="AI588">
        <v>18.82</v>
      </c>
    </row>
    <row r="589" spans="1:35">
      <c r="A589" s="424">
        <v>45867</v>
      </c>
      <c r="B589" t="s">
        <v>248</v>
      </c>
      <c r="C589">
        <v>149.54</v>
      </c>
      <c r="D589">
        <v>147.54</v>
      </c>
      <c r="E589">
        <v>148.54</v>
      </c>
      <c r="F589">
        <v>173.54</v>
      </c>
      <c r="G589">
        <v>170.54</v>
      </c>
      <c r="H589">
        <v>172.04</v>
      </c>
      <c r="I589">
        <v>109.67</v>
      </c>
      <c r="J589">
        <v>106.47</v>
      </c>
      <c r="K589">
        <v>108.07</v>
      </c>
      <c r="L589">
        <v>202.24</v>
      </c>
      <c r="M589">
        <v>194.24</v>
      </c>
      <c r="N589">
        <v>198.24</v>
      </c>
      <c r="O589">
        <v>185.77</v>
      </c>
      <c r="P589">
        <v>183.97</v>
      </c>
      <c r="Q589">
        <v>184.87</v>
      </c>
      <c r="R589">
        <v>23.35</v>
      </c>
      <c r="S589">
        <v>22.75</v>
      </c>
      <c r="T589">
        <v>23.05</v>
      </c>
      <c r="U589">
        <v>14.84</v>
      </c>
      <c r="V589">
        <v>14.24</v>
      </c>
      <c r="W589">
        <v>14.54</v>
      </c>
      <c r="X589">
        <v>15.85</v>
      </c>
      <c r="Y589">
        <v>15.049999999999999</v>
      </c>
      <c r="Z589">
        <v>15.45</v>
      </c>
      <c r="AA589">
        <v>98.7</v>
      </c>
      <c r="AB589">
        <v>94.7</v>
      </c>
      <c r="AC589">
        <v>96.7</v>
      </c>
      <c r="AD589">
        <v>90.54</v>
      </c>
      <c r="AE589">
        <v>86.54</v>
      </c>
      <c r="AF589">
        <v>88.54</v>
      </c>
      <c r="AG589">
        <v>19.350000000000001</v>
      </c>
      <c r="AH589">
        <v>18.490000000000002</v>
      </c>
      <c r="AI589">
        <v>18.920000000000002</v>
      </c>
    </row>
    <row r="590" spans="1:35">
      <c r="A590" s="424">
        <v>45868</v>
      </c>
      <c r="B590" t="s">
        <v>249</v>
      </c>
      <c r="C590">
        <v>149.25</v>
      </c>
      <c r="D590">
        <v>147.25</v>
      </c>
      <c r="E590">
        <v>148.25</v>
      </c>
      <c r="F590">
        <v>172.92</v>
      </c>
      <c r="G590">
        <v>169.92</v>
      </c>
      <c r="H590">
        <v>171.42</v>
      </c>
      <c r="I590">
        <v>109.29</v>
      </c>
      <c r="J590">
        <v>106.09</v>
      </c>
      <c r="K590">
        <v>107.69</v>
      </c>
      <c r="L590">
        <v>202.05</v>
      </c>
      <c r="M590">
        <v>194.05</v>
      </c>
      <c r="N590">
        <v>198.05</v>
      </c>
      <c r="O590">
        <v>185.06</v>
      </c>
      <c r="P590">
        <v>183.26</v>
      </c>
      <c r="Q590">
        <v>184.16</v>
      </c>
      <c r="R590">
        <v>23.27</v>
      </c>
      <c r="S590">
        <v>22.669999999999998</v>
      </c>
      <c r="T590">
        <v>22.97</v>
      </c>
      <c r="U590">
        <v>14.84</v>
      </c>
      <c r="V590">
        <v>14.24</v>
      </c>
      <c r="W590">
        <v>14.54</v>
      </c>
      <c r="X590">
        <v>15.77</v>
      </c>
      <c r="Y590">
        <v>14.969999999999999</v>
      </c>
      <c r="Z590">
        <v>15.37</v>
      </c>
      <c r="AA590">
        <v>98.67</v>
      </c>
      <c r="AB590">
        <v>94.67</v>
      </c>
      <c r="AC590">
        <v>96.67</v>
      </c>
      <c r="AD590">
        <v>90.4</v>
      </c>
      <c r="AE590">
        <v>86.4</v>
      </c>
      <c r="AF590">
        <v>88.4</v>
      </c>
      <c r="AG590">
        <v>19.309999999999999</v>
      </c>
      <c r="AH590">
        <v>18.45</v>
      </c>
      <c r="AI590">
        <v>18.88</v>
      </c>
    </row>
    <row r="591" spans="1:35">
      <c r="A591" s="424">
        <v>45869</v>
      </c>
      <c r="B591" t="s">
        <v>250</v>
      </c>
      <c r="C591">
        <v>150.38999999999999</v>
      </c>
      <c r="D591">
        <v>148.38999999999999</v>
      </c>
      <c r="E591">
        <v>149.38999999999999</v>
      </c>
      <c r="F591">
        <v>172.25</v>
      </c>
      <c r="G591">
        <v>169.25</v>
      </c>
      <c r="H591">
        <v>170.75</v>
      </c>
      <c r="I591">
        <v>109.59</v>
      </c>
      <c r="J591">
        <v>106.39</v>
      </c>
      <c r="K591">
        <v>107.99000000000001</v>
      </c>
      <c r="L591">
        <v>201.93</v>
      </c>
      <c r="M591">
        <v>193.93</v>
      </c>
      <c r="N591">
        <v>197.93</v>
      </c>
      <c r="O591">
        <v>184.52</v>
      </c>
      <c r="P591">
        <v>182.72</v>
      </c>
      <c r="Q591">
        <v>183.62</v>
      </c>
      <c r="R591">
        <v>23.18</v>
      </c>
      <c r="S591">
        <v>22.58</v>
      </c>
      <c r="T591">
        <v>22.88</v>
      </c>
      <c r="U591">
        <v>14.81</v>
      </c>
      <c r="V591">
        <v>14.21</v>
      </c>
      <c r="W591">
        <v>14.510000000000002</v>
      </c>
      <c r="X591">
        <v>15.68</v>
      </c>
      <c r="Y591">
        <v>14.879999999999999</v>
      </c>
      <c r="Z591">
        <v>15.28</v>
      </c>
      <c r="AA591">
        <v>98.22</v>
      </c>
      <c r="AB591">
        <v>94.22</v>
      </c>
      <c r="AC591">
        <v>96.22</v>
      </c>
      <c r="AD591">
        <v>90.18</v>
      </c>
      <c r="AE591">
        <v>86.18</v>
      </c>
      <c r="AF591">
        <v>88.18</v>
      </c>
      <c r="AG591">
        <v>19.45</v>
      </c>
      <c r="AH591">
        <v>18.59</v>
      </c>
      <c r="AI591">
        <v>19.02</v>
      </c>
    </row>
    <row r="592" spans="1:35">
      <c r="A592" s="424">
        <v>45870</v>
      </c>
      <c r="B592" t="s">
        <v>251</v>
      </c>
      <c r="C592">
        <v>151.79</v>
      </c>
      <c r="D592">
        <v>149.79</v>
      </c>
      <c r="E592">
        <v>150.79</v>
      </c>
      <c r="F592">
        <v>173.69</v>
      </c>
      <c r="G592">
        <v>170.69</v>
      </c>
      <c r="H592">
        <v>172.19</v>
      </c>
    </row>
    <row r="593" spans="1:8">
      <c r="A593" s="424">
        <v>45871</v>
      </c>
      <c r="B593" s="431" t="s">
        <v>252</v>
      </c>
    </row>
    <row r="594" spans="1:8">
      <c r="A594" s="424">
        <v>45872</v>
      </c>
      <c r="B594" s="431" t="s">
        <v>253</v>
      </c>
    </row>
    <row r="595" spans="1:8">
      <c r="A595" s="424">
        <v>45873</v>
      </c>
      <c r="B595" t="s">
        <v>247</v>
      </c>
      <c r="C595">
        <v>148.63999999999999</v>
      </c>
      <c r="D595">
        <v>146.63999999999999</v>
      </c>
      <c r="E595">
        <f>AVERAGE(C595:D595)</f>
        <v>147.63999999999999</v>
      </c>
      <c r="F595">
        <v>172.14</v>
      </c>
      <c r="G595">
        <v>169.14</v>
      </c>
      <c r="H595">
        <v>170.64</v>
      </c>
    </row>
    <row r="596" spans="1:8">
      <c r="A596" s="424">
        <v>45874</v>
      </c>
      <c r="B596" t="s">
        <v>248</v>
      </c>
      <c r="C596">
        <v>147.97999999999999</v>
      </c>
      <c r="D596">
        <v>145.97999999999999</v>
      </c>
      <c r="E596">
        <f t="shared" ref="E596:E599" si="6">AVERAGE(C596:D596)</f>
        <v>146.97999999999999</v>
      </c>
      <c r="F596">
        <v>171.6</v>
      </c>
      <c r="G596">
        <v>168.6</v>
      </c>
      <c r="H596">
        <v>170.1</v>
      </c>
    </row>
    <row r="597" spans="1:8">
      <c r="A597" s="424">
        <v>45875</v>
      </c>
      <c r="B597" t="s">
        <v>249</v>
      </c>
      <c r="C597">
        <v>148.63</v>
      </c>
      <c r="D597">
        <v>146.63</v>
      </c>
      <c r="E597">
        <f t="shared" si="6"/>
        <v>147.63</v>
      </c>
      <c r="F597">
        <v>172.37</v>
      </c>
      <c r="G597">
        <v>169.37</v>
      </c>
      <c r="H597">
        <v>170.87</v>
      </c>
    </row>
    <row r="598" spans="1:8">
      <c r="A598" s="424">
        <v>45876</v>
      </c>
      <c r="B598" t="s">
        <v>250</v>
      </c>
      <c r="C598">
        <v>148.66999999999999</v>
      </c>
      <c r="D598">
        <v>146.66999999999999</v>
      </c>
      <c r="E598">
        <f t="shared" si="6"/>
        <v>147.66999999999999</v>
      </c>
      <c r="F598">
        <v>173.54</v>
      </c>
      <c r="G598">
        <v>170.54</v>
      </c>
      <c r="H598">
        <v>172.04</v>
      </c>
    </row>
    <row r="599" spans="1:8">
      <c r="A599" s="424">
        <v>45877</v>
      </c>
      <c r="B599" t="s">
        <v>251</v>
      </c>
      <c r="C599">
        <v>148.26</v>
      </c>
      <c r="D599">
        <v>146.26</v>
      </c>
      <c r="E599">
        <f t="shared" si="6"/>
        <v>147.26</v>
      </c>
      <c r="F599">
        <v>173.34</v>
      </c>
      <c r="G599">
        <v>170.34</v>
      </c>
      <c r="H599">
        <v>171.84</v>
      </c>
    </row>
    <row r="600" spans="1:8">
      <c r="A600" s="424">
        <v>45878</v>
      </c>
      <c r="B600" s="431" t="s">
        <v>252</v>
      </c>
      <c r="C600" s="429">
        <v>148.26</v>
      </c>
      <c r="D600" s="429">
        <v>146.26</v>
      </c>
      <c r="E600" s="429">
        <f t="shared" ref="E600" si="7">AVERAGE(C600:D600)</f>
        <v>147.26</v>
      </c>
    </row>
    <row r="601" spans="1:8">
      <c r="A601" s="424">
        <v>45879</v>
      </c>
      <c r="B601" s="431" t="s">
        <v>253</v>
      </c>
      <c r="C601" s="429">
        <v>148.26</v>
      </c>
      <c r="D601" s="429">
        <v>146.26</v>
      </c>
      <c r="E601" s="429">
        <f t="shared" ref="E601" si="8">AVERAGE(C601:D601)</f>
        <v>147.26</v>
      </c>
    </row>
    <row r="602" spans="1:8">
      <c r="A602" s="424">
        <v>45880</v>
      </c>
      <c r="B602" s="431" t="s">
        <v>247</v>
      </c>
      <c r="C602" s="429">
        <v>148.26</v>
      </c>
      <c r="D602" s="429">
        <v>146.26</v>
      </c>
      <c r="E602" s="429">
        <f t="shared" ref="E602" si="9">AVERAGE(C602:D602)</f>
        <v>147.26</v>
      </c>
    </row>
    <row r="603" spans="1:8">
      <c r="A603" s="424">
        <v>45881</v>
      </c>
      <c r="B603" t="s">
        <v>248</v>
      </c>
      <c r="C603">
        <v>149.46</v>
      </c>
      <c r="D603">
        <v>147.46</v>
      </c>
      <c r="E603">
        <v>148.46</v>
      </c>
      <c r="F603">
        <v>173.95</v>
      </c>
      <c r="G603">
        <v>170.95</v>
      </c>
      <c r="H603">
        <v>172.45</v>
      </c>
    </row>
    <row r="604" spans="1:8">
      <c r="A604" s="424">
        <v>45882</v>
      </c>
      <c r="B604" t="s">
        <v>249</v>
      </c>
      <c r="C604">
        <v>148.84</v>
      </c>
      <c r="D604">
        <v>146.84</v>
      </c>
      <c r="E604">
        <v>147.84</v>
      </c>
      <c r="F604">
        <v>174.16</v>
      </c>
      <c r="G604">
        <v>171.16</v>
      </c>
      <c r="H604">
        <v>172.66</v>
      </c>
    </row>
    <row r="605" spans="1:8">
      <c r="A605" s="424">
        <v>45883</v>
      </c>
      <c r="B605" t="s">
        <v>250</v>
      </c>
      <c r="C605">
        <v>147.69</v>
      </c>
      <c r="D605">
        <v>145.69</v>
      </c>
      <c r="E605">
        <v>146.69</v>
      </c>
      <c r="F605">
        <v>173.27</v>
      </c>
      <c r="G605">
        <v>170.27</v>
      </c>
      <c r="H605">
        <v>171.77</v>
      </c>
    </row>
    <row r="606" spans="1:8">
      <c r="A606" s="424">
        <v>45884</v>
      </c>
      <c r="B606" t="s">
        <v>251</v>
      </c>
      <c r="C606">
        <v>148.66</v>
      </c>
      <c r="D606">
        <v>146.66</v>
      </c>
      <c r="E606">
        <v>147.66</v>
      </c>
      <c r="F606">
        <v>173.51</v>
      </c>
      <c r="G606">
        <v>170.51</v>
      </c>
      <c r="H606">
        <v>172.01</v>
      </c>
    </row>
    <row r="607" spans="1:8">
      <c r="A607" s="424">
        <v>45885</v>
      </c>
      <c r="B607" s="431" t="s">
        <v>252</v>
      </c>
      <c r="C607" s="429">
        <v>148.66</v>
      </c>
      <c r="D607" s="429">
        <v>146.66</v>
      </c>
      <c r="E607" s="429">
        <v>147.66</v>
      </c>
    </row>
    <row r="608" spans="1:8">
      <c r="A608" s="424">
        <v>45886</v>
      </c>
      <c r="B608" s="431" t="s">
        <v>253</v>
      </c>
      <c r="C608" s="429">
        <v>148.66</v>
      </c>
      <c r="D608" s="429">
        <v>146.66</v>
      </c>
      <c r="E608" s="429">
        <v>147.66</v>
      </c>
    </row>
    <row r="609" spans="1:8">
      <c r="A609" s="424">
        <v>45887</v>
      </c>
      <c r="B609" t="s">
        <v>247</v>
      </c>
      <c r="C609">
        <v>148.5</v>
      </c>
      <c r="D609">
        <v>146.5</v>
      </c>
      <c r="E609">
        <f t="shared" ref="E609:E610" si="10">AVERAGE(C609:D609)</f>
        <v>147.5</v>
      </c>
      <c r="F609">
        <v>174.06</v>
      </c>
      <c r="G609">
        <v>171.06</v>
      </c>
      <c r="H609">
        <v>172.56</v>
      </c>
    </row>
    <row r="610" spans="1:8">
      <c r="A610" s="424">
        <v>45888</v>
      </c>
      <c r="B610" t="s">
        <v>248</v>
      </c>
      <c r="C610">
        <v>148.9</v>
      </c>
      <c r="D610">
        <v>146.9</v>
      </c>
      <c r="E610">
        <f t="shared" si="10"/>
        <v>147.9</v>
      </c>
      <c r="F610">
        <v>173.88</v>
      </c>
      <c r="G610">
        <v>170.88</v>
      </c>
      <c r="H610">
        <v>172.38</v>
      </c>
    </row>
    <row r="611" spans="1:8">
      <c r="A611" s="424">
        <v>45889</v>
      </c>
      <c r="B611" t="s">
        <v>249</v>
      </c>
      <c r="C611">
        <v>148.72999999999999</v>
      </c>
      <c r="D611">
        <v>146.72999999999999</v>
      </c>
      <c r="E611">
        <v>147.72999999999999</v>
      </c>
      <c r="F611">
        <v>173.4</v>
      </c>
      <c r="G611">
        <v>170.4</v>
      </c>
      <c r="H611">
        <v>171.9</v>
      </c>
    </row>
    <row r="612" spans="1:8">
      <c r="A612" s="424">
        <v>45890</v>
      </c>
      <c r="B612" t="s">
        <v>250</v>
      </c>
      <c r="C612">
        <v>148.5</v>
      </c>
      <c r="D612">
        <v>146.5</v>
      </c>
      <c r="E612">
        <v>147.5</v>
      </c>
      <c r="F612">
        <v>173.19</v>
      </c>
      <c r="G612">
        <v>170.19</v>
      </c>
      <c r="H612">
        <v>171.69</v>
      </c>
    </row>
    <row r="613" spans="1:8">
      <c r="A613" s="424">
        <v>45891</v>
      </c>
      <c r="B613" t="s">
        <v>251</v>
      </c>
      <c r="C613">
        <v>149.53</v>
      </c>
      <c r="D613">
        <v>147.53</v>
      </c>
      <c r="E613">
        <v>148.53</v>
      </c>
      <c r="F613">
        <v>173.96</v>
      </c>
      <c r="G613">
        <v>170.96</v>
      </c>
      <c r="H613">
        <v>172.46</v>
      </c>
    </row>
    <row r="614" spans="1:8">
      <c r="A614" s="424">
        <v>45892</v>
      </c>
      <c r="B614" s="431" t="s">
        <v>252</v>
      </c>
      <c r="C614" s="429">
        <v>149.53</v>
      </c>
      <c r="D614" s="429">
        <v>147.53</v>
      </c>
      <c r="E614" s="429">
        <v>148.53</v>
      </c>
    </row>
    <row r="615" spans="1:8">
      <c r="A615" s="424">
        <v>45893</v>
      </c>
      <c r="B615" s="431" t="s">
        <v>253</v>
      </c>
      <c r="C615" s="429">
        <v>149.53</v>
      </c>
      <c r="D615" s="429">
        <v>147.53</v>
      </c>
      <c r="E615" s="429">
        <v>148.53</v>
      </c>
    </row>
    <row r="616" spans="1:8">
      <c r="A616" s="424">
        <v>45894</v>
      </c>
      <c r="B616" t="s">
        <v>247</v>
      </c>
      <c r="C616">
        <v>148.44999999999999</v>
      </c>
      <c r="D616">
        <v>146.44999999999999</v>
      </c>
      <c r="E616">
        <v>147.44999999999999</v>
      </c>
      <c r="F616">
        <v>173.94</v>
      </c>
      <c r="G616">
        <v>170.94</v>
      </c>
      <c r="H616">
        <v>172.44</v>
      </c>
    </row>
    <row r="617" spans="1:8">
      <c r="A617" s="424">
        <v>45895</v>
      </c>
      <c r="B617" t="s">
        <v>248</v>
      </c>
      <c r="C617">
        <v>148.16</v>
      </c>
      <c r="D617">
        <v>146.16</v>
      </c>
      <c r="E617">
        <v>147.16</v>
      </c>
      <c r="F617">
        <v>172.97</v>
      </c>
      <c r="G617">
        <v>169.97</v>
      </c>
      <c r="H617">
        <v>171.47</v>
      </c>
    </row>
    <row r="618" spans="1:8">
      <c r="A618" s="424">
        <v>45896</v>
      </c>
      <c r="B618" t="s">
        <v>249</v>
      </c>
      <c r="C618">
        <v>148.55000000000001</v>
      </c>
      <c r="D618">
        <v>146.55000000000001</v>
      </c>
      <c r="E618">
        <v>147.55000000000001</v>
      </c>
      <c r="F618">
        <v>173.12</v>
      </c>
      <c r="G618">
        <v>170.12</v>
      </c>
      <c r="H618">
        <v>171.62</v>
      </c>
    </row>
    <row r="619" spans="1:8">
      <c r="A619" s="424">
        <v>45897</v>
      </c>
      <c r="B619" t="s">
        <v>250</v>
      </c>
      <c r="C619">
        <v>148.41999999999999</v>
      </c>
      <c r="D619">
        <v>146.41999999999999</v>
      </c>
      <c r="E619">
        <v>147.41999999999999</v>
      </c>
      <c r="F619">
        <v>173.11</v>
      </c>
      <c r="G619">
        <v>170.11</v>
      </c>
      <c r="H619">
        <v>171.61</v>
      </c>
    </row>
    <row r="620" spans="1:8">
      <c r="A620" s="424">
        <v>45898</v>
      </c>
      <c r="B620" t="s">
        <v>251</v>
      </c>
      <c r="C620">
        <v>147.91999999999999</v>
      </c>
      <c r="D620">
        <v>145.91999999999999</v>
      </c>
      <c r="E620">
        <v>146.91999999999999</v>
      </c>
      <c r="F620">
        <v>172.97</v>
      </c>
      <c r="G620">
        <v>169.97</v>
      </c>
      <c r="H620">
        <v>171.47</v>
      </c>
    </row>
    <row r="621" spans="1:8">
      <c r="A621" s="424">
        <v>45899</v>
      </c>
      <c r="B621" s="431" t="s">
        <v>252</v>
      </c>
      <c r="C621" s="429">
        <v>147.91999999999999</v>
      </c>
      <c r="D621" s="429">
        <v>145.91999999999999</v>
      </c>
      <c r="E621" s="429">
        <v>146.91999999999999</v>
      </c>
    </row>
    <row r="622" spans="1:8">
      <c r="A622" s="424">
        <v>45900</v>
      </c>
      <c r="B622" s="431" t="s">
        <v>253</v>
      </c>
      <c r="C622" s="429">
        <v>147.91999999999999</v>
      </c>
      <c r="D622" s="429">
        <v>145.91999999999999</v>
      </c>
      <c r="E622" s="429">
        <v>146.91999999999999</v>
      </c>
    </row>
    <row r="623" spans="1:8">
      <c r="A623" s="424">
        <v>45901</v>
      </c>
      <c r="B623" t="s">
        <v>247</v>
      </c>
      <c r="C623">
        <v>148.28</v>
      </c>
      <c r="D623">
        <v>146.28</v>
      </c>
      <c r="E623">
        <v>147.28</v>
      </c>
      <c r="F623">
        <v>173.74</v>
      </c>
      <c r="G623">
        <v>170.74</v>
      </c>
      <c r="H623">
        <v>172.24</v>
      </c>
    </row>
    <row r="624" spans="1:8">
      <c r="A624" s="424">
        <v>45902</v>
      </c>
      <c r="B624" t="s">
        <v>248</v>
      </c>
      <c r="C624">
        <v>148.34</v>
      </c>
      <c r="D624">
        <v>146.34</v>
      </c>
      <c r="E624">
        <v>147.34</v>
      </c>
      <c r="F624">
        <v>173.92</v>
      </c>
      <c r="G624">
        <v>170.92</v>
      </c>
      <c r="H624">
        <v>172.42</v>
      </c>
    </row>
    <row r="625" spans="1:8">
      <c r="A625" s="424">
        <v>45903</v>
      </c>
      <c r="B625" t="s">
        <v>249</v>
      </c>
      <c r="C625">
        <v>149.79</v>
      </c>
      <c r="D625">
        <v>147.79</v>
      </c>
      <c r="E625">
        <v>148.79</v>
      </c>
      <c r="F625">
        <v>174.63</v>
      </c>
      <c r="G625">
        <v>171.63</v>
      </c>
      <c r="H625">
        <v>173.13</v>
      </c>
    </row>
    <row r="626" spans="1:8">
      <c r="A626" s="424">
        <v>45904</v>
      </c>
      <c r="B626" t="s">
        <v>250</v>
      </c>
      <c r="C626">
        <v>149.02000000000001</v>
      </c>
      <c r="D626">
        <v>147.02000000000001</v>
      </c>
      <c r="E626">
        <v>148.02000000000001</v>
      </c>
      <c r="F626">
        <v>174</v>
      </c>
      <c r="G626">
        <v>171</v>
      </c>
      <c r="H626">
        <v>172.5</v>
      </c>
    </row>
    <row r="627" spans="1:8">
      <c r="A627" s="424">
        <v>45905</v>
      </c>
      <c r="B627" t="s">
        <v>251</v>
      </c>
      <c r="C627">
        <v>149.25</v>
      </c>
      <c r="D627">
        <v>147.25</v>
      </c>
      <c r="E627">
        <v>148.25</v>
      </c>
      <c r="F627">
        <v>174.21</v>
      </c>
      <c r="G627">
        <v>171.21</v>
      </c>
      <c r="H627">
        <v>172.71</v>
      </c>
    </row>
    <row r="628" spans="1:8">
      <c r="A628" s="424">
        <v>45906</v>
      </c>
      <c r="B628" s="431" t="s">
        <v>252</v>
      </c>
      <c r="C628" s="429">
        <v>149.25</v>
      </c>
      <c r="D628" s="429">
        <v>147.25</v>
      </c>
      <c r="E628" s="429">
        <v>148.25</v>
      </c>
    </row>
    <row r="629" spans="1:8">
      <c r="A629" s="424">
        <v>45907</v>
      </c>
      <c r="B629" s="432" t="s">
        <v>253</v>
      </c>
    </row>
    <row r="630" spans="1:8">
      <c r="A630" s="424">
        <v>45908</v>
      </c>
      <c r="B630" t="s">
        <v>247</v>
      </c>
      <c r="C630">
        <v>149.47</v>
      </c>
      <c r="D630">
        <v>147.47</v>
      </c>
      <c r="E630">
        <v>148.47</v>
      </c>
      <c r="F630">
        <v>175.36</v>
      </c>
      <c r="G630">
        <v>172.36</v>
      </c>
      <c r="H630">
        <v>173.86</v>
      </c>
    </row>
    <row r="631" spans="1:8">
      <c r="A631" s="424">
        <v>45909</v>
      </c>
      <c r="B631" t="s">
        <v>248</v>
      </c>
      <c r="C631">
        <v>148.37</v>
      </c>
      <c r="D631">
        <v>146.37</v>
      </c>
      <c r="E631">
        <v>147.37</v>
      </c>
      <c r="F631">
        <v>175</v>
      </c>
      <c r="G631">
        <v>172</v>
      </c>
      <c r="H631">
        <v>173.5</v>
      </c>
    </row>
    <row r="632" spans="1:8">
      <c r="A632" s="424">
        <v>45910</v>
      </c>
      <c r="B632" t="s">
        <v>249</v>
      </c>
      <c r="C632">
        <v>148.52000000000001</v>
      </c>
      <c r="D632">
        <v>146.52000000000001</v>
      </c>
      <c r="E632">
        <v>147.52000000000001</v>
      </c>
      <c r="F632">
        <v>174.05</v>
      </c>
      <c r="G632">
        <v>171.05</v>
      </c>
      <c r="H632">
        <v>172.55</v>
      </c>
    </row>
    <row r="633" spans="1:8">
      <c r="A633" s="424">
        <v>45911</v>
      </c>
      <c r="B633" t="s">
        <v>250</v>
      </c>
      <c r="C633">
        <v>148.56</v>
      </c>
      <c r="D633">
        <v>146.56</v>
      </c>
      <c r="E633">
        <v>147.56</v>
      </c>
      <c r="F633">
        <v>174.03</v>
      </c>
      <c r="G633">
        <v>171.03</v>
      </c>
      <c r="H633">
        <v>172.53</v>
      </c>
    </row>
    <row r="634" spans="1:8">
      <c r="A634" s="424">
        <v>45912</v>
      </c>
      <c r="B634" t="s">
        <v>251</v>
      </c>
      <c r="C634">
        <v>148.30000000000001</v>
      </c>
      <c r="D634">
        <v>146.30000000000001</v>
      </c>
      <c r="E634">
        <v>147.30000000000001</v>
      </c>
      <c r="F634">
        <v>174.31</v>
      </c>
      <c r="G634">
        <v>171.31</v>
      </c>
      <c r="H634">
        <v>172.81</v>
      </c>
    </row>
    <row r="635" spans="1:8">
      <c r="A635" s="424">
        <v>45913</v>
      </c>
      <c r="B635" s="431" t="s">
        <v>252</v>
      </c>
    </row>
    <row r="636" spans="1:8">
      <c r="A636" s="424">
        <v>45914</v>
      </c>
      <c r="B636" s="432" t="s">
        <v>253</v>
      </c>
    </row>
    <row r="637" spans="1:8">
      <c r="A637" s="424">
        <v>45915</v>
      </c>
      <c r="B637" s="432" t="s">
        <v>247</v>
      </c>
    </row>
    <row r="638" spans="1:8">
      <c r="A638" s="424">
        <v>45916</v>
      </c>
      <c r="B638" t="s">
        <v>248</v>
      </c>
      <c r="C638">
        <v>148.53</v>
      </c>
      <c r="D638">
        <v>146.53</v>
      </c>
      <c r="E638">
        <v>147.53</v>
      </c>
      <c r="F638">
        <v>174.92</v>
      </c>
      <c r="G638">
        <v>171.92</v>
      </c>
      <c r="H638">
        <v>173.42</v>
      </c>
    </row>
    <row r="639" spans="1:8">
      <c r="A639" s="424">
        <v>45917</v>
      </c>
      <c r="B639" t="s">
        <v>249</v>
      </c>
      <c r="C639">
        <v>147.55000000000001</v>
      </c>
      <c r="D639">
        <v>145.55000000000001</v>
      </c>
      <c r="E639">
        <v>146.55000000000001</v>
      </c>
      <c r="F639">
        <v>175.29</v>
      </c>
      <c r="G639">
        <v>172.29</v>
      </c>
      <c r="H639">
        <v>173.79</v>
      </c>
    </row>
    <row r="640" spans="1:8">
      <c r="A640" s="424">
        <v>45918</v>
      </c>
      <c r="B640" t="s">
        <v>250</v>
      </c>
      <c r="C640">
        <v>147.97999999999999</v>
      </c>
      <c r="D640">
        <v>145.97999999999999</v>
      </c>
      <c r="E640">
        <v>146.97999999999999</v>
      </c>
      <c r="F640">
        <v>175.29</v>
      </c>
      <c r="G640">
        <v>172.29</v>
      </c>
      <c r="H640">
        <v>173.79</v>
      </c>
    </row>
    <row r="641" spans="1:8">
      <c r="A641" s="424">
        <v>45919</v>
      </c>
      <c r="B641" t="s">
        <v>251</v>
      </c>
      <c r="C641">
        <v>149.05000000000001</v>
      </c>
      <c r="D641">
        <v>147.05000000000001</v>
      </c>
      <c r="E641">
        <v>148.05000000000001</v>
      </c>
      <c r="F641">
        <v>176.01</v>
      </c>
      <c r="G641">
        <v>173.01</v>
      </c>
      <c r="H641">
        <v>174.51</v>
      </c>
    </row>
    <row r="642" spans="1:8">
      <c r="A642" s="424">
        <v>45920</v>
      </c>
      <c r="B642" s="431" t="s">
        <v>252</v>
      </c>
    </row>
    <row r="643" spans="1:8">
      <c r="A643" s="424">
        <v>45921</v>
      </c>
      <c r="B643" s="432" t="s">
        <v>253</v>
      </c>
    </row>
    <row r="644" spans="1:8">
      <c r="A644" s="424">
        <v>45922</v>
      </c>
      <c r="B644" t="s">
        <v>247</v>
      </c>
      <c r="C644">
        <v>149.29</v>
      </c>
      <c r="D644">
        <v>147.29</v>
      </c>
      <c r="E644">
        <v>148.29</v>
      </c>
      <c r="F644">
        <v>175.38</v>
      </c>
      <c r="G644">
        <v>172.38</v>
      </c>
      <c r="H644">
        <v>173.88</v>
      </c>
    </row>
    <row r="645" spans="1:8">
      <c r="A645" s="424">
        <v>45923</v>
      </c>
      <c r="B645" s="431" t="s">
        <v>248</v>
      </c>
      <c r="C645" s="429">
        <v>149.29</v>
      </c>
      <c r="D645" s="429">
        <v>147.29</v>
      </c>
      <c r="E645" s="429">
        <v>148.29</v>
      </c>
    </row>
    <row r="646" spans="1:8">
      <c r="A646" s="424">
        <v>45924</v>
      </c>
      <c r="B646" t="s">
        <v>249</v>
      </c>
      <c r="C646">
        <v>148.85</v>
      </c>
      <c r="D646">
        <v>146.85</v>
      </c>
      <c r="E646">
        <v>147.85</v>
      </c>
      <c r="F646">
        <v>176.01</v>
      </c>
      <c r="G646">
        <v>173.01</v>
      </c>
      <c r="H646">
        <v>174.51</v>
      </c>
    </row>
    <row r="647" spans="1:8">
      <c r="A647" s="424">
        <v>45925</v>
      </c>
      <c r="B647" t="s">
        <v>250</v>
      </c>
      <c r="C647">
        <v>149.77000000000001</v>
      </c>
      <c r="D647">
        <v>147.77000000000001</v>
      </c>
      <c r="E647">
        <v>148.77000000000001</v>
      </c>
      <c r="F647">
        <v>176.19</v>
      </c>
      <c r="G647">
        <v>173.19</v>
      </c>
      <c r="H647">
        <v>174.69</v>
      </c>
    </row>
    <row r="648" spans="1:8">
      <c r="A648" s="424">
        <v>45926</v>
      </c>
      <c r="B648" t="s">
        <v>251</v>
      </c>
      <c r="C648">
        <v>150.79</v>
      </c>
      <c r="D648">
        <v>148.79</v>
      </c>
      <c r="E648">
        <v>149.79</v>
      </c>
      <c r="F648">
        <v>176.19</v>
      </c>
      <c r="G648">
        <v>173.19</v>
      </c>
      <c r="H648">
        <v>174.69</v>
      </c>
    </row>
    <row r="649" spans="1:8">
      <c r="A649" s="424">
        <v>45927</v>
      </c>
      <c r="B649" s="431" t="s">
        <v>252</v>
      </c>
    </row>
    <row r="650" spans="1:8">
      <c r="A650" s="424">
        <v>45928</v>
      </c>
      <c r="B650" s="432" t="s">
        <v>253</v>
      </c>
    </row>
    <row r="651" spans="1:8">
      <c r="A651" s="424">
        <v>45929</v>
      </c>
      <c r="B651" t="s">
        <v>247</v>
      </c>
      <c r="C651">
        <v>150.21</v>
      </c>
      <c r="D651">
        <v>148.21</v>
      </c>
      <c r="E651">
        <v>149.21</v>
      </c>
      <c r="F651">
        <v>176.4</v>
      </c>
      <c r="G651">
        <v>173.4</v>
      </c>
      <c r="H651">
        <v>174.9</v>
      </c>
    </row>
    <row r="652" spans="1:8">
      <c r="A652" s="424">
        <v>45930</v>
      </c>
      <c r="B652" t="s">
        <v>248</v>
      </c>
      <c r="C652">
        <v>149.88</v>
      </c>
      <c r="D652">
        <v>147.88</v>
      </c>
      <c r="E652">
        <v>148.88</v>
      </c>
      <c r="F652">
        <v>175.97</v>
      </c>
      <c r="G652">
        <v>172.97</v>
      </c>
      <c r="H652">
        <v>174.47</v>
      </c>
    </row>
    <row r="653" spans="1:8">
      <c r="A653" s="424">
        <v>45931</v>
      </c>
      <c r="B653" t="s">
        <v>249</v>
      </c>
      <c r="C653">
        <v>149.16999999999999</v>
      </c>
      <c r="D653">
        <v>147.16999999999999</v>
      </c>
      <c r="E653">
        <v>148.16999999999999</v>
      </c>
    </row>
    <row r="654" spans="1:8">
      <c r="A654" s="424">
        <v>45932</v>
      </c>
      <c r="B654" t="s">
        <v>250</v>
      </c>
      <c r="C654">
        <v>148.19</v>
      </c>
      <c r="D654">
        <v>146.19</v>
      </c>
      <c r="E654">
        <v>147.19</v>
      </c>
    </row>
    <row r="655" spans="1:8">
      <c r="A655" s="424">
        <v>45933</v>
      </c>
      <c r="B655" t="s">
        <v>251</v>
      </c>
      <c r="C655">
        <v>148.4</v>
      </c>
      <c r="D655">
        <v>146.4</v>
      </c>
      <c r="E655">
        <v>147.4</v>
      </c>
    </row>
    <row r="656" spans="1:8">
      <c r="A656" s="424">
        <v>45934</v>
      </c>
      <c r="B656" s="431" t="s">
        <v>252</v>
      </c>
      <c r="C656" s="429">
        <v>148.4</v>
      </c>
      <c r="D656" s="429">
        <v>146.4</v>
      </c>
      <c r="E656" s="429">
        <v>147.4</v>
      </c>
    </row>
    <row r="657" spans="1:5">
      <c r="A657" s="424">
        <v>45935</v>
      </c>
      <c r="B657" s="432" t="s">
        <v>253</v>
      </c>
    </row>
    <row r="658" spans="1:5">
      <c r="A658" s="424">
        <v>45936</v>
      </c>
      <c r="B658" t="s">
        <v>247</v>
      </c>
      <c r="C658">
        <v>150.78</v>
      </c>
      <c r="D658">
        <v>148.78</v>
      </c>
      <c r="E658">
        <v>149.78</v>
      </c>
    </row>
    <row r="659" spans="1:5">
      <c r="A659" s="424">
        <v>45937</v>
      </c>
      <c r="B659" t="s">
        <v>248</v>
      </c>
      <c r="C659">
        <v>151.47</v>
      </c>
      <c r="D659">
        <v>149.47</v>
      </c>
      <c r="E659">
        <v>150.47</v>
      </c>
    </row>
    <row r="660" spans="1:5">
      <c r="A660" s="424">
        <v>45938</v>
      </c>
      <c r="B660" t="s">
        <v>249</v>
      </c>
      <c r="C660">
        <v>153.31</v>
      </c>
      <c r="D660">
        <v>151.31</v>
      </c>
      <c r="E660">
        <v>152.31</v>
      </c>
    </row>
    <row r="661" spans="1:5">
      <c r="A661" s="424">
        <v>45939</v>
      </c>
      <c r="B661" t="s">
        <v>250</v>
      </c>
      <c r="C661">
        <v>153.74</v>
      </c>
      <c r="D661">
        <v>151.74</v>
      </c>
      <c r="E661">
        <v>152.74</v>
      </c>
    </row>
    <row r="662" spans="1:5">
      <c r="A662" s="424">
        <v>45940</v>
      </c>
      <c r="B662" t="s">
        <v>251</v>
      </c>
      <c r="C662">
        <v>154.09</v>
      </c>
      <c r="D662">
        <v>152.09</v>
      </c>
      <c r="E662">
        <v>153.09</v>
      </c>
    </row>
    <row r="663" spans="1:5">
      <c r="A663" s="424">
        <v>45941</v>
      </c>
      <c r="B663" s="431" t="s">
        <v>252</v>
      </c>
    </row>
    <row r="664" spans="1:5">
      <c r="A664" s="424">
        <v>45942</v>
      </c>
      <c r="B664" s="432" t="s">
        <v>253</v>
      </c>
    </row>
    <row r="665" spans="1:5">
      <c r="A665" s="424">
        <v>45943</v>
      </c>
      <c r="B665" s="432" t="s">
        <v>247</v>
      </c>
    </row>
    <row r="666" spans="1:5">
      <c r="A666" s="424">
        <v>45944</v>
      </c>
      <c r="B666" t="s">
        <v>248</v>
      </c>
      <c r="C666">
        <v>153.49</v>
      </c>
      <c r="D666">
        <v>151.49</v>
      </c>
      <c r="E666">
        <v>152.49</v>
      </c>
    </row>
    <row r="667" spans="1:5">
      <c r="A667" s="424">
        <v>45945</v>
      </c>
      <c r="B667" t="s">
        <v>249</v>
      </c>
      <c r="C667">
        <v>152.66999999999999</v>
      </c>
      <c r="D667">
        <v>150.66999999999999</v>
      </c>
      <c r="E667">
        <v>151.66999999999999</v>
      </c>
    </row>
    <row r="668" spans="1:5">
      <c r="A668" s="424">
        <v>45946</v>
      </c>
      <c r="B668" t="s">
        <v>250</v>
      </c>
      <c r="C668">
        <v>151.72999999999999</v>
      </c>
      <c r="D668">
        <v>149.72999999999999</v>
      </c>
      <c r="E668">
        <v>150.72999999999999</v>
      </c>
    </row>
    <row r="669" spans="1:5">
      <c r="A669" s="424">
        <v>45947</v>
      </c>
      <c r="B669" t="s">
        <v>251</v>
      </c>
      <c r="C669">
        <v>151.18</v>
      </c>
      <c r="D669">
        <v>149.18</v>
      </c>
      <c r="E669">
        <v>150.18</v>
      </c>
    </row>
    <row r="670" spans="1:5">
      <c r="A670" s="424">
        <v>45948</v>
      </c>
      <c r="B670" s="431" t="s">
        <v>252</v>
      </c>
    </row>
    <row r="671" spans="1:5">
      <c r="A671" s="424">
        <v>45949</v>
      </c>
      <c r="B671" s="432" t="s">
        <v>253</v>
      </c>
    </row>
    <row r="672" spans="1:5">
      <c r="A672" s="424">
        <v>45950</v>
      </c>
      <c r="B672" t="s">
        <v>247</v>
      </c>
      <c r="C672">
        <v>152</v>
      </c>
      <c r="D672">
        <v>150</v>
      </c>
      <c r="E672">
        <v>151</v>
      </c>
    </row>
    <row r="673" spans="1:5">
      <c r="A673" s="424">
        <v>45951</v>
      </c>
      <c r="B673" t="s">
        <v>248</v>
      </c>
      <c r="C673">
        <v>151.56</v>
      </c>
      <c r="D673">
        <v>149.56</v>
      </c>
      <c r="E673">
        <v>150.56</v>
      </c>
    </row>
    <row r="674" spans="1:5">
      <c r="A674" s="424">
        <v>45952</v>
      </c>
      <c r="B674" t="s">
        <v>249</v>
      </c>
      <c r="C674">
        <v>152.71</v>
      </c>
      <c r="D674">
        <v>150.71</v>
      </c>
      <c r="E674">
        <v>151.71</v>
      </c>
    </row>
    <row r="675" spans="1:5">
      <c r="A675" s="424">
        <v>45953</v>
      </c>
      <c r="B675" t="s">
        <v>250</v>
      </c>
      <c r="C675">
        <v>153.26</v>
      </c>
      <c r="D675">
        <v>151.26</v>
      </c>
      <c r="E675">
        <v>152.26</v>
      </c>
    </row>
    <row r="676" spans="1:5">
      <c r="A676" s="424">
        <v>45954</v>
      </c>
      <c r="B676" t="s">
        <v>251</v>
      </c>
      <c r="C676">
        <v>153.69</v>
      </c>
      <c r="D676">
        <v>151.69</v>
      </c>
      <c r="E676">
        <v>152.69</v>
      </c>
    </row>
    <row r="677" spans="1:5">
      <c r="A677" s="424">
        <v>45955</v>
      </c>
      <c r="B677" s="431" t="s">
        <v>252</v>
      </c>
    </row>
    <row r="678" spans="1:5">
      <c r="A678" s="424">
        <v>45956</v>
      </c>
      <c r="B678" s="432" t="s">
        <v>253</v>
      </c>
    </row>
    <row r="679" spans="1:5">
      <c r="A679" s="424">
        <v>45957</v>
      </c>
      <c r="B679" t="s">
        <v>247</v>
      </c>
      <c r="C679">
        <v>154</v>
      </c>
      <c r="D679">
        <v>152</v>
      </c>
      <c r="E679">
        <v>153</v>
      </c>
    </row>
    <row r="680" spans="1:5">
      <c r="A680" s="424">
        <v>45958</v>
      </c>
      <c r="B680" t="s">
        <v>248</v>
      </c>
      <c r="C680">
        <v>153.57</v>
      </c>
      <c r="D680">
        <v>151.57</v>
      </c>
      <c r="E680">
        <v>152.57</v>
      </c>
    </row>
    <row r="681" spans="1:5">
      <c r="A681" s="424">
        <v>45959</v>
      </c>
      <c r="B681" t="s">
        <v>249</v>
      </c>
      <c r="C681">
        <v>152.6</v>
      </c>
      <c r="D681">
        <v>150.6</v>
      </c>
      <c r="E681">
        <v>151.6</v>
      </c>
    </row>
    <row r="682" spans="1:5">
      <c r="A682" s="424">
        <v>45960</v>
      </c>
      <c r="B682" t="s">
        <v>250</v>
      </c>
      <c r="C682">
        <v>153.80000000000001</v>
      </c>
      <c r="D682">
        <v>151.80000000000001</v>
      </c>
      <c r="E682">
        <v>152.80000000000001</v>
      </c>
    </row>
    <row r="683" spans="1:5">
      <c r="A683" s="424">
        <v>45961</v>
      </c>
      <c r="B683" t="s">
        <v>251</v>
      </c>
      <c r="C683">
        <v>155.1</v>
      </c>
      <c r="D683">
        <v>153.1</v>
      </c>
      <c r="E683">
        <v>154.1</v>
      </c>
    </row>
    <row r="684" spans="1:5">
      <c r="A684" s="424">
        <v>45962</v>
      </c>
      <c r="B684" s="431" t="s">
        <v>453</v>
      </c>
      <c r="C684" s="429">
        <v>155.1</v>
      </c>
      <c r="D684" s="429">
        <v>153.1</v>
      </c>
      <c r="E684" s="429">
        <v>154.1</v>
      </c>
    </row>
    <row r="685" spans="1:5">
      <c r="A685" s="424">
        <v>45963</v>
      </c>
      <c r="B685" s="432" t="s">
        <v>454</v>
      </c>
      <c r="C685" s="429">
        <v>155.1</v>
      </c>
      <c r="D685" s="429">
        <v>153.1</v>
      </c>
      <c r="E685" s="429">
        <v>154.1</v>
      </c>
    </row>
    <row r="686" spans="1:5">
      <c r="A686" s="424">
        <v>45964</v>
      </c>
      <c r="B686" s="432" t="s">
        <v>247</v>
      </c>
      <c r="C686" s="429">
        <v>155.1</v>
      </c>
      <c r="D686" s="429">
        <v>153.1</v>
      </c>
      <c r="E686" s="429">
        <v>154.1</v>
      </c>
    </row>
    <row r="687" spans="1:5">
      <c r="A687" s="424">
        <v>45965</v>
      </c>
      <c r="B687" s="434" t="s">
        <v>248</v>
      </c>
      <c r="C687">
        <v>155.38</v>
      </c>
      <c r="D687">
        <v>153.38</v>
      </c>
      <c r="E687">
        <v>154.38</v>
      </c>
    </row>
    <row r="688" spans="1:5">
      <c r="A688" s="424">
        <v>45966</v>
      </c>
      <c r="B688" s="434" t="s">
        <v>249</v>
      </c>
      <c r="C688">
        <v>154.49</v>
      </c>
      <c r="D688">
        <v>152.49</v>
      </c>
      <c r="E688">
        <v>153.49</v>
      </c>
    </row>
    <row r="689" spans="1:5">
      <c r="A689" s="424">
        <v>45967</v>
      </c>
      <c r="B689" s="434" t="s">
        <v>250</v>
      </c>
      <c r="C689">
        <v>155.04</v>
      </c>
      <c r="D689">
        <v>153.04</v>
      </c>
      <c r="E689">
        <v>154.04</v>
      </c>
    </row>
    <row r="690" spans="1:5">
      <c r="A690" s="424">
        <v>45968</v>
      </c>
      <c r="B690" s="434" t="s">
        <v>251</v>
      </c>
      <c r="C690">
        <v>154.24</v>
      </c>
      <c r="D690">
        <v>152.24</v>
      </c>
      <c r="E690">
        <v>153.24</v>
      </c>
    </row>
    <row r="691" spans="1:5">
      <c r="A691" s="424">
        <v>45969</v>
      </c>
      <c r="B691" s="432" t="s">
        <v>252</v>
      </c>
    </row>
    <row r="692" spans="1:5">
      <c r="A692" s="424">
        <v>45970</v>
      </c>
      <c r="B692" s="432" t="s">
        <v>253</v>
      </c>
    </row>
    <row r="693" spans="1:5">
      <c r="A693" s="424">
        <v>45971</v>
      </c>
      <c r="B693" s="434" t="s">
        <v>247</v>
      </c>
      <c r="C693">
        <v>154.93</v>
      </c>
      <c r="D693">
        <v>152.93</v>
      </c>
      <c r="E693">
        <v>153.93</v>
      </c>
    </row>
    <row r="694" spans="1:5">
      <c r="A694" s="424">
        <v>45972</v>
      </c>
      <c r="B694" s="434" t="s">
        <v>248</v>
      </c>
      <c r="C694">
        <v>155.36000000000001</v>
      </c>
      <c r="D694">
        <v>153.36000000000001</v>
      </c>
      <c r="E694">
        <v>154.36000000000001</v>
      </c>
    </row>
    <row r="695" spans="1:5">
      <c r="A695" s="424">
        <v>45973</v>
      </c>
      <c r="B695" s="434" t="s">
        <v>249</v>
      </c>
      <c r="C695">
        <v>155.28</v>
      </c>
      <c r="D695">
        <v>153.28</v>
      </c>
      <c r="E695">
        <v>154.28</v>
      </c>
    </row>
    <row r="696" spans="1:5">
      <c r="A696" s="424">
        <v>45974</v>
      </c>
      <c r="B696" s="434" t="s">
        <v>250</v>
      </c>
      <c r="C696">
        <v>156.03</v>
      </c>
      <c r="D696">
        <v>154.03</v>
      </c>
      <c r="E696">
        <v>155.03</v>
      </c>
    </row>
    <row r="697" spans="1:5">
      <c r="A697" s="424">
        <v>45975</v>
      </c>
      <c r="B697" s="434" t="s">
        <v>251</v>
      </c>
      <c r="C697">
        <v>155.74</v>
      </c>
      <c r="D697">
        <v>153.74</v>
      </c>
      <c r="E697">
        <v>154.74</v>
      </c>
    </row>
    <row r="698" spans="1:5">
      <c r="A698" s="424">
        <v>45976</v>
      </c>
      <c r="B698" s="432" t="s">
        <v>252</v>
      </c>
    </row>
    <row r="699" spans="1:5">
      <c r="A699" s="424">
        <v>45977</v>
      </c>
      <c r="B699" s="432" t="s">
        <v>253</v>
      </c>
    </row>
    <row r="700" spans="1:5">
      <c r="A700" s="424">
        <v>45978</v>
      </c>
      <c r="B700" s="434" t="s">
        <v>247</v>
      </c>
      <c r="C700">
        <v>155.69999999999999</v>
      </c>
      <c r="D700">
        <v>153.69999999999999</v>
      </c>
      <c r="E700">
        <v>154.69999999999999</v>
      </c>
    </row>
    <row r="701" spans="1:5">
      <c r="A701" s="424">
        <v>45979</v>
      </c>
      <c r="B701" s="434" t="s">
        <v>248</v>
      </c>
      <c r="C701">
        <v>156.34</v>
      </c>
      <c r="D701">
        <v>154.34</v>
      </c>
      <c r="E701">
        <v>155.34</v>
      </c>
    </row>
    <row r="702" spans="1:5">
      <c r="A702" s="424">
        <v>45980</v>
      </c>
      <c r="B702" s="434" t="s">
        <v>249</v>
      </c>
      <c r="C702">
        <v>156.54</v>
      </c>
      <c r="D702">
        <v>154.54</v>
      </c>
      <c r="E702">
        <v>155.54</v>
      </c>
    </row>
    <row r="703" spans="1:5">
      <c r="A703" s="424">
        <v>45981</v>
      </c>
      <c r="B703" s="434" t="s">
        <v>250</v>
      </c>
      <c r="C703">
        <v>158.29</v>
      </c>
      <c r="D703">
        <v>156.29</v>
      </c>
      <c r="E703">
        <v>157.29</v>
      </c>
    </row>
    <row r="704" spans="1:5">
      <c r="A704" s="424">
        <v>45982</v>
      </c>
      <c r="B704" s="434" t="s">
        <v>251</v>
      </c>
      <c r="C704">
        <v>158.49</v>
      </c>
      <c r="D704">
        <v>156.49</v>
      </c>
      <c r="E704">
        <v>157.49</v>
      </c>
    </row>
    <row r="705" spans="1:5">
      <c r="A705" s="424">
        <v>45983</v>
      </c>
      <c r="B705" s="432" t="s">
        <v>252</v>
      </c>
    </row>
    <row r="706" spans="1:5">
      <c r="A706" s="424">
        <v>45984</v>
      </c>
      <c r="B706" s="432" t="s">
        <v>253</v>
      </c>
    </row>
    <row r="707" spans="1:5">
      <c r="A707" s="424">
        <v>45985</v>
      </c>
      <c r="B707" s="432" t="s">
        <v>247</v>
      </c>
    </row>
    <row r="708" spans="1:5">
      <c r="A708" s="424">
        <v>45986</v>
      </c>
      <c r="B708" s="434" t="s">
        <v>248</v>
      </c>
      <c r="C708">
        <v>157.87</v>
      </c>
      <c r="D708">
        <v>155.87</v>
      </c>
      <c r="E708">
        <v>156.87</v>
      </c>
    </row>
    <row r="709" spans="1:5">
      <c r="A709" s="424">
        <v>45987</v>
      </c>
      <c r="B709" s="434" t="s">
        <v>249</v>
      </c>
      <c r="C709">
        <v>157.38</v>
      </c>
      <c r="D709">
        <v>155.38</v>
      </c>
      <c r="E709">
        <v>156.38</v>
      </c>
    </row>
    <row r="710" spans="1:5">
      <c r="A710" s="424">
        <v>45988</v>
      </c>
      <c r="B710" s="434" t="s">
        <v>250</v>
      </c>
      <c r="C710">
        <v>156.91</v>
      </c>
      <c r="D710">
        <v>154.91</v>
      </c>
      <c r="E710">
        <v>155.91</v>
      </c>
    </row>
    <row r="711" spans="1:5">
      <c r="A711" s="424">
        <v>45989</v>
      </c>
      <c r="B711" s="434" t="s">
        <v>251</v>
      </c>
      <c r="C711">
        <v>157.63</v>
      </c>
      <c r="D711">
        <v>155.63</v>
      </c>
      <c r="E711">
        <v>156.63</v>
      </c>
    </row>
    <row r="712" spans="1:5">
      <c r="A712" s="424">
        <v>45990</v>
      </c>
      <c r="B712" s="432" t="s">
        <v>252</v>
      </c>
    </row>
    <row r="713" spans="1:5">
      <c r="A713" s="424">
        <v>45991</v>
      </c>
      <c r="B713" s="432" t="s">
        <v>253</v>
      </c>
    </row>
    <row r="714" spans="1:5">
      <c r="A714" s="424">
        <v>45992</v>
      </c>
      <c r="B714" s="434" t="s">
        <v>247</v>
      </c>
      <c r="C714">
        <v>156.87</v>
      </c>
      <c r="D714">
        <v>154.87</v>
      </c>
      <c r="E714">
        <v>155.87</v>
      </c>
    </row>
    <row r="715" spans="1:5">
      <c r="A715" s="424">
        <v>45993</v>
      </c>
      <c r="B715" s="434" t="s">
        <v>248</v>
      </c>
      <c r="C715">
        <v>156.69999999999999</v>
      </c>
      <c r="D715">
        <v>154.69999999999999</v>
      </c>
      <c r="E715">
        <v>155.69999999999999</v>
      </c>
    </row>
    <row r="716" spans="1:5">
      <c r="A716" s="424">
        <v>45994</v>
      </c>
      <c r="B716" s="434" t="s">
        <v>249</v>
      </c>
      <c r="C716">
        <v>156.84</v>
      </c>
      <c r="D716">
        <v>154.84</v>
      </c>
      <c r="E716">
        <v>155.84</v>
      </c>
    </row>
    <row r="717" spans="1:5">
      <c r="A717" s="424">
        <v>45995</v>
      </c>
      <c r="B717" s="434" t="s">
        <v>250</v>
      </c>
      <c r="C717">
        <v>156.30000000000001</v>
      </c>
      <c r="D717">
        <v>154.30000000000001</v>
      </c>
      <c r="E717">
        <v>155.30000000000001</v>
      </c>
    </row>
    <row r="718" spans="1:5">
      <c r="A718" s="424">
        <v>45996</v>
      </c>
      <c r="B718" s="434" t="s">
        <v>251</v>
      </c>
      <c r="C718">
        <v>156.12</v>
      </c>
      <c r="D718">
        <v>154.12</v>
      </c>
      <c r="E718">
        <v>155.12</v>
      </c>
    </row>
    <row r="719" spans="1:5">
      <c r="A719" s="424">
        <v>45997</v>
      </c>
      <c r="B719" s="432" t="s">
        <v>252</v>
      </c>
    </row>
    <row r="720" spans="1:5">
      <c r="A720" s="424">
        <v>45998</v>
      </c>
      <c r="B720" s="432" t="s">
        <v>253</v>
      </c>
    </row>
    <row r="721" spans="1:5">
      <c r="A721" s="424">
        <v>45999</v>
      </c>
      <c r="B721" s="434" t="s">
        <v>247</v>
      </c>
      <c r="C721">
        <v>156.24</v>
      </c>
      <c r="D721">
        <v>154.24</v>
      </c>
      <c r="E721">
        <v>155.24</v>
      </c>
    </row>
    <row r="722" spans="1:5">
      <c r="A722" s="424">
        <v>46000</v>
      </c>
      <c r="B722" s="434" t="s">
        <v>248</v>
      </c>
      <c r="C722">
        <v>157.03</v>
      </c>
      <c r="D722">
        <v>155.03</v>
      </c>
      <c r="E722">
        <v>156.03</v>
      </c>
    </row>
    <row r="723" spans="1:5">
      <c r="A723" s="424">
        <v>46001</v>
      </c>
      <c r="B723" s="434" t="s">
        <v>249</v>
      </c>
      <c r="C723">
        <v>157.88</v>
      </c>
      <c r="D723">
        <v>155.88</v>
      </c>
      <c r="E723">
        <v>156.88</v>
      </c>
    </row>
    <row r="724" spans="1:5">
      <c r="A724" s="424">
        <v>46002</v>
      </c>
      <c r="B724" s="434" t="s">
        <v>250</v>
      </c>
      <c r="C724">
        <v>156.87</v>
      </c>
      <c r="D724">
        <v>154.87</v>
      </c>
      <c r="E724">
        <v>155.87</v>
      </c>
    </row>
    <row r="725" spans="1:5">
      <c r="A725" s="424">
        <v>46003</v>
      </c>
      <c r="B725" s="434" t="s">
        <v>251</v>
      </c>
      <c r="C725">
        <v>156.71</v>
      </c>
      <c r="D725">
        <v>154.71</v>
      </c>
      <c r="E725">
        <v>155.71</v>
      </c>
    </row>
    <row r="726" spans="1:5">
      <c r="A726" s="424">
        <v>46004</v>
      </c>
      <c r="B726" s="432" t="s">
        <v>252</v>
      </c>
    </row>
    <row r="727" spans="1:5">
      <c r="A727" s="424">
        <v>46005</v>
      </c>
      <c r="B727" s="432" t="s">
        <v>253</v>
      </c>
    </row>
    <row r="728" spans="1:5">
      <c r="A728" s="424">
        <v>46006</v>
      </c>
      <c r="B728" s="434" t="s">
        <v>247</v>
      </c>
      <c r="C728">
        <v>157.02000000000001</v>
      </c>
      <c r="D728">
        <v>155.02000000000001</v>
      </c>
      <c r="E728">
        <v>156.02000000000001</v>
      </c>
    </row>
    <row r="729" spans="1:5">
      <c r="A729" s="424">
        <v>46007</v>
      </c>
      <c r="B729" s="434" t="s">
        <v>248</v>
      </c>
      <c r="C729">
        <v>156.12</v>
      </c>
      <c r="D729">
        <v>154.12</v>
      </c>
      <c r="E729">
        <v>155.12</v>
      </c>
    </row>
    <row r="730" spans="1:5">
      <c r="A730" s="424">
        <v>46008</v>
      </c>
      <c r="B730" s="434" t="s">
        <v>249</v>
      </c>
      <c r="C730">
        <v>155.69</v>
      </c>
      <c r="D730">
        <v>153.69</v>
      </c>
      <c r="E730">
        <v>154.69</v>
      </c>
    </row>
    <row r="731" spans="1:5">
      <c r="A731" s="424">
        <v>46009</v>
      </c>
      <c r="B731" s="434" t="s">
        <v>250</v>
      </c>
      <c r="C731">
        <v>156.61000000000001</v>
      </c>
      <c r="D731">
        <v>154.61000000000001</v>
      </c>
      <c r="E731">
        <v>155.61000000000001</v>
      </c>
    </row>
    <row r="732" spans="1:5">
      <c r="A732" s="424">
        <v>46010</v>
      </c>
      <c r="B732" s="434" t="s">
        <v>251</v>
      </c>
      <c r="C732">
        <v>156.85</v>
      </c>
      <c r="D732">
        <v>154.85</v>
      </c>
      <c r="E732">
        <v>155.85</v>
      </c>
    </row>
    <row r="733" spans="1:5">
      <c r="A733" s="424">
        <v>46011</v>
      </c>
      <c r="B733" s="432" t="s">
        <v>252</v>
      </c>
    </row>
    <row r="734" spans="1:5">
      <c r="A734" s="424">
        <v>46012</v>
      </c>
      <c r="B734" s="432" t="s">
        <v>253</v>
      </c>
    </row>
    <row r="735" spans="1:5">
      <c r="A735" s="424">
        <v>46013</v>
      </c>
      <c r="B735" s="434" t="s">
        <v>247</v>
      </c>
      <c r="C735">
        <v>158.62</v>
      </c>
      <c r="D735">
        <v>156.62</v>
      </c>
      <c r="E735">
        <v>157.62</v>
      </c>
    </row>
    <row r="736" spans="1:5">
      <c r="A736" s="424">
        <v>46014</v>
      </c>
      <c r="B736" s="434" t="s">
        <v>248</v>
      </c>
      <c r="C736">
        <v>157.75</v>
      </c>
      <c r="D736">
        <v>155.75</v>
      </c>
      <c r="E736">
        <v>156.75</v>
      </c>
    </row>
    <row r="737" spans="1:5">
      <c r="A737" s="424">
        <v>46015</v>
      </c>
      <c r="B737" s="434" t="s">
        <v>249</v>
      </c>
      <c r="C737">
        <v>157.22</v>
      </c>
      <c r="D737">
        <v>155.22</v>
      </c>
      <c r="E737">
        <v>156.22</v>
      </c>
    </row>
    <row r="738" spans="1:5">
      <c r="A738" s="424">
        <v>46016</v>
      </c>
      <c r="B738" s="434" t="s">
        <v>250</v>
      </c>
      <c r="C738">
        <v>156.91999999999999</v>
      </c>
      <c r="D738">
        <v>154.91999999999999</v>
      </c>
      <c r="E738">
        <v>155.91999999999999</v>
      </c>
    </row>
    <row r="739" spans="1:5">
      <c r="A739" s="424">
        <v>46017</v>
      </c>
      <c r="B739" s="434" t="s">
        <v>251</v>
      </c>
      <c r="C739">
        <v>157.51</v>
      </c>
      <c r="D739">
        <v>155.51</v>
      </c>
      <c r="E739">
        <v>156.51</v>
      </c>
    </row>
    <row r="740" spans="1:5">
      <c r="A740" s="424">
        <v>46018</v>
      </c>
      <c r="B740" s="432" t="s">
        <v>252</v>
      </c>
    </row>
    <row r="741" spans="1:5">
      <c r="A741" s="424">
        <v>46019</v>
      </c>
      <c r="B741" s="432" t="s">
        <v>253</v>
      </c>
    </row>
    <row r="742" spans="1:5">
      <c r="A742" s="424">
        <v>46020</v>
      </c>
      <c r="B742" s="434" t="s">
        <v>247</v>
      </c>
      <c r="C742">
        <v>157.47</v>
      </c>
      <c r="D742">
        <v>155.47</v>
      </c>
      <c r="E742">
        <v>156.47</v>
      </c>
    </row>
    <row r="743" spans="1:5">
      <c r="A743" s="424">
        <v>46021</v>
      </c>
      <c r="B743" s="434" t="s">
        <v>248</v>
      </c>
      <c r="C743">
        <v>157.56</v>
      </c>
      <c r="D743">
        <v>155.56</v>
      </c>
      <c r="E743">
        <v>156.56</v>
      </c>
    </row>
    <row r="744" spans="1:5">
      <c r="A744" s="424">
        <v>46022</v>
      </c>
      <c r="B744" s="432" t="s">
        <v>249</v>
      </c>
    </row>
    <row r="745" spans="1:5">
      <c r="A745" s="424">
        <v>46023</v>
      </c>
      <c r="B745" s="432" t="s">
        <v>250</v>
      </c>
    </row>
    <row r="746" spans="1:5">
      <c r="A746" s="424">
        <v>46024</v>
      </c>
      <c r="B746" s="432" t="s">
        <v>251</v>
      </c>
    </row>
    <row r="747" spans="1:5">
      <c r="A747" s="424">
        <v>46025</v>
      </c>
      <c r="B747" s="432" t="s">
        <v>252</v>
      </c>
    </row>
    <row r="748" spans="1:5">
      <c r="A748" s="424">
        <v>46026</v>
      </c>
      <c r="B748" s="432" t="s">
        <v>253</v>
      </c>
    </row>
    <row r="749" spans="1:5">
      <c r="A749" s="424">
        <v>46027</v>
      </c>
      <c r="B749" s="434" t="s">
        <v>247</v>
      </c>
      <c r="C749">
        <v>158.29</v>
      </c>
      <c r="D749">
        <v>156.29</v>
      </c>
      <c r="E749">
        <v>157.29</v>
      </c>
    </row>
    <row r="750" spans="1:5">
      <c r="A750" s="424">
        <v>46028</v>
      </c>
      <c r="B750" s="434" t="s">
        <v>248</v>
      </c>
      <c r="C750">
        <v>157.71</v>
      </c>
      <c r="D750">
        <v>155.71</v>
      </c>
      <c r="E750">
        <v>156.71</v>
      </c>
    </row>
    <row r="751" spans="1:5">
      <c r="A751" s="424">
        <v>46029</v>
      </c>
      <c r="B751" s="434" t="s">
        <v>249</v>
      </c>
      <c r="C751">
        <v>157.66</v>
      </c>
      <c r="D751">
        <v>155.66</v>
      </c>
      <c r="E751">
        <v>156.66</v>
      </c>
    </row>
    <row r="752" spans="1:5">
      <c r="A752" s="424">
        <v>46030</v>
      </c>
      <c r="B752" s="434" t="s">
        <v>250</v>
      </c>
      <c r="C752">
        <v>157.85</v>
      </c>
      <c r="D752">
        <v>155.85</v>
      </c>
      <c r="E752">
        <v>156.85</v>
      </c>
    </row>
    <row r="753" spans="1:5">
      <c r="A753" s="424">
        <v>46031</v>
      </c>
      <c r="B753" s="434" t="s">
        <v>251</v>
      </c>
      <c r="C753">
        <v>158.13999999999999</v>
      </c>
      <c r="D753">
        <v>156.13999999999999</v>
      </c>
      <c r="E753">
        <v>157.13999999999999</v>
      </c>
    </row>
    <row r="754" spans="1:5">
      <c r="A754" s="424">
        <v>46032</v>
      </c>
      <c r="B754" s="432" t="s">
        <v>252</v>
      </c>
      <c r="C754" s="429">
        <v>158.13999999999999</v>
      </c>
      <c r="D754" s="429">
        <v>156.13999999999999</v>
      </c>
      <c r="E754" s="429">
        <v>157.13999999999999</v>
      </c>
    </row>
    <row r="755" spans="1:5">
      <c r="A755" s="424">
        <v>46033</v>
      </c>
      <c r="B755" s="432" t="s">
        <v>253</v>
      </c>
      <c r="C755" s="429"/>
      <c r="D755" s="429"/>
      <c r="E755" s="429"/>
    </row>
    <row r="756" spans="1:5">
      <c r="A756" s="424">
        <v>46034</v>
      </c>
      <c r="B756" s="432" t="s">
        <v>247</v>
      </c>
      <c r="C756" s="429">
        <v>158.13999999999999</v>
      </c>
      <c r="D756" s="429">
        <v>156.13999999999999</v>
      </c>
      <c r="E756" s="429">
        <v>157.13999999999999</v>
      </c>
    </row>
    <row r="757" spans="1:5">
      <c r="A757" s="424">
        <v>46035</v>
      </c>
      <c r="B757" s="434" t="s">
        <v>248</v>
      </c>
      <c r="C757">
        <v>159.28</v>
      </c>
      <c r="D757">
        <v>157.28</v>
      </c>
      <c r="E757">
        <v>158.28</v>
      </c>
    </row>
    <row r="758" spans="1:5">
      <c r="A758" s="424">
        <v>46036</v>
      </c>
      <c r="B758" s="434" t="s">
        <v>249</v>
      </c>
      <c r="C758">
        <v>160.26</v>
      </c>
      <c r="D758">
        <v>158.26</v>
      </c>
      <c r="E758">
        <v>159.26</v>
      </c>
    </row>
    <row r="759" spans="1:5">
      <c r="A759" s="424">
        <v>46037</v>
      </c>
      <c r="B759" s="434" t="s">
        <v>250</v>
      </c>
      <c r="C759">
        <v>159.58000000000001</v>
      </c>
      <c r="D759">
        <v>157.58000000000001</v>
      </c>
      <c r="E759">
        <v>158.58000000000001</v>
      </c>
    </row>
    <row r="760" spans="1:5">
      <c r="A760" s="424">
        <v>46038</v>
      </c>
      <c r="B760" s="434" t="s">
        <v>251</v>
      </c>
      <c r="C760">
        <v>159.77000000000001</v>
      </c>
      <c r="D760">
        <v>157.77000000000001</v>
      </c>
      <c r="E760">
        <v>158.77000000000001</v>
      </c>
    </row>
    <row r="761" spans="1:5">
      <c r="A761" s="424">
        <v>46039</v>
      </c>
      <c r="B761" s="432" t="s">
        <v>252</v>
      </c>
    </row>
    <row r="762" spans="1:5">
      <c r="A762" s="424">
        <v>46040</v>
      </c>
      <c r="B762" s="432" t="s">
        <v>253</v>
      </c>
    </row>
    <row r="763" spans="1:5">
      <c r="A763" s="424">
        <v>46041</v>
      </c>
      <c r="B763" s="434" t="s">
        <v>247</v>
      </c>
      <c r="C763">
        <v>158.55000000000001</v>
      </c>
      <c r="D763">
        <v>156.55000000000001</v>
      </c>
      <c r="E763">
        <v>157.55000000000001</v>
      </c>
    </row>
    <row r="764" spans="1:5">
      <c r="A764" s="424">
        <v>46042</v>
      </c>
      <c r="B764" s="434" t="s">
        <v>248</v>
      </c>
      <c r="C764">
        <v>159.19</v>
      </c>
      <c r="D764">
        <v>157.19</v>
      </c>
      <c r="E764">
        <v>158.19</v>
      </c>
    </row>
    <row r="765" spans="1:5">
      <c r="A765" s="424">
        <v>46043</v>
      </c>
      <c r="B765" s="434" t="s">
        <v>249</v>
      </c>
      <c r="C765">
        <v>159.25</v>
      </c>
      <c r="D765">
        <v>157.25</v>
      </c>
      <c r="E765">
        <v>158.25</v>
      </c>
    </row>
    <row r="766" spans="1:5">
      <c r="A766" s="424">
        <v>46044</v>
      </c>
      <c r="B766" s="434" t="s">
        <v>250</v>
      </c>
      <c r="C766">
        <v>159.27000000000001</v>
      </c>
      <c r="D766">
        <v>157.27000000000001</v>
      </c>
      <c r="E766">
        <v>158.27000000000001</v>
      </c>
    </row>
    <row r="767" spans="1:5">
      <c r="A767" s="424">
        <v>46045</v>
      </c>
      <c r="B767" s="434" t="s">
        <v>251</v>
      </c>
      <c r="C767">
        <v>159.62</v>
      </c>
      <c r="D767">
        <v>157.62</v>
      </c>
      <c r="E767">
        <v>158.62</v>
      </c>
    </row>
    <row r="768" spans="1:5">
      <c r="A768" s="424">
        <v>46046</v>
      </c>
      <c r="B768" s="432" t="s">
        <v>252</v>
      </c>
    </row>
    <row r="769" spans="1:5">
      <c r="A769" s="424">
        <v>46047</v>
      </c>
      <c r="B769" s="432" t="s">
        <v>253</v>
      </c>
    </row>
    <row r="770" spans="1:5">
      <c r="A770" s="424">
        <v>46048</v>
      </c>
      <c r="B770" s="434" t="s">
        <v>247</v>
      </c>
      <c r="C770">
        <v>155.85</v>
      </c>
      <c r="D770">
        <v>153.85</v>
      </c>
      <c r="E770">
        <v>154.85</v>
      </c>
    </row>
    <row r="771" spans="1:5">
      <c r="A771" s="424">
        <v>46049</v>
      </c>
      <c r="B771" s="434" t="s">
        <v>248</v>
      </c>
      <c r="C771">
        <v>155.33000000000001</v>
      </c>
      <c r="D771">
        <v>153.33000000000001</v>
      </c>
      <c r="E771">
        <v>154.33000000000001</v>
      </c>
    </row>
    <row r="772" spans="1:5">
      <c r="A772" s="424">
        <v>46050</v>
      </c>
      <c r="B772" s="434" t="s">
        <v>249</v>
      </c>
      <c r="C772">
        <v>153.47</v>
      </c>
      <c r="D772">
        <v>151.47</v>
      </c>
      <c r="E772">
        <v>152.47</v>
      </c>
    </row>
    <row r="773" spans="1:5">
      <c r="A773" s="424">
        <v>46051</v>
      </c>
      <c r="B773" s="434" t="s">
        <v>250</v>
      </c>
      <c r="C773">
        <v>154.15</v>
      </c>
      <c r="D773">
        <v>152.15</v>
      </c>
      <c r="E773">
        <v>153.15</v>
      </c>
    </row>
    <row r="774" spans="1:5">
      <c r="A774" s="424">
        <v>46052</v>
      </c>
      <c r="B774" s="434" t="s">
        <v>251</v>
      </c>
      <c r="C774">
        <v>154.66</v>
      </c>
      <c r="D774">
        <v>152.66</v>
      </c>
      <c r="E774">
        <v>153.66</v>
      </c>
    </row>
    <row r="775" spans="1:5">
      <c r="A775" s="424">
        <v>46053</v>
      </c>
      <c r="B775" s="432" t="s">
        <v>252</v>
      </c>
    </row>
    <row r="776" spans="1:5">
      <c r="A776" s="424">
        <v>46054</v>
      </c>
      <c r="B776" s="432" t="s">
        <v>253</v>
      </c>
    </row>
    <row r="777" spans="1:5">
      <c r="A777" s="424">
        <v>46055</v>
      </c>
      <c r="B777" s="434" t="s">
        <v>247</v>
      </c>
      <c r="C777">
        <v>156.29</v>
      </c>
      <c r="D777">
        <v>154.29</v>
      </c>
      <c r="E777">
        <v>155.29</v>
      </c>
    </row>
    <row r="778" spans="1:5">
      <c r="A778" s="424">
        <v>46056</v>
      </c>
      <c r="B778" s="434" t="s">
        <v>248</v>
      </c>
      <c r="C778">
        <v>156.6</v>
      </c>
      <c r="D778">
        <v>154.6</v>
      </c>
      <c r="E778">
        <v>155.6</v>
      </c>
    </row>
    <row r="779" spans="1:5">
      <c r="A779" s="424">
        <v>46057</v>
      </c>
      <c r="B779" s="434" t="s">
        <v>249</v>
      </c>
      <c r="C779">
        <v>157.07</v>
      </c>
      <c r="D779">
        <v>155.07</v>
      </c>
      <c r="E779">
        <v>156.07</v>
      </c>
    </row>
    <row r="780" spans="1:5">
      <c r="A780" s="424">
        <v>46058</v>
      </c>
      <c r="B780" s="434" t="s">
        <v>250</v>
      </c>
      <c r="C780">
        <v>157.85</v>
      </c>
      <c r="D780">
        <v>155.85</v>
      </c>
      <c r="E780">
        <v>156.85</v>
      </c>
    </row>
    <row r="781" spans="1:5">
      <c r="A781" s="424">
        <v>46059</v>
      </c>
      <c r="B781" s="434" t="s">
        <v>251</v>
      </c>
      <c r="C781">
        <v>157.82</v>
      </c>
      <c r="D781">
        <v>155.82</v>
      </c>
      <c r="E781">
        <v>156.82</v>
      </c>
    </row>
    <row r="782" spans="1:5">
      <c r="A782" s="424">
        <v>46060</v>
      </c>
      <c r="B782" s="432" t="s">
        <v>252</v>
      </c>
    </row>
    <row r="783" spans="1:5">
      <c r="A783" s="424">
        <v>46061</v>
      </c>
      <c r="B783" s="432" t="s">
        <v>253</v>
      </c>
    </row>
    <row r="784" spans="1:5">
      <c r="A784" s="424">
        <v>46062</v>
      </c>
      <c r="B784" s="434" t="s">
        <v>247</v>
      </c>
      <c r="C784">
        <v>157.96</v>
      </c>
      <c r="D784">
        <v>155.96</v>
      </c>
      <c r="E784">
        <v>156.96</v>
      </c>
    </row>
    <row r="785" spans="1:5">
      <c r="A785" s="424">
        <v>46063</v>
      </c>
      <c r="B785" s="434" t="s">
        <v>248</v>
      </c>
      <c r="C785">
        <v>157.16999999999999</v>
      </c>
      <c r="D785">
        <v>155.16999999999999</v>
      </c>
      <c r="E785">
        <v>156.16999999999999</v>
      </c>
    </row>
    <row r="786" spans="1:5">
      <c r="A786" s="424">
        <v>46064</v>
      </c>
      <c r="B786" s="432" t="s">
        <v>249</v>
      </c>
      <c r="C786" s="429">
        <v>157.16999999999999</v>
      </c>
      <c r="D786" s="429">
        <v>155.16999999999999</v>
      </c>
      <c r="E786" s="429">
        <v>156.16999999999999</v>
      </c>
    </row>
    <row r="787" spans="1:5">
      <c r="A787" s="424">
        <v>46065</v>
      </c>
      <c r="B787" s="434" t="s">
        <v>250</v>
      </c>
      <c r="C787">
        <v>154.33000000000001</v>
      </c>
      <c r="D787">
        <v>152.33000000000001</v>
      </c>
      <c r="E787">
        <v>153.33000000000001</v>
      </c>
    </row>
    <row r="788" spans="1:5">
      <c r="A788" s="424">
        <v>46066</v>
      </c>
      <c r="B788" s="434" t="s">
        <v>251</v>
      </c>
      <c r="C788">
        <v>153.94999999999999</v>
      </c>
      <c r="D788">
        <v>151.94999999999999</v>
      </c>
      <c r="E788">
        <v>152.94999999999999</v>
      </c>
    </row>
    <row r="789" spans="1:5">
      <c r="A789" s="424">
        <v>46067</v>
      </c>
      <c r="B789" s="432" t="s">
        <v>252</v>
      </c>
    </row>
    <row r="790" spans="1:5">
      <c r="A790" s="424">
        <v>46068</v>
      </c>
      <c r="B790" s="432" t="s">
        <v>253</v>
      </c>
    </row>
    <row r="791" spans="1:5">
      <c r="A791" s="424">
        <v>46069</v>
      </c>
      <c r="B791" s="434" t="s">
        <v>247</v>
      </c>
      <c r="C791">
        <v>154.09</v>
      </c>
      <c r="D791">
        <v>152.09</v>
      </c>
      <c r="E791">
        <v>153.09</v>
      </c>
    </row>
    <row r="792" spans="1:5">
      <c r="A792" s="424">
        <v>46070</v>
      </c>
      <c r="B792" s="434" t="s">
        <v>248</v>
      </c>
      <c r="C792">
        <v>154.34</v>
      </c>
      <c r="D792">
        <v>152.34</v>
      </c>
      <c r="E792">
        <v>153.34</v>
      </c>
    </row>
    <row r="793" spans="1:5">
      <c r="A793" s="424">
        <v>46071</v>
      </c>
      <c r="B793" s="434" t="s">
        <v>249</v>
      </c>
      <c r="C793">
        <v>154.24</v>
      </c>
      <c r="D793">
        <v>152.24</v>
      </c>
      <c r="E793">
        <v>153.24</v>
      </c>
    </row>
    <row r="794" spans="1:5">
      <c r="A794" s="424">
        <v>46072</v>
      </c>
      <c r="B794" s="434" t="s">
        <v>250</v>
      </c>
      <c r="C794">
        <v>155.79</v>
      </c>
      <c r="D794">
        <v>153.79</v>
      </c>
      <c r="E794">
        <v>154.79</v>
      </c>
    </row>
    <row r="795" spans="1:5">
      <c r="A795" s="424">
        <v>46073</v>
      </c>
      <c r="B795" s="434" t="s">
        <v>251</v>
      </c>
      <c r="C795">
        <v>156.15</v>
      </c>
      <c r="D795">
        <v>154.15</v>
      </c>
      <c r="E795">
        <v>155.15</v>
      </c>
    </row>
    <row r="796" spans="1:5">
      <c r="A796" s="424">
        <v>46074</v>
      </c>
      <c r="B796" s="432" t="s">
        <v>252</v>
      </c>
    </row>
    <row r="797" spans="1:5">
      <c r="A797" s="424">
        <v>46075</v>
      </c>
      <c r="B797" s="432" t="s">
        <v>253</v>
      </c>
    </row>
    <row r="798" spans="1:5">
      <c r="A798" s="424">
        <v>46076</v>
      </c>
      <c r="B798" s="432" t="s">
        <v>247</v>
      </c>
    </row>
    <row r="799" spans="1:5">
      <c r="A799" s="424">
        <v>46077</v>
      </c>
      <c r="B799" s="434" t="s">
        <v>248</v>
      </c>
      <c r="C799">
        <v>156.15</v>
      </c>
      <c r="D799">
        <v>154.15</v>
      </c>
      <c r="E799">
        <v>155.15</v>
      </c>
    </row>
    <row r="800" spans="1:5">
      <c r="A800" s="424">
        <v>46078</v>
      </c>
      <c r="B800" s="434" t="s">
        <v>249</v>
      </c>
      <c r="C800">
        <v>156.83000000000001</v>
      </c>
      <c r="D800">
        <v>154.83000000000001</v>
      </c>
      <c r="E800">
        <v>155.83000000000001</v>
      </c>
    </row>
    <row r="801" spans="1:5">
      <c r="A801" s="424">
        <v>46079</v>
      </c>
      <c r="B801" s="434" t="s">
        <v>250</v>
      </c>
      <c r="C801">
        <v>157.16</v>
      </c>
      <c r="D801">
        <v>155.16</v>
      </c>
      <c r="E801">
        <v>156.16</v>
      </c>
    </row>
    <row r="802" spans="1:5">
      <c r="A802" s="424">
        <v>46080</v>
      </c>
      <c r="B802" s="434" t="s">
        <v>251</v>
      </c>
      <c r="C802">
        <v>156.81</v>
      </c>
      <c r="D802">
        <v>154.81</v>
      </c>
      <c r="E802">
        <v>155.81</v>
      </c>
    </row>
    <row r="803" spans="1:5">
      <c r="A803" s="424">
        <v>46081</v>
      </c>
      <c r="B803" s="432" t="s">
        <v>252</v>
      </c>
    </row>
    <row r="804" spans="1:5">
      <c r="A804" s="424">
        <v>46082</v>
      </c>
      <c r="B804" s="432" t="s">
        <v>253</v>
      </c>
    </row>
    <row r="805" spans="1:5">
      <c r="A805" s="424">
        <v>46083</v>
      </c>
      <c r="B805" s="434" t="s">
        <v>247</v>
      </c>
      <c r="C805">
        <v>157.54</v>
      </c>
      <c r="D805">
        <v>155.54</v>
      </c>
      <c r="E805">
        <v>156.54</v>
      </c>
    </row>
    <row r="806" spans="1:5">
      <c r="A806" s="424">
        <v>46084</v>
      </c>
      <c r="B806" s="434" t="s">
        <v>248</v>
      </c>
      <c r="C806">
        <v>158.5</v>
      </c>
      <c r="D806">
        <v>156.5</v>
      </c>
      <c r="E806">
        <v>157.5</v>
      </c>
    </row>
    <row r="807" spans="1:5">
      <c r="A807" s="424">
        <v>46085</v>
      </c>
      <c r="B807" s="434" t="s">
        <v>249</v>
      </c>
      <c r="C807">
        <v>158.69</v>
      </c>
      <c r="D807">
        <v>156.69</v>
      </c>
      <c r="E807">
        <v>157.69</v>
      </c>
    </row>
    <row r="808" spans="1:5">
      <c r="A808" s="424">
        <v>46086</v>
      </c>
      <c r="B808" s="434" t="s">
        <v>250</v>
      </c>
      <c r="C808">
        <v>157.6</v>
      </c>
      <c r="D808">
        <v>155.6</v>
      </c>
      <c r="E808">
        <v>156.6</v>
      </c>
    </row>
    <row r="809" spans="1:5">
      <c r="A809" s="424">
        <v>46087</v>
      </c>
      <c r="B809" s="434" t="s">
        <v>251</v>
      </c>
      <c r="C809">
        <v>158.44999999999999</v>
      </c>
      <c r="D809">
        <v>156.44999999999999</v>
      </c>
      <c r="E809">
        <v>157.44999999999999</v>
      </c>
    </row>
    <row r="810" spans="1:5">
      <c r="A810" s="424">
        <v>46088</v>
      </c>
      <c r="B810" s="432" t="s">
        <v>252</v>
      </c>
      <c r="C810" s="429">
        <v>158.44999999999999</v>
      </c>
      <c r="D810" s="429">
        <v>156.44999999999999</v>
      </c>
      <c r="E810" s="429">
        <v>157.44999999999999</v>
      </c>
    </row>
    <row r="811" spans="1:5">
      <c r="A811" s="424">
        <v>46089</v>
      </c>
      <c r="B811" s="432" t="s">
        <v>253</v>
      </c>
      <c r="C811" s="429">
        <v>158.44999999999999</v>
      </c>
      <c r="D811" s="429">
        <v>156.44999999999999</v>
      </c>
      <c r="E811" s="429">
        <v>157.44999999999999</v>
      </c>
    </row>
    <row r="812" spans="1:5">
      <c r="A812" s="424">
        <v>46090</v>
      </c>
      <c r="B812" s="434" t="s">
        <v>247</v>
      </c>
      <c r="C812">
        <v>159.71</v>
      </c>
      <c r="D812">
        <v>157.71</v>
      </c>
      <c r="E812">
        <v>158.71</v>
      </c>
    </row>
    <row r="813" spans="1:5">
      <c r="A813" s="424">
        <v>46091</v>
      </c>
      <c r="B813" s="434" t="s">
        <v>248</v>
      </c>
      <c r="C813">
        <v>158.72999999999999</v>
      </c>
      <c r="D813">
        <v>156.72999999999999</v>
      </c>
      <c r="E813">
        <v>157.72999999999999</v>
      </c>
    </row>
    <row r="814" spans="1:5">
      <c r="A814" s="424">
        <v>46092</v>
      </c>
      <c r="B814" s="434" t="s">
        <v>249</v>
      </c>
      <c r="C814">
        <v>159.22999999999999</v>
      </c>
      <c r="D814">
        <v>157.22999999999999</v>
      </c>
      <c r="E814">
        <v>158.22999999999999</v>
      </c>
    </row>
    <row r="815" spans="1:5">
      <c r="A815" s="424">
        <v>46093</v>
      </c>
      <c r="B815" s="434" t="s">
        <v>250</v>
      </c>
      <c r="C815">
        <v>160.09</v>
      </c>
      <c r="D815">
        <v>158.09</v>
      </c>
      <c r="E815">
        <v>159.09</v>
      </c>
    </row>
    <row r="816" spans="1:5">
      <c r="A816" s="424">
        <v>46094</v>
      </c>
      <c r="B816" s="434" t="s">
        <v>251</v>
      </c>
      <c r="C816">
        <v>160.26</v>
      </c>
      <c r="D816">
        <v>158.26</v>
      </c>
      <c r="E816">
        <v>159.26</v>
      </c>
    </row>
    <row r="817" spans="1:5">
      <c r="A817" s="424">
        <v>46095</v>
      </c>
      <c r="B817" s="432" t="s">
        <v>252</v>
      </c>
    </row>
    <row r="818" spans="1:5">
      <c r="A818" s="424">
        <v>46096</v>
      </c>
      <c r="B818" s="432" t="s">
        <v>253</v>
      </c>
    </row>
    <row r="819" spans="1:5">
      <c r="A819" s="424">
        <v>46097</v>
      </c>
      <c r="B819" s="434" t="s">
        <v>247</v>
      </c>
      <c r="C819">
        <v>160.43</v>
      </c>
      <c r="D819">
        <v>158.43</v>
      </c>
      <c r="E819">
        <v>159.43</v>
      </c>
    </row>
    <row r="820" spans="1:5">
      <c r="A820" s="424">
        <v>46098</v>
      </c>
      <c r="B820" s="434" t="s">
        <v>248</v>
      </c>
      <c r="C820">
        <v>160.37</v>
      </c>
      <c r="D820">
        <v>158.37</v>
      </c>
      <c r="E820">
        <v>159.37</v>
      </c>
    </row>
    <row r="821" spans="1:5">
      <c r="A821" s="424">
        <v>46099</v>
      </c>
      <c r="B821" s="434" t="s">
        <v>249</v>
      </c>
      <c r="C821">
        <v>160.19</v>
      </c>
      <c r="D821">
        <v>158.19</v>
      </c>
      <c r="E821">
        <v>159.19</v>
      </c>
    </row>
    <row r="822" spans="1:5">
      <c r="A822" s="424">
        <v>46100</v>
      </c>
      <c r="B822" s="434" t="s">
        <v>250</v>
      </c>
    </row>
    <row r="823" spans="1:5">
      <c r="A823" s="424">
        <v>46101</v>
      </c>
      <c r="B823" s="432" t="s">
        <v>251</v>
      </c>
    </row>
    <row r="824" spans="1:5">
      <c r="A824" s="424">
        <v>46102</v>
      </c>
      <c r="B824" s="432" t="s">
        <v>252</v>
      </c>
    </row>
    <row r="825" spans="1:5">
      <c r="A825" s="424">
        <v>46103</v>
      </c>
      <c r="B825" s="432" t="s">
        <v>253</v>
      </c>
    </row>
    <row r="826" spans="1:5">
      <c r="A826" s="424">
        <v>46104</v>
      </c>
      <c r="B826" s="434" t="s">
        <v>247</v>
      </c>
    </row>
    <row r="827" spans="1:5">
      <c r="A827" s="424">
        <v>46105</v>
      </c>
      <c r="B827" s="434" t="s">
        <v>248</v>
      </c>
    </row>
    <row r="828" spans="1:5">
      <c r="A828" s="424">
        <v>46106</v>
      </c>
      <c r="B828" s="434" t="s">
        <v>249</v>
      </c>
    </row>
    <row r="829" spans="1:5">
      <c r="A829" s="424">
        <v>46107</v>
      </c>
      <c r="B829" s="434" t="s">
        <v>250</v>
      </c>
    </row>
    <row r="830" spans="1:5">
      <c r="A830" s="424">
        <v>46108</v>
      </c>
      <c r="B830" s="434" t="s">
        <v>251</v>
      </c>
    </row>
    <row r="831" spans="1:5">
      <c r="A831" s="424">
        <v>46109</v>
      </c>
      <c r="B831" s="432" t="s">
        <v>252</v>
      </c>
    </row>
    <row r="832" spans="1:5">
      <c r="A832" s="424">
        <v>46110</v>
      </c>
      <c r="B832" s="432" t="s">
        <v>253</v>
      </c>
    </row>
    <row r="833" spans="1:2">
      <c r="A833" s="424">
        <v>46111</v>
      </c>
      <c r="B833" s="434" t="s">
        <v>247</v>
      </c>
    </row>
    <row r="834" spans="1:2">
      <c r="A834" s="424">
        <v>46112</v>
      </c>
      <c r="B834" s="434" t="s">
        <v>248</v>
      </c>
    </row>
  </sheetData>
  <phoneticPr fontId="2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_MURC_Data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657225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Copy_MURC_Data">
                <anchor moveWithCells="1" sizeWithCells="1">
                  <from>
                    <xdr:col>0</xdr:col>
                    <xdr:colOff>38100</xdr:colOff>
                    <xdr:row>0</xdr:row>
                    <xdr:rowOff>76200</xdr:rowOff>
                  </from>
                  <to>
                    <xdr:col>1</xdr:col>
                    <xdr:colOff>657225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4B37-3349-4DD6-BBE1-3F37BC405CEB}">
  <sheetPr codeName="Sheet20"/>
  <dimension ref="A1:B3"/>
  <sheetViews>
    <sheetView workbookViewId="0">
      <selection activeCell="E14" sqref="E14:P14"/>
    </sheetView>
  </sheetViews>
  <sheetFormatPr defaultRowHeight="18.75"/>
  <sheetData>
    <row r="1" spans="1:2">
      <c r="A1" t="s">
        <v>202</v>
      </c>
      <c r="B1" t="str" cm="1">
        <f t="array" aca="1" ref="B1" ca="1">LEFT(MID(CELL("filename"),10,99),FIND("B",MID(CELL("filename"),10,99))-2)</f>
        <v>maekawa</v>
      </c>
    </row>
    <row r="2" spans="1:2">
      <c r="A2" t="s">
        <v>203</v>
      </c>
      <c r="B2" t="str" cm="1">
        <f t="array" aca="1" ref="B2" ca="1">LEFT(MID(CELL("filename"),10,99),FIND("[",MID(CELL("filename"),10,99))-2)</f>
        <v>maekawa\Box\共用\貿易部共用</v>
      </c>
    </row>
    <row r="3" spans="1:2">
      <c r="A3" t="s">
        <v>204</v>
      </c>
      <c r="B3" t="str" cm="1">
        <f t="array" aca="1" ref="B3" ca="1">RIGHT(CELL("filename"),LEN(CELL("filename"))-FIND("]",CELL("filename")))</f>
        <v>前川INV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22</vt:i4>
      </vt:variant>
    </vt:vector>
  </HeadingPairs>
  <TitlesOfParts>
    <vt:vector size="22" baseType="lpstr">
      <vt:lpstr>月次進捗</vt:lpstr>
      <vt:lpstr>計画集計</vt:lpstr>
      <vt:lpstr>実績集計</vt:lpstr>
      <vt:lpstr>松岡</vt:lpstr>
      <vt:lpstr>大谷</vt:lpstr>
      <vt:lpstr>宮本</vt:lpstr>
      <vt:lpstr>深串</vt:lpstr>
      <vt:lpstr>深串INV</vt:lpstr>
      <vt:lpstr>前川</vt:lpstr>
      <vt:lpstr>前川INV</vt:lpstr>
      <vt:lpstr>千葉</vt:lpstr>
      <vt:lpstr>千葉INV</vt:lpstr>
      <vt:lpstr>中国</vt:lpstr>
      <vt:lpstr>中国INV</vt:lpstr>
      <vt:lpstr>VVR</vt:lpstr>
      <vt:lpstr>VVRINV</vt:lpstr>
      <vt:lpstr>新規1</vt:lpstr>
      <vt:lpstr>新規1INV</vt:lpstr>
      <vt:lpstr>新規2</vt:lpstr>
      <vt:lpstr>新規2INV</vt:lpstr>
      <vt:lpstr>為替</vt:lpstr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拓也 東</dc:creator>
  <cp:lastModifiedBy>maekawa</cp:lastModifiedBy>
  <dcterms:created xsi:type="dcterms:W3CDTF">2024-07-01T08:57:13Z</dcterms:created>
  <dcterms:modified xsi:type="dcterms:W3CDTF">2026-03-18T04:21:36Z</dcterms:modified>
</cp:coreProperties>
</file>